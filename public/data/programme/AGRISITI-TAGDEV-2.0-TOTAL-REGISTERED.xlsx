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ORORO WM\Downloads\"/>
    </mc:Choice>
  </mc:AlternateContent>
  <xr:revisionPtr revIDLastSave="0" documentId="8_{3F7043D3-E025-4BF1-8FD9-5428EF62F1E8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definedNames>
    <definedName name="_xlnm._FilterDatabase" localSheetId="0" hidden="1">'Form responses 1'!$A$1:$N$6665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5" roundtripDataChecksum="dzcTbPw6u0IOeD206VrfLb510ZTy4kXOnGqnML4H07M="/>
    </ext>
  </extLst>
</workbook>
</file>

<file path=xl/calcChain.xml><?xml version="1.0" encoding="utf-8"?>
<calcChain xmlns="http://schemas.openxmlformats.org/spreadsheetml/2006/main">
  <c r="G6657" i="1" l="1"/>
  <c r="G6647" i="1"/>
  <c r="G6639" i="1"/>
  <c r="G6626" i="1"/>
  <c r="G6601" i="1"/>
  <c r="G6593" i="1"/>
  <c r="G6554" i="1"/>
  <c r="G6545" i="1"/>
  <c r="G6535" i="1"/>
  <c r="G6533" i="1"/>
  <c r="G6521" i="1"/>
  <c r="G6518" i="1"/>
  <c r="G6506" i="1"/>
  <c r="G6505" i="1"/>
  <c r="G6494" i="1"/>
  <c r="G6468" i="1"/>
  <c r="G6436" i="1"/>
  <c r="G6427" i="1"/>
  <c r="G6413" i="1"/>
  <c r="G6382" i="1"/>
  <c r="G6369" i="1"/>
  <c r="G6313" i="1"/>
  <c r="G6303" i="1"/>
  <c r="G6294" i="1"/>
  <c r="G6270" i="1"/>
  <c r="G6224" i="1"/>
  <c r="G6223" i="1"/>
  <c r="G6222" i="1"/>
  <c r="G6185" i="1"/>
  <c r="G6173" i="1"/>
  <c r="G6152" i="1"/>
  <c r="G6120" i="1"/>
  <c r="G6092" i="1"/>
  <c r="G6081" i="1"/>
  <c r="G6075" i="1"/>
  <c r="G6072" i="1"/>
  <c r="G6004" i="1"/>
  <c r="G5957" i="1"/>
  <c r="G5945" i="1"/>
  <c r="G5944" i="1"/>
  <c r="G5939" i="1"/>
  <c r="G5932" i="1"/>
  <c r="G5885" i="1"/>
  <c r="G5858" i="1"/>
  <c r="G5850" i="1"/>
  <c r="G5798" i="1"/>
  <c r="G5797" i="1"/>
  <c r="G5787" i="1"/>
  <c r="G5785" i="1"/>
  <c r="G5782" i="1"/>
  <c r="G5779" i="1"/>
  <c r="G5771" i="1"/>
  <c r="G5714" i="1"/>
  <c r="G5640" i="1"/>
  <c r="G5637" i="1"/>
  <c r="G5635" i="1"/>
  <c r="G5617" i="1"/>
  <c r="G5595" i="1"/>
  <c r="G5588" i="1"/>
  <c r="G5580" i="1"/>
  <c r="G5566" i="1"/>
  <c r="G5563" i="1"/>
  <c r="G5562" i="1"/>
  <c r="G5560" i="1"/>
  <c r="G5552" i="1"/>
  <c r="G5546" i="1"/>
  <c r="G5450" i="1"/>
  <c r="G5393" i="1"/>
  <c r="G5391" i="1"/>
  <c r="G5385" i="1"/>
  <c r="G5378" i="1"/>
  <c r="G5371" i="1"/>
  <c r="G5365" i="1"/>
  <c r="G5363" i="1"/>
  <c r="G5344" i="1"/>
  <c r="G5317" i="1"/>
  <c r="G5286" i="1"/>
  <c r="G5227" i="1"/>
  <c r="G5224" i="1"/>
  <c r="G5201" i="1"/>
  <c r="G5188" i="1"/>
  <c r="G5165" i="1"/>
  <c r="G5151" i="1"/>
  <c r="G5130" i="1"/>
  <c r="G5126" i="1"/>
  <c r="G5076" i="1"/>
  <c r="G5046" i="1"/>
  <c r="G5041" i="1"/>
  <c r="G5036" i="1"/>
  <c r="G5028" i="1"/>
  <c r="G5025" i="1"/>
  <c r="G5008" i="1"/>
  <c r="G4980" i="1"/>
  <c r="G4950" i="1"/>
  <c r="G4928" i="1"/>
  <c r="G4908" i="1"/>
  <c r="G4895" i="1"/>
  <c r="G4859" i="1"/>
  <c r="G4836" i="1"/>
  <c r="G4805" i="1"/>
  <c r="G4788" i="1"/>
  <c r="G4766" i="1"/>
  <c r="G4741" i="1"/>
  <c r="G4729" i="1"/>
  <c r="G4715" i="1"/>
  <c r="G4699" i="1"/>
  <c r="G4648" i="1"/>
  <c r="G4634" i="1"/>
  <c r="G4583" i="1"/>
  <c r="G4580" i="1"/>
  <c r="G4561" i="1"/>
  <c r="G4549" i="1"/>
  <c r="G4542" i="1"/>
  <c r="G4525" i="1"/>
  <c r="G4517" i="1"/>
  <c r="G4516" i="1"/>
  <c r="G4515" i="1"/>
  <c r="G4493" i="1"/>
  <c r="G4469" i="1"/>
  <c r="G4459" i="1"/>
  <c r="G4384" i="1"/>
  <c r="G4369" i="1"/>
  <c r="G4359" i="1"/>
  <c r="G4358" i="1"/>
  <c r="G4338" i="1"/>
  <c r="G4316" i="1"/>
  <c r="G4280" i="1"/>
  <c r="G4268" i="1"/>
  <c r="G4225" i="1"/>
  <c r="G4188" i="1"/>
  <c r="G4174" i="1"/>
  <c r="G4105" i="1"/>
  <c r="G4078" i="1"/>
  <c r="G4052" i="1"/>
  <c r="G4025" i="1"/>
  <c r="G3976" i="1"/>
  <c r="G3966" i="1"/>
  <c r="G3965" i="1"/>
  <c r="G3920" i="1"/>
  <c r="G3839" i="1"/>
  <c r="G3825" i="1"/>
  <c r="G3787" i="1"/>
  <c r="G3774" i="1"/>
  <c r="G3773" i="1"/>
  <c r="G3754" i="1"/>
  <c r="G3740" i="1"/>
  <c r="G3696" i="1"/>
  <c r="G3694" i="1"/>
  <c r="G3665" i="1"/>
  <c r="G3596" i="1"/>
  <c r="G3589" i="1"/>
  <c r="G3579" i="1"/>
  <c r="G3577" i="1"/>
  <c r="G3571" i="1"/>
  <c r="G3570" i="1"/>
  <c r="G3563" i="1"/>
  <c r="G3545" i="1"/>
  <c r="G3528" i="1"/>
  <c r="G3511" i="1"/>
  <c r="G3509" i="1"/>
  <c r="G3502" i="1"/>
  <c r="G3432" i="1"/>
  <c r="G3426" i="1"/>
  <c r="G3423" i="1"/>
  <c r="G3406" i="1"/>
  <c r="G3384" i="1"/>
  <c r="G3380" i="1"/>
  <c r="G3260" i="1"/>
  <c r="G3240" i="1"/>
  <c r="G3220" i="1"/>
  <c r="G3207" i="1"/>
  <c r="G3200" i="1"/>
  <c r="G3175" i="1"/>
  <c r="G3125" i="1"/>
  <c r="G3108" i="1"/>
  <c r="G3107" i="1"/>
  <c r="G3098" i="1"/>
  <c r="G3062" i="1"/>
  <c r="G3055" i="1"/>
  <c r="G3054" i="1"/>
  <c r="G3005" i="1"/>
  <c r="G2983" i="1"/>
  <c r="G2951" i="1"/>
  <c r="G2942" i="1"/>
  <c r="G2929" i="1"/>
  <c r="G2912" i="1"/>
  <c r="G2910" i="1"/>
  <c r="G2887" i="1"/>
  <c r="G2876" i="1"/>
  <c r="G2859" i="1"/>
  <c r="G2853" i="1"/>
  <c r="G2824" i="1"/>
  <c r="G2723" i="1"/>
  <c r="G2710" i="1"/>
  <c r="G2676" i="1"/>
  <c r="G2662" i="1"/>
  <c r="G2648" i="1"/>
  <c r="G2511" i="1"/>
  <c r="G2498" i="1"/>
  <c r="G2491" i="1"/>
  <c r="G2478" i="1"/>
  <c r="G2472" i="1"/>
  <c r="G2462" i="1"/>
  <c r="G2451" i="1"/>
  <c r="G2429" i="1"/>
  <c r="G2415" i="1"/>
  <c r="G2411" i="1"/>
  <c r="G2394" i="1"/>
  <c r="G2380" i="1"/>
  <c r="G2372" i="1"/>
  <c r="G2358" i="1"/>
  <c r="G2357" i="1"/>
  <c r="G2353" i="1"/>
  <c r="G2288" i="1"/>
  <c r="G2249" i="1"/>
  <c r="G2248" i="1"/>
  <c r="G2228" i="1"/>
  <c r="G2223" i="1"/>
  <c r="G2173" i="1"/>
  <c r="G2164" i="1"/>
  <c r="G2157" i="1"/>
  <c r="G2152" i="1"/>
  <c r="G2142" i="1"/>
  <c r="G2099" i="1"/>
  <c r="G2095" i="1"/>
  <c r="G2083" i="1"/>
  <c r="G2059" i="1"/>
  <c r="G2006" i="1"/>
  <c r="G2001" i="1"/>
  <c r="G1968" i="1"/>
  <c r="G1896" i="1"/>
  <c r="G1884" i="1"/>
  <c r="G1859" i="1"/>
  <c r="G1839" i="1"/>
  <c r="G1740" i="1"/>
  <c r="G1614" i="1"/>
  <c r="G1607" i="1"/>
  <c r="G1584" i="1"/>
  <c r="G1579" i="1"/>
  <c r="G1540" i="1"/>
  <c r="G1525" i="1"/>
  <c r="G1512" i="1"/>
  <c r="G1467" i="1"/>
  <c r="G1448" i="1"/>
  <c r="G1425" i="1"/>
  <c r="G1334" i="1"/>
  <c r="G1323" i="1"/>
  <c r="G1318" i="1"/>
  <c r="G1289" i="1"/>
  <c r="G1278" i="1"/>
  <c r="G1241" i="1"/>
  <c r="G1223" i="1"/>
  <c r="G1218" i="1"/>
  <c r="G1184" i="1"/>
  <c r="G1120" i="1"/>
  <c r="G1077" i="1"/>
  <c r="G1068" i="1"/>
  <c r="G1056" i="1"/>
  <c r="G1042" i="1"/>
  <c r="G1024" i="1"/>
  <c r="G1009" i="1"/>
  <c r="G1003" i="1"/>
  <c r="G1001" i="1"/>
  <c r="G998" i="1"/>
  <c r="G959" i="1"/>
  <c r="G951" i="1"/>
  <c r="G931" i="1"/>
  <c r="G910" i="1"/>
  <c r="G909" i="1"/>
  <c r="G907" i="1"/>
  <c r="G899" i="1"/>
  <c r="G884" i="1"/>
  <c r="G865" i="1"/>
  <c r="G860" i="1"/>
  <c r="G753" i="1"/>
  <c r="G747" i="1"/>
  <c r="G730" i="1"/>
  <c r="G721" i="1"/>
  <c r="G715" i="1"/>
  <c r="G706" i="1"/>
  <c r="G685" i="1"/>
  <c r="G661" i="1"/>
  <c r="G450" i="1"/>
  <c r="G359" i="1"/>
  <c r="G290" i="1"/>
  <c r="G69" i="1"/>
  <c r="G63" i="1"/>
  <c r="G25" i="1"/>
  <c r="G19" i="1"/>
  <c r="G10" i="1"/>
</calcChain>
</file>

<file path=xl/sharedStrings.xml><?xml version="1.0" encoding="utf-8"?>
<sst xmlns="http://schemas.openxmlformats.org/spreadsheetml/2006/main" count="59801" uniqueCount="14459">
  <si>
    <t>Timestamp</t>
  </si>
  <si>
    <t>Implementing Institution</t>
  </si>
  <si>
    <t>Theme of Activity</t>
  </si>
  <si>
    <t>Full Name (Surname First)</t>
  </si>
  <si>
    <t>Gender</t>
  </si>
  <si>
    <t>Age</t>
  </si>
  <si>
    <t>Phone Number (Primary Contact)</t>
  </si>
  <si>
    <t>Email Address</t>
  </si>
  <si>
    <t>State of Residence</t>
  </si>
  <si>
    <t>Local Government Area (LGA)</t>
  </si>
  <si>
    <t>Date of Application</t>
  </si>
  <si>
    <t>Able-bodied</t>
  </si>
  <si>
    <t>If yes, what type of disability applies to you?</t>
  </si>
  <si>
    <t>Which of these categories best describes your current status?</t>
  </si>
  <si>
    <t>Agrisiti</t>
  </si>
  <si>
    <t>Climate Smart and Sustainable Pratices in Rice_Fish Production</t>
  </si>
  <si>
    <t>Eyoka Leslie Joe</t>
  </si>
  <si>
    <t>Male</t>
  </si>
  <si>
    <t>joeeyoka@gmail.com</t>
  </si>
  <si>
    <t>Rivers</t>
  </si>
  <si>
    <t>PORT HARCOURT</t>
  </si>
  <si>
    <t>Emeghara Njideka Candid</t>
  </si>
  <si>
    <t>Female</t>
  </si>
  <si>
    <t>njidekaemeghara2@gmail.com</t>
  </si>
  <si>
    <t>Eleme</t>
  </si>
  <si>
    <t>Abdullahi Saratu Ishaya</t>
  </si>
  <si>
    <t>Saratuishaya@gmail.com</t>
  </si>
  <si>
    <t>Kano</t>
  </si>
  <si>
    <t>Ungogo</t>
  </si>
  <si>
    <t>Misongo Tokere Faith</t>
  </si>
  <si>
    <t>faithmisongo@gmail.com</t>
  </si>
  <si>
    <t>Bayelsa</t>
  </si>
  <si>
    <t>Yenagoa</t>
  </si>
  <si>
    <t>Odadi Jennifer Christian Mark</t>
  </si>
  <si>
    <t>macjenny59@gmail.com</t>
  </si>
  <si>
    <t>OMUBO WINSTON KUROMIAYEBAYE</t>
  </si>
  <si>
    <t>Nembe</t>
  </si>
  <si>
    <t>PREYE HENRY SALVATION</t>
  </si>
  <si>
    <t>salvationhenry2020@gmail.com</t>
  </si>
  <si>
    <t>Southern Ijaw</t>
  </si>
  <si>
    <t>Garba Samaila Saidu</t>
  </si>
  <si>
    <t>garbadurr13@gmail.com</t>
  </si>
  <si>
    <t>Wudil</t>
  </si>
  <si>
    <t>Olatunde Oluwaseun Joseph A</t>
  </si>
  <si>
    <t>oluwaseunolatundeaj@gmail.com</t>
  </si>
  <si>
    <t>Ogun</t>
  </si>
  <si>
    <t>Odeda</t>
  </si>
  <si>
    <t>Agbo Agada</t>
  </si>
  <si>
    <t>agadaagbo6@gmail.com</t>
  </si>
  <si>
    <t>Niger</t>
  </si>
  <si>
    <t>Chanchaga</t>
  </si>
  <si>
    <t>Amusat Nimotalahi Titilayo</t>
  </si>
  <si>
    <t>amusattitilayo123@gmail.com</t>
  </si>
  <si>
    <t>Gwarzo</t>
  </si>
  <si>
    <t>Udenyi Mngusonun Tina</t>
  </si>
  <si>
    <t>udenyitina320@gmail.com</t>
  </si>
  <si>
    <t>Jibogun Olugbenga Paul</t>
  </si>
  <si>
    <t>jibogunolugbenga@gmail.com</t>
  </si>
  <si>
    <t>Hassan Abubakar Sadiq</t>
  </si>
  <si>
    <t>abubakarsadiqhassan911@gmail.com</t>
  </si>
  <si>
    <t>Edati</t>
  </si>
  <si>
    <t>Bakare Adeola Musbaudeen</t>
  </si>
  <si>
    <t>adeolabakare04@yahoo.com</t>
  </si>
  <si>
    <t>Abdulkadir Maryam Zakariyau</t>
  </si>
  <si>
    <t>maryamzabdulkadir@gmail.com</t>
  </si>
  <si>
    <t>Adejoh Louis Ojonimi</t>
  </si>
  <si>
    <t>louisadejoh25@gmail.com</t>
  </si>
  <si>
    <t>Fagge</t>
  </si>
  <si>
    <t>Ebenezer okechi Uche-Ihesiulor</t>
  </si>
  <si>
    <t>okechiben3@gmail.com</t>
  </si>
  <si>
    <t>Tarauni</t>
  </si>
  <si>
    <t>Abdulraheem Abdulqowiyy Chogodo</t>
  </si>
  <si>
    <t>abdulqowiyyabdulraheem@gmail.com</t>
  </si>
  <si>
    <t>Suleja</t>
  </si>
  <si>
    <t>Ganagana British</t>
  </si>
  <si>
    <t>ganaganapeter@gmail.com</t>
  </si>
  <si>
    <t>MACHINE EJAYETA GOVERNOR</t>
  </si>
  <si>
    <t>jitivia1@gmail.com</t>
  </si>
  <si>
    <t>SAGBAMA</t>
  </si>
  <si>
    <t>Adeoye Bukola Precious</t>
  </si>
  <si>
    <t>adeoyebukola.precious@gmail.com</t>
  </si>
  <si>
    <t>Ado Odo ota</t>
  </si>
  <si>
    <t>Ogunnubi promise aderayo</t>
  </si>
  <si>
    <t>ogunnubipromise201@gmail.com</t>
  </si>
  <si>
    <t>Abeokuta North</t>
  </si>
  <si>
    <t>Suleiman Halima Aliyu</t>
  </si>
  <si>
    <t>halimasuleimanaliyu@gmail.com</t>
  </si>
  <si>
    <t>Mohammed AKowe</t>
  </si>
  <si>
    <t>akowemohammed78@gmail.com</t>
  </si>
  <si>
    <t>Ungogo local government area of kano State</t>
  </si>
  <si>
    <t>Mohammed Abdulakeem Ojonugwa</t>
  </si>
  <si>
    <t>mohammedkimzy8@gmail.com</t>
  </si>
  <si>
    <t>Rabiu khadija Bello</t>
  </si>
  <si>
    <t>khadijabello46@gmail.com</t>
  </si>
  <si>
    <t>Gwale</t>
  </si>
  <si>
    <t>Yahaya Ramlat Kabir</t>
  </si>
  <si>
    <t>ramlatkabir111@gmail.com</t>
  </si>
  <si>
    <t>Gwale Local Government</t>
  </si>
  <si>
    <t>Anifowose Ihechi David</t>
  </si>
  <si>
    <t>anifowoseihechi35@gmail.com</t>
  </si>
  <si>
    <t>Ota</t>
  </si>
  <si>
    <t>ABDULLAHI AHMED</t>
  </si>
  <si>
    <t>ahmedabdullahi811@gmail.com</t>
  </si>
  <si>
    <t>Mokwa</t>
  </si>
  <si>
    <t>Ndayako Yusuf</t>
  </si>
  <si>
    <t>ndayakoyusuf23@gmail.com</t>
  </si>
  <si>
    <t>Bida</t>
  </si>
  <si>
    <t>Ahmad Usman Abdulkadir</t>
  </si>
  <si>
    <t>ahmadusmanabdulkadir2020@gmail.com</t>
  </si>
  <si>
    <t>Bosso</t>
  </si>
  <si>
    <t>Quickpenny Mirand</t>
  </si>
  <si>
    <t>quickpennyw@gmail.comq</t>
  </si>
  <si>
    <t>Bilyaminu Bilyaminu Salisu</t>
  </si>
  <si>
    <t>babangidassmohd@gmail.com</t>
  </si>
  <si>
    <t>IORSHAGHER VERSHIMA STEPHEN</t>
  </si>
  <si>
    <t>vershima3322@gmail.com</t>
  </si>
  <si>
    <t>KWANDE</t>
  </si>
  <si>
    <t>ABOLOKO DAVID KESIENA</t>
  </si>
  <si>
    <t>kess4u2cc@gmail.com</t>
  </si>
  <si>
    <t>Ikwerre</t>
  </si>
  <si>
    <t>Muraina khadijat Oluwaseun</t>
  </si>
  <si>
    <t>khadijat9185@gmail.com</t>
  </si>
  <si>
    <t>Ijebu-Ode</t>
  </si>
  <si>
    <t>Kalejaiye Ramota Oluwakemi</t>
  </si>
  <si>
    <t>kalejaiyeramota180@gmail.com</t>
  </si>
  <si>
    <t>Ijebu ode</t>
  </si>
  <si>
    <t>Nyah blessing Mary</t>
  </si>
  <si>
    <t>nyahblessingmary@gmail.com</t>
  </si>
  <si>
    <t>Ewekoro local govt Ogun state Abeokuta</t>
  </si>
  <si>
    <t>Oladipupo sarat oluwaseyi</t>
  </si>
  <si>
    <t>hormolaraoluwaseyi@gmail.com</t>
  </si>
  <si>
    <t>Abeokuta south</t>
  </si>
  <si>
    <t>Abdulkadir Isah sakpe</t>
  </si>
  <si>
    <t>abdulkadirisahsakpe1@gmail.com</t>
  </si>
  <si>
    <t>Lawal</t>
  </si>
  <si>
    <t>toheeblawson@gmail.com</t>
  </si>
  <si>
    <t>Ado- odo ota</t>
  </si>
  <si>
    <t>Usman Hauwa</t>
  </si>
  <si>
    <t>02ushauwa@gmail.com</t>
  </si>
  <si>
    <t>Joseph Deborah Shaba</t>
  </si>
  <si>
    <t>deborahjoseph267@gmail.com</t>
  </si>
  <si>
    <t>Ejiofor Dumaga Olumide</t>
  </si>
  <si>
    <t>dumagaejiofor6@gmail.com</t>
  </si>
  <si>
    <t>Onuzulike Izuchukwu Somtochukwu</t>
  </si>
  <si>
    <t>izuchukwuonuzulike@gmail.com</t>
  </si>
  <si>
    <t>Enugu</t>
  </si>
  <si>
    <t>Oji river</t>
  </si>
  <si>
    <t>Olabiyi, Khadijah Tosin</t>
  </si>
  <si>
    <t>tosinkhadijah2003@gmail.com</t>
  </si>
  <si>
    <t>Abdulrahman Idris makama</t>
  </si>
  <si>
    <t>Nil</t>
  </si>
  <si>
    <t>idrisabdulrahman120@gmail.com</t>
  </si>
  <si>
    <t>Borgu local government area</t>
  </si>
  <si>
    <t>Mathew O. Abayomi</t>
  </si>
  <si>
    <t>herbayormie@gmail.com</t>
  </si>
  <si>
    <t>Alhassan Muhammad</t>
  </si>
  <si>
    <t>alhassanmuhammadetsu@gmail.com</t>
  </si>
  <si>
    <t>Agaie</t>
  </si>
  <si>
    <t>Ahmed Usman Busa</t>
  </si>
  <si>
    <t>uthmanahmed44@gmail.com</t>
  </si>
  <si>
    <t>Shiroro</t>
  </si>
  <si>
    <t>Sinaola john o.</t>
  </si>
  <si>
    <t>shinaolajohn@gmail.com</t>
  </si>
  <si>
    <t>Yewa south local government</t>
  </si>
  <si>
    <t>Olawale olabisi joy</t>
  </si>
  <si>
    <t>olabisiolamide456@gmail.com</t>
  </si>
  <si>
    <t>Obio/Akpor</t>
  </si>
  <si>
    <t>Olamikanra</t>
  </si>
  <si>
    <t>officialsamkalami@gmail.com</t>
  </si>
  <si>
    <t>Sango ota</t>
  </si>
  <si>
    <t>Aliyu Usman Yakubu</t>
  </si>
  <si>
    <t>aliyuusmany02@gmail.com</t>
  </si>
  <si>
    <t>Kumbotso</t>
  </si>
  <si>
    <t>Ojo</t>
  </si>
  <si>
    <t>opaul285@gmail.con</t>
  </si>
  <si>
    <t>Abule iroko</t>
  </si>
  <si>
    <t>ISIBA AFOLABI KAMALDEEN</t>
  </si>
  <si>
    <t>afolabikamal224@gmail.com</t>
  </si>
  <si>
    <t>Odeda local government</t>
  </si>
  <si>
    <t>Bakare Samson Oluwafemi</t>
  </si>
  <si>
    <t>bakaresamsonoluwafemi@gmail.com</t>
  </si>
  <si>
    <t>Minna</t>
  </si>
  <si>
    <t>Usman muhammad</t>
  </si>
  <si>
    <t>muhammaddanfodiousman@gmail.com</t>
  </si>
  <si>
    <t>Ladan ukasha</t>
  </si>
  <si>
    <t>ladanukasha6@gmail.com</t>
  </si>
  <si>
    <t>Quadril Hammed Oluwaseun</t>
  </si>
  <si>
    <t>olasukkie02@gmail.com</t>
  </si>
  <si>
    <t>Yusuf Ibrahim</t>
  </si>
  <si>
    <t>ibson095@gmail.com</t>
  </si>
  <si>
    <t>ALHASSAN FATIMA IDRIS</t>
  </si>
  <si>
    <t>fatimaalhassan75@gmail.com</t>
  </si>
  <si>
    <t>LAVUN</t>
  </si>
  <si>
    <t>Shuaibu Ahmed</t>
  </si>
  <si>
    <t>shuaibuahmed1999@gmail.com</t>
  </si>
  <si>
    <t>MOHAMMED</t>
  </si>
  <si>
    <t>mohammedsadeeq217@gmail.com</t>
  </si>
  <si>
    <t>KATCHA</t>
  </si>
  <si>
    <t>Abdullahi Ubaidullahi isah kuta</t>
  </si>
  <si>
    <t>alubaidullahi080@gmail.com</t>
  </si>
  <si>
    <t>Ali Ibrahim Musa</t>
  </si>
  <si>
    <t>aliibrahimmusa1998@gmail.com</t>
  </si>
  <si>
    <t>Cross River</t>
  </si>
  <si>
    <t>Obubra</t>
  </si>
  <si>
    <t>John ogechi precious</t>
  </si>
  <si>
    <t>preciousjohn643@gmail.com</t>
  </si>
  <si>
    <t>Abubakar Rahmat Sidiq</t>
  </si>
  <si>
    <t>rahmatabubakarsidiq2@gmail.com</t>
  </si>
  <si>
    <t>Borgu</t>
  </si>
  <si>
    <t>Abubakar Isah</t>
  </si>
  <si>
    <t>isahabubakar923@gmail.com</t>
  </si>
  <si>
    <t>Aladesawe Abdullahi Temitope</t>
  </si>
  <si>
    <t>aladesaweabdullahi18@gmail.com</t>
  </si>
  <si>
    <t>Mohammed hamza Tatiko</t>
  </si>
  <si>
    <t>tatiko.hm@gmail.com</t>
  </si>
  <si>
    <t>Paikoro</t>
  </si>
  <si>
    <t>Alhassan Abdullahi</t>
  </si>
  <si>
    <t>hassanameer2599@gmail.com</t>
  </si>
  <si>
    <t>GBAKO LG</t>
  </si>
  <si>
    <t>Saidu Sanusi</t>
  </si>
  <si>
    <t>sanusibymyself@gmail.com</t>
  </si>
  <si>
    <t>Mohammed Alhaji Mohammed</t>
  </si>
  <si>
    <t>muhdajee01@gmail.com</t>
  </si>
  <si>
    <t>Katcha Local Government</t>
  </si>
  <si>
    <t>Bakare toheeb oluwafisayomi</t>
  </si>
  <si>
    <t>tbiankhy@gmail.com</t>
  </si>
  <si>
    <t>Sagamu lga</t>
  </si>
  <si>
    <t>Mohammed Mohammed Saganuwa</t>
  </si>
  <si>
    <t>mohammedsaganuwa001@gmail.com</t>
  </si>
  <si>
    <t>Gbako</t>
  </si>
  <si>
    <t>Mohammed Shuaibu</t>
  </si>
  <si>
    <t>mohammedshuaibu041@gmail.com</t>
  </si>
  <si>
    <t>Katcha</t>
  </si>
  <si>
    <t>Adamu Thomas</t>
  </si>
  <si>
    <t>tswanyajiyako682@gmail.com</t>
  </si>
  <si>
    <t>Idris Mohammed sani</t>
  </si>
  <si>
    <t>muhammadsikuta@gmail.com</t>
  </si>
  <si>
    <t>Bello pnizye Maimuna</t>
  </si>
  <si>
    <t>Mimibello69@gmail.com</t>
  </si>
  <si>
    <t>Yusuf habib</t>
  </si>
  <si>
    <t>elabieeeb@gmail.com</t>
  </si>
  <si>
    <t>Mohammed Umar Yahaya</t>
  </si>
  <si>
    <t>mohammaedumaryahaya@gmail.com</t>
  </si>
  <si>
    <t>MOHAMMED SADIQ</t>
  </si>
  <si>
    <t>Abbas Aski</t>
  </si>
  <si>
    <t>askiabbas058@gmail.com</t>
  </si>
  <si>
    <t>Kontagora</t>
  </si>
  <si>
    <t>Tanko Nuhu Dada</t>
  </si>
  <si>
    <t>nuhutanko68@gmail.com</t>
  </si>
  <si>
    <t>Salihu Abdulmumini</t>
  </si>
  <si>
    <t>salihuabdulmumini51@gmail.com</t>
  </si>
  <si>
    <t>Mubarak Muhammad Adam</t>
  </si>
  <si>
    <t>mubarakmuhammadadam34@gmail.com</t>
  </si>
  <si>
    <t>Rijau</t>
  </si>
  <si>
    <t>Usman Ibrahim kuta</t>
  </si>
  <si>
    <t>ibrahimkutausman@gmail.com</t>
  </si>
  <si>
    <t>Auwal Sanusi</t>
  </si>
  <si>
    <t>sanusiauwal310@gmail.com</t>
  </si>
  <si>
    <t>ROGO LGA</t>
  </si>
  <si>
    <t>Idris mamman Muhammad</t>
  </si>
  <si>
    <t>idrismamman100@gmail.com</t>
  </si>
  <si>
    <t>Abubakar Mustapha</t>
  </si>
  <si>
    <t>madzukogi@gmail.com</t>
  </si>
  <si>
    <t>Zaharadeen Ahmad</t>
  </si>
  <si>
    <t>zaharadeenahmad9@gmail.com</t>
  </si>
  <si>
    <t>Tsado Zechariah</t>
  </si>
  <si>
    <t>zechariahtsado201@gmail.com</t>
  </si>
  <si>
    <t>Abdullahi Nurudeen Shaba</t>
  </si>
  <si>
    <t>nuriente@gmail.com</t>
  </si>
  <si>
    <t>Umar Hassan abdullahi</t>
  </si>
  <si>
    <t>hassandangwada@gmail.com</t>
  </si>
  <si>
    <t>Salihu Abdullahi Salihu</t>
  </si>
  <si>
    <t>salihuabdullahisalihu023@gmail.com</t>
  </si>
  <si>
    <t>ITUEN EKANEM</t>
  </si>
  <si>
    <t>ekanemituen@gmail.com</t>
  </si>
  <si>
    <t>Kolo Samuel</t>
  </si>
  <si>
    <t>samuelkolo3333@gmail.com</t>
  </si>
  <si>
    <t>Oluyede Oluwapelumi</t>
  </si>
  <si>
    <t>oluwapelumioluyede@gmail.com</t>
  </si>
  <si>
    <t>Abeokuta north</t>
  </si>
  <si>
    <t>Mohammed kolo</t>
  </si>
  <si>
    <t>muhammadk6019@gmail.com</t>
  </si>
  <si>
    <t>Lavun</t>
  </si>
  <si>
    <t>Ishaq Hasiyah Muhammad</t>
  </si>
  <si>
    <t>aishqmuhammad00@gmail.com</t>
  </si>
  <si>
    <t>Oriola Oladipupo Oluwasanmi</t>
  </si>
  <si>
    <t>tsanmi3@gmail.com</t>
  </si>
  <si>
    <t>Abeokuta South</t>
  </si>
  <si>
    <t>Muhammad Umar</t>
  </si>
  <si>
    <t>muhammedumar1996@gmail.com</t>
  </si>
  <si>
    <t>ALIYU YA'U ABDULLAHI</t>
  </si>
  <si>
    <t>aliyuyauabdullahi@gmail.com</t>
  </si>
  <si>
    <t>BOSSO</t>
  </si>
  <si>
    <t>AMINA Muhammad jimada</t>
  </si>
  <si>
    <t>aminamubarakmuhammad@gmail.com</t>
  </si>
  <si>
    <t>Isah Mohammed</t>
  </si>
  <si>
    <t>mibashi001@gmail.com</t>
  </si>
  <si>
    <t>Oderinu Abosede Oluwabimpe</t>
  </si>
  <si>
    <t>oderinuadebimpe650@gmail.com</t>
  </si>
  <si>
    <t>Shehu Usama</t>
  </si>
  <si>
    <t>shehu20203060@gmail.com</t>
  </si>
  <si>
    <t>Ismaila Inuwa Reza</t>
  </si>
  <si>
    <t>inuwaismailareza@gmail.com</t>
  </si>
  <si>
    <t>Wushishi</t>
  </si>
  <si>
    <t>Ogunniran Anjolajesu Favour</t>
  </si>
  <si>
    <t>ogunnirananjolajesufavour@gmail.com</t>
  </si>
  <si>
    <t>Odeda Local Government</t>
  </si>
  <si>
    <t>Maaruf Saifullah imam</t>
  </si>
  <si>
    <t>saifullahimam21@gmail.com</t>
  </si>
  <si>
    <t>Issah Abdulhamid Woru</t>
  </si>
  <si>
    <t>eworu57@gmail.com</t>
  </si>
  <si>
    <t>Maiyaki</t>
  </si>
  <si>
    <t>usmanmaiyaki12@gmail.com</t>
  </si>
  <si>
    <t>Ankyoor Kumawuese</t>
  </si>
  <si>
    <t>kumawueseankyoor@gmail.com</t>
  </si>
  <si>
    <t>Agogo</t>
  </si>
  <si>
    <t>addictedbrawn@gmail.com</t>
  </si>
  <si>
    <t>ADAMU HARUNA</t>
  </si>
  <si>
    <t>Adamuharuna367@gmail.com</t>
  </si>
  <si>
    <t>Gurara</t>
  </si>
  <si>
    <t>Adamu Hafsat</t>
  </si>
  <si>
    <t>Adamuhafsat2040@gmail.com</t>
  </si>
  <si>
    <t>Ibrahim abdulkarim sojeko</t>
  </si>
  <si>
    <t>aibrahimsojeko@gmail.com</t>
  </si>
  <si>
    <t>Turaki Abubakar</t>
  </si>
  <si>
    <t>abubakarsbturaki@gmail.com</t>
  </si>
  <si>
    <t>Chanchaga LGA</t>
  </si>
  <si>
    <t>Muhammad Yakubu Abba</t>
  </si>
  <si>
    <t>muhammadyakubu5911@gmail.com</t>
  </si>
  <si>
    <t>Tanko Awal Yakubu</t>
  </si>
  <si>
    <t>ytankokuta@gmail.com</t>
  </si>
  <si>
    <t>Muhammad Anas</t>
  </si>
  <si>
    <t>jazeere50@gmail.com</t>
  </si>
  <si>
    <t>Ismail Muhammad Mubarak</t>
  </si>
  <si>
    <t>ismailmuhammadmubarak501@gmail.com</t>
  </si>
  <si>
    <t>Nathan Jiya</t>
  </si>
  <si>
    <t>nathanjiya2019@gmail.com</t>
  </si>
  <si>
    <t>Shoyoye Ahmed</t>
  </si>
  <si>
    <t>shoyoyeahmed32@gmail.com</t>
  </si>
  <si>
    <t>Obafemi owode</t>
  </si>
  <si>
    <t>Haruna suleiman musa</t>
  </si>
  <si>
    <t>harriesbinsuleiman@gmail.com</t>
  </si>
  <si>
    <t>Alabi Salihu Ibrahim</t>
  </si>
  <si>
    <t>alabiibrahim933@gmail.com</t>
  </si>
  <si>
    <t>Odutola Rahmat Olatide</t>
  </si>
  <si>
    <t>rahmat4jannah@gmail.com</t>
  </si>
  <si>
    <t>Abeukuta south</t>
  </si>
  <si>
    <t>Mohammed Ibrahim</t>
  </si>
  <si>
    <t>mohammednakodi039@gmail.com</t>
  </si>
  <si>
    <t>Yunusa Sani</t>
  </si>
  <si>
    <t>yunusacam007@gmail.com</t>
  </si>
  <si>
    <t>Bashir khalifa Sani</t>
  </si>
  <si>
    <t>sanikhalifabashir@gmail.com</t>
  </si>
  <si>
    <t>FAGGE</t>
  </si>
  <si>
    <t>Adama Mohammed</t>
  </si>
  <si>
    <t>muwo@gmail.com</t>
  </si>
  <si>
    <t>Fatima Abubakar</t>
  </si>
  <si>
    <t>bintu1145@gmail.com</t>
  </si>
  <si>
    <t>Abdullahi Abdullahi Alhaji</t>
  </si>
  <si>
    <t>alhaji3260@gmail.com</t>
  </si>
  <si>
    <t>BABA MUSA MIKHAILU</t>
  </si>
  <si>
    <t>musababamikhailu@gmail.com</t>
  </si>
  <si>
    <t>Tafa</t>
  </si>
  <si>
    <t>Aminu Zakari</t>
  </si>
  <si>
    <t>tuneneni@gmail.com</t>
  </si>
  <si>
    <t>Chanchanga</t>
  </si>
  <si>
    <t>Abdullahi Adamu</t>
  </si>
  <si>
    <t>abdoolladam@gmail.com</t>
  </si>
  <si>
    <t>Adam Khadijat Nakanti</t>
  </si>
  <si>
    <t>khadijatadamnakanti@gmail.com</t>
  </si>
  <si>
    <t>Warshu Abduljalil</t>
  </si>
  <si>
    <t>abduljalilwarshu20@gmail.com</t>
  </si>
  <si>
    <t>Kano municipal</t>
  </si>
  <si>
    <t>Ekanem Ituen</t>
  </si>
  <si>
    <t>Oduntan Moyosore Oluwafemi</t>
  </si>
  <si>
    <t>moyosore.oduntan@gmail.com</t>
  </si>
  <si>
    <t>Abdullahi fatima</t>
  </si>
  <si>
    <t>fatimaabdullahi1094@gmail.com</t>
  </si>
  <si>
    <t>Zainab Abubakar Kuta</t>
  </si>
  <si>
    <t>zaynababdul14@gmail.com</t>
  </si>
  <si>
    <t>elmohammed0004@gmail.com</t>
  </si>
  <si>
    <t>MOKWA</t>
  </si>
  <si>
    <t>Abdullah Nafeesah</t>
  </si>
  <si>
    <t>www.nafeesahabdullahi1993@gmail.com</t>
  </si>
  <si>
    <t>Mohammed Danjuma Yahaya</t>
  </si>
  <si>
    <t>yahayamuhammad591@gmail.com</t>
  </si>
  <si>
    <t>Ismail Abubakar Sadiq</t>
  </si>
  <si>
    <t>abubakarsadiq5212@gmail.com</t>
  </si>
  <si>
    <t>JIBRIL MAHMUD MOHAMMED</t>
  </si>
  <si>
    <t>mahmudjibril092893@gmail.com</t>
  </si>
  <si>
    <t>Abdulhamid isah</t>
  </si>
  <si>
    <t>abdulhamidsah2@gmail.com</t>
  </si>
  <si>
    <t>Mohammed Mohammed Babaman</t>
  </si>
  <si>
    <t>jbmjima2020@gmail.com</t>
  </si>
  <si>
    <t>Ubah Hemen Fustinus</t>
  </si>
  <si>
    <t>ubahfustinus@gmail.com</t>
  </si>
  <si>
    <t>IDRIS</t>
  </si>
  <si>
    <t>abbasidris00@gmail.com</t>
  </si>
  <si>
    <t>AUDU SIMON SHEKWONYA</t>
  </si>
  <si>
    <t>simonaudu35@gmail.com</t>
  </si>
  <si>
    <t>Fahad Mohammed</t>
  </si>
  <si>
    <t>mohammedfahadmokwa@gmail.com</t>
  </si>
  <si>
    <t>emilymaiyaki@gmail.com</t>
  </si>
  <si>
    <t>AISHA ADAMU</t>
  </si>
  <si>
    <t>katcha775@gmail.com</t>
  </si>
  <si>
    <t>Garba Prince David</t>
  </si>
  <si>
    <t>princegarba17082000@gmail.com</t>
  </si>
  <si>
    <t>Abdullahi Bala Mohammed</t>
  </si>
  <si>
    <t>abdullahimuhammadbala01@gmail.com</t>
  </si>
  <si>
    <t>Mohammed Tauheed Baba</t>
  </si>
  <si>
    <t>mbtauheed151521@gmail.com</t>
  </si>
  <si>
    <t>USMAN ABUBAKAR SADIQ</t>
  </si>
  <si>
    <t>usmanabubakarsidiq50@gmail.com</t>
  </si>
  <si>
    <t>Ozalla Israel Onyekachukwu</t>
  </si>
  <si>
    <t>issywealthozalla@gmail.com</t>
  </si>
  <si>
    <t>Ogude Majesty Aziakpono</t>
  </si>
  <si>
    <t>bigmaj2024@gmail.com</t>
  </si>
  <si>
    <t>Ado Odo</t>
  </si>
  <si>
    <t>Hauwa Mohammed</t>
  </si>
  <si>
    <t>hauwamhd02@gmail.com</t>
  </si>
  <si>
    <t>Solomon Esther Oluwarantimi</t>
  </si>
  <si>
    <t>esthersolomon@gmail.com</t>
  </si>
  <si>
    <t>NAJIB ADAMU AUBAKAR</t>
  </si>
  <si>
    <t>cmage011@gmail.com</t>
  </si>
  <si>
    <t>TARAUNI LOCAL GOVT</t>
  </si>
  <si>
    <t>Musa Idris</t>
  </si>
  <si>
    <t>idrismusakuta1092@gmail.com</t>
  </si>
  <si>
    <t>Shiroro local government</t>
  </si>
  <si>
    <t>HASSAN MARYAM</t>
  </si>
  <si>
    <t>maryamsadiq3046@gmail.com</t>
  </si>
  <si>
    <t>Umar mohammed</t>
  </si>
  <si>
    <t>umarmohammed3131@gmail.com</t>
  </si>
  <si>
    <t>Daniel Mathew</t>
  </si>
  <si>
    <t>mattlord09@gmail.com</t>
  </si>
  <si>
    <t>Munya</t>
  </si>
  <si>
    <t>Abubakar Aisha Humaira</t>
  </si>
  <si>
    <t>humairaaabubakar2022@gmail.com</t>
  </si>
  <si>
    <t>DASI OLUBUNMI SARAH</t>
  </si>
  <si>
    <t>olubunnidasi@gmail.com</t>
  </si>
  <si>
    <t>Ado-odo Ota</t>
  </si>
  <si>
    <t>Idris Abubakar</t>
  </si>
  <si>
    <t>Yes</t>
  </si>
  <si>
    <t>idrisabubakar32685315@gmail.com</t>
  </si>
  <si>
    <t>ABDULHAKEEM BADMUS KHALEED</t>
  </si>
  <si>
    <t>khaleedbadmus304@gmail.com</t>
  </si>
  <si>
    <t>CHANCHAGA</t>
  </si>
  <si>
    <t>Mubashir Mohammed madaki</t>
  </si>
  <si>
    <t>madakietsugaie123@gmail.com</t>
  </si>
  <si>
    <t>Yakubu Mohamed</t>
  </si>
  <si>
    <t>yakububabamohammed404@gmail.com</t>
  </si>
  <si>
    <t>Alhassan Fatima</t>
  </si>
  <si>
    <t>alhassanf952@gmail.com</t>
  </si>
  <si>
    <t>AGAIE</t>
  </si>
  <si>
    <t>Yakubu Lazarus</t>
  </si>
  <si>
    <t>mantalazarus1992@gmail.com</t>
  </si>
  <si>
    <t>Tauheed Muhammad Abbas</t>
  </si>
  <si>
    <t>tauheedmuhammadabbas361@gmail.com</t>
  </si>
  <si>
    <t>Ayuba Sarafadeen Adabanija</t>
  </si>
  <si>
    <t>ayubasarafadeen2@gmail.com</t>
  </si>
  <si>
    <t>Usman kasim</t>
  </si>
  <si>
    <t>kasimusman1962@gmail.com</t>
  </si>
  <si>
    <t>Adaji Victor Ojochenemi</t>
  </si>
  <si>
    <t>adajivictor555@gmail.com</t>
  </si>
  <si>
    <t>Chachanga LGA</t>
  </si>
  <si>
    <t>ADELEYE Tosin Iyanuoluwa</t>
  </si>
  <si>
    <t>adeleyekabirat200@gmail.com</t>
  </si>
  <si>
    <t>Rilwanu Sani</t>
  </si>
  <si>
    <t>rilwansaniimam@gmail.com</t>
  </si>
  <si>
    <t>ISHAYA IKO</t>
  </si>
  <si>
    <t>ishayaiko3@gmail.com</t>
  </si>
  <si>
    <t>Junaidu Umar Sheshi</t>
  </si>
  <si>
    <t>junaiduumarsheshi@gmail.com</t>
  </si>
  <si>
    <t>Saidu Khalid</t>
  </si>
  <si>
    <t>saidukhalid461@gmail.com</t>
  </si>
  <si>
    <t>Lucky chima Williams</t>
  </si>
  <si>
    <t>chimalucky590@gmail.com</t>
  </si>
  <si>
    <t>Obi akpor</t>
  </si>
  <si>
    <t>Blessing Julius Adamu</t>
  </si>
  <si>
    <t>blessingjulius36@gmail.com</t>
  </si>
  <si>
    <t>Mustapha Abdulrasheed</t>
  </si>
  <si>
    <t>masfala1997@gmail.com</t>
  </si>
  <si>
    <t>Abubakar Mohammed Ndaman</t>
  </si>
  <si>
    <t>ndaman.abukar@gmail.com</t>
  </si>
  <si>
    <t>Ibrahim baba mohammed</t>
  </si>
  <si>
    <t>ibrahimbmohd1671@gmail.com</t>
  </si>
  <si>
    <t>Patience Julius Adamu</t>
  </si>
  <si>
    <t>patiencepaul393@gmail.com</t>
  </si>
  <si>
    <t>Daniel yaro Bawa</t>
  </si>
  <si>
    <t>yarodestiny@gmail.com</t>
  </si>
  <si>
    <t>Abdullahi Abdulhameed</t>
  </si>
  <si>
    <t>abdullahiabdulhameed59@gmail.com</t>
  </si>
  <si>
    <t>Andrew Ebenezer</t>
  </si>
  <si>
    <t>andyebezy@gmail.com</t>
  </si>
  <si>
    <t>Ahmed Mohammed kudu</t>
  </si>
  <si>
    <t>ahmedmk872@gmail.com</t>
  </si>
  <si>
    <t>Yusuf Usman</t>
  </si>
  <si>
    <t>yuzaseefpati2022@gmail.com</t>
  </si>
  <si>
    <t>Ahmadu Barhama</t>
  </si>
  <si>
    <t>barhamaahmad1@gmail.com</t>
  </si>
  <si>
    <t>AHMED UMAIMA</t>
  </si>
  <si>
    <t>ahmedumaimah738@gmail.com</t>
  </si>
  <si>
    <t>MOHAMMED ABUBAKAR EDOZHIGI</t>
  </si>
  <si>
    <t>abumoh5165@gmail.com</t>
  </si>
  <si>
    <t>GBAKO</t>
  </si>
  <si>
    <t>JIBRIL ABDULHAMID ALHAJI</t>
  </si>
  <si>
    <t>abdulhamidjibrila@gmail.com</t>
  </si>
  <si>
    <t>Bida Local Government</t>
  </si>
  <si>
    <t>Oladokun Kehinde Elizabeth</t>
  </si>
  <si>
    <t>oladokunkehinde64@gmail.com</t>
  </si>
  <si>
    <t>Shagamu</t>
  </si>
  <si>
    <t>Nurudeen Musa Kuta</t>
  </si>
  <si>
    <t>musanurudeenkuta001@gmail.com</t>
  </si>
  <si>
    <t>Alhassan khadijat</t>
  </si>
  <si>
    <t>alhassankhadijatetsu@gmail.com</t>
  </si>
  <si>
    <t>Emmanuel Olukunle</t>
  </si>
  <si>
    <t>emmanuelolukunle57@gmail.com</t>
  </si>
  <si>
    <t>Tafe local government</t>
  </si>
  <si>
    <t>Habib Muhammad</t>
  </si>
  <si>
    <t>habibmuhammad4909@gmail.com</t>
  </si>
  <si>
    <t>Usman Mubarak Adebayo</t>
  </si>
  <si>
    <t>usmanmubarak1998@gmail.com</t>
  </si>
  <si>
    <t>Abeokuta</t>
  </si>
  <si>
    <t>JIYA MUSA</t>
  </si>
  <si>
    <t>musajiya1993@gmail.com</t>
  </si>
  <si>
    <t>Ossai Marian</t>
  </si>
  <si>
    <t>ossaimariann09@gmail.com</t>
  </si>
  <si>
    <t>Kabiru Saratu</t>
  </si>
  <si>
    <t>saratukabiru3150@gmail.com</t>
  </si>
  <si>
    <t>Emizibo, Jeremiah Tomoweinoimuyei</t>
  </si>
  <si>
    <t>jemizibo9191@gmail.com</t>
  </si>
  <si>
    <t>Nsukka</t>
  </si>
  <si>
    <t>Jibril Ibrahim</t>
  </si>
  <si>
    <t>ibrahimjibril723@gmail.com</t>
  </si>
  <si>
    <t>Yahaya Muhammad Alhaji</t>
  </si>
  <si>
    <t>muhammadalhajiyahaya5@gmail.com</t>
  </si>
  <si>
    <t>Abubakar Abdullahi</t>
  </si>
  <si>
    <t>Ababubakar1992@gmail.com</t>
  </si>
  <si>
    <t>Galadima Abubakar</t>
  </si>
  <si>
    <t>abubakarsadeekbangi2@gmail.com</t>
  </si>
  <si>
    <t>Mariga</t>
  </si>
  <si>
    <t>Ahmed Habiba</t>
  </si>
  <si>
    <t>habibaahmad387@gmail.com</t>
  </si>
  <si>
    <t>Shito</t>
  </si>
  <si>
    <t>Aminu Mohammed</t>
  </si>
  <si>
    <t>babzykuta@gmail.com</t>
  </si>
  <si>
    <t>Ibrahim aliyu</t>
  </si>
  <si>
    <t>ibrahimaliyusaiimani1604@gmail.com</t>
  </si>
  <si>
    <t>Adio John Oluwapelumi</t>
  </si>
  <si>
    <t>adiojohn419@gmail.com</t>
  </si>
  <si>
    <t>Odeda local government area</t>
  </si>
  <si>
    <t>Edota Umar Rahmat</t>
  </si>
  <si>
    <t>ramatuumaredota@gmail.com</t>
  </si>
  <si>
    <t>Aura Rebecca</t>
  </si>
  <si>
    <t>beckyebenzy@gmail.com</t>
  </si>
  <si>
    <t>Umeh Gloria</t>
  </si>
  <si>
    <t>gloriaumeh09@gmail.com</t>
  </si>
  <si>
    <t>Jibrin jiya Mohammed</t>
  </si>
  <si>
    <t>jibrinjmohammed0@gmail.com</t>
  </si>
  <si>
    <t>EDATI L G A</t>
  </si>
  <si>
    <t>Adefolaji Oluwatobi David</t>
  </si>
  <si>
    <t>greatme94@gmail.com</t>
  </si>
  <si>
    <t>Odeda LGA</t>
  </si>
  <si>
    <t>Andrew Jeremiah</t>
  </si>
  <si>
    <t>jeremiahandrew@gmail.com</t>
  </si>
  <si>
    <t>Abdullahi Aliyu Rukayya</t>
  </si>
  <si>
    <t>rukayyaaliyu57@gmail.com</t>
  </si>
  <si>
    <t>Ibrahim Mohammed Yusuf</t>
  </si>
  <si>
    <t>ibbaba6061@gmail.com</t>
  </si>
  <si>
    <t>Aliyu Nasiru Goro</t>
  </si>
  <si>
    <t>goronasali@gmail.com</t>
  </si>
  <si>
    <t>Usman Alhassan kpautagi</t>
  </si>
  <si>
    <t>alhassankpautagi1@gmail.com</t>
  </si>
  <si>
    <t>Mokwa Local Government Area</t>
  </si>
  <si>
    <t>Amina umar kinta</t>
  </si>
  <si>
    <t>aminakintah@gmail.com</t>
  </si>
  <si>
    <t>Muhammad Yusuf Abdullahi</t>
  </si>
  <si>
    <t>yusufkinta@gmail.com</t>
  </si>
  <si>
    <t>Monday Adama</t>
  </si>
  <si>
    <t>adamagodson2@gmail.com</t>
  </si>
  <si>
    <t>Abubakar Rukayya nakuta</t>
  </si>
  <si>
    <t>rukayyanakuta@gmail.com</t>
  </si>
  <si>
    <t>Abdulfatai zakari</t>
  </si>
  <si>
    <t>abdulfataizakari8@gmail.com</t>
  </si>
  <si>
    <t>Jiya Samuel Sunday</t>
  </si>
  <si>
    <t>jiyassmuelsunday1998@gmail.com</t>
  </si>
  <si>
    <t>Musa Umar</t>
  </si>
  <si>
    <t>musaumarap01@gmail.com</t>
  </si>
  <si>
    <t>oluwadamilola Samson Owolabi</t>
  </si>
  <si>
    <t>owolabiice@gmail.com</t>
  </si>
  <si>
    <t>bida</t>
  </si>
  <si>
    <t>Ibrahim Hadiza</t>
  </si>
  <si>
    <t>hadeezamitrah002@gmail.com</t>
  </si>
  <si>
    <t>Usman Sadiq</t>
  </si>
  <si>
    <t>usmansadiq4480@gmail.com</t>
  </si>
  <si>
    <t>Boss</t>
  </si>
  <si>
    <t>Salihu Abdullahi</t>
  </si>
  <si>
    <t>gutokutah@gmail.com</t>
  </si>
  <si>
    <t>Idrisu Hamisu Akoyi</t>
  </si>
  <si>
    <t>idrisuhamisuakoyi6@gmail.com</t>
  </si>
  <si>
    <t>Lapai</t>
  </si>
  <si>
    <t>Garba Sule Yahaya</t>
  </si>
  <si>
    <t>garbasuleyahaya@gmail.com</t>
  </si>
  <si>
    <t>Usman Abdullahi Salihu</t>
  </si>
  <si>
    <t>s.ausman@yahoo.com</t>
  </si>
  <si>
    <t>ABDULSALAM SAHEED</t>
  </si>
  <si>
    <t>saheedabduls753@gmail.com</t>
  </si>
  <si>
    <t>Magama</t>
  </si>
  <si>
    <t>Idris Mohammed Yabagi</t>
  </si>
  <si>
    <t>idrisyabagi89@gmail.com</t>
  </si>
  <si>
    <t>Alhassan Isah</t>
  </si>
  <si>
    <t>shapskidboy@gmail.com</t>
  </si>
  <si>
    <t>Rabiu Mohammed goma</t>
  </si>
  <si>
    <t>rabiugomaknt@gmail.com</t>
  </si>
  <si>
    <t>Adamu Salihu</t>
  </si>
  <si>
    <t>adamusalihu447@gmail.con</t>
  </si>
  <si>
    <t>Kolawole Peacewell Jesulayomi</t>
  </si>
  <si>
    <t>peacewellkolawole@gmail.com</t>
  </si>
  <si>
    <t>Adama</t>
  </si>
  <si>
    <t>asalvation12@gmail.com</t>
  </si>
  <si>
    <t>Abdullahi Abdulshakur</t>
  </si>
  <si>
    <t>aabdulshakur2002@gmail.com</t>
  </si>
  <si>
    <t>Hunpevi Miwayise Tobi</t>
  </si>
  <si>
    <t>miwayiseh@gmail.com</t>
  </si>
  <si>
    <t>Ipokia</t>
  </si>
  <si>
    <t>Mahmud Mahmud Kpako</t>
  </si>
  <si>
    <t>mahmudkpako1@gmail.com</t>
  </si>
  <si>
    <t>SHUAIBU HARUNA UBA</t>
  </si>
  <si>
    <t>uballay4u@yahoo.com</t>
  </si>
  <si>
    <t>BIDA</t>
  </si>
  <si>
    <t>Saidu Mubaraq</t>
  </si>
  <si>
    <t>mubaraqsaeed07@gmail.com</t>
  </si>
  <si>
    <t>BELLO ABDULHAMEED WUSHISHI</t>
  </si>
  <si>
    <t>abdulhameedbello01@gmail.com</t>
  </si>
  <si>
    <t>Tanko Alhassan Magaji</t>
  </si>
  <si>
    <t>alhassantmagaji@futminna.edu.ng</t>
  </si>
  <si>
    <t>Ibrahim suwaibah bere</t>
  </si>
  <si>
    <t>ibrahimberesuwaiba@gmail.com</t>
  </si>
  <si>
    <t>Rijau local government</t>
  </si>
  <si>
    <t>ADAM FATIMA SHUAIB</t>
  </si>
  <si>
    <t>fatimaadamshuaib999@gmail.com</t>
  </si>
  <si>
    <t>KUMBOTSO</t>
  </si>
  <si>
    <t>Alhassan Mustapha Sheshi</t>
  </si>
  <si>
    <t>msheshi445@gmail.com</t>
  </si>
  <si>
    <t>Zulkiful mahmud SOKUN</t>
  </si>
  <si>
    <t>zulkifulmahmudsokun@gmail.com</t>
  </si>
  <si>
    <t>Ibrahim Hauwa</t>
  </si>
  <si>
    <t>ibrahimhauwa165@gmail.com</t>
  </si>
  <si>
    <t>Yusuf Ayuba sani</t>
  </si>
  <si>
    <t>ayubasaniyusuf@gmail.com</t>
  </si>
  <si>
    <t>Abubakar benu Adamu</t>
  </si>
  <si>
    <t>abubakarbenuadamu001@gmail.com</t>
  </si>
  <si>
    <t>Doma Sunday Augustine</t>
  </si>
  <si>
    <t>dsunday457@gmail.com</t>
  </si>
  <si>
    <t>Ahmed Abdullahi</t>
  </si>
  <si>
    <t>ahmedkutigi65@gmail.com</t>
  </si>
  <si>
    <t>Lavun local Government</t>
  </si>
  <si>
    <t>Sani Suleiman</t>
  </si>
  <si>
    <t>sanisuleiman47@gmail.com</t>
  </si>
  <si>
    <t>Yahaya Ahmad</t>
  </si>
  <si>
    <t>yaharmard@gmail.com</t>
  </si>
  <si>
    <t>Bashir Yusuf Zainab</t>
  </si>
  <si>
    <t>bzainab8585@gmail.com</t>
  </si>
  <si>
    <t>Sadiq saidu barde</t>
  </si>
  <si>
    <t>sadiqbarde1@gmail.com</t>
  </si>
  <si>
    <t>Andrew Samuel katako</t>
  </si>
  <si>
    <t>samkason70@gmail.com</t>
  </si>
  <si>
    <t>Bosso local government</t>
  </si>
  <si>
    <t>Egbunuekhe Aishat Samuel</t>
  </si>
  <si>
    <t>aishategbunuekhe@gmail.com</t>
  </si>
  <si>
    <t>Idris Ahmad</t>
  </si>
  <si>
    <t>ahmadidris9673@gmail.com</t>
  </si>
  <si>
    <t>Muhammad Halidu Yahaya</t>
  </si>
  <si>
    <t>halidumuhammadyahaya@gmail.com</t>
  </si>
  <si>
    <t>Kasim Aminu</t>
  </si>
  <si>
    <t>kasimaminu37@gmail.com</t>
  </si>
  <si>
    <t>Sani surajo</t>
  </si>
  <si>
    <t>sanisuraj62@gmail.com</t>
  </si>
  <si>
    <t>Dangana Adamu jatau</t>
  </si>
  <si>
    <t>jatauad321@gmail.com</t>
  </si>
  <si>
    <t>Muhammad Jimada suleiman</t>
  </si>
  <si>
    <t>smuhammadjimada@gmail.com</t>
  </si>
  <si>
    <t>MUHAMMED MUHAMMED TANIMU</t>
  </si>
  <si>
    <t>tanimutanimu204@gmail.com</t>
  </si>
  <si>
    <t>LAVUN LOCAL GOVERNMENT</t>
  </si>
  <si>
    <t>Shuaibu Aisha</t>
  </si>
  <si>
    <t>shuaibuaisha691@yahoo.com</t>
  </si>
  <si>
    <t>Ekele Victoria Ojochegbe</t>
  </si>
  <si>
    <t>ekelev07@gmail.com</t>
  </si>
  <si>
    <t>Sagamu</t>
  </si>
  <si>
    <t>Adelaja ajibola Samuel</t>
  </si>
  <si>
    <t>sadelaja81@gmail.com</t>
  </si>
  <si>
    <t>Fadoju Segun Emmanuel</t>
  </si>
  <si>
    <t>fadojue@gmail.com</t>
  </si>
  <si>
    <t>Alhassan hadiza</t>
  </si>
  <si>
    <t>hadizaalhassan1010@gmail.com</t>
  </si>
  <si>
    <t>Aliyu Mohammed</t>
  </si>
  <si>
    <t>mohammedaliyu4193@gmail.com</t>
  </si>
  <si>
    <t>Emmanuel wada paul</t>
  </si>
  <si>
    <t>wadaemmreal@gmail.com</t>
  </si>
  <si>
    <t>Nasiru Mohammed</t>
  </si>
  <si>
    <t>muhammadnasirmuhammad7438@gmail.com</t>
  </si>
  <si>
    <t>Iliyasu Faith</t>
  </si>
  <si>
    <t>faithiliyasu20@gmail.com</t>
  </si>
  <si>
    <t>Nassarawa</t>
  </si>
  <si>
    <t>Adamu Patience</t>
  </si>
  <si>
    <t>Patienceadams575@gmail.com</t>
  </si>
  <si>
    <t>Muhammad imrana</t>
  </si>
  <si>
    <t>deemoneychezer@gmail.com</t>
  </si>
  <si>
    <t>ALHAJI SHESHI</t>
  </si>
  <si>
    <t>sheshimohammed340@gmail.com</t>
  </si>
  <si>
    <t>Lavnu</t>
  </si>
  <si>
    <t>Aliyu Binta</t>
  </si>
  <si>
    <t>aleeuyesmeen003@gmail.com</t>
  </si>
  <si>
    <t>Andrew Tamar Sanasi</t>
  </si>
  <si>
    <t>tamarandrew45@gmail.com</t>
  </si>
  <si>
    <t>Japhet Ayenajeyi Andrew</t>
  </si>
  <si>
    <t>japhetndrw@gmail.com</t>
  </si>
  <si>
    <t>Magaji Abdullahi Abdullahi</t>
  </si>
  <si>
    <t>aamagaji333@gmail.com</t>
  </si>
  <si>
    <t>Beatrice Wusa Gana</t>
  </si>
  <si>
    <t>beatricegana01@gmail.com</t>
  </si>
  <si>
    <t>Sani Isah mohammed</t>
  </si>
  <si>
    <t>isahmohammedsani9@gmail.com</t>
  </si>
  <si>
    <t>Olisa</t>
  </si>
  <si>
    <t>nonso1tony@gmail.com</t>
  </si>
  <si>
    <t>Aliyu Aishatu umar</t>
  </si>
  <si>
    <t>aliyuumaraishatu@gmail.com</t>
  </si>
  <si>
    <t>Jimada Musa Muhammad</t>
  </si>
  <si>
    <t>jimadamusamuhammad@gmail.com</t>
  </si>
  <si>
    <t>Mohammed Aisha Kabir</t>
  </si>
  <si>
    <t>aishakabir1112@gmail.com</t>
  </si>
  <si>
    <t>Shiroro local government area</t>
  </si>
  <si>
    <t>Muhammad Ahmad Shebe</t>
  </si>
  <si>
    <t>ahmadmuhammadshebe0@gmail.com</t>
  </si>
  <si>
    <t>Bernardine Dominic Ekoh</t>
  </si>
  <si>
    <t>bernardineekoh@gmail.com</t>
  </si>
  <si>
    <t>Umoru Josephine Ayomide</t>
  </si>
  <si>
    <t>umorujosephine11@gmail.com</t>
  </si>
  <si>
    <t>Ife Central</t>
  </si>
  <si>
    <t>MUHAMMAD ABDULLAHI ABBAS</t>
  </si>
  <si>
    <t>abdullahiabbas800@gmail.com</t>
  </si>
  <si>
    <t>Effiong Michael, Otto</t>
  </si>
  <si>
    <t>ottomichaele@gmail.com</t>
  </si>
  <si>
    <t>Muhammad Hauwa Keni</t>
  </si>
  <si>
    <t>hauwakeni01@gmail.com</t>
  </si>
  <si>
    <t>Abubakar Muhammad Bappa</t>
  </si>
  <si>
    <t>muhammadmx2@gmail.com</t>
  </si>
  <si>
    <t>Adama Martha</t>
  </si>
  <si>
    <t>adamamartha50@gmail.com</t>
  </si>
  <si>
    <t>NDAGI ABUBAKAR</t>
  </si>
  <si>
    <t>abubakarndagi83733@gmail.com</t>
  </si>
  <si>
    <t>Saidu Zubairu</t>
  </si>
  <si>
    <t>contactzubairu@gmail.com</t>
  </si>
  <si>
    <t>Mustapha Yunusa</t>
  </si>
  <si>
    <t>yunusamustapha273@gmail.com</t>
  </si>
  <si>
    <t>Haruna Abdullahi</t>
  </si>
  <si>
    <t>abdullahiharunaworo@gmail.com</t>
  </si>
  <si>
    <t>Katcha LGA</t>
  </si>
  <si>
    <t>Kegu Oyakemeagbeghan Donald</t>
  </si>
  <si>
    <t>kegudonald1@gmail.com</t>
  </si>
  <si>
    <t>Orji Alexander Elochukwu</t>
  </si>
  <si>
    <t>alexorji9093@gmail.com</t>
  </si>
  <si>
    <t>Rafi</t>
  </si>
  <si>
    <t>ADIELE PRECIOUS</t>
  </si>
  <si>
    <t>preciousadiele1992@gmail.com</t>
  </si>
  <si>
    <t>Uda</t>
  </si>
  <si>
    <t>Adamu shuaibu</t>
  </si>
  <si>
    <t>adamushuaibu724@gmail.com</t>
  </si>
  <si>
    <t>Mashagu</t>
  </si>
  <si>
    <t>Muhammad nasir mustapha</t>
  </si>
  <si>
    <t>nasirbinmustapha163@gmail.com</t>
  </si>
  <si>
    <t>SHEIKH ABDULLAH NURUDEEN</t>
  </si>
  <si>
    <t>nurudeensheikhabdullah@gmail.com</t>
  </si>
  <si>
    <t>Abdullahi Saidu Jibrin</t>
  </si>
  <si>
    <t>jibrinsabdullahi8885@gmail.com</t>
  </si>
  <si>
    <t>Blessing Omoruyi</t>
  </si>
  <si>
    <t>omoruyi.junior226@gmail.com</t>
  </si>
  <si>
    <t>Salihu Muhammad</t>
  </si>
  <si>
    <t>msalihubdgi@gmail.com</t>
  </si>
  <si>
    <t>Aliyu Muhammad Aliyu</t>
  </si>
  <si>
    <t>mraliyumuhammadaliyu49@gmail.com</t>
  </si>
  <si>
    <t>Ishaibu Alphonsus</t>
  </si>
  <si>
    <t>ishaibualphonsus@gmail.com</t>
  </si>
  <si>
    <t>Hussaini iliyasu</t>
  </si>
  <si>
    <t>yarimailyas@gmail.com</t>
  </si>
  <si>
    <t>Sheshi maimuna</t>
  </si>
  <si>
    <t>maimunasheshi@gmail.com</t>
  </si>
  <si>
    <t>Luka Magdaline Adamu</t>
  </si>
  <si>
    <t>mgdlnadamu@gmail.com</t>
  </si>
  <si>
    <t>Mahmud Suleiman</t>
  </si>
  <si>
    <t>suleimanmahmud670@gmail.com</t>
  </si>
  <si>
    <t>YAKUBU PAUL ZAGI</t>
  </si>
  <si>
    <t>paulyak2018@gmail.com</t>
  </si>
  <si>
    <t>Ahmed aziza</t>
  </si>
  <si>
    <t>azeezahahmed5@gmail.com</t>
  </si>
  <si>
    <t>Musa Muhammad Mustapha</t>
  </si>
  <si>
    <t>elmustaphamuhammadknt@gmail.com</t>
  </si>
  <si>
    <t>MOHAMMED ALIYU</t>
  </si>
  <si>
    <t>muhamma1899@gmail.com</t>
  </si>
  <si>
    <t>Amoo ifeoluwa Rachael</t>
  </si>
  <si>
    <t>iferacheal626@gmail.com</t>
  </si>
  <si>
    <t>Muhammad Zainab</t>
  </si>
  <si>
    <t>zainabmuhammad2211@gmail.com</t>
  </si>
  <si>
    <t>Kontagora Niger State</t>
  </si>
  <si>
    <t>Adebiyi Christianah</t>
  </si>
  <si>
    <t>iretiadebiyi@gmail.com</t>
  </si>
  <si>
    <t>Abbas maimuna zubairu</t>
  </si>
  <si>
    <t>abbasmai2052@gmail.com</t>
  </si>
  <si>
    <t>Tanko abdulrazak</t>
  </si>
  <si>
    <t>abdulrazaktanko355@gmail.com</t>
  </si>
  <si>
    <t>Jibrin jamilu</t>
  </si>
  <si>
    <t>jameeljb94@gmail.com</t>
  </si>
  <si>
    <t>Port Harcourt</t>
  </si>
  <si>
    <t>Samuel Innocent</t>
  </si>
  <si>
    <t>innocentsamuel046@gmail.com</t>
  </si>
  <si>
    <t>Abubakar Aisha</t>
  </si>
  <si>
    <t>abubakar1602657@gmail.com</t>
  </si>
  <si>
    <t>Abdullahi Abdul junior</t>
  </si>
  <si>
    <t>abdullahijuniora@gmail.com</t>
  </si>
  <si>
    <t>Timothy Odubayo Ayobami</t>
  </si>
  <si>
    <t>bam2square@gmail.com</t>
  </si>
  <si>
    <t>MUHAMMAD AMINA KENI</t>
  </si>
  <si>
    <t>aminakenicmpt@gmail.com</t>
  </si>
  <si>
    <t>Idris ndaminin</t>
  </si>
  <si>
    <t>abbamininson123@gmail.com</t>
  </si>
  <si>
    <t>ALIYU SALISU</t>
  </si>
  <si>
    <t>salisualiyu2494@gmail.com</t>
  </si>
  <si>
    <t>KONTAGORA</t>
  </si>
  <si>
    <t>Mubarak lawal</t>
  </si>
  <si>
    <t>mlawal313pal@gmail.com</t>
  </si>
  <si>
    <t>Mahmud Aisha Mamman</t>
  </si>
  <si>
    <t>Aishatmamman99@gmail.com</t>
  </si>
  <si>
    <t>Usman John</t>
  </si>
  <si>
    <t>usmanjohn252@gmail.com</t>
  </si>
  <si>
    <t>Mohammed Yahaya</t>
  </si>
  <si>
    <t>www.yahayamohammed458@gmail.com</t>
  </si>
  <si>
    <t>Ndaminin Adamu</t>
  </si>
  <si>
    <t>mininson07@gmail.com</t>
  </si>
  <si>
    <t>ISRAEL FRIDAY</t>
  </si>
  <si>
    <t>frisayisrael@gmail.com</t>
  </si>
  <si>
    <t>Kolawole Oluwakemi</t>
  </si>
  <si>
    <t>kemionola@gmail.com</t>
  </si>
  <si>
    <t>Lawal Mu'azu</t>
  </si>
  <si>
    <t>Lawalmuazuobah@gmail.com</t>
  </si>
  <si>
    <t>Nafisa bala sani</t>
  </si>
  <si>
    <t>No</t>
  </si>
  <si>
    <t>nafteemat88@yahoo.com</t>
  </si>
  <si>
    <t>Mohammed Umar Kassim</t>
  </si>
  <si>
    <t>gomnateebabansaleem@gmail.com</t>
  </si>
  <si>
    <t>Chanchaga local government</t>
  </si>
  <si>
    <t>Mohammed Usman</t>
  </si>
  <si>
    <t>usmandabban09@gmail.com</t>
  </si>
  <si>
    <t>Friday Victor Akpan</t>
  </si>
  <si>
    <t>fridayakpanvictor12@gmail.com</t>
  </si>
  <si>
    <t>Iliyasu Ashiru</t>
  </si>
  <si>
    <t>ashiruiliyasu0021@gmail.com</t>
  </si>
  <si>
    <t>Musa Hamza Ahmed</t>
  </si>
  <si>
    <t>hamzaahmed7617@gmail.com</t>
  </si>
  <si>
    <t>Bulus Isah Jagaba</t>
  </si>
  <si>
    <t>isahbulus520@gmail.com</t>
  </si>
  <si>
    <t>Ahmed Mohamed Usman</t>
  </si>
  <si>
    <t>ahmedmohammedusman63@gmail.com</t>
  </si>
  <si>
    <t>Usman rukayyah yusuf</t>
  </si>
  <si>
    <t>rukayyahusman38@gmail.com</t>
  </si>
  <si>
    <t>Sadiq isah</t>
  </si>
  <si>
    <t>sisah80s@gmail.com</t>
  </si>
  <si>
    <t>Abuhurayrah Abdulkadir</t>
  </si>
  <si>
    <t>abdulqadeerabba07@gmail.com</t>
  </si>
  <si>
    <t>Shiroro LGA</t>
  </si>
  <si>
    <t>Usman Fatima</t>
  </si>
  <si>
    <t>usmanfatima581@gmail.com</t>
  </si>
  <si>
    <t>Oniyide kamaldeen</t>
  </si>
  <si>
    <t>okayenergytech@gmail.com</t>
  </si>
  <si>
    <t>Sadiq Dangana</t>
  </si>
  <si>
    <t>Sadiqdangana0@gmail.com</t>
  </si>
  <si>
    <t>Adamu Yahaya Legbo</t>
  </si>
  <si>
    <t>adamulegboyahaya@gmail.com</t>
  </si>
  <si>
    <t>Abubakar Mohammed</t>
  </si>
  <si>
    <t>abubakarkanko555@gmail.com</t>
  </si>
  <si>
    <t>ISMA'IL LIMAN</t>
  </si>
  <si>
    <t>ismailliman002@gmail.com</t>
  </si>
  <si>
    <t>Hussaini Bello</t>
  </si>
  <si>
    <t>bellohussainimajin63@gmail.com</t>
  </si>
  <si>
    <t>Katcha local government</t>
  </si>
  <si>
    <t>Suleiman Adam</t>
  </si>
  <si>
    <t>adamsuleiman069@gmail.com</t>
  </si>
  <si>
    <t>Awaisu Surajo</t>
  </si>
  <si>
    <t>awaisusurajo2@gmail.com</t>
  </si>
  <si>
    <t>Galadima Annas</t>
  </si>
  <si>
    <t>galadimaannas@gmail.com</t>
  </si>
  <si>
    <t>ABDULWASIU MUH'AWWAL OPEYEMI</t>
  </si>
  <si>
    <t>awwalabdulwaasi@gmail.com</t>
  </si>
  <si>
    <t>odeda</t>
  </si>
  <si>
    <t>Habiba Habibu</t>
  </si>
  <si>
    <t>herbiberty4real@gmail.com</t>
  </si>
  <si>
    <t>Isah habibu</t>
  </si>
  <si>
    <t>habzyisah2020@gmail.com</t>
  </si>
  <si>
    <t>Muhammad Isah</t>
  </si>
  <si>
    <t>isabnmuhammad333@gmail.com</t>
  </si>
  <si>
    <t>Oyeniyi Samuel Kehinde</t>
  </si>
  <si>
    <t>oyeniyisk@gmail.com</t>
  </si>
  <si>
    <t>Ewekoro</t>
  </si>
  <si>
    <t>Ater Zachariah Ternenge</t>
  </si>
  <si>
    <t>zachariahater1960@gmail.com</t>
  </si>
  <si>
    <t>Barde James</t>
  </si>
  <si>
    <t>jamesbarde2023@gmail.com</t>
  </si>
  <si>
    <t>Shiroro local government Area Kuta</t>
  </si>
  <si>
    <t>samueljiya7@gmail.com</t>
  </si>
  <si>
    <t>Muhammad Fatima Tsowa</t>
  </si>
  <si>
    <t>muhammadfatimatsowa@gmail.com</t>
  </si>
  <si>
    <t>Mustapha Fatima Zahrau</t>
  </si>
  <si>
    <t>zahraum718@gmail.com</t>
  </si>
  <si>
    <t>Aminu attahiru Mazakuka</t>
  </si>
  <si>
    <t>attahirualameenmazakuka@gmail.com</t>
  </si>
  <si>
    <t>Mashegu</t>
  </si>
  <si>
    <t>Shehu Salihu</t>
  </si>
  <si>
    <t>realsmg001@gmail.com</t>
  </si>
  <si>
    <t>ANAS ALHAJI YAHAYA</t>
  </si>
  <si>
    <t>alhjiyahayaanas@gmail.com</t>
  </si>
  <si>
    <t>Abdullahi Abdullahi</t>
  </si>
  <si>
    <t>1047abdul@gmail.com</t>
  </si>
  <si>
    <t>Kacha</t>
  </si>
  <si>
    <t>Oryina Wisdom</t>
  </si>
  <si>
    <t>wisdomoryina214@gmail.com</t>
  </si>
  <si>
    <t>Lazarus Zakariya</t>
  </si>
  <si>
    <t>zakariyapangu904@gmail.com</t>
  </si>
  <si>
    <t>Ahmed Sadiq Abubakar</t>
  </si>
  <si>
    <t>abusaq14@gmail.com</t>
  </si>
  <si>
    <t>Abamu Moyfi</t>
  </si>
  <si>
    <t>abamumoyfi@gmail.com</t>
  </si>
  <si>
    <t>Adewuyi Mary oluwatoyin</t>
  </si>
  <si>
    <t>olmary759@gmail.com</t>
  </si>
  <si>
    <t>Ifo</t>
  </si>
  <si>
    <t>Uba Patience Iwange</t>
  </si>
  <si>
    <t>jemmagentz@gmail.com</t>
  </si>
  <si>
    <t>Abubakar Jamila</t>
  </si>
  <si>
    <t>jameeberry@gmail.com</t>
  </si>
  <si>
    <t>Nakure, Mas'ud T.</t>
  </si>
  <si>
    <t>masudmtn@gmail.com</t>
  </si>
  <si>
    <t>Mohammed Fatima Biti</t>
  </si>
  <si>
    <t>mohammedfatimabiti@gmail.com</t>
  </si>
  <si>
    <t>Muhammad</t>
  </si>
  <si>
    <t>muhammadfatimandaminin@gmail.com</t>
  </si>
  <si>
    <t>Adeniyi Taiwo Folashade</t>
  </si>
  <si>
    <t>folashadeadeniyi68@gmail.com</t>
  </si>
  <si>
    <t>Mustapha ibn Muhammad estu</t>
  </si>
  <si>
    <t>mustaphaibnmuhammad5@gmail.com</t>
  </si>
  <si>
    <t>Edit</t>
  </si>
  <si>
    <t>Adamu Fatima</t>
  </si>
  <si>
    <t>adamufatimaadamu@gmail.com</t>
  </si>
  <si>
    <t>ibrahimmohammed5624@gmail.com</t>
  </si>
  <si>
    <t>ALIYU A HASSAN</t>
  </si>
  <si>
    <t>aaliyu911@gmail.com</t>
  </si>
  <si>
    <t>BORGU</t>
  </si>
  <si>
    <t>UMAR SALAMATU</t>
  </si>
  <si>
    <t>SULAIMAN BARAKAT</t>
  </si>
  <si>
    <t>sulaimanbarakat01@gmail.com</t>
  </si>
  <si>
    <t>Jibrin Fatima Lami</t>
  </si>
  <si>
    <t>fatijlami20222@gmail.com</t>
  </si>
  <si>
    <t>Ibrahim ndaman kanko</t>
  </si>
  <si>
    <t>ibrahimbabangidakanko2@gmail.com</t>
  </si>
  <si>
    <t>Isah garba</t>
  </si>
  <si>
    <t>garbaisah9865@gmail.com</t>
  </si>
  <si>
    <t>Ogunsola Ibrahim Kolawole</t>
  </si>
  <si>
    <t>akolawolei2803@gmail.com</t>
  </si>
  <si>
    <t>LADAN MAHMUD ISYAKU</t>
  </si>
  <si>
    <t>mahmudisyakuladan@gmail.com</t>
  </si>
  <si>
    <t>Amina yakubu</t>
  </si>
  <si>
    <t>aminayakubu432@gmail.com</t>
  </si>
  <si>
    <t>Aliyu isah</t>
  </si>
  <si>
    <t>aliyuisah940@gmail.com</t>
  </si>
  <si>
    <t>Ahmad Maryam</t>
  </si>
  <si>
    <t>ahmerdmeryeerm@gmail.com</t>
  </si>
  <si>
    <t>Ajayi Titilope Beatrice</t>
  </si>
  <si>
    <t>titilopebeatrice12@gmail.com</t>
  </si>
  <si>
    <t>Ife central</t>
  </si>
  <si>
    <t>Sokomba Ndana Moses</t>
  </si>
  <si>
    <t>m.sokombandana1506@gmail.com</t>
  </si>
  <si>
    <t>Rufai Abdulbaki Ademola</t>
  </si>
  <si>
    <t>rufaiabdulbaki1@gmail.com</t>
  </si>
  <si>
    <t>Yewa North Local Government</t>
  </si>
  <si>
    <t>Bala Anthony</t>
  </si>
  <si>
    <t>balaaseh50@gmail.com</t>
  </si>
  <si>
    <t>Alhassan sadiya</t>
  </si>
  <si>
    <t>saidyaalhassan35@gmail.com</t>
  </si>
  <si>
    <t>Adeyemi Oluwatobiloba</t>
  </si>
  <si>
    <t>adeyemioluwatobiloba1@gmail.com</t>
  </si>
  <si>
    <t>Ado doo/ota</t>
  </si>
  <si>
    <t>MUHAMMAD HAUWA SANI</t>
  </si>
  <si>
    <t>hauwamsani6007@gmail.com</t>
  </si>
  <si>
    <t>Jibril Aisha</t>
  </si>
  <si>
    <t>jibrilaisha92@gmail.com</t>
  </si>
  <si>
    <t>Bito Samuel Teryima</t>
  </si>
  <si>
    <t>sam4bito@gmail.com</t>
  </si>
  <si>
    <t>Muhammad Maryam Bokani</t>
  </si>
  <si>
    <t>mohammedbokani01@gmail.com</t>
  </si>
  <si>
    <t>Chanchaca</t>
  </si>
  <si>
    <t>Iliyasu Ayawa Habiba</t>
  </si>
  <si>
    <t>aneesaluv@gmail.com</t>
  </si>
  <si>
    <t>Ahmad Hassan</t>
  </si>
  <si>
    <t>hassanahmad0042@gmail.com</t>
  </si>
  <si>
    <t>Chanchga (LGA</t>
  </si>
  <si>
    <t>Barde Sadiq</t>
  </si>
  <si>
    <t>bardesadiq77@gmail.com</t>
  </si>
  <si>
    <t>Munya local government Niger state</t>
  </si>
  <si>
    <t>Jimba Mary</t>
  </si>
  <si>
    <t>maryjimba2575@gmail.com</t>
  </si>
  <si>
    <t>Ayawa Iliyasu Aisha</t>
  </si>
  <si>
    <t>aishaayawa4@gmail.com</t>
  </si>
  <si>
    <t>Ndako babajiya Amina</t>
  </si>
  <si>
    <t>ndakoaminababajiya@gmail.com</t>
  </si>
  <si>
    <t>Lavun local government</t>
  </si>
  <si>
    <t>Andrew Nelson</t>
  </si>
  <si>
    <t>kel77125@gmail.com</t>
  </si>
  <si>
    <t>Ibrahim zainab yerima</t>
  </si>
  <si>
    <t>zainabibrahimyarima3@gmail.com</t>
  </si>
  <si>
    <t>Hamza Hassan</t>
  </si>
  <si>
    <t>hamzahassand21@gmail.com</t>
  </si>
  <si>
    <t>dahiru audu</t>
  </si>
  <si>
    <t>dahiruaudu989@gmail.com</t>
  </si>
  <si>
    <t>Aliyu Abdulkadir Dan'asabe</t>
  </si>
  <si>
    <t>abdulkadiraliyu981@gmail.com</t>
  </si>
  <si>
    <t>Shittu Nurat Ajoke</t>
  </si>
  <si>
    <t>shittunurat03@gmail.com</t>
  </si>
  <si>
    <t>Sulaiman Baita Salisu</t>
  </si>
  <si>
    <t>baitasulaiman412@gmail.com</t>
  </si>
  <si>
    <t>Umar Usman</t>
  </si>
  <si>
    <t>umarusman3422@gmail.com</t>
  </si>
  <si>
    <t>Indigenous resident</t>
  </si>
  <si>
    <t>Abdulrahman Usman Fatika</t>
  </si>
  <si>
    <t>usmanfatika6@gmail.com</t>
  </si>
  <si>
    <t>ABDULSALAM</t>
  </si>
  <si>
    <t>Abspecial2013@gmail.com</t>
  </si>
  <si>
    <t>Omale Philip Ojochogwu</t>
  </si>
  <si>
    <t>omalephilip5@gmail.com</t>
  </si>
  <si>
    <t>Indigenous resident, Migrant (moved from another part of Nigeria)</t>
  </si>
  <si>
    <t>Fatima kasim umar</t>
  </si>
  <si>
    <t>fateemaumar996@gmail.com</t>
  </si>
  <si>
    <t>Musa Awal Muhammad</t>
  </si>
  <si>
    <t>musaawal1972@gmail.com</t>
  </si>
  <si>
    <t>Abubakar Mariam adamu</t>
  </si>
  <si>
    <t>abubakarmariamadamu@gmail.com</t>
  </si>
  <si>
    <t>Daramola Oluwatosin Hannah</t>
  </si>
  <si>
    <t>oluwatosindaramola2@gmail.com</t>
  </si>
  <si>
    <t>South west kajola</t>
  </si>
  <si>
    <t>Abubakar Usman</t>
  </si>
  <si>
    <t>usmanabubakar517@gmail.com</t>
  </si>
  <si>
    <t>Mustapha Adejoke</t>
  </si>
  <si>
    <t>mustaphaadejoke023@gmail.com</t>
  </si>
  <si>
    <t>Ado-Odo Local government</t>
  </si>
  <si>
    <t>bahago</t>
  </si>
  <si>
    <t>wisdomart40@gmail.com</t>
  </si>
  <si>
    <t>tafa</t>
  </si>
  <si>
    <t>Abdulrasak Abdulmalik Olanrewaju</t>
  </si>
  <si>
    <t>theabdulmalikk@gmail.com</t>
  </si>
  <si>
    <t>Ilorin west</t>
  </si>
  <si>
    <t>Yabagi maimunat</t>
  </si>
  <si>
    <t>Maimunat5023@gimail.com</t>
  </si>
  <si>
    <t>Ahmed Hassana</t>
  </si>
  <si>
    <t>ahassana094@gmail.com</t>
  </si>
  <si>
    <t>FATI ABUBAKAR AGAIE</t>
  </si>
  <si>
    <t>fatiagaie58@gmail.com</t>
  </si>
  <si>
    <t>Suleiman Haruna Kpautagi</t>
  </si>
  <si>
    <t>kpautagi7@gmail.com</t>
  </si>
  <si>
    <t>Idris faridat</t>
  </si>
  <si>
    <t>faridati059@gmail.com</t>
  </si>
  <si>
    <t>Ahmed hussaina</t>
  </si>
  <si>
    <t>ahmedhussaina.094@gmail.com</t>
  </si>
  <si>
    <t>IWU COLLINS</t>
  </si>
  <si>
    <t>iwucollinshenry@gmail.com</t>
  </si>
  <si>
    <t>MINNA</t>
  </si>
  <si>
    <t>Abdullahi Fana maryam</t>
  </si>
  <si>
    <t>mareemufana5567@gmail.con</t>
  </si>
  <si>
    <t>Gana Nathaniel</t>
  </si>
  <si>
    <t>gananathanielduwa@gmail.com</t>
  </si>
  <si>
    <t>Mohammed memunat</t>
  </si>
  <si>
    <t>memunatmohammed497@gmail.com</t>
  </si>
  <si>
    <t>Chachanga</t>
  </si>
  <si>
    <t>Abdullahi mohammed salihu</t>
  </si>
  <si>
    <t>amsalihu50@gmail.com</t>
  </si>
  <si>
    <t>Muhammad Saba Amina</t>
  </si>
  <si>
    <t>aminasb27@gmail.com</t>
  </si>
  <si>
    <t>Adamu Musa</t>
  </si>
  <si>
    <t>elmuskid@gmail.com</t>
  </si>
  <si>
    <t>Ndagi Aliyu</t>
  </si>
  <si>
    <t>aliyundagi@gmail.com</t>
  </si>
  <si>
    <t>IBRAHIM MOHAMMED</t>
  </si>
  <si>
    <t>ibrahimm20192019@gmail.com</t>
  </si>
  <si>
    <t>Musa Usman</t>
  </si>
  <si>
    <t>musausmanbida@gmail.com</t>
  </si>
  <si>
    <t>IBRAHIM YAHAYA USMAN</t>
  </si>
  <si>
    <t>wait4usmanibrahim50@gmail.com</t>
  </si>
  <si>
    <t>Usman Saheed</t>
  </si>
  <si>
    <t>usmankid001@gmail.com</t>
  </si>
  <si>
    <t>Olatedun Oluwabusayo Janet</t>
  </si>
  <si>
    <t>olatedunoluwabusayo@gmail.com</t>
  </si>
  <si>
    <t>Migrant (moved from another part of Nigeria)</t>
  </si>
  <si>
    <t>zakariaminu001@gmail.com</t>
  </si>
  <si>
    <t>Abdullahi Yahaya</t>
  </si>
  <si>
    <t>yahayaamin007@gmail.com</t>
  </si>
  <si>
    <t>Khadijat Hussaini</t>
  </si>
  <si>
    <t>khussaini004@gmail.com</t>
  </si>
  <si>
    <t>3/6/0200</t>
  </si>
  <si>
    <t>Mustapha Hamzat</t>
  </si>
  <si>
    <t>mutaphahamzat2022@gmail.com</t>
  </si>
  <si>
    <t>Yahaya Yahaya Alhaji</t>
  </si>
  <si>
    <t>yahayaajeey1081@gmail.com</t>
  </si>
  <si>
    <t>Abbason Robbinson</t>
  </si>
  <si>
    <t>robbinsonabbason@gmail.com</t>
  </si>
  <si>
    <t>MUHAMMAD MADAKI ABUBAKAR</t>
  </si>
  <si>
    <t>ammadaki6@gmail.com</t>
  </si>
  <si>
    <t>AISHATU ALIYU DATI</t>
  </si>
  <si>
    <t>aishatualiyudati@gmail.com</t>
  </si>
  <si>
    <t>FATIMA SULEIMAN</t>
  </si>
  <si>
    <t>fatimasuleiman619@gmail.com</t>
  </si>
  <si>
    <t>WUSHISHI</t>
  </si>
  <si>
    <t>Nurudeen usman maku</t>
  </si>
  <si>
    <t>Makuson500@gmail.com</t>
  </si>
  <si>
    <t>Bolaji Joel</t>
  </si>
  <si>
    <t>joelbolaji35@gmail.com</t>
  </si>
  <si>
    <t>Saliha Buhari Abdullahi</t>
  </si>
  <si>
    <t>salaleebuhari11@gmail.com</t>
  </si>
  <si>
    <t>Baba Fatima Ummi</t>
  </si>
  <si>
    <t>babafatima999@gmail.com</t>
  </si>
  <si>
    <t>Aliyu, Muhammad Bello</t>
  </si>
  <si>
    <t>belloaliyu360@gmail.com</t>
  </si>
  <si>
    <t>Abubakar zainab</t>
  </si>
  <si>
    <t>zeemakinta@gmail.com</t>
  </si>
  <si>
    <t>Rayyanu Hadiza isah</t>
  </si>
  <si>
    <t>rayyanuhadizaisah@gmail.com</t>
  </si>
  <si>
    <t>Abubakar Abubakar Kpautagi</t>
  </si>
  <si>
    <t>abubakarkpautagiabubakar@gmail.com</t>
  </si>
  <si>
    <t>Fatima Alhassan Idris</t>
  </si>
  <si>
    <t>fatimaalhassanidrisu96@gmail.com</t>
  </si>
  <si>
    <t>Isah Umar Alhaji</t>
  </si>
  <si>
    <t>Uisah077@gmail.com</t>
  </si>
  <si>
    <t>Abubakar</t>
  </si>
  <si>
    <t>sadeeq2099@gmail.com</t>
  </si>
  <si>
    <t>Oyawale Ruth</t>
  </si>
  <si>
    <t>oyawaledamilola14@gmail.com</t>
  </si>
  <si>
    <t>Returnee</t>
  </si>
  <si>
    <t>Ayilara Aishah</t>
  </si>
  <si>
    <t>aishahayilara19@gmail.com</t>
  </si>
  <si>
    <t>Joseph Sarah pyata</t>
  </si>
  <si>
    <t>sarahluka760@gmail.com</t>
  </si>
  <si>
    <t>Idris Muhammad awwal</t>
  </si>
  <si>
    <t>moawal06@gmail.com</t>
  </si>
  <si>
    <t>Mokwa local government area</t>
  </si>
  <si>
    <t>Adeosun Morufat</t>
  </si>
  <si>
    <t>adeosunmorufat48@gmail.com</t>
  </si>
  <si>
    <t>Akinlade Oluwadara Janet</t>
  </si>
  <si>
    <t>akinladeoluwadara1@gmail.com</t>
  </si>
  <si>
    <t>Aiyetoro Local Government</t>
  </si>
  <si>
    <t>Garba Mohammed Sani</t>
  </si>
  <si>
    <t>mohammedgarba077@gmail.com</t>
  </si>
  <si>
    <t>Bagudu Abdul-Rahman Alhaji</t>
  </si>
  <si>
    <t>nmaabdulrahmanbagudu@gmail.com</t>
  </si>
  <si>
    <t>Musa</t>
  </si>
  <si>
    <t>musam4259@gmail.com</t>
  </si>
  <si>
    <t>Isha alhaji Mohammed</t>
  </si>
  <si>
    <t>ishaalhajimohammedetsugaie@gmail.com</t>
  </si>
  <si>
    <t>Speech impairment</t>
  </si>
  <si>
    <t>Tauheed Muhammad Muhammad</t>
  </si>
  <si>
    <t>Tauheed4342@gmail.com</t>
  </si>
  <si>
    <t>Jagaba Christiana</t>
  </si>
  <si>
    <t>christianajagaba@gmail.com</t>
  </si>
  <si>
    <t>Muyan</t>
  </si>
  <si>
    <t>Hafsat Umar kusherki</t>
  </si>
  <si>
    <t>softmomy@gmail.com</t>
  </si>
  <si>
    <t>Luka Musa Daudu</t>
  </si>
  <si>
    <t>musaluka879@gmail.com</t>
  </si>
  <si>
    <t>Adewoye Tolulope David</t>
  </si>
  <si>
    <t>Adewoyetolulope2000@gmail.com</t>
  </si>
  <si>
    <t>Yewa north</t>
  </si>
  <si>
    <t>WASA SHEKWONYA JEMIMAH</t>
  </si>
  <si>
    <t>jemimah.wasa@gmail.com</t>
  </si>
  <si>
    <t>Zubaina adamu nasko</t>
  </si>
  <si>
    <t>zubainaadamu71@gmail.com</t>
  </si>
  <si>
    <t>Magama local government</t>
  </si>
  <si>
    <t>LAWAL ZAHARA'U AMINU</t>
  </si>
  <si>
    <t>zaharaulaw4@gmail.com</t>
  </si>
  <si>
    <t>Hauwa Alhaji Yahaya</t>
  </si>
  <si>
    <t>yahayahauwa008@gmail.com</t>
  </si>
  <si>
    <t>ODO JOEL IFECHIDERE</t>
  </si>
  <si>
    <t>joelifechidere@gmail.com</t>
  </si>
  <si>
    <t>Hauwa usman</t>
  </si>
  <si>
    <t>Hauwau838@gmail.com</t>
  </si>
  <si>
    <t>Mohammed Bello Kudu</t>
  </si>
  <si>
    <t>mkudu90@gmail.com</t>
  </si>
  <si>
    <t>Elewude Taiwo samuel</t>
  </si>
  <si>
    <t>loluola17@gmail.com</t>
  </si>
  <si>
    <t>Ado odo ota</t>
  </si>
  <si>
    <t>Bwannaka Nathaniel Suleiman</t>
  </si>
  <si>
    <t>bwannakasuleiman59@gmail.com</t>
  </si>
  <si>
    <t>Dawakin kudu</t>
  </si>
  <si>
    <t>Apphia Absolom Lamalas</t>
  </si>
  <si>
    <t>lamalasapphia@gmail.com</t>
  </si>
  <si>
    <t>Kumboso</t>
  </si>
  <si>
    <t>Abdullahi Yunusa</t>
  </si>
  <si>
    <t>yunusaabdullahi3050@gmail.com</t>
  </si>
  <si>
    <t>Daniyan Hamza Umar</t>
  </si>
  <si>
    <t>daniyanhamza@gmail.com</t>
  </si>
  <si>
    <t>Edogifu Area Bida</t>
  </si>
  <si>
    <t>Okunola</t>
  </si>
  <si>
    <t>okunolamoses1999@gmail.com</t>
  </si>
  <si>
    <t>Ewekoro L G</t>
  </si>
  <si>
    <t>Ahmad Adamu</t>
  </si>
  <si>
    <t>ahmedbashmaito@gmail.com</t>
  </si>
  <si>
    <t>Wishishi</t>
  </si>
  <si>
    <t>Indigenous resident,</t>
  </si>
  <si>
    <t>Audu David</t>
  </si>
  <si>
    <t>davidaudukoro@gmail.com</t>
  </si>
  <si>
    <t>Ramat Umar</t>
  </si>
  <si>
    <t>ramatumar3344@gmail.com</t>
  </si>
  <si>
    <t>MUSA SHAFAATU</t>
  </si>
  <si>
    <t>musashafaatu34@gmail.com</t>
  </si>
  <si>
    <t>ADAMU ADAMU BENU</t>
  </si>
  <si>
    <t>adamubenu1@gmail.com</t>
  </si>
  <si>
    <t>Dauda Ayuba David</t>
  </si>
  <si>
    <t>ayubadavid127@gmail.com</t>
  </si>
  <si>
    <t>Kehinde Boluwatife Esther</t>
  </si>
  <si>
    <t>boluwatifekehinde004@gmail.com</t>
  </si>
  <si>
    <t>Erunwon</t>
  </si>
  <si>
    <t>Just moved from Lagos for greener pasture in Ogun</t>
  </si>
  <si>
    <t>ADAMU USMAN GBAN GBAN</t>
  </si>
  <si>
    <t>adamu4usman188@gmail.com</t>
  </si>
  <si>
    <t>Attu Joseph Audu</t>
  </si>
  <si>
    <t>attujoseph123@gmail.com</t>
  </si>
  <si>
    <t>Obio/akpor</t>
  </si>
  <si>
    <t>Babadoko Usman Aliyu</t>
  </si>
  <si>
    <t>usmiee67@gmail.com</t>
  </si>
  <si>
    <t>Oyelowo Kehinde Deborah</t>
  </si>
  <si>
    <t>oyelowokehinde012@gmail.com</t>
  </si>
  <si>
    <t>Jagaba Aminu Sheayinsuza</t>
  </si>
  <si>
    <t>jagabaaminu@gmail.com</t>
  </si>
  <si>
    <t>Abduljabbar Abdulsamad</t>
  </si>
  <si>
    <t>abdulsamadabduljabbar9@gmail.com</t>
  </si>
  <si>
    <t>Abduljabbar abdulmateen</t>
  </si>
  <si>
    <t>jabbarmateen@gmail.com</t>
  </si>
  <si>
    <t>Alhassan Bilkisu</t>
  </si>
  <si>
    <t>alhassanchassis58@gmail.com</t>
  </si>
  <si>
    <t>Hafsat mustapha</t>
  </si>
  <si>
    <t>mustaphahafsat826@gmail.com</t>
  </si>
  <si>
    <t>Ogunlusi Sunday Jeremiah</t>
  </si>
  <si>
    <t>ogunlusisunday35@gmail.com</t>
  </si>
  <si>
    <t>Taiwo Richard Omoteleola</t>
  </si>
  <si>
    <t>richardtaiwo52@gmail.com</t>
  </si>
  <si>
    <t>Odogbolu</t>
  </si>
  <si>
    <t>Olaseni Christiana Anuoluwapo</t>
  </si>
  <si>
    <t>olasenichristiana@gmail.com</t>
  </si>
  <si>
    <t>Jimoh Zainab Omobolanle</t>
  </si>
  <si>
    <t>zainabjimoh845@gmail.com</t>
  </si>
  <si>
    <t>kontagora</t>
  </si>
  <si>
    <t>Simon Sunday Ugwu</t>
  </si>
  <si>
    <t>simonsunday9090@gmail.com</t>
  </si>
  <si>
    <t>Emezie Chukwudi Charles</t>
  </si>
  <si>
    <t>emeziechukwudi73@gmail.com</t>
  </si>
  <si>
    <t>AHMED KALTUME BELLO</t>
  </si>
  <si>
    <t>ahmadbkaltume@gmail.com</t>
  </si>
  <si>
    <t>Oneshioagbe MaryJane</t>
  </si>
  <si>
    <t>maryjane@gic.com.ng</t>
  </si>
  <si>
    <t>Rabiu Yakubu</t>
  </si>
  <si>
    <t>rabiuyakubu864@gmail.com</t>
  </si>
  <si>
    <t>Muya</t>
  </si>
  <si>
    <t>Mohammed Zakari</t>
  </si>
  <si>
    <t>tsafa2021@gmail.com</t>
  </si>
  <si>
    <t>Aliyu Suleiman Chimbi</t>
  </si>
  <si>
    <t>aliyuhaidarsule@gmail.com</t>
  </si>
  <si>
    <t>Mohammed Rabiat</t>
  </si>
  <si>
    <t>rabiatmohammed093@gmail.com</t>
  </si>
  <si>
    <t>Mabini Abdulhamid Temitope</t>
  </si>
  <si>
    <t>abdulhamidmabini@gmail.com</t>
  </si>
  <si>
    <t>OMALE VINCENT IDOKO</t>
  </si>
  <si>
    <t>omalevincent05@gmail.com</t>
  </si>
  <si>
    <t>Adesanya Aishat Opemipo</t>
  </si>
  <si>
    <t>adesanyaaishat53@gmail.com</t>
  </si>
  <si>
    <t>Ogunsanya Deborah Jesutofunmi</t>
  </si>
  <si>
    <t>deborahogunsanya670@gmail.com</t>
  </si>
  <si>
    <t>TYOOR AONDOWASE THEOPHILUS</t>
  </si>
  <si>
    <t>theophilustyoor@gmail.com</t>
  </si>
  <si>
    <t>BOSSO LGA</t>
  </si>
  <si>
    <t>Maryam Abubakar</t>
  </si>
  <si>
    <t>maryam36abubakar@gmail.com</t>
  </si>
  <si>
    <t>Ayoade Abdulfattah</t>
  </si>
  <si>
    <t>ayoadefattah16@gmail.com</t>
  </si>
  <si>
    <t>Ado odo ota lga</t>
  </si>
  <si>
    <t>Muhammed uthman Danjuma</t>
  </si>
  <si>
    <t>muthman46@gmail.com</t>
  </si>
  <si>
    <t>Dambatta</t>
  </si>
  <si>
    <t>Mohammed aliyu</t>
  </si>
  <si>
    <t>lafiagi8@gmail.com</t>
  </si>
  <si>
    <t>SANI MUHAMMED FALALU</t>
  </si>
  <si>
    <t>msanifalalu@gmail.com</t>
  </si>
  <si>
    <t>Dawakin Tofa</t>
  </si>
  <si>
    <t>Ashiyanbi</t>
  </si>
  <si>
    <t>ashiyanbijide@gmail.com</t>
  </si>
  <si>
    <t>Offa</t>
  </si>
  <si>
    <t>Zainab Muhammad</t>
  </si>
  <si>
    <t>zainabzee3571@gmail.com</t>
  </si>
  <si>
    <t>Mokwa local government</t>
  </si>
  <si>
    <t>Soliu Asmau Olayinka</t>
  </si>
  <si>
    <t>asmauolayinka2020@gmail.com</t>
  </si>
  <si>
    <t>Suwaiba Buhari Ibeto</t>
  </si>
  <si>
    <t>suwaibabuhari96@gmail.com</t>
  </si>
  <si>
    <t>Fatima yusuf nma</t>
  </si>
  <si>
    <t>yusuf1993fatima@gmail.com</t>
  </si>
  <si>
    <t>Alalade Oladeji Kehinde</t>
  </si>
  <si>
    <t>alaladeoladeji4@gmail.com</t>
  </si>
  <si>
    <t>Kabiru Muhammed</t>
  </si>
  <si>
    <t>kbsoja250@gmail.com</t>
  </si>
  <si>
    <t>Hunja Titobioluwa Daniel</t>
  </si>
  <si>
    <t>hunjadnl@gmail.com</t>
  </si>
  <si>
    <t>Kang Favour</t>
  </si>
  <si>
    <t>favourkang004@gmail.com</t>
  </si>
  <si>
    <t>Nasarawa LGA</t>
  </si>
  <si>
    <t>Musa Yahaya</t>
  </si>
  <si>
    <t>musasarki2021@gmail.com</t>
  </si>
  <si>
    <t>Kunchi</t>
  </si>
  <si>
    <t>Abubakar Mohammed Zayyan</t>
  </si>
  <si>
    <t>abubakarmohammedzayyan@gmail.com</t>
  </si>
  <si>
    <t>Afolayan Zainab Atunke</t>
  </si>
  <si>
    <t>afolayanzainab0304@gmail.com</t>
  </si>
  <si>
    <t>Duga Jacob Blessing</t>
  </si>
  <si>
    <t>jacobblessing61@gmail.com</t>
  </si>
  <si>
    <t>Ugogo</t>
  </si>
  <si>
    <t>JIMOH MUHAMMAD AWWAL</t>
  </si>
  <si>
    <t>awwal1527@gmail.com</t>
  </si>
  <si>
    <t>Adams Emmanuel Wunchiko</t>
  </si>
  <si>
    <t>imanueladams@gmail.com</t>
  </si>
  <si>
    <t>Bosso LGA</t>
  </si>
  <si>
    <t>Bello Nafisat</t>
  </si>
  <si>
    <t>nafisatb37@gmail.com</t>
  </si>
  <si>
    <t>IDOKO MARY ENECHOJO</t>
  </si>
  <si>
    <t>maryidoko93@gmail.com</t>
  </si>
  <si>
    <t>Sabon</t>
  </si>
  <si>
    <t>IDRIS ABDULQUDUS</t>
  </si>
  <si>
    <t>idrisoyinlola92@gmail.com</t>
  </si>
  <si>
    <t>Otusanya Moyosola</t>
  </si>
  <si>
    <t>josephmoyosola@gmail.com</t>
  </si>
  <si>
    <t>obafemi owode</t>
  </si>
  <si>
    <t>Jimoh Ridwanullahi Tosho</t>
  </si>
  <si>
    <t>majimoh40@gmail.com</t>
  </si>
  <si>
    <t>Tudu Wada</t>
  </si>
  <si>
    <t>John Mercy</t>
  </si>
  <si>
    <t>mehcie2003@gmail.com</t>
  </si>
  <si>
    <t>Kumboso local government</t>
  </si>
  <si>
    <t>Nafisa Abdulllahi</t>
  </si>
  <si>
    <t>abdullahinafeesat24@gmail.com</t>
  </si>
  <si>
    <t>Oseni Barakat Ebunoluwa</t>
  </si>
  <si>
    <t>barakatebunoluwa390@gmail.com</t>
  </si>
  <si>
    <t>John Blessing Olufemi</t>
  </si>
  <si>
    <t>johnblessing010198@gmail.com</t>
  </si>
  <si>
    <t>Umar Suleiman Mujaheed</t>
  </si>
  <si>
    <t>umarmujaheeds@gmail.com</t>
  </si>
  <si>
    <t>Mubarak lawal kurman bago</t>
  </si>
  <si>
    <t>mubaraklawalmxa@gmail.com</t>
  </si>
  <si>
    <t>Hearing impairment</t>
  </si>
  <si>
    <t>Jibrin Salamatu</t>
  </si>
  <si>
    <t>msirajabufadimah@gmail.com</t>
  </si>
  <si>
    <t>Musa Aisha Nana</t>
  </si>
  <si>
    <t>aishamusa404040@gmail.com</t>
  </si>
  <si>
    <t>Physical disability (mobility, limb impairment)</t>
  </si>
  <si>
    <t>Silas Shiayet Yahuda</t>
  </si>
  <si>
    <t>raquelshiayet@gmail.com</t>
  </si>
  <si>
    <t>Ogunade oluwatosin oluwayemi</t>
  </si>
  <si>
    <t>ogunadeoluwatosin999@gmail.com</t>
  </si>
  <si>
    <t>Bissallah Miracle Matthew</t>
  </si>
  <si>
    <t>miraclesamuel50@gmail.com</t>
  </si>
  <si>
    <t>Oketoyinbo Ridwan</t>
  </si>
  <si>
    <t>oketoyinboridwan@gmail.com</t>
  </si>
  <si>
    <t>OYEDEJI PETER ADEWALE</t>
  </si>
  <si>
    <t>oyedejiadewalepeter24@gmail.com</t>
  </si>
  <si>
    <t>Okine Princess Maryann</t>
  </si>
  <si>
    <t>okineprincessmaryann@gmail.com</t>
  </si>
  <si>
    <t>Ikeh Benita Alobo</t>
  </si>
  <si>
    <t>benitaikeh4@gmail.com</t>
  </si>
  <si>
    <t>Bello Murjanatu Ahmed</t>
  </si>
  <si>
    <t>murjanatu1990@gmail.com</t>
  </si>
  <si>
    <t>Ahmed umar</t>
  </si>
  <si>
    <t>ahmedumar229@gmail.com</t>
  </si>
  <si>
    <t>OMAGA MOSES</t>
  </si>
  <si>
    <t>omagamoses@gmail.com</t>
  </si>
  <si>
    <t>Born and bred resident</t>
  </si>
  <si>
    <t>Salihu Suleiman Suleiman</t>
  </si>
  <si>
    <t>salihusuleiman911@gmail.com</t>
  </si>
  <si>
    <t>Hassan Muhammad Tanimu</t>
  </si>
  <si>
    <t>nimu7477@gmail.com</t>
  </si>
  <si>
    <t>Ajoku Oluchukwu Judith</t>
  </si>
  <si>
    <t>judithajoku1@gmail.com</t>
  </si>
  <si>
    <t>Settler</t>
  </si>
  <si>
    <t>Attama</t>
  </si>
  <si>
    <t>Jonasanezichukwuife@gmail.com</t>
  </si>
  <si>
    <t>Musa Mohammed</t>
  </si>
  <si>
    <t>musamohammed0032@gmail.com</t>
  </si>
  <si>
    <t>Yahaya Hauwa</t>
  </si>
  <si>
    <t>uniquebarbeey2020@gmail.com</t>
  </si>
  <si>
    <t>Kunchi Local Government Area</t>
  </si>
  <si>
    <t>Fadoju Temitope Justina</t>
  </si>
  <si>
    <t>tinainyang78@gmail.com</t>
  </si>
  <si>
    <t>Muhammad Suleiman Danladi</t>
  </si>
  <si>
    <t>danladienagi@gmail.com</t>
  </si>
  <si>
    <t>Edati local Government</t>
  </si>
  <si>
    <t>Morakinyo Samuel</t>
  </si>
  <si>
    <t>sammoraks@gmail.com</t>
  </si>
  <si>
    <t>Daniel Andrew Ojogbaduwami</t>
  </si>
  <si>
    <t>danielandrew2u@gmail.com</t>
  </si>
  <si>
    <t>Damidami Comfort</t>
  </si>
  <si>
    <t>comfortdamidami51@gmail.com</t>
  </si>
  <si>
    <t>Martins Joy Nuris</t>
  </si>
  <si>
    <t>joynurismartins@gmail.com</t>
  </si>
  <si>
    <t>Idris Mariam Oluwapelumi</t>
  </si>
  <si>
    <t>idrisoluwapelumimariam@gmail.com</t>
  </si>
  <si>
    <t>Eti-osa</t>
  </si>
  <si>
    <t>Hamisu Muhammad</t>
  </si>
  <si>
    <t>mhtambari@gmail.com</t>
  </si>
  <si>
    <t>Dawakin Kudu</t>
  </si>
  <si>
    <t>Udodinaobi Michael Chibuike</t>
  </si>
  <si>
    <t>Chibuikemichael41@gmail.com</t>
  </si>
  <si>
    <t>Ikwere</t>
  </si>
  <si>
    <t>AKINTUNDE TEMITOPE ALABI</t>
  </si>
  <si>
    <t>temitopemoses966@gmail.com</t>
  </si>
  <si>
    <t>ABEOKUTA NORTH</t>
  </si>
  <si>
    <t>mohammedyahaya3396@gmail.com</t>
  </si>
  <si>
    <t>Aderemi iyanuoluwa Grace</t>
  </si>
  <si>
    <t>aderemioluwajomiloju87@gmail.com</t>
  </si>
  <si>
    <t>Ewekoro Local government</t>
  </si>
  <si>
    <t>Adejo Martha</t>
  </si>
  <si>
    <t>adejomartha8@gmail.com</t>
  </si>
  <si>
    <t>Ahmed Hashimu</t>
  </si>
  <si>
    <t>hashimuahmed665@gmail.com</t>
  </si>
  <si>
    <t>Quadri zainab ajoke</t>
  </si>
  <si>
    <t>ajzainab429@gmail.com</t>
  </si>
  <si>
    <t>Onwelu Justina oluebube</t>
  </si>
  <si>
    <t>onwelujustinaoluebube@gmail.com</t>
  </si>
  <si>
    <t>Indigene by birth</t>
  </si>
  <si>
    <t>Nwokoro Ogechukwu Maryann</t>
  </si>
  <si>
    <t>tessyuche001@gmail.com</t>
  </si>
  <si>
    <t>Mutawakil Khaulat Oluwapelumi</t>
  </si>
  <si>
    <t>mutawakilkhaulat@gmail.com</t>
  </si>
  <si>
    <t>Adama Cleopas Legbo</t>
  </si>
  <si>
    <t>cleopasadama@gmail.com</t>
  </si>
  <si>
    <t>Anche Aaron Thomas</t>
  </si>
  <si>
    <t>ancheaaron@gmail.com</t>
  </si>
  <si>
    <t>Tauruni</t>
  </si>
  <si>
    <t>Jerry Elijah</t>
  </si>
  <si>
    <t>elijahjerry5@gmail.com</t>
  </si>
  <si>
    <t>Bashir sekinat Ayomide</t>
  </si>
  <si>
    <t>sekinatbashir1@gmail.com</t>
  </si>
  <si>
    <t>Emmanuel Joy Agmada</t>
  </si>
  <si>
    <t>ejoy11180@gmail.com</t>
  </si>
  <si>
    <t>IGHURE Oghenemine Faith</t>
  </si>
  <si>
    <t>mimifaith874@gmail.com</t>
  </si>
  <si>
    <t>Aliyu Fatima</t>
  </si>
  <si>
    <t>aliyufatima25@gmail.com</t>
  </si>
  <si>
    <t>Abdullahi Rukayya Bashir</t>
  </si>
  <si>
    <t>rouqy14@gmail.com</t>
  </si>
  <si>
    <t>Dala</t>
  </si>
  <si>
    <t>Samira Abdul Suleiman</t>
  </si>
  <si>
    <t>samiraabdul914@gmail.com</t>
  </si>
  <si>
    <t>Tanko Ramatu</t>
  </si>
  <si>
    <t>ramatutanko3220@gmail.com</t>
  </si>
  <si>
    <t>Oyebanji Ronke Shakirat</t>
  </si>
  <si>
    <t>oyebanjishakirat9@gmail.com</t>
  </si>
  <si>
    <t>Olawuni Mercy Esther</t>
  </si>
  <si>
    <t>mercyolawuni87@gmail.com</t>
  </si>
  <si>
    <t>Ayuba charity malgwi</t>
  </si>
  <si>
    <t>Charitymalgwi2@gmail.com</t>
  </si>
  <si>
    <t>Usman Abdullahi Baba</t>
  </si>
  <si>
    <t>elnasiru02@gmail.com</t>
  </si>
  <si>
    <t>Mohammed Chado Abubakar</t>
  </si>
  <si>
    <t>mchadoabubakar@gmail.com</t>
  </si>
  <si>
    <t>TYOOR DIVINEWILL</t>
  </si>
  <si>
    <t>divinewilltyoor22@gmail.com</t>
  </si>
  <si>
    <t>Alhassan Ibrahim Kabiru</t>
  </si>
  <si>
    <t>alhassankabiru2014@gmail.com</t>
  </si>
  <si>
    <t>Sumaila</t>
  </si>
  <si>
    <t>Hafsat Adamu Garafini</t>
  </si>
  <si>
    <t>hafsatadamu81@gmail.com</t>
  </si>
  <si>
    <t>Okechukwu Chimobi Casmir</t>
  </si>
  <si>
    <t>okechimobi15@gmail.com</t>
  </si>
  <si>
    <t>Umegbolu rosemary emmanuel</t>
  </si>
  <si>
    <t>unegbolurosemaryemmanuel@gmail.com</t>
  </si>
  <si>
    <t>Muhammad Faiza bayaro</t>
  </si>
  <si>
    <t>fbayeromuhammad@gmail.com</t>
  </si>
  <si>
    <t>Obaro Gabriel Omonofa</t>
  </si>
  <si>
    <t>obarogabriel0@gmail.com</t>
  </si>
  <si>
    <t>Nwachukwu</t>
  </si>
  <si>
    <t>nwachukwuogechukwumary@gmail.com</t>
  </si>
  <si>
    <t>kano city</t>
  </si>
  <si>
    <t>Migrant (moved from another part of Nigeria), Returnee</t>
  </si>
  <si>
    <t>Iliya Afiniki Blessing</t>
  </si>
  <si>
    <t>iliyablessing2323@gmail.com</t>
  </si>
  <si>
    <t>Mustapha Balkisu</t>
  </si>
  <si>
    <t>bilkisumustapha44@gmail.com</t>
  </si>
  <si>
    <t>Adamu Zainab</t>
  </si>
  <si>
    <t>zainabadamu1989@gmail.com</t>
  </si>
  <si>
    <t>Oyesiji Esther Kehinde</t>
  </si>
  <si>
    <t>oyesijiesther44@gmail.com</t>
  </si>
  <si>
    <t>Oriade LG</t>
  </si>
  <si>
    <t>Adegoke Oluwafolakemi Ronke</t>
  </si>
  <si>
    <t>flocsy2@gmail.com</t>
  </si>
  <si>
    <t>Babalola oluwabunmi Timileyin</t>
  </si>
  <si>
    <t>bunmibabalola245@gmail.com</t>
  </si>
  <si>
    <t>Isah Aisha</t>
  </si>
  <si>
    <t>aishaisah0816761@gmail.com</t>
  </si>
  <si>
    <t>Adegoke</t>
  </si>
  <si>
    <t>adegokedl@gmail.com</t>
  </si>
  <si>
    <t>Daniel Abednago Shekwonugaza</t>
  </si>
  <si>
    <t>abbey4luv63@gmail.com</t>
  </si>
  <si>
    <t>Moses Nehemiah</t>
  </si>
  <si>
    <t>mnehemiah62@gmail.com</t>
  </si>
  <si>
    <t>wudil</t>
  </si>
  <si>
    <t>Bello Felix Sunny</t>
  </si>
  <si>
    <t>philix26@gmail.com</t>
  </si>
  <si>
    <t>Kano Municipal</t>
  </si>
  <si>
    <t>Odiase Abraham</t>
  </si>
  <si>
    <t>eroabraham7@gmail.come</t>
  </si>
  <si>
    <t>Salako Gbemisola Ruth</t>
  </si>
  <si>
    <t>akinoladamola14@gmail.com</t>
  </si>
  <si>
    <t>Muhammad Maryam Garafini</t>
  </si>
  <si>
    <t>Muhammadmaryam750@gmail.com</t>
  </si>
  <si>
    <t>DAUDU CHAWO</t>
  </si>
  <si>
    <t>chawodaudu@gmail.com</t>
  </si>
  <si>
    <t>SHIRORO</t>
  </si>
  <si>
    <t>adamuabdulgwada01@gmail.com</t>
  </si>
  <si>
    <t>Adnan Zainab Danbatta</t>
  </si>
  <si>
    <t>adnanzaynab001@gmail.com</t>
  </si>
  <si>
    <t>ABDULLAHI AMINU MUHAMMAD</t>
  </si>
  <si>
    <t>abdulbinamin@gmail.com</t>
  </si>
  <si>
    <t>Saleh khadijat ismail</t>
  </si>
  <si>
    <t>khadijatsalehismail@gmail.com</t>
  </si>
  <si>
    <t>Obiorah Vivian</t>
  </si>
  <si>
    <t>anniesomcute@gmail.com</t>
  </si>
  <si>
    <t>Muhammad hauwa</t>
  </si>
  <si>
    <t>galadanchi031@gmail.com</t>
  </si>
  <si>
    <t>Obiorah Mary-ann Chisom</t>
  </si>
  <si>
    <t>Balarabe ummi Ibrahim</t>
  </si>
  <si>
    <t>ummiibrahimaa@gmail.com</t>
  </si>
  <si>
    <t>Egwu Promise Chukwunwike</t>
  </si>
  <si>
    <t>egwupromisec@yahoo.com</t>
  </si>
  <si>
    <t>Abakaliki</t>
  </si>
  <si>
    <t>Adnan Ahmad Danbatta</t>
  </si>
  <si>
    <t>ahmad4danbatta@gmail.com</t>
  </si>
  <si>
    <t>Audu Adamu</t>
  </si>
  <si>
    <t>auduado2@gmail.com</t>
  </si>
  <si>
    <t>ADIO Seun</t>
  </si>
  <si>
    <t>adiosheun@gmail.com</t>
  </si>
  <si>
    <t>Uzoma Reginald Chinagorom</t>
  </si>
  <si>
    <t>reginalduzoma86@gmail.com</t>
  </si>
  <si>
    <t>Alice ozohu Ajayi</t>
  </si>
  <si>
    <t>aliceozohu@gmail.com</t>
  </si>
  <si>
    <t>Musa Abdullahi</t>
  </si>
  <si>
    <t>masenagi2019@gmail.com</t>
  </si>
  <si>
    <t>Ibrahim Nemo Rainat</t>
  </si>
  <si>
    <t>ibrahimnemorainat@gmail.com</t>
  </si>
  <si>
    <t>ADAMU HABIBA</t>
  </si>
  <si>
    <t>habibaadamu84@gmail.com</t>
  </si>
  <si>
    <t>Adewale Sunday Adeniyi</t>
  </si>
  <si>
    <t>Chiboyinlove@gmail.com</t>
  </si>
  <si>
    <t>Nasarawa</t>
  </si>
  <si>
    <t>Hamza saleh</t>
  </si>
  <si>
    <t>hamzadaleh907@gmail.com</t>
  </si>
  <si>
    <t>Cognitive/learning disability</t>
  </si>
  <si>
    <t>Refugee (from another country)</t>
  </si>
  <si>
    <t>Mustapha Ashir Idris</t>
  </si>
  <si>
    <t>ashirmustapha00@gmail.com</t>
  </si>
  <si>
    <t>Chijioke Moses</t>
  </si>
  <si>
    <t>emmanuelvictor27@gmail.com</t>
  </si>
  <si>
    <t>Adnan Hafsa Danbatta</t>
  </si>
  <si>
    <t>hafsaadnandanbatta@gmail.com</t>
  </si>
  <si>
    <t>Danbatta</t>
  </si>
  <si>
    <t>Kabir Abubakar adam</t>
  </si>
  <si>
    <t>abubakarkabir535@gmail.com</t>
  </si>
  <si>
    <t>Abdulaziz rayyan</t>
  </si>
  <si>
    <t>abdulazizrayyan73@gmail.com</t>
  </si>
  <si>
    <t>Adamu Auwal</t>
  </si>
  <si>
    <t>halifafagam@gmail.com</t>
  </si>
  <si>
    <t>Nasarawa local government</t>
  </si>
  <si>
    <t>Farukabubakar</t>
  </si>
  <si>
    <t>umargilima@gmail.com</t>
  </si>
  <si>
    <t>Kuroyifa Meshach Botu</t>
  </si>
  <si>
    <t>kuroyifabotu5522@gmail.com</t>
  </si>
  <si>
    <t>Sagbama</t>
  </si>
  <si>
    <t>Aliyu Umar Adamu</t>
  </si>
  <si>
    <t>umaradamualiyu1@gmail.com</t>
  </si>
  <si>
    <t>Tarauni LGA</t>
  </si>
  <si>
    <t>Patrick Clement</t>
  </si>
  <si>
    <t>patrickkero8@gmail.com</t>
  </si>
  <si>
    <t>Abdulaziz Dayyab Sulaiman</t>
  </si>
  <si>
    <t>abdulazizdayyab8@gmail.com</t>
  </si>
  <si>
    <t>Oyemade Oluwapelumi</t>
  </si>
  <si>
    <t>elioluwapelumi@gmail.com</t>
  </si>
  <si>
    <t>Obafemi owode local government</t>
  </si>
  <si>
    <t>ABUBAKAR AZOMALI USMAN</t>
  </si>
  <si>
    <t>azomaliusman23@gmail.com</t>
  </si>
  <si>
    <t>GURARA</t>
  </si>
  <si>
    <t>OKONKWO IMMACULATA CHINECHEREM</t>
  </si>
  <si>
    <t>chinecheremokonkwo@gmail.com</t>
  </si>
  <si>
    <t>Adesokan Joshua</t>
  </si>
  <si>
    <t>joshuaadesokan2017@gmail.com</t>
  </si>
  <si>
    <t>Hamzat Aishat Ajibola</t>
  </si>
  <si>
    <t>aishamzy4@gmail.com</t>
  </si>
  <si>
    <t>ISHAQ IDRIS</t>
  </si>
  <si>
    <t>alhajigwamnaty@gmail.com</t>
  </si>
  <si>
    <t>TUDUN WADA</t>
  </si>
  <si>
    <t>ADEKANMBI TOLUWANI</t>
  </si>
  <si>
    <t>adekanmbitoluwani2002@gmail.com</t>
  </si>
  <si>
    <t>Enugu North</t>
  </si>
  <si>
    <t>Adeleke Mary</t>
  </si>
  <si>
    <t>adelekemary62@gmail.com</t>
  </si>
  <si>
    <t>Olaniyan Mercy</t>
  </si>
  <si>
    <t>olaniyanmercy005@gmail.com</t>
  </si>
  <si>
    <t>Fagbenro Zainab Omolade</t>
  </si>
  <si>
    <t>omofagbenro@gmail.com</t>
  </si>
  <si>
    <t>Ado- Odo/Ota Local Government</t>
  </si>
  <si>
    <t>Dinee-laago Zorbari</t>
  </si>
  <si>
    <t>dzorbac123@gmail.com</t>
  </si>
  <si>
    <t>Akpan, Endurance Cletus</t>
  </si>
  <si>
    <t>enduranceisofgod@gmail.com</t>
  </si>
  <si>
    <t>Calabar municipality</t>
  </si>
  <si>
    <t>Olatowode Dotun Stephen</t>
  </si>
  <si>
    <t>olatowodedotun@gmail.com</t>
  </si>
  <si>
    <t>Abubakar Garba</t>
  </si>
  <si>
    <t>abubakarsaddiq88888@gmail.com</t>
  </si>
  <si>
    <t>Tijjani Babailorin</t>
  </si>
  <si>
    <t>tijjanibabai@gmail.com</t>
  </si>
  <si>
    <t>ABDULLAHI JIBRIN</t>
  </si>
  <si>
    <t>abdullahijibrin487@gmail.com</t>
  </si>
  <si>
    <t>Ebrume Blessing Onome</t>
  </si>
  <si>
    <t>ebrumeonome@gmail.com</t>
  </si>
  <si>
    <t>IDIRISU MOHAMMED</t>
  </si>
  <si>
    <t>mohammedidris08065@gmail.com</t>
  </si>
  <si>
    <t>YUSUF .B.IBRAHIM</t>
  </si>
  <si>
    <t>yusufibrahimbokani@gmail.com</t>
  </si>
  <si>
    <t>Tsalhe Ibrahim Gambo</t>
  </si>
  <si>
    <t>ibraheemwali11@gmail.com</t>
  </si>
  <si>
    <t>Adedayo Mercy</t>
  </si>
  <si>
    <t>adedayomercy18@gmail.com</t>
  </si>
  <si>
    <t>Owode</t>
  </si>
  <si>
    <t>Balkisu salihu</t>
  </si>
  <si>
    <t>salihubilkisu7@gmail.com</t>
  </si>
  <si>
    <t>Obilade Adeola Rachael</t>
  </si>
  <si>
    <t>obiladerachael1107@gmail.com</t>
  </si>
  <si>
    <t>Ahmad Kabir Shehu</t>
  </si>
  <si>
    <t>kshehu4@gmail.com</t>
  </si>
  <si>
    <t>ismaildanjuma86@gmail.com</t>
  </si>
  <si>
    <t>ABDULLAHI DAYYABU SAYYANU</t>
  </si>
  <si>
    <t>Sayyanu2@gmail.com</t>
  </si>
  <si>
    <t>Olalere Faith Boluwatife</t>
  </si>
  <si>
    <t>faitholalere2@gmail.com</t>
  </si>
  <si>
    <t>esedekimo ogaga david</t>
  </si>
  <si>
    <t>ogagadavid6190@gmail.com</t>
  </si>
  <si>
    <t>ewekoro</t>
  </si>
  <si>
    <t>Etigbamo Marcus Godbless</t>
  </si>
  <si>
    <t>shealtielandme@gmail.com</t>
  </si>
  <si>
    <t>Joseph pleasant Abiye</t>
  </si>
  <si>
    <t>pleasantabiye@gmail.com</t>
  </si>
  <si>
    <t>MONDAY KIEMIZIBE</t>
  </si>
  <si>
    <t>kiemizibe@gmail.com</t>
  </si>
  <si>
    <t>yenagoa</t>
  </si>
  <si>
    <t>Gaddafi Hassan</t>
  </si>
  <si>
    <t>gaddafihassan103@gmail.com</t>
  </si>
  <si>
    <t>Nimi Naomi</t>
  </si>
  <si>
    <t>nahomiee06@gmail.com</t>
  </si>
  <si>
    <t>Obio Akpor</t>
  </si>
  <si>
    <t>Abdulkadir Usman</t>
  </si>
  <si>
    <t>usmankawu313@gmail.com</t>
  </si>
  <si>
    <t>Obeta Abuchi Samuel</t>
  </si>
  <si>
    <t>samuelobeta986@gmail.com</t>
  </si>
  <si>
    <t>Sorry I based in Zaria kaduna state; never knew my state wasn't included isn't included before beginning application but I'll be forever grateful if I'm shortlisted for the program</t>
  </si>
  <si>
    <t>Kabir Muhammad Bilikisu</t>
  </si>
  <si>
    <t>bilikisumuhammadk@gmail.com</t>
  </si>
  <si>
    <t>Tarauni local government</t>
  </si>
  <si>
    <t>Olatunji Abeebat</t>
  </si>
  <si>
    <t>olanikeolatunji76@gmail.com</t>
  </si>
  <si>
    <t>abeokuta south</t>
  </si>
  <si>
    <t>Tewogbade Blessing omolola</t>
  </si>
  <si>
    <t>blessingtinuke5@gmail.com</t>
  </si>
  <si>
    <t>ALIYU HASSAN ALHAJI</t>
  </si>
  <si>
    <t>ABDULLAHI SHAMSIYA</t>
  </si>
  <si>
    <t>shamsiyaa418@gmail.com</t>
  </si>
  <si>
    <t>Isah Safiya Turaki</t>
  </si>
  <si>
    <t>safiyaturaki@gmail.com</t>
  </si>
  <si>
    <t>Abubakar Alhaji Aliyu</t>
  </si>
  <si>
    <t>abubakaralhajia41@gmail.com</t>
  </si>
  <si>
    <t>Salihu Sherif egbako</t>
  </si>
  <si>
    <t>salihusherif1137@gmail.com</t>
  </si>
  <si>
    <t>Iyiola Ayomide</t>
  </si>
  <si>
    <t>ayomideiyiola339@gmail.com</t>
  </si>
  <si>
    <t>Mohammed Siraj</t>
  </si>
  <si>
    <t>sirajmohd5050@gmail.com</t>
  </si>
  <si>
    <t>Muhammad Abubakar Salihu</t>
  </si>
  <si>
    <t>sadiqmk38@gmail.com</t>
  </si>
  <si>
    <t>Hassan yunusa</t>
  </si>
  <si>
    <t>HassanSarz00@gmail.com</t>
  </si>
  <si>
    <t>Yusuf Abdulrahman</t>
  </si>
  <si>
    <t>yusufabdulrahman28@gmail.com</t>
  </si>
  <si>
    <t>Adebayo Sunday</t>
  </si>
  <si>
    <t>gbokos2003@gmail.com</t>
  </si>
  <si>
    <t>Adamu Suleiman Tanko</t>
  </si>
  <si>
    <t>baabaasuleigu@gmail.com</t>
  </si>
  <si>
    <t>Suleiman Mohammad Alhaji</t>
  </si>
  <si>
    <t>Dansule1998@gmail.com</t>
  </si>
  <si>
    <t>Muhammad Hauwau Ahmad</t>
  </si>
  <si>
    <t>hauwaumuhammadahmad390@gmail.com</t>
  </si>
  <si>
    <t>Muhammad Ibrahim</t>
  </si>
  <si>
    <t>mdndagidi@gmail.com</t>
  </si>
  <si>
    <t>Amos Deborah</t>
  </si>
  <si>
    <t>deborahamos824@gmail.com</t>
  </si>
  <si>
    <t>ISRAEL THANKGOD EDWARD</t>
  </si>
  <si>
    <t>israelthankgodedward@gmail.com</t>
  </si>
  <si>
    <t>Ojetola Feyisayo Rebecca</t>
  </si>
  <si>
    <t>ojetolafeyisayo2021@gmail.com</t>
  </si>
  <si>
    <t>Yusuf Aliyu</t>
  </si>
  <si>
    <t>aliyuyusuf19@gmail.com</t>
  </si>
  <si>
    <t>Ikechukwu Chizuruoke</t>
  </si>
  <si>
    <t>chizuruokesports@gmail.com</t>
  </si>
  <si>
    <t>Nkanu East</t>
  </si>
  <si>
    <t>Indigenous resident, Returnee</t>
  </si>
  <si>
    <t>Ikechukwu Victor Chizuruoke</t>
  </si>
  <si>
    <t>chizuruokevictor7@gmail.com</t>
  </si>
  <si>
    <t>Abubakar Ahmad</t>
  </si>
  <si>
    <t>ahmadabubar017@gmail.com</t>
  </si>
  <si>
    <t>Ibrahim kazeem</t>
  </si>
  <si>
    <t>kazeemsaifagge@gmail.com</t>
  </si>
  <si>
    <t>Kalejaiye Michael Ibikunle</t>
  </si>
  <si>
    <t>michealsubomi15@gmail.com</t>
  </si>
  <si>
    <t>Markus Saminu</t>
  </si>
  <si>
    <t>saminumarkus3@gmail.com</t>
  </si>
  <si>
    <t>Rogo Local government</t>
  </si>
  <si>
    <t>Akinlolu Timilehin Odunola</t>
  </si>
  <si>
    <t>odunolaakinlolu@gmail.com</t>
  </si>
  <si>
    <t>Ibarapa central</t>
  </si>
  <si>
    <t>SALISU MUHAMMAD BELLO</t>
  </si>
  <si>
    <t>salisumuhammadbello57@gmail.com</t>
  </si>
  <si>
    <t>Gabasawa</t>
  </si>
  <si>
    <t>Muhammad Aisha Tsowa</t>
  </si>
  <si>
    <t>muhammadaishatsowa9@gmail.com</t>
  </si>
  <si>
    <t>RASHIDA USMAN AHMAD</t>
  </si>
  <si>
    <t>rashidaahmad349@gmail.com</t>
  </si>
  <si>
    <t>Mukhtar Hassan</t>
  </si>
  <si>
    <t>mukhtartukura1038@gmail.com</t>
  </si>
  <si>
    <t>Akinsanmi, Mujidah Omotoke</t>
  </si>
  <si>
    <t>mujidaholamide29@gmail.com</t>
  </si>
  <si>
    <t>Adegboyega Wasilat Adenike</t>
  </si>
  <si>
    <t>adegboyegawasilat7@gmail.com</t>
  </si>
  <si>
    <t>Fatima Tahir Ibrahim</t>
  </si>
  <si>
    <t>taheerfatima359@gmail.com</t>
  </si>
  <si>
    <t>James Mercy</t>
  </si>
  <si>
    <t>mercypambolo@gmail.com</t>
  </si>
  <si>
    <t>Adesope Al ameen akanji</t>
  </si>
  <si>
    <t>alameenadesope7@gmail.com</t>
  </si>
  <si>
    <t>Iro Ibrahim Nasir</t>
  </si>
  <si>
    <t>ibrahimnasiriro@gmail.com</t>
  </si>
  <si>
    <t>Maryam Usman</t>
  </si>
  <si>
    <t>maryamanu97@gmail.com</t>
  </si>
  <si>
    <t>Mohammed idris hassana</t>
  </si>
  <si>
    <t>hassanafk3083@gmail.com</t>
  </si>
  <si>
    <t>ABDULLAHI MOHAMMED BELLO</t>
  </si>
  <si>
    <t>abdulmohammedbello95@gmail.com</t>
  </si>
  <si>
    <t>Wuku Wilson Daneki</t>
  </si>
  <si>
    <t>danekiwuku@gmail.com</t>
  </si>
  <si>
    <t>Abdulgafar Nimotallahi Adeola</t>
  </si>
  <si>
    <t>abdulgafarnimotallahi@gmail.com</t>
  </si>
  <si>
    <t>Unemployed graduate</t>
  </si>
  <si>
    <t>MOHAMMED AWWAL ABDULLAHI</t>
  </si>
  <si>
    <t>abuhajar345@gmail.com</t>
  </si>
  <si>
    <t>Ajimuda Raymond</t>
  </si>
  <si>
    <t>raymondrayyden@gmail.com</t>
  </si>
  <si>
    <t>Awowo</t>
  </si>
  <si>
    <t>MOHAMMED BABA MOHAMMED</t>
  </si>
  <si>
    <t>mohammedbamohammed001@gmail.com</t>
  </si>
  <si>
    <t>Oguntade Qudus Opeyemi</t>
  </si>
  <si>
    <t>oguntadequdus@gmail.com</t>
  </si>
  <si>
    <t>Sagamu LGA</t>
  </si>
  <si>
    <t>Nwachukwu Chiemeziem Godwin</t>
  </si>
  <si>
    <t>chiemeziemnwachukwu@gmail.com</t>
  </si>
  <si>
    <t>Obi Akpor</t>
  </si>
  <si>
    <t>Hassan Hassan lekan</t>
  </si>
  <si>
    <t>hassanolalekan.97@gmail.com</t>
  </si>
  <si>
    <t>Adeyemi Akeem Adeoye</t>
  </si>
  <si>
    <t>Yemiakeem20@gmail.com</t>
  </si>
  <si>
    <t>Ogunola Kolade</t>
  </si>
  <si>
    <t>khorllade@gmail.com</t>
  </si>
  <si>
    <t>Mgbonta, Benedict Ogenna</t>
  </si>
  <si>
    <t>benedictogenna@gmail.com</t>
  </si>
  <si>
    <t>Brass</t>
  </si>
  <si>
    <t>Oloruntokun</t>
  </si>
  <si>
    <t>oloruntokunoluwaniyi@gmail.com</t>
  </si>
  <si>
    <t>AKINOLA VICTOR OLADOTUN</t>
  </si>
  <si>
    <t>dotmanvic18@gmail.com</t>
  </si>
  <si>
    <t>Saifullah Sulaiman Inuwa</t>
  </si>
  <si>
    <t>autanmama222@gmail.com</t>
  </si>
  <si>
    <t>Bunkure Local Government</t>
  </si>
  <si>
    <t>Abdulkadir Aishetu Majin</t>
  </si>
  <si>
    <t>abdulkaddiraishetumajin2018@gmail.com</t>
  </si>
  <si>
    <t>Happy Kurotimipa Prosper</t>
  </si>
  <si>
    <t>happyprosper9@gmail.com</t>
  </si>
  <si>
    <t>Mustapha Mubarak Lawal</t>
  </si>
  <si>
    <t>lawalmubex@gmail.com</t>
  </si>
  <si>
    <t>Babalola Abigail Temitope</t>
  </si>
  <si>
    <t>babstemiloluwa26@gmail.com</t>
  </si>
  <si>
    <t>Ifo local government</t>
  </si>
  <si>
    <t>Adetula Toluwalope Deborah</t>
  </si>
  <si>
    <t>adetulatoluwalope@gmail.com</t>
  </si>
  <si>
    <t>Ifo Local government</t>
  </si>
  <si>
    <t>Chrispin powetei pere</t>
  </si>
  <si>
    <t>poweteichrispin@gmail.com</t>
  </si>
  <si>
    <t>Southern ijaw</t>
  </si>
  <si>
    <t>Yushau Suwaiba</t>
  </si>
  <si>
    <t>Suwaibayushau09@email.com</t>
  </si>
  <si>
    <t>ABDULJELIL ABDULAZIM AKINJOLADE</t>
  </si>
  <si>
    <t>abdulazimakinjolade@gmail.com</t>
  </si>
  <si>
    <t>Amadu yusuf</t>
  </si>
  <si>
    <t>yusufamadu233@gmail.com</t>
  </si>
  <si>
    <t>Akinbinu Rebeccah</t>
  </si>
  <si>
    <t>akinbinurebeccaho@gmail.com</t>
  </si>
  <si>
    <t>Elisha Nelson</t>
  </si>
  <si>
    <t>elishanelson59@gmail.com</t>
  </si>
  <si>
    <t>Oluwasogo Eunice Abdul</t>
  </si>
  <si>
    <t>abduloluwasogoeunice@gmail.com</t>
  </si>
  <si>
    <t>Muhammad lawan</t>
  </si>
  <si>
    <t>muhammadfulaneeh@gmail.com</t>
  </si>
  <si>
    <t>Ahmad Aisha</t>
  </si>
  <si>
    <t>aishaah6001@gmail.com</t>
  </si>
  <si>
    <t>Ajayi Hammed Olaoluwa</t>
  </si>
  <si>
    <t>ajayiola190@gmail.com</t>
  </si>
  <si>
    <t>Visual impairment (partial or full)</t>
  </si>
  <si>
    <t>Adeoye Abiola</t>
  </si>
  <si>
    <t>abiolaadeoye54@gmail.com</t>
  </si>
  <si>
    <t>Ifo/Ewekoro</t>
  </si>
  <si>
    <t>Tarus Kipkorir Cornelius</t>
  </si>
  <si>
    <t>taruscornelius01@gmail.com</t>
  </si>
  <si>
    <t>Elgeyo Marakwet</t>
  </si>
  <si>
    <t>Muhammad Lawan</t>
  </si>
  <si>
    <t>Ibrahim Abubakar</t>
  </si>
  <si>
    <t>ibrahimabubakarkaula@gmail.com</t>
  </si>
  <si>
    <t>Chenwi</t>
  </si>
  <si>
    <t>ngwatheodore@gmail.com</t>
  </si>
  <si>
    <t>Ikom</t>
  </si>
  <si>
    <t>Refugee (from another country), Immigrant</t>
  </si>
  <si>
    <t>Anietie Promise Eteobong</t>
  </si>
  <si>
    <t>ayesrichard211@gmail.com</t>
  </si>
  <si>
    <t>Olisemeka Elizabeth Amarachi</t>
  </si>
  <si>
    <t>amaraelizabeth2018@gmail.com</t>
  </si>
  <si>
    <t>Obio akpor</t>
  </si>
  <si>
    <t>Rotich Augustine</t>
  </si>
  <si>
    <t>rotichaugustine9@gmail.com</t>
  </si>
  <si>
    <t>Marakwet</t>
  </si>
  <si>
    <t>Shotunde Oluwasegun Tokunbo</t>
  </si>
  <si>
    <t>shotundetokunbo@gmail.com</t>
  </si>
  <si>
    <t>Odokun Ezekiel Haruna</t>
  </si>
  <si>
    <t>greatbiz4@gmail.com</t>
  </si>
  <si>
    <t>Agwara</t>
  </si>
  <si>
    <t>Ekpunobi, Nzube Favour</t>
  </si>
  <si>
    <t>nzubefavour34@gmail.com</t>
  </si>
  <si>
    <t>Murkomen kiptoo Evans</t>
  </si>
  <si>
    <t>evanskiptoo@gmail.com</t>
  </si>
  <si>
    <t>Kadri Esther Temitope</t>
  </si>
  <si>
    <t>kadriesther@gmail.com</t>
  </si>
  <si>
    <t>Akamkpa</t>
  </si>
  <si>
    <t>Funmilayo Olorunnisomo - Sani</t>
  </si>
  <si>
    <t>olorunnisomof@gmail.com</t>
  </si>
  <si>
    <t>Haruna Fatimah Ozemei</t>
  </si>
  <si>
    <t>harunaozemei@gmail.com</t>
  </si>
  <si>
    <t>Abdulmalik yahaya</t>
  </si>
  <si>
    <t>abdulmalikyahaya91@gmail.com</t>
  </si>
  <si>
    <t>EMMANUEL, GIFT CHINONSO</t>
  </si>
  <si>
    <t>giftemmanuel986@gmail.com</t>
  </si>
  <si>
    <t>Atanda Mutaleeb Akin</t>
  </si>
  <si>
    <t>atandaabdulmutoleeb065@gmail.com</t>
  </si>
  <si>
    <t>Ikenne local government</t>
  </si>
  <si>
    <t>Elizabeth Olowe</t>
  </si>
  <si>
    <t>elizabeth.olowe24@gmail.com</t>
  </si>
  <si>
    <t>Obafemi Owode.</t>
  </si>
  <si>
    <t>N/A</t>
  </si>
  <si>
    <t>Emeneh Chinecherem Paschaline</t>
  </si>
  <si>
    <t>emenehc@gmail.com</t>
  </si>
  <si>
    <t>Igbo etiti</t>
  </si>
  <si>
    <t>Charity Ojoide Ameh</t>
  </si>
  <si>
    <t>jaynesdelight@gmail.com</t>
  </si>
  <si>
    <t>Mukhtar Mubarak Abdullahi</t>
  </si>
  <si>
    <t>mubarakmukhtar89@gmail.com</t>
  </si>
  <si>
    <t>Rimingado</t>
  </si>
  <si>
    <t>Haruna zainab musa</t>
  </si>
  <si>
    <t>zharuna575@gmail.com</t>
  </si>
  <si>
    <t>Safiyan ali salisu</t>
  </si>
  <si>
    <t>aliyousafiyan@gmail.com</t>
  </si>
  <si>
    <t>Nasir zahrau Muhammad</t>
  </si>
  <si>
    <t>zahraunasir14@gmail.com</t>
  </si>
  <si>
    <t>Gwale local government</t>
  </si>
  <si>
    <t>AIYELABEGAN SHERIFFDEEN</t>
  </si>
  <si>
    <t>sheryfbeghan@gmail.com</t>
  </si>
  <si>
    <t>Zayyanu Musa Sunusi</t>
  </si>
  <si>
    <t>zmsanusi@gmail.com</t>
  </si>
  <si>
    <t>Minjibir</t>
  </si>
  <si>
    <t>Zulaihat Bashir sani</t>
  </si>
  <si>
    <t>zulyytahh@gmail.com</t>
  </si>
  <si>
    <t>TIJJANI IBRAHIM</t>
  </si>
  <si>
    <t>ibrahimtijani316@gmail.com</t>
  </si>
  <si>
    <t>Ibrahim muhammad</t>
  </si>
  <si>
    <t>muhammaadibrahimmilb@gmail.com</t>
  </si>
  <si>
    <t>Karaye</t>
  </si>
  <si>
    <t>Muhammad Muhammad Hashim</t>
  </si>
  <si>
    <t>muhammadm0524@gmail.com</t>
  </si>
  <si>
    <t>Surajo rumasau yau</t>
  </si>
  <si>
    <t>rumasausuraj@gmail.com</t>
  </si>
  <si>
    <t>Bichi</t>
  </si>
  <si>
    <t>Yusuf Abdulkadir</t>
  </si>
  <si>
    <t>yusufabdulkadir782@gmail.com</t>
  </si>
  <si>
    <t>Mahmud Azumi Habiba</t>
  </si>
  <si>
    <t>habibaazumimahmud@gmail.com</t>
  </si>
  <si>
    <t>Salihu Fatima mamman</t>
  </si>
  <si>
    <t>fahimteema@gmail.com</t>
  </si>
  <si>
    <t>Honawon Isaiah Finayon</t>
  </si>
  <si>
    <t>honeyfinayon@gmail.com</t>
  </si>
  <si>
    <t>Ado of/ota</t>
  </si>
  <si>
    <t>OYEDEJI EMMANUEL OLUWADARA</t>
  </si>
  <si>
    <t>emmanueloyedeji76@gmail.com</t>
  </si>
  <si>
    <t>Obafemi Owode</t>
  </si>
  <si>
    <t>Shafii Muhammad</t>
  </si>
  <si>
    <t>shafiimuhammad09@gmail.com</t>
  </si>
  <si>
    <t>Zulaiha salis</t>
  </si>
  <si>
    <t>zulaihasalis080@gmail.com</t>
  </si>
  <si>
    <t>Kmc</t>
  </si>
  <si>
    <t>Suleiman Maryam</t>
  </si>
  <si>
    <t>maryamah2419@gmail.com</t>
  </si>
  <si>
    <t>AHMED SULEIMAN</t>
  </si>
  <si>
    <t>bliman9094@gmail.com</t>
  </si>
  <si>
    <t>Alabi Shade comfort</t>
  </si>
  <si>
    <t>alabishade3@gmail.com</t>
  </si>
  <si>
    <t>Obio_Akpor</t>
  </si>
  <si>
    <t>MUHAMMAD NABILA BAFFA</t>
  </si>
  <si>
    <t>nabilamuhammadbaffa@gmail.com</t>
  </si>
  <si>
    <t>Abdullahi Nura Bashir</t>
  </si>
  <si>
    <t>samnabash2006@gmail.com</t>
  </si>
  <si>
    <t>Gana Isaiah Etsunyakpa</t>
  </si>
  <si>
    <t>ganaisaiahetsunyakpa07@gmail.com</t>
  </si>
  <si>
    <t>Saidu Nuhu Abdullahi</t>
  </si>
  <si>
    <t>nuhusaidu94@gmail.com</t>
  </si>
  <si>
    <t>Lawan Aisha Mato</t>
  </si>
  <si>
    <t>aishalmato22@gmail.com</t>
  </si>
  <si>
    <t>Akande Adeoye Jesimiel</t>
  </si>
  <si>
    <t>akandejesimieljan282000@gmail.com</t>
  </si>
  <si>
    <t>Gambari Habibah</t>
  </si>
  <si>
    <t>habibahgamabari@gmail.com</t>
  </si>
  <si>
    <t>Ado odo Ota</t>
  </si>
  <si>
    <t>Magaji Asiya</t>
  </si>
  <si>
    <t>umarmagaji68@gmail.com</t>
  </si>
  <si>
    <t>Rogo</t>
  </si>
  <si>
    <t>Edewor Mutuebi mary</t>
  </si>
  <si>
    <t>edewormarry@gmail.com</t>
  </si>
  <si>
    <t>Ekeremor</t>
  </si>
  <si>
    <t>Alhassan Hassana</t>
  </si>
  <si>
    <t>hassanaalhassan3@gmail.com</t>
  </si>
  <si>
    <t>OMOJOLA Tomiwa</t>
  </si>
  <si>
    <t>Olusegunomojolat@gmail.com</t>
  </si>
  <si>
    <t>Shamsu Ibrahim Umar</t>
  </si>
  <si>
    <t>shamsuibraheem079@gmail.com</t>
  </si>
  <si>
    <t>Magaji Umar</t>
  </si>
  <si>
    <t>mubasy6006@gmail.com</t>
  </si>
  <si>
    <t>Muhammad Khadija abdullahi</t>
  </si>
  <si>
    <t>kdjaliss0@gmail.com</t>
  </si>
  <si>
    <t>DANLAMI NDANUSA</t>
  </si>
  <si>
    <t>danlamindanusa70@gmail.com</t>
  </si>
  <si>
    <t>Mijinyawa Bashiru</t>
  </si>
  <si>
    <t>mijinyawabashir2019@gmail.com</t>
  </si>
  <si>
    <t>Abubakar Muhammad Bello</t>
  </si>
  <si>
    <t>belloabbkr2000@gmail.com</t>
  </si>
  <si>
    <t>Isah sadiq ibrahim</t>
  </si>
  <si>
    <t>sadiqibrahimisah440@gmail.com</t>
  </si>
  <si>
    <t>Kabir halima Abdulkadir</t>
  </si>
  <si>
    <t>halimakabirmaikwai@gmail.com</t>
  </si>
  <si>
    <t>Fawaz hamza</t>
  </si>
  <si>
    <t>daudahamza804@gmail.com</t>
  </si>
  <si>
    <t>Njoku Stephanie Amarachukwu</t>
  </si>
  <si>
    <t>stephanieanjoku@gmail.com</t>
  </si>
  <si>
    <t>Obio-akpor</t>
  </si>
  <si>
    <t>Nabawiyya musbahu bello</t>
  </si>
  <si>
    <t>nabawiyyamusbahubello001@gmail.com</t>
  </si>
  <si>
    <t>Saddiqa ibrahim hamza</t>
  </si>
  <si>
    <t>saddeeqaibrahimhamza@gmail.com</t>
  </si>
  <si>
    <t>Zainab Sani mukhtar</t>
  </si>
  <si>
    <t>zainabsani2050@gmail.com</t>
  </si>
  <si>
    <t>Indigenous resident, Skilcell</t>
  </si>
  <si>
    <t>Ibrahim gyadi-gyadi Aisha</t>
  </si>
  <si>
    <t>ibrahimgyadigyadiaisha@gmail.com</t>
  </si>
  <si>
    <t>Nazir Ibrahim Ahmad</t>
  </si>
  <si>
    <t>ni9753579@gmail.com</t>
  </si>
  <si>
    <t>Nassarrawa</t>
  </si>
  <si>
    <t>ZUBAIRU TANIMU YAKO</t>
  </si>
  <si>
    <t>zubairuyako@gmail.com</t>
  </si>
  <si>
    <t>KIRU</t>
  </si>
  <si>
    <t>Abubakar kutigi Aisha</t>
  </si>
  <si>
    <t>kutigi5353@gmail.com</t>
  </si>
  <si>
    <t>Abdullahi Hadiza Aliyu</t>
  </si>
  <si>
    <t>hadizaabdullahialiyu3@gmail.com</t>
  </si>
  <si>
    <t>Dengo Ebidenkemefa</t>
  </si>
  <si>
    <t>ebidengo95@gmail.com</t>
  </si>
  <si>
    <t>Spinal cord</t>
  </si>
  <si>
    <t>Nazifi saudat Ahmad</t>
  </si>
  <si>
    <t>saudatnazifiahmad@gmail.com</t>
  </si>
  <si>
    <t>RENSHAW ADEDOLAPO LORD</t>
  </si>
  <si>
    <t>renshawdolapo@gmail.com</t>
  </si>
  <si>
    <t>Khadija mansur Muhammad</t>
  </si>
  <si>
    <t>khadijabebejimansur@gmail.com</t>
  </si>
  <si>
    <t>Bebeji</t>
  </si>
  <si>
    <t>hauwamuhammad3433@gmail.com</t>
  </si>
  <si>
    <t>Aisha</t>
  </si>
  <si>
    <t>aishabashi0902@gmail.com</t>
  </si>
  <si>
    <t>Maryam Zubairu Shaba</t>
  </si>
  <si>
    <t>maryamzubairushaba@gmail.com</t>
  </si>
  <si>
    <t>Khadijamansur bebeji</t>
  </si>
  <si>
    <t>khadijamansurmuhammadbebeji@gmail.com</t>
  </si>
  <si>
    <t>Abdullahi Ummussalma Muhammad</t>
  </si>
  <si>
    <t>ummussalma20@gmail.com</t>
  </si>
  <si>
    <t>Aisha Suleiman</t>
  </si>
  <si>
    <t>aisule32@gmail.com</t>
  </si>
  <si>
    <t>MUHAMMAD SALISU UMAR</t>
  </si>
  <si>
    <t>msumar2016@gmail.com</t>
  </si>
  <si>
    <t>Olanrewaju Oluwatobiloba Segunson</t>
  </si>
  <si>
    <t>tonnyblakez@gmail.com</t>
  </si>
  <si>
    <t>SULAIMAN Imamu</t>
  </si>
  <si>
    <t>imamusuleiman9@gmail.com</t>
  </si>
  <si>
    <t>Atolagbe Daniel</t>
  </si>
  <si>
    <t>danielatolagbe20@gmail.com</t>
  </si>
  <si>
    <t>Ado doo ota</t>
  </si>
  <si>
    <t>Manna</t>
  </si>
  <si>
    <t>freemanmanna87@gmail.com</t>
  </si>
  <si>
    <t>Muhammad Aisha Maidugu</t>
  </si>
  <si>
    <t>nanamaidugu123@gmail.com</t>
  </si>
  <si>
    <t>Ungoggo</t>
  </si>
  <si>
    <t>Abdullahi Asmau Muhammad</t>
  </si>
  <si>
    <t>asmauabdullahimuhammad175@gmail.com</t>
  </si>
  <si>
    <t>Usman Suleiman</t>
  </si>
  <si>
    <t>usmansule2006@gmail.com</t>
  </si>
  <si>
    <t>Bilkisu bala usman</t>
  </si>
  <si>
    <t>balausmanbilkisu5@gmail.com</t>
  </si>
  <si>
    <t>Usman Ibrahim Ahmad</t>
  </si>
  <si>
    <t>iu050086@gmail.com</t>
  </si>
  <si>
    <t>Hafsat Bashir mudi</t>
  </si>
  <si>
    <t>hafsabashirmudi@gmail.com</t>
  </si>
  <si>
    <t>Shafiu Muhammad Adam</t>
  </si>
  <si>
    <t>shafiumuhammad071@gmail.com</t>
  </si>
  <si>
    <t>Clara Timinepere Obi</t>
  </si>
  <si>
    <t>obiclaratiminepere22@gmail.com</t>
  </si>
  <si>
    <t>Ibrahim Mustapha</t>
  </si>
  <si>
    <t>mustaphaboty@gmail.com</t>
  </si>
  <si>
    <t>Rofik Alam</t>
  </si>
  <si>
    <t>rofikalom95@gmail.com</t>
  </si>
  <si>
    <t>Myanmar Rohingya Muslim</t>
  </si>
  <si>
    <t>Physical disability (mobility, limb impairment), Visual impairment (partial or full), Hearing impairment, Speech impairment, Cognitive/learning disability</t>
  </si>
  <si>
    <t>BERHANU TADESSE SORI</t>
  </si>
  <si>
    <t>birishlove1@gmail.com</t>
  </si>
  <si>
    <t>ETHIOPIA</t>
  </si>
  <si>
    <t>Olajubu Ayodele Joshua</t>
  </si>
  <si>
    <t>olajubuayodele2020@gmail.com</t>
  </si>
  <si>
    <t>ADIE PETER AYUNI</t>
  </si>
  <si>
    <t>adiepeter001@gmail.com</t>
  </si>
  <si>
    <t>Obudu</t>
  </si>
  <si>
    <t>Adedigba</t>
  </si>
  <si>
    <t>adedigbasolomon80@gmail.com</t>
  </si>
  <si>
    <t>Aliu Victoria</t>
  </si>
  <si>
    <t>victoriaaliu103@gmail.com</t>
  </si>
  <si>
    <t>Babayemi Mojeed Olalekan</t>
  </si>
  <si>
    <t>Berhbs21@gmail.com</t>
  </si>
  <si>
    <t>Abeokuta North local government</t>
  </si>
  <si>
    <t>Umar Jamilu Yahaya</t>
  </si>
  <si>
    <t>jamiluumaryahaya74@gmail.com</t>
  </si>
  <si>
    <t>Madobi</t>
  </si>
  <si>
    <t>Adeleye Modupeoluwa</t>
  </si>
  <si>
    <t>adeleyemodupeoluwa@gmail.com</t>
  </si>
  <si>
    <t>Ikenne</t>
  </si>
  <si>
    <t>Kamara Bai-Bureh O'Bai</t>
  </si>
  <si>
    <t>kamarabaibureobai@gmail.com</t>
  </si>
  <si>
    <t>Nuraddeen Yusuf Ismail</t>
  </si>
  <si>
    <t>nyismail01@gmail.com</t>
  </si>
  <si>
    <t>Jalloh Isatu</t>
  </si>
  <si>
    <t>isatudidiaj@gmail.com</t>
  </si>
  <si>
    <t>Abeje Anteneh Arega</t>
  </si>
  <si>
    <t>anteneharega23@gmail.com</t>
  </si>
  <si>
    <t>Ethiopian</t>
  </si>
  <si>
    <t>Nazeer Alhassan Madobi</t>
  </si>
  <si>
    <t>nazeeralhassan679@gmail.com</t>
  </si>
  <si>
    <t>Nonso Samuel</t>
  </si>
  <si>
    <t>engr.nsamuel@gmail.com</t>
  </si>
  <si>
    <t>Nkanu east</t>
  </si>
  <si>
    <t>Ruqayyah Yusuf umar</t>
  </si>
  <si>
    <t>yusufumarruqayyah@gmail.com</t>
  </si>
  <si>
    <t>Grace Markus Nonso</t>
  </si>
  <si>
    <t>gentlegrace111@gmail.com</t>
  </si>
  <si>
    <t>Ibrahim Mubarak Muhammad</t>
  </si>
  <si>
    <t>mubarakmuhd02@gmail.com</t>
  </si>
  <si>
    <t>Omotoso Peter</t>
  </si>
  <si>
    <t>hormor345@gmail.com</t>
  </si>
  <si>
    <t>Abdulsalam Abbas</t>
  </si>
  <si>
    <t>engradedeji887@gmail.com</t>
  </si>
  <si>
    <t>Lawal Rofiat Olapeju</t>
  </si>
  <si>
    <t>lawalmopelola0572@gmail.com</t>
  </si>
  <si>
    <t>Ijebu North LGA</t>
  </si>
  <si>
    <t>Pupa Ilesanmi</t>
  </si>
  <si>
    <t>ilesanmipupa@gmail.com</t>
  </si>
  <si>
    <t>Garun mallam</t>
  </si>
  <si>
    <t>Rahama Auwal Abubakar</t>
  </si>
  <si>
    <t>rahamaauwal53@gmail.com</t>
  </si>
  <si>
    <t>Municipal</t>
  </si>
  <si>
    <t>Enunwoke Chioma Stellamaris</t>
  </si>
  <si>
    <t>Enunwokechioma20@gmail.com</t>
  </si>
  <si>
    <t>Lawan Farida Bala</t>
  </si>
  <si>
    <t>vfaridalawanbala@gmail.com</t>
  </si>
  <si>
    <t>Aminu Bilkisu Adam</t>
  </si>
  <si>
    <t>mmamanamira@gmail.com</t>
  </si>
  <si>
    <t>Maryam abubakar sabo</t>
  </si>
  <si>
    <t>maryamasabo111@gmail.com</t>
  </si>
  <si>
    <t>AHMAD ISHAQ</t>
  </si>
  <si>
    <t>almadany007@gmail.com</t>
  </si>
  <si>
    <t>Musa Bashir</t>
  </si>
  <si>
    <t>musabashi61@gmail.com</t>
  </si>
  <si>
    <t>Indigenous resident, Refugee (from another country), Migrant (moved from another part of Nigeria), Returnee</t>
  </si>
  <si>
    <t>Zainab salisu yahya</t>
  </si>
  <si>
    <t>Zeesyahya@gmail.com</t>
  </si>
  <si>
    <t>Maryam sanusi</t>
  </si>
  <si>
    <t>mamanamjad@457.com</t>
  </si>
  <si>
    <t>Nwokoro Stephen Onyebuchi</t>
  </si>
  <si>
    <t>stephenezewa@gmail.com</t>
  </si>
  <si>
    <t>Ismail Abubakar</t>
  </si>
  <si>
    <t>ismailabubakar1822@gmail.com</t>
  </si>
  <si>
    <t>Bebeji LG</t>
  </si>
  <si>
    <t>Fregene Oluwakemi</t>
  </si>
  <si>
    <t>kemmyfregzy84@gmail.com</t>
  </si>
  <si>
    <t>Sani Abubakar Yau</t>
  </si>
  <si>
    <t>abubakarsaniyau10@gmail.com</t>
  </si>
  <si>
    <t>Musbahu Dahiru Sani</t>
  </si>
  <si>
    <t>musbahudahiru57@gmail.com</t>
  </si>
  <si>
    <t>Irene Maureen Ilamosi</t>
  </si>
  <si>
    <t>maureenirene01@gmail.com</t>
  </si>
  <si>
    <t>IFO</t>
  </si>
  <si>
    <t>Safiyya ibrahim</t>
  </si>
  <si>
    <t>safiyyaibrahim000@gmail.com</t>
  </si>
  <si>
    <t>Muhammed Jamila Doma</t>
  </si>
  <si>
    <t>jmuhammeddima@gmail.com</t>
  </si>
  <si>
    <t>Abdullahi Abdulwasiu Adisa</t>
  </si>
  <si>
    <t>abdullahiabdulwasiu60@gmail.com</t>
  </si>
  <si>
    <t>Umar Faruk Mikail</t>
  </si>
  <si>
    <t>mikailumarfaruk@gmail.com</t>
  </si>
  <si>
    <t>Ewekoro LGA</t>
  </si>
  <si>
    <t>Yusuf Halima Umar</t>
  </si>
  <si>
    <t>halimayusufumar008@gmail.com</t>
  </si>
  <si>
    <t>Okwuanaso Chisom</t>
  </si>
  <si>
    <t>moxomee@gmail.com</t>
  </si>
  <si>
    <t>Obia Akpor</t>
  </si>
  <si>
    <t>Aina Emmanuel Abiola</t>
  </si>
  <si>
    <t>emmaculate4great@gmail.com</t>
  </si>
  <si>
    <t>Maigari Maimuna Omar</t>
  </si>
  <si>
    <t>maimunatu3@gmail.com</t>
  </si>
  <si>
    <t>Ibrahim, Idris</t>
  </si>
  <si>
    <t>idriskud2700@gmail.com</t>
  </si>
  <si>
    <t>Maishera Muhammad Abubakar</t>
  </si>
  <si>
    <t>maisheramd@gmail.com</t>
  </si>
  <si>
    <t>Oluwayomi</t>
  </si>
  <si>
    <t>oluwayomiadekunle@yahoo.com</t>
  </si>
  <si>
    <t>Ramatu Iliya</t>
  </si>
  <si>
    <t>ramatuiliya@gmail.com</t>
  </si>
  <si>
    <t>Dondo Simeon</t>
  </si>
  <si>
    <t>simeondondo83@gmail.com</t>
  </si>
  <si>
    <t>Syphero Okello</t>
  </si>
  <si>
    <t>sypherojose54@gmail.com</t>
  </si>
  <si>
    <t>Kenya</t>
  </si>
  <si>
    <t>OSORO RICHARD BATASI</t>
  </si>
  <si>
    <t>batasirichard6@gmail.com</t>
  </si>
  <si>
    <t>Ahmad Mardiyyah Muhammad</t>
  </si>
  <si>
    <t>ahmadmardiyyah100@gmail.com</t>
  </si>
  <si>
    <t>Nkhululekho M Siwela</t>
  </si>
  <si>
    <t>siwelalekho2021@gmail.com</t>
  </si>
  <si>
    <t>Kasama primary</t>
  </si>
  <si>
    <t>Isah Rukayya Ahmad</t>
  </si>
  <si>
    <t>rukyahmad14@gmail.com</t>
  </si>
  <si>
    <t>UMAR MUHAMMAD AWWAL</t>
  </si>
  <si>
    <t>awwalmatawalle@gmail.com</t>
  </si>
  <si>
    <t>PAIKORO</t>
  </si>
  <si>
    <t>Oluwatosin FAITH</t>
  </si>
  <si>
    <t>oluwatosinfaithlove@gmail.com</t>
  </si>
  <si>
    <t>Ummukulsum jamilu Danjuma</t>
  </si>
  <si>
    <t>ummukulsumjamiludanjuma@gmail.com</t>
  </si>
  <si>
    <t>Ummi Jibril Ado</t>
  </si>
  <si>
    <t>ummijibrilado@gmail.com</t>
  </si>
  <si>
    <t>Indigenous resident, Refugee (from another country)</t>
  </si>
  <si>
    <t>Abdulhakeem Toheeb Adekunle</t>
  </si>
  <si>
    <t>abdulhakeemtoheeb@gmail.com</t>
  </si>
  <si>
    <t>Yusuf Aisha</t>
  </si>
  <si>
    <t>ummuabba2019@gmail.com</t>
  </si>
  <si>
    <t>Lawal Fatimah Akorede</t>
  </si>
  <si>
    <t>lawalkore04@gmail.com</t>
  </si>
  <si>
    <t>Ijebu North</t>
  </si>
  <si>
    <t>Aliyu Musa Lawan</t>
  </si>
  <si>
    <t>musa.aliyu149@gmail.com</t>
  </si>
  <si>
    <t>Gezawa</t>
  </si>
  <si>
    <t>Sani Fatima madobi</t>
  </si>
  <si>
    <t>fmadobi99@gmail.com</t>
  </si>
  <si>
    <t>Sani Maryam Umar</t>
  </si>
  <si>
    <t>maryamsaniumar696@gmail.com</t>
  </si>
  <si>
    <t>Khadija jibril bature</t>
  </si>
  <si>
    <t>Khadijajibrilbature@gmail.com</t>
  </si>
  <si>
    <t>Aminu Khadijah Aliyu</t>
  </si>
  <si>
    <t>aliyukhadijah13@gmail.com</t>
  </si>
  <si>
    <t>Francisca Kinyanyi</t>
  </si>
  <si>
    <t>kinyanyfransisca@gmail.com</t>
  </si>
  <si>
    <t>Kani</t>
  </si>
  <si>
    <t>Sani Aisha Jibrin</t>
  </si>
  <si>
    <t>aishasani921@gmail.com</t>
  </si>
  <si>
    <t>Tervin Brighton</t>
  </si>
  <si>
    <t>tervinbrighton@gmail.com</t>
  </si>
  <si>
    <t>Abdullahi Samira Zulaiha</t>
  </si>
  <si>
    <t>abdullahisamira388@gmail.com</t>
  </si>
  <si>
    <t>OLUWO Muili Adelekan</t>
  </si>
  <si>
    <t>lekanm4success@yahoo.com</t>
  </si>
  <si>
    <t>Abeokuta South LGA</t>
  </si>
  <si>
    <t>Ahmad Ahmad yusuf</t>
  </si>
  <si>
    <t>ahmadahmadyusuf727@gmail.com</t>
  </si>
  <si>
    <t>Ayinde, Peter Olasupo</t>
  </si>
  <si>
    <t>ayindepeter02@gmail.com</t>
  </si>
  <si>
    <t>Ogu/Bolo</t>
  </si>
  <si>
    <t>Murtala karimatu munir</t>
  </si>
  <si>
    <t>karimatumunirmurtala@gmail.com</t>
  </si>
  <si>
    <t>Abdullahi Rukayya Muhammad</t>
  </si>
  <si>
    <t>rukayyaabdullahimuhammad07@gmail.com</t>
  </si>
  <si>
    <t>Hauwau muhd ABDULLAHI</t>
  </si>
  <si>
    <t>hauwaumuhdabdullahi548@gmail.com</t>
  </si>
  <si>
    <t>Ajingi</t>
  </si>
  <si>
    <t>Abdulhamid Muhammad</t>
  </si>
  <si>
    <t>muhammadabdulhameed7@gmail.com</t>
  </si>
  <si>
    <t>Ismail Muhammad Sabiq</t>
  </si>
  <si>
    <t>sabeek1000@gmail.com</t>
  </si>
  <si>
    <t>IBRAHIM AMINA UMAR</t>
  </si>
  <si>
    <t>minaui023@gmail.com</t>
  </si>
  <si>
    <t>CLEMENT ADIE ATOMBO</t>
  </si>
  <si>
    <t>clementatombo5@gmail.com</t>
  </si>
  <si>
    <t>OGU/BOLO</t>
  </si>
  <si>
    <t>Abdulmajid</t>
  </si>
  <si>
    <t>baffa9478@gmail.com</t>
  </si>
  <si>
    <t>ZULFAA KABIR AHMAD</t>
  </si>
  <si>
    <t>zulfaakabirahmad877@gmail.com</t>
  </si>
  <si>
    <t>Daju Emmanuel</t>
  </si>
  <si>
    <t>prinxemzi@gmail.com</t>
  </si>
  <si>
    <t>Ogu Bolo</t>
  </si>
  <si>
    <t>Aisha Umar Yakubu</t>
  </si>
  <si>
    <t>aishaumaryakubu04@gmail.com</t>
  </si>
  <si>
    <t>Muhammad Sadiya kabir</t>
  </si>
  <si>
    <t>sadiyamkabir0@gmail.com</t>
  </si>
  <si>
    <t>Kabiru Muhammad Minjibir</t>
  </si>
  <si>
    <t>mkabiru61@gmail.com</t>
  </si>
  <si>
    <t>Mayor</t>
  </si>
  <si>
    <t>mayorruth102@gmail.com</t>
  </si>
  <si>
    <t>Kolokuma Opokuma</t>
  </si>
  <si>
    <t>Musa Aisha Said</t>
  </si>
  <si>
    <t>aishermuserh@gmail.com</t>
  </si>
  <si>
    <t>Saminu Usman Salisu</t>
  </si>
  <si>
    <t>usmansaminu24@gmail.com</t>
  </si>
  <si>
    <t>Kura</t>
  </si>
  <si>
    <t>Umar auwal ibrahim</t>
  </si>
  <si>
    <t>auwalumarobrahim@gmail.com</t>
  </si>
  <si>
    <t>khadija jibril bature</t>
  </si>
  <si>
    <t>khadijajibrilbature@gmail.com</t>
  </si>
  <si>
    <t>Abbas</t>
  </si>
  <si>
    <t>usamaabbas2019@gmail.com</t>
  </si>
  <si>
    <t>IBRAHIM SADIYA MUHAMMAD</t>
  </si>
  <si>
    <t>sadiyaibrahimsauna@gmail.com</t>
  </si>
  <si>
    <t>Nassarawa Local Government Area</t>
  </si>
  <si>
    <t>Aisha Auwal Usman</t>
  </si>
  <si>
    <t>aishamubeenah@gmail.com</t>
  </si>
  <si>
    <t>Fatima Shehu Abdulhamid</t>
  </si>
  <si>
    <t>afatimashehu@gmail.com</t>
  </si>
  <si>
    <t>Hauwa Umar Ibrahim</t>
  </si>
  <si>
    <t>hauwaumaribrahim27@gmail.com</t>
  </si>
  <si>
    <t>Aisha Haruna suleiman</t>
  </si>
  <si>
    <t>ameerahcollection032@gmail.com</t>
  </si>
  <si>
    <t>Morgan Aimeighomwan peace</t>
  </si>
  <si>
    <t>peacebiblio4@gmail.com</t>
  </si>
  <si>
    <t>Kolokuma Local Government Area</t>
  </si>
  <si>
    <t>Muhammad Rahma Abdussamad</t>
  </si>
  <si>
    <t>rahmaam1003@gmail.com</t>
  </si>
  <si>
    <t>NTUKA LUTA Jeancy</t>
  </si>
  <si>
    <t>jeancyntuka@gmail.com</t>
  </si>
  <si>
    <t>Kinshasa</t>
  </si>
  <si>
    <t>Muhammad Zainab Abdullahi</t>
  </si>
  <si>
    <t>zainababdullahimuhd1234@gmail.com</t>
  </si>
  <si>
    <t>Kabir Mahi Sidi</t>
  </si>
  <si>
    <t>mahisidikabir@gmail.com</t>
  </si>
  <si>
    <t>Mohammad Khalid Rashidi</t>
  </si>
  <si>
    <t>khalid.rashidi2010@gmail.com</t>
  </si>
  <si>
    <t>Afghanistan</t>
  </si>
  <si>
    <t>Yusuf Faisal muhd baba</t>
  </si>
  <si>
    <t>faisalmbyusuf@gmail.com</t>
  </si>
  <si>
    <t>Atimapre Ebimoboere</t>
  </si>
  <si>
    <t>ebimoboereatimapre@gmail.com</t>
  </si>
  <si>
    <t>ADO UMMUSALAMA MUHAMMAD</t>
  </si>
  <si>
    <t>ummusalmaado69@gmail.com</t>
  </si>
  <si>
    <t>Habib Abbas</t>
  </si>
  <si>
    <t>abbashabibalu@gmail.com</t>
  </si>
  <si>
    <t>Hameeda Abdulsalam</t>
  </si>
  <si>
    <t>abdulsalamhameedat1@gmail.com</t>
  </si>
  <si>
    <t>Ahmad Shehu usman</t>
  </si>
  <si>
    <t>ashehu522@gmail.com</t>
  </si>
  <si>
    <t>Auwal Fatima Usman</t>
  </si>
  <si>
    <t>fatimaauwal2441@gmail.com</t>
  </si>
  <si>
    <t>Nalubega Angella</t>
  </si>
  <si>
    <t>nalubegangella@gmail.com</t>
  </si>
  <si>
    <t>Uganda</t>
  </si>
  <si>
    <t>None</t>
  </si>
  <si>
    <t>Nwuju John Chukwuma</t>
  </si>
  <si>
    <t>nwujuchukwuma1@gmail.com</t>
  </si>
  <si>
    <t>Obiakpo</t>
  </si>
  <si>
    <t>Umeh Blessing</t>
  </si>
  <si>
    <t>blessingumeh2019@gmail.com</t>
  </si>
  <si>
    <t>Portharcourt</t>
  </si>
  <si>
    <t>ABUBAKAR MUSA</t>
  </si>
  <si>
    <t>abubakarmusa1210@gmail.com</t>
  </si>
  <si>
    <t>TARAUNI</t>
  </si>
  <si>
    <t>Shehu sadiq Abdulhamid</t>
  </si>
  <si>
    <t>Sadiqabdulhamid25@gmail.com</t>
  </si>
  <si>
    <t>Mustapha abubakar</t>
  </si>
  <si>
    <t>abubakarmtajiri@gmail.com</t>
  </si>
  <si>
    <t>Mohammed Ndagana</t>
  </si>
  <si>
    <t>mohammedndagan315@gmai.com</t>
  </si>
  <si>
    <t>Sadiya bala said</t>
  </si>
  <si>
    <t>aishamaman754@gmail.com</t>
  </si>
  <si>
    <t>Dahiru Suleman Suleman</t>
  </si>
  <si>
    <t>sulemandahirusuleman@gmail.com</t>
  </si>
  <si>
    <t>Garun Mallam</t>
  </si>
  <si>
    <t>Odutola Nusrat Omowumi</t>
  </si>
  <si>
    <t>nusratwumi@gmail.com</t>
  </si>
  <si>
    <t>Ijebu Ode</t>
  </si>
  <si>
    <t>Muhammad Tijjani</t>
  </si>
  <si>
    <t>tijjani7887@gmail.com</t>
  </si>
  <si>
    <t>Shamsiyya Ahmad Hussain</t>
  </si>
  <si>
    <t>shamsiyyaahmadhussain@gmail.com</t>
  </si>
  <si>
    <t>Mohammed yahaya Salihu</t>
  </si>
  <si>
    <t>yahayayahayasalihu14@gmail.com</t>
  </si>
  <si>
    <t>Harrison Akello</t>
  </si>
  <si>
    <t>akelloharry1121@gmail.com</t>
  </si>
  <si>
    <t>Abdullahi Rukayya Garba</t>
  </si>
  <si>
    <t>garbarukayya7@gmail.com</t>
  </si>
  <si>
    <t>Amina Muhammad Mayki</t>
  </si>
  <si>
    <t>mayakiamina00@gmail.com</t>
  </si>
  <si>
    <t>Shaba Muhammad</t>
  </si>
  <si>
    <t>muhammaadshaba26t@gmail.com</t>
  </si>
  <si>
    <t>Yusuf Sani Hauwa</t>
  </si>
  <si>
    <t>hauwariruwai1998@gmail.com</t>
  </si>
  <si>
    <t>Doguwa</t>
  </si>
  <si>
    <t>Abdullahi Musa Usman</t>
  </si>
  <si>
    <t>abdullahimusausman2025@gmail.com</t>
  </si>
  <si>
    <t>Abubakar Zaria Zakari</t>
  </si>
  <si>
    <t>abuzee002@gmail.com</t>
  </si>
  <si>
    <t>Gabriel J Atiku</t>
  </si>
  <si>
    <t>Gabrieljatiku2@gmail.com</t>
  </si>
  <si>
    <t>Yusuf Hauwa Sani</t>
  </si>
  <si>
    <t>Claudius Solomon Abaiyola</t>
  </si>
  <si>
    <t>csolomonabaiyola@gmail.com</t>
  </si>
  <si>
    <t>Ogbia</t>
  </si>
  <si>
    <t>IBORO PRECIOUS ADEVIE</t>
  </si>
  <si>
    <t>preciousadevie@gmail.com</t>
  </si>
  <si>
    <t>Ekundayo Rafiat Arike</t>
  </si>
  <si>
    <t>rafiatekundayo2017@gmail.com</t>
  </si>
  <si>
    <t>Ewekoro local govt.</t>
  </si>
  <si>
    <t>Rahama yusuf Ibrahim</t>
  </si>
  <si>
    <t>rahmayusuf3306@gmail.com</t>
  </si>
  <si>
    <t>SULEIMAN ABUBAKAR</t>
  </si>
  <si>
    <t>abubakarsuleiman8332@gmail.com</t>
  </si>
  <si>
    <t>Abdulkadir Hafsat Muhammad</t>
  </si>
  <si>
    <t>hafsatabdulkadirmuhammad9@gmail.com</t>
  </si>
  <si>
    <t>Adamu Ndagi</t>
  </si>
  <si>
    <t>a69563876@gmail.com</t>
  </si>
  <si>
    <t>Basira Abdullahi Sani</t>
  </si>
  <si>
    <t>basirasani55@gmail.com</t>
  </si>
  <si>
    <t>Muhammad kudu khadijat</t>
  </si>
  <si>
    <t>muhammadkhadijat6648@gmail.com</t>
  </si>
  <si>
    <t>Oyinloye Rasheedat</t>
  </si>
  <si>
    <t>rasheedat2007@gmail.com</t>
  </si>
  <si>
    <t>Lawan Abdullahi Muhammad</t>
  </si>
  <si>
    <t>alawanbebeji@gmail.com</t>
  </si>
  <si>
    <t>Adeshina</t>
  </si>
  <si>
    <t>adeyetty88@gmail.com</t>
  </si>
  <si>
    <t>Muhammad Sani Abdulkadir</t>
  </si>
  <si>
    <t>muhammadsaniabdulk@gmail.com</t>
  </si>
  <si>
    <t>Abdurraheem Nafisa</t>
  </si>
  <si>
    <t>abdurraheemnafisa2020@gmail.com</t>
  </si>
  <si>
    <t>Nuhu Abubakar</t>
  </si>
  <si>
    <t>anuhu9992@gmail.com</t>
  </si>
  <si>
    <t>Ibrahim Mohammed Danladi</t>
  </si>
  <si>
    <t>danladimoham331@gmail.com</t>
  </si>
  <si>
    <t>NWALOZIE SAMUEL CHIJIOKE</t>
  </si>
  <si>
    <t>samuelchijioke97@gmail.com</t>
  </si>
  <si>
    <t>Obioakpo</t>
  </si>
  <si>
    <t>Ugbaje Ibe Mabel</t>
  </si>
  <si>
    <t>ugbajemabel@gmail.com</t>
  </si>
  <si>
    <t>Awokerowo</t>
  </si>
  <si>
    <t>Muawiyya Abubakar</t>
  </si>
  <si>
    <t>muabubakar23@gmail.com</t>
  </si>
  <si>
    <t>Sadiya Abubakar Sagagi</t>
  </si>
  <si>
    <t>sadiyaabubakarsagagi45@gmail.com</t>
  </si>
  <si>
    <t>Mariya Abubakar Sagagi</t>
  </si>
  <si>
    <t>mariyaabubakar280@gmail.com</t>
  </si>
  <si>
    <t>RABIU AUWALU</t>
  </si>
  <si>
    <t>auwalrabiu84@gmail.com</t>
  </si>
  <si>
    <t>Yusuf Hassan</t>
  </si>
  <si>
    <t>yusufhassan397@gmail.com</t>
  </si>
  <si>
    <t>Usman Fatima Maitama</t>
  </si>
  <si>
    <t>fateeemamaitama@gmail.com</t>
  </si>
  <si>
    <t>Asigo Ebikebena Kennedy</t>
  </si>
  <si>
    <t>kennedyasigo25@gmail.com</t>
  </si>
  <si>
    <t>Yenegoa</t>
  </si>
  <si>
    <t>Bebeji Abdulaziz Muhammad</t>
  </si>
  <si>
    <t>amuhdbbj@gmail.com</t>
  </si>
  <si>
    <t>UMAR JAMILA</t>
  </si>
  <si>
    <t>jamilaumar035@gmail.com</t>
  </si>
  <si>
    <t>Haruna Raheelat Tm</t>
  </si>
  <si>
    <t>raheelatharunatm@gmail.com</t>
  </si>
  <si>
    <t>Gwale LGA</t>
  </si>
  <si>
    <t>Zubairu Halima Shaba</t>
  </si>
  <si>
    <t>cutiehalzub@gmail.com</t>
  </si>
  <si>
    <t>RABIAT SUNUSI IBRAHIM</t>
  </si>
  <si>
    <t>rabiatsunusiibrahim124@gmail.com</t>
  </si>
  <si>
    <t>Abdu Hauwa Bature</t>
  </si>
  <si>
    <t>hauwabature68@gmail.com</t>
  </si>
  <si>
    <t>Sadiya Bello Idris</t>
  </si>
  <si>
    <t>isadiyabello@gmail.com</t>
  </si>
  <si>
    <t>Kabo</t>
  </si>
  <si>
    <t>Kabir mamman</t>
  </si>
  <si>
    <t>kmamman28@gmail.com</t>
  </si>
  <si>
    <t>Bilkisu Yahaya Abba</t>
  </si>
  <si>
    <t>yahayaabbabilkisu@gmail.com</t>
  </si>
  <si>
    <t>Hassan Muhammad sulaiman</t>
  </si>
  <si>
    <t>mhsulaimanau@gmail.com</t>
  </si>
  <si>
    <t>Usman Zainab yahaya</t>
  </si>
  <si>
    <t>othmanzainab001@gmail.com</t>
  </si>
  <si>
    <t>Fauziyya Lawan Bello</t>
  </si>
  <si>
    <t>fatimalawanbello942@gmail.com</t>
  </si>
  <si>
    <t>Vivian Nduka</t>
  </si>
  <si>
    <t>viviannduka162@gmail.com</t>
  </si>
  <si>
    <t>Saadatu Abubakar Ibrahim</t>
  </si>
  <si>
    <t>saadahdanbatta@gmail.com</t>
  </si>
  <si>
    <t>Audu Sunday Emmanuel</t>
  </si>
  <si>
    <t>audusunday63@gmail.com</t>
  </si>
  <si>
    <t>Yisa Edward Gana</t>
  </si>
  <si>
    <t>yisaedward@gmail.com</t>
  </si>
  <si>
    <t>Isah mohammed</t>
  </si>
  <si>
    <t>leem68766@gmail.com</t>
  </si>
  <si>
    <t>Sulaiman Abdulrashid</t>
  </si>
  <si>
    <t>abdulrashidsuleiman5@gmail.com</t>
  </si>
  <si>
    <t>Abdullahi Ishaq Shehu</t>
  </si>
  <si>
    <t>abdullahiishaqshehu@gmail.com</t>
  </si>
  <si>
    <t>Abdullahi fatima Garba</t>
  </si>
  <si>
    <t>abdullahifatimagarba05@gmail.com</t>
  </si>
  <si>
    <t>Safiyanu Babangida</t>
  </si>
  <si>
    <t>safiyanubabangida61@gmail.com</t>
  </si>
  <si>
    <t>Abdullahi Fatima Adamu</t>
  </si>
  <si>
    <t>fatimaadamuabdullahi51@gmail.com</t>
  </si>
  <si>
    <t>Bilkisu Ibrahim idiris</t>
  </si>
  <si>
    <t>ibrahimbilkisu687@gmail.com</t>
  </si>
  <si>
    <t>Tarauni babban giji</t>
  </si>
  <si>
    <t>Visual impairment (partial or full), Hearing impairment,</t>
  </si>
  <si>
    <t>Aliyu Adam</t>
  </si>
  <si>
    <t>habaliyu2016@gmail.com</t>
  </si>
  <si>
    <t>Abubakar isah</t>
  </si>
  <si>
    <t>abuisah1998@gmail.com</t>
  </si>
  <si>
    <t>ABDULLAHI DAUDA SULAIMAN</t>
  </si>
  <si>
    <t>abdullahidaudasuleiman73@gmail.com</t>
  </si>
  <si>
    <t>BEBEJI GALADANCHI BEBEJI LOCAL GOVERNMENT</t>
  </si>
  <si>
    <t>Garba Nafisat Maigari</t>
  </si>
  <si>
    <t>nafisatmgi@gmail.com</t>
  </si>
  <si>
    <t>Maryam Lawan Bello</t>
  </si>
  <si>
    <t>lbellomaryam@gmail.com</t>
  </si>
  <si>
    <t>Muhammad zaharaddin jaafar</t>
  </si>
  <si>
    <t>muhammadzaharaddeenjafar@gmail.com</t>
  </si>
  <si>
    <t>Nassarawa lga</t>
  </si>
  <si>
    <t>Abdullahi Hussaini</t>
  </si>
  <si>
    <t>abdullahihussaini36@gmail.com</t>
  </si>
  <si>
    <t>ABDULLAHI MARYAM</t>
  </si>
  <si>
    <t>maryamabdullahiwamdeo@gmail.com</t>
  </si>
  <si>
    <t>Wudil local government area</t>
  </si>
  <si>
    <t>Ibrahim Nasir Auwal</t>
  </si>
  <si>
    <t>ibrahimnasir597@gmail.com</t>
  </si>
  <si>
    <t>Migrant (moved from another part of Nigeria),</t>
  </si>
  <si>
    <t>Mzimela Siphosethu</t>
  </si>
  <si>
    <t>Siphosethue7@gmail.com</t>
  </si>
  <si>
    <t>Ethekwini municipality</t>
  </si>
  <si>
    <t>umarmikel@gmail.com</t>
  </si>
  <si>
    <t>Shafiu kawu shittu</t>
  </si>
  <si>
    <t>shafiukawu06@gmail.com</t>
  </si>
  <si>
    <t>Khadija sunusi junaidu</t>
  </si>
  <si>
    <t>Hearing impairment, Speech impairment</t>
  </si>
  <si>
    <t>Yaro</t>
  </si>
  <si>
    <t>Saniyahayayaro@gmail.com</t>
  </si>
  <si>
    <t>Suleiman Saad mahe</t>
  </si>
  <si>
    <t>sulaimansaadmahe2020@gmail.com</t>
  </si>
  <si>
    <t>Abdullahi Basiru</t>
  </si>
  <si>
    <t>abdullahibasirubebeji@gmail.com</t>
  </si>
  <si>
    <t>Hashim Isah Uba</t>
  </si>
  <si>
    <t>ubahashimi@gmail.com</t>
  </si>
  <si>
    <t>Aliya Garba</t>
  </si>
  <si>
    <t>aliyagarba09@gmail.com</t>
  </si>
  <si>
    <t>Muhammad Aisha sunusi</t>
  </si>
  <si>
    <t>aishahumairamibaba@gmail.com</t>
  </si>
  <si>
    <t>Adam zainab musa</t>
  </si>
  <si>
    <t>zainabadammusa005@gmail.com</t>
  </si>
  <si>
    <t>Edet John Sunday</t>
  </si>
  <si>
    <t>johnedet555@gmail.com</t>
  </si>
  <si>
    <t>Urueoffong/Oruko</t>
  </si>
  <si>
    <t>Abdullahi Usman</t>
  </si>
  <si>
    <t>usmanbabura014@gmail.com</t>
  </si>
  <si>
    <t>Shafiu Muhammad yusuf</t>
  </si>
  <si>
    <t>muhammadshafiuyusuf1@gmail.com</t>
  </si>
  <si>
    <t>Kano municipal city</t>
  </si>
  <si>
    <t>Night vision problem</t>
  </si>
  <si>
    <t>Sabiu nura</t>
  </si>
  <si>
    <t>sabiumashiri@gmail.com</t>
  </si>
  <si>
    <t>Isyaku Abubakar Muhammad</t>
  </si>
  <si>
    <t>ishaqamuhd@gmail.com</t>
  </si>
  <si>
    <t>Fatima Muhammad seri</t>
  </si>
  <si>
    <t>fatimaseri94@gmail.com</t>
  </si>
  <si>
    <t>Musa Hajara Idris</t>
  </si>
  <si>
    <t>goshiskitchen@gmail.com</t>
  </si>
  <si>
    <t>Salisu Adamu</t>
  </si>
  <si>
    <t>adamusalisubebeji2017@gmail.com</t>
  </si>
  <si>
    <t>Hussaina balarabe Garba</t>
  </si>
  <si>
    <t>hussainabalarabe123@gmail.com</t>
  </si>
  <si>
    <t>DANJUMA BEATRICE TIRNOM</t>
  </si>
  <si>
    <t>beatricetirnom@gmail.com</t>
  </si>
  <si>
    <t>Sumaila local government Area</t>
  </si>
  <si>
    <t>Nura Umar</t>
  </si>
  <si>
    <t>nuradewu@gmail.com</t>
  </si>
  <si>
    <t>Saleh Aisha Ada’mu</t>
  </si>
  <si>
    <t>ayshersaleh07@gmail.con</t>
  </si>
  <si>
    <t>Rogo local government Area</t>
  </si>
  <si>
    <t>Abdullahi</t>
  </si>
  <si>
    <t>babayaro219@gmail.com</t>
  </si>
  <si>
    <t>Fatima Saleh yakub</t>
  </si>
  <si>
    <t>fatimasalehyakub2005@gmail.com</t>
  </si>
  <si>
    <t>Usman Hafsa Maitama</t>
  </si>
  <si>
    <t>hafsamaitama007@gmail.com</t>
  </si>
  <si>
    <t>Sadiya Sani Abubakar</t>
  </si>
  <si>
    <t>bashirsani233@gmail.com</t>
  </si>
  <si>
    <t>Abdulkarim Yunusa</t>
  </si>
  <si>
    <t>iabdul806@gmail.com</t>
  </si>
  <si>
    <t>Santa Justine</t>
  </si>
  <si>
    <t>santajustine98@gmail.com</t>
  </si>
  <si>
    <t>South sudan</t>
  </si>
  <si>
    <t>outside Nigeria</t>
  </si>
  <si>
    <t>Aisha Sani Abubakar</t>
  </si>
  <si>
    <t>aishasanee99@gmail.com</t>
  </si>
  <si>
    <t>Hauwa Aliyu Sani</t>
  </si>
  <si>
    <t>hauwaaliyusani43@gmail.com</t>
  </si>
  <si>
    <t>Aliyu Fatima Hamza</t>
  </si>
  <si>
    <t>fatimaaliyuhamza@gmail.com</t>
  </si>
  <si>
    <t>Ibrahim Nasiru</t>
  </si>
  <si>
    <t>ibrahimnasiru1178@gmail.com</t>
  </si>
  <si>
    <t>BEBEJI</t>
  </si>
  <si>
    <t>Maimuna Bashir</t>
  </si>
  <si>
    <t>maymunatgabari@gmail.com</t>
  </si>
  <si>
    <t>Yahaya Sadi Sani</t>
  </si>
  <si>
    <t>sadisubebeji@gmail.com</t>
  </si>
  <si>
    <t>Ismail Rilwan Muhammad</t>
  </si>
  <si>
    <t>ismailsir697@gmail.com</t>
  </si>
  <si>
    <t>Abubakar Firdausi</t>
  </si>
  <si>
    <t>abubakarfirdausi543@gmail.com</t>
  </si>
  <si>
    <t>Chiranchi</t>
  </si>
  <si>
    <t>Hauwa Jibril Abubakar</t>
  </si>
  <si>
    <t>Ado Sadik Rabiu</t>
  </si>
  <si>
    <t>rabiuadosadik@gmail.com</t>
  </si>
  <si>
    <t>Hauwau Abdullahi Bello</t>
  </si>
  <si>
    <t>hauwauabdullahi8950@gmail.com</t>
  </si>
  <si>
    <t>Nassarawa local Government</t>
  </si>
  <si>
    <t>Sulaiman Radiyya Umar</t>
  </si>
  <si>
    <t>radiyyasulaiman5@gmail.com</t>
  </si>
  <si>
    <t>ALIYU MUBARAK LAWAN</t>
  </si>
  <si>
    <t>mubaraklawanaliyu3099@gmail.com</t>
  </si>
  <si>
    <t>Lawan Khadija</t>
  </si>
  <si>
    <t>khadijalawan3459@gmail.com</t>
  </si>
  <si>
    <t>Babangida Ayuba</t>
  </si>
  <si>
    <t>bebeji1993@gmail.com</t>
  </si>
  <si>
    <t>Khadija Sani Muhammad</t>
  </si>
  <si>
    <t>khadijasanimuhd90@gmail.com</t>
  </si>
  <si>
    <t>Asmau Ibrahim</t>
  </si>
  <si>
    <t>iasmau10@gmail.com</t>
  </si>
  <si>
    <t>Tudun Wada local government</t>
  </si>
  <si>
    <t>SAGAGI AHMAD AUWAL</t>
  </si>
  <si>
    <t>ahmadauwalsagagi@gmail.com</t>
  </si>
  <si>
    <t>Lawan Khadija Haruna</t>
  </si>
  <si>
    <t>khadijalawan0@gmail.com</t>
  </si>
  <si>
    <t>Sadik saad hussaini</t>
  </si>
  <si>
    <t>sadiksaad418@gmail.com</t>
  </si>
  <si>
    <t>Dawakin tofa</t>
  </si>
  <si>
    <t>Terebo thankGod oluwatimilehin</t>
  </si>
  <si>
    <t>terebodamilola@gmail.com</t>
  </si>
  <si>
    <t>Shehu sadiya Abdullah</t>
  </si>
  <si>
    <t>sadiyashehuabdullahi1@gmail.com</t>
  </si>
  <si>
    <t>Aliyu Jibrin Abdullahi</t>
  </si>
  <si>
    <t>ajibrinabdullahi@gmail.com</t>
  </si>
  <si>
    <t>Dauda zainab Ahmad</t>
  </si>
  <si>
    <t>zainabdaudaahmad191999@gmail.com</t>
  </si>
  <si>
    <t>Maryam idris Aliyu</t>
  </si>
  <si>
    <t>maryamidris4455@gmail.com</t>
  </si>
  <si>
    <t>Sulaiman Musa Sulaiman</t>
  </si>
  <si>
    <t>sulaimanmusayankaba0016@gmail.com</t>
  </si>
  <si>
    <t>Rabiu ibrahim Ahmad</t>
  </si>
  <si>
    <t>rabiuibrahimahmad44@gmail.com</t>
  </si>
  <si>
    <t>Sakina Ibrahim salihu</t>
  </si>
  <si>
    <t>sakinaibrahimsalihu12@gmail.com</t>
  </si>
  <si>
    <t>Nafisat Maigari Garba</t>
  </si>
  <si>
    <t>ZAINAB AUWAL USMAN</t>
  </si>
  <si>
    <t>zainabauwalusman1@gmail.com</t>
  </si>
  <si>
    <t>DAWAKIN KUDU</t>
  </si>
  <si>
    <t>Nafisa Aliyu</t>
  </si>
  <si>
    <t>nafisaaliyu1987@gmail.com</t>
  </si>
  <si>
    <t>Sulaiman fauziyya</t>
  </si>
  <si>
    <t>Sulaimanfauziyya80@gmail.com</t>
  </si>
  <si>
    <t>Ibrahim Fatima Salahu</t>
  </si>
  <si>
    <t>fatimasalahu@gmail.com</t>
  </si>
  <si>
    <t>Ibimina James Tende</t>
  </si>
  <si>
    <t>Jamestende@gmail.com</t>
  </si>
  <si>
    <t>Ogu/bolo local government area</t>
  </si>
  <si>
    <t>Jafar Saudat Muhammad</t>
  </si>
  <si>
    <t>saudatjafar360@gmail.com</t>
  </si>
  <si>
    <t>HASSAN SANI TAFIDA</t>
  </si>
  <si>
    <t>hassasanitafida@gmail.com</t>
  </si>
  <si>
    <t>Wudil LGA</t>
  </si>
  <si>
    <t>Drare Berhe</t>
  </si>
  <si>
    <t>berheafera9@gmail.com</t>
  </si>
  <si>
    <t>Tigray</t>
  </si>
  <si>
    <t>Abdulhameed Umar</t>
  </si>
  <si>
    <t>umarabdulhamid04@gmail.com</t>
  </si>
  <si>
    <t>Usman Zainab Ahmad</t>
  </si>
  <si>
    <t>zainabusmanahmad1@gmail.com</t>
  </si>
  <si>
    <t>Saeed Nusaiba Muhammad</t>
  </si>
  <si>
    <t>nsaeedmuhammad@gmail.com</t>
  </si>
  <si>
    <t>IBRAHIM HALIMA LAWAN</t>
  </si>
  <si>
    <t>halimalawanibrahim2010@gmail.com</t>
  </si>
  <si>
    <t>Ogezi Samuel</t>
  </si>
  <si>
    <t>samgezi@yahoo.com</t>
  </si>
  <si>
    <t>Sabon Gari</t>
  </si>
  <si>
    <t>Bala Hajara Ladan</t>
  </si>
  <si>
    <t>hajarabalaladan60@gmail.com</t>
  </si>
  <si>
    <t>Zulaihat Salisu Jinjiri</t>
  </si>
  <si>
    <t>zsalisujinjiri@gmail.com</t>
  </si>
  <si>
    <t>GARBA SHAFIU</t>
  </si>
  <si>
    <t>shafiugarba2024@gmail.com</t>
  </si>
  <si>
    <t>Dalhatu Adamu Idris</t>
  </si>
  <si>
    <t>dalhatuadamuidris27@gmail.com</t>
  </si>
  <si>
    <t>Usman Rahma Auwal</t>
  </si>
  <si>
    <t>urahmaauwal@gmail.com</t>
  </si>
  <si>
    <t>Mohammed Shukura Magaji</t>
  </si>
  <si>
    <t>shukuramagaji9@gmail.com</t>
  </si>
  <si>
    <t>Ashana Mukhtar Usman</t>
  </si>
  <si>
    <t>ashanamukhtarusman@gmail.com</t>
  </si>
  <si>
    <t>Sadiya Dahiru Bashir</t>
  </si>
  <si>
    <t>bashirsadiya884@gmail.com</t>
  </si>
  <si>
    <t>Sadi isah muazu</t>
  </si>
  <si>
    <t>sadiisahmuazu@gmail.com</t>
  </si>
  <si>
    <t>Ogu/bolo</t>
  </si>
  <si>
    <t>Ibrahim auwal lawan</t>
  </si>
  <si>
    <t>auwalibrahimlawan1086@gmail.com</t>
  </si>
  <si>
    <t>Sabo Amina</t>
  </si>
  <si>
    <t>meenahbature020@gmail.com</t>
  </si>
  <si>
    <t>Jamila lawan muhammad</t>
  </si>
  <si>
    <t>jamilalawanmuhammad@gmail.com</t>
  </si>
  <si>
    <t>Aminu Aisha</t>
  </si>
  <si>
    <t>aishatufiljannah@gmail.com</t>
  </si>
  <si>
    <t>Muhammad Abdulwahab</t>
  </si>
  <si>
    <t>mnabdulwahab99@gmail.com</t>
  </si>
  <si>
    <t>Bunkure</t>
  </si>
  <si>
    <t>Abdullahi Ibrahim Sule</t>
  </si>
  <si>
    <t>ibrahimabdullahimadaki3@gmail.com</t>
  </si>
  <si>
    <t>Ganjuwa</t>
  </si>
  <si>
    <t>Abdulqadir Sadiq</t>
  </si>
  <si>
    <t>sadikabdulkadir2004@gmail.com</t>
  </si>
  <si>
    <t>Kibiya</t>
  </si>
  <si>
    <t>Auwal Ibrahim</t>
  </si>
  <si>
    <t>iauwal3030@gmail.com</t>
  </si>
  <si>
    <t>Dooga Hangeior James</t>
  </si>
  <si>
    <t>jamesdooga37@gmail.com</t>
  </si>
  <si>
    <t>Nssuka</t>
  </si>
  <si>
    <t>Abubakar Abdullahi Hassan</t>
  </si>
  <si>
    <t>hassanaabubakar.maliyer@gmail.com</t>
  </si>
  <si>
    <t>Saadatu Gambo Danjuma</t>
  </si>
  <si>
    <t>saadatugambodanjuma@gmail.com</t>
  </si>
  <si>
    <t>NABABA ABDULSALAM SANI</t>
  </si>
  <si>
    <t>naababa77@gmail.com</t>
  </si>
  <si>
    <t>Alhassan Zakariyya Shuaibu</t>
  </si>
  <si>
    <t>szakariyya041@gmail.com</t>
  </si>
  <si>
    <t>DAYYAB IBRAHIM</t>
  </si>
  <si>
    <t>dayyabgzw@gmail.com</t>
  </si>
  <si>
    <t>Idris Abdullahi</t>
  </si>
  <si>
    <t>idreth66@gmail.com</t>
  </si>
  <si>
    <t>Yahaya</t>
  </si>
  <si>
    <t>yahayamannir400@gmail.com</t>
  </si>
  <si>
    <t>Ibrahim Ahmad Garba</t>
  </si>
  <si>
    <t>Activiter2022@gmail.com</t>
  </si>
  <si>
    <t>Auwal</t>
  </si>
  <si>
    <t>abdulrahamanworld@gmail.com</t>
  </si>
  <si>
    <t>Muhammad Zainab Auwal</t>
  </si>
  <si>
    <t>zainabauwal0@gmail.com</t>
  </si>
  <si>
    <t>Buhari Ibrahim</t>
  </si>
  <si>
    <t>buhariibrahim516@gmail.com</t>
  </si>
  <si>
    <t>USMAN SANI NABABA</t>
  </si>
  <si>
    <t>usaninababa@gmail.com</t>
  </si>
  <si>
    <t>Indigenous resident, Returnee,</t>
  </si>
  <si>
    <t>Fatima Abdullahi Sani</t>
  </si>
  <si>
    <t>fatimabdullahisani4@gmail.com</t>
  </si>
  <si>
    <t>Iyiade</t>
  </si>
  <si>
    <t>iyiadetaiwo22@gmail.com</t>
  </si>
  <si>
    <t>Ado-odo, ota</t>
  </si>
  <si>
    <t>Fatima musa Shisu</t>
  </si>
  <si>
    <t>fatimamusaahisu2@gmail.com</t>
  </si>
  <si>
    <t>ungogo</t>
  </si>
  <si>
    <t>Ibrahim Fatima Binta</t>
  </si>
  <si>
    <t>bintazahra2001@gmail.com</t>
  </si>
  <si>
    <t>LAWAN ABDULRASHID</t>
  </si>
  <si>
    <t>elrasheed87@gmail.com</t>
  </si>
  <si>
    <t>Muhammad Rukayya Aminu</t>
  </si>
  <si>
    <t>rukayyaaminu102@gmail.com</t>
  </si>
  <si>
    <t>Hassan fatima MUSTAPHA</t>
  </si>
  <si>
    <t>fatimahassangy@gmail.com</t>
  </si>
  <si>
    <t>MUKHTAR</t>
  </si>
  <si>
    <t>alimisah1999@gmail.com</t>
  </si>
  <si>
    <t>Mustapha Zainab Ahmad</t>
  </si>
  <si>
    <t>zainabahmad5416@gmail.com</t>
  </si>
  <si>
    <t>Ahmad Sani Garko</t>
  </si>
  <si>
    <t>ahmadgarko078@gmail.com</t>
  </si>
  <si>
    <t>Inuwa Garba</t>
  </si>
  <si>
    <t>garbainuwa3850@gmail.com</t>
  </si>
  <si>
    <t>Aisha badamasi</t>
  </si>
  <si>
    <t>aishabadamasi872@gmail.com</t>
  </si>
  <si>
    <t>Zanniha Marvellous Abdulkhadir</t>
  </si>
  <si>
    <t>zannihaa@gmail.com</t>
  </si>
  <si>
    <t>Nassarawa LGA</t>
  </si>
  <si>
    <t>Fatima Sani Abubakar</t>
  </si>
  <si>
    <t>fatimasaniabubakar5895@gmail.com</t>
  </si>
  <si>
    <t>Bara'atu Ahmad</t>
  </si>
  <si>
    <t>baraatuahmad234@gmail.com</t>
  </si>
  <si>
    <t>Nura Dauda Abdullahi</t>
  </si>
  <si>
    <t>nuradauda40@gmail.com</t>
  </si>
  <si>
    <t>Ahmad nasir</t>
  </si>
  <si>
    <t>ahmadahmadnasir34@gmail.com</t>
  </si>
  <si>
    <t>Abdulaziz jamila</t>
  </si>
  <si>
    <t>jamilaabdulazizyusuf@gmail.com</t>
  </si>
  <si>
    <t>Mahmud Aisha Bashir</t>
  </si>
  <si>
    <t>shatbash@gmail.com</t>
  </si>
  <si>
    <t>Bilkisu Salisu Abdurrahman</t>
  </si>
  <si>
    <t>bilkesusalesu@gmail.com</t>
  </si>
  <si>
    <t>Aliyu Yahaya</t>
  </si>
  <si>
    <t>aliyahayajamfalan@gmail.com</t>
  </si>
  <si>
    <t>Bello Zalihatu Mohammed</t>
  </si>
  <si>
    <t>zmbello12@gmail.com</t>
  </si>
  <si>
    <t>Sumayya Abdulkarim isah</t>
  </si>
  <si>
    <t>Sumayyaabdulkarimisah241@gmail.com</t>
  </si>
  <si>
    <t>Akanbi Anuoluwapo Stella</t>
  </si>
  <si>
    <t>akanbianu26@gmail.com</t>
  </si>
  <si>
    <t>Muhammad Hauwa</t>
  </si>
  <si>
    <t>hauwamuhammad105@gmail.com</t>
  </si>
  <si>
    <t>Adepoju Fatimah opeyemi</t>
  </si>
  <si>
    <t>fatimahyemi20@gmail.com</t>
  </si>
  <si>
    <t>Mowe</t>
  </si>
  <si>
    <t>Asma'u Abubakar Yusuf</t>
  </si>
  <si>
    <t>asamauabubakaryusuf70@gmail.com</t>
  </si>
  <si>
    <t>Bilkisu Umar Rabiu</t>
  </si>
  <si>
    <t>bilkisuumarrabiu94@gmail.com</t>
  </si>
  <si>
    <t>DALA</t>
  </si>
  <si>
    <t>Hassana Rabiu Abdulkarim</t>
  </si>
  <si>
    <t>rabiuhassana@gmail.com</t>
  </si>
  <si>
    <t>Mohammed Liman mokwa</t>
  </si>
  <si>
    <t>mlimanmokwa@gmail.com</t>
  </si>
  <si>
    <t>Fiddausi Aminu</t>
  </si>
  <si>
    <t>fiddausimalinjo@gmail.com</t>
  </si>
  <si>
    <t>Taura</t>
  </si>
  <si>
    <t>Auwal Lawal</t>
  </si>
  <si>
    <t>auwallawal74@gmail.com</t>
  </si>
  <si>
    <t>Idris Hamza Musa</t>
  </si>
  <si>
    <t>idrishamzamusa@gmail.com</t>
  </si>
  <si>
    <t>Maphanga sibekezelo nositho</t>
  </si>
  <si>
    <t>sibekezelo49@gmail.com</t>
  </si>
  <si>
    <t>Nkomazi municipality</t>
  </si>
  <si>
    <t>Permanent resident</t>
  </si>
  <si>
    <t>Abdulaziz fatima Yusuf</t>
  </si>
  <si>
    <t>fatimabdulazizyusuf@gmail.com</t>
  </si>
  <si>
    <t>Lawan Hussaina Haruna</t>
  </si>
  <si>
    <t>usainalawanharuna@gmail.com</t>
  </si>
  <si>
    <t>Aisha Hassan Sulaiman</t>
  </si>
  <si>
    <t>aishahassansulaiman87@gmail.com</t>
  </si>
  <si>
    <t>Sa'adatu Ibrahim musa</t>
  </si>
  <si>
    <t>maikudiy@gmail.com</t>
  </si>
  <si>
    <t>Ibrahim Hafsat Badamasi</t>
  </si>
  <si>
    <t>hafsatbadamasy@gmail.com</t>
  </si>
  <si>
    <t>Abdulkadir Jibrin Abubakar</t>
  </si>
  <si>
    <t>abdulkadirjibrinabubakar@gmail.com</t>
  </si>
  <si>
    <t>Aminu Bello Fatima</t>
  </si>
  <si>
    <t>fatimaaminu15@gmail.com</t>
  </si>
  <si>
    <t>Badariyya Aliyu Alhassan</t>
  </si>
  <si>
    <t>badariyyaaaliyu@gmail.com</t>
  </si>
  <si>
    <t>Dala local Government</t>
  </si>
  <si>
    <t>Musa Umar Umar</t>
  </si>
  <si>
    <t>umarmusau7@gmail.com</t>
  </si>
  <si>
    <t>ALFA MOHAMMED</t>
  </si>
  <si>
    <t>muhammadalfa547@gmail.com</t>
  </si>
  <si>
    <t>YAHAYA NAJAATU ABDULLAHI</t>
  </si>
  <si>
    <t>najaatuyahaya129@gmail.com</t>
  </si>
  <si>
    <t>Aisha Abdulaziz Yusuf</t>
  </si>
  <si>
    <t>aishaabdulazizyusuf6@gmail.com</t>
  </si>
  <si>
    <t>Kasaye Assefa Balcha</t>
  </si>
  <si>
    <t>kasaye2021@gmail.com</t>
  </si>
  <si>
    <t>Ethiopia</t>
  </si>
  <si>
    <t>Ismail abubakar ya'u</t>
  </si>
  <si>
    <t>abubakaryaudanumma@gmail.com</t>
  </si>
  <si>
    <t>Ibrahim Sadiya Aliyu</t>
  </si>
  <si>
    <t>sadiyaaliyu2370@gmail.com</t>
  </si>
  <si>
    <t>Muhammad Mudahhiru</t>
  </si>
  <si>
    <t>mudahhirumuhd1937@gmail.com</t>
  </si>
  <si>
    <t>Aisha Bello Abubakar</t>
  </si>
  <si>
    <t>aishabelloabubakar2019@gmail.com</t>
  </si>
  <si>
    <t>Ishaq Ummi Ibrahim</t>
  </si>
  <si>
    <t>ummi00579@gmail.com</t>
  </si>
  <si>
    <t>Hauwau muhd abdullahi</t>
  </si>
  <si>
    <t>Maryam Babangida</t>
  </si>
  <si>
    <t>babangidasafiyanu2004@gmail.com</t>
  </si>
  <si>
    <t>Isah Abdulmalik</t>
  </si>
  <si>
    <t>abdulmalikisah45@gmail.com</t>
  </si>
  <si>
    <t>Nuhu balaraba umar</t>
  </si>
  <si>
    <t>balarabanuhuumar@gmail.com</t>
  </si>
  <si>
    <t>Guful Bukola Atinuke</t>
  </si>
  <si>
    <t>bukolaguful@gmail.com</t>
  </si>
  <si>
    <t>Munna</t>
  </si>
  <si>
    <t>Sa'id Hafsa Nasidi</t>
  </si>
  <si>
    <t>nasidihafsasaid@gmail.com</t>
  </si>
  <si>
    <t>Sabo Amina Haruna</t>
  </si>
  <si>
    <t>Saboharunaamina@gmail.com</t>
  </si>
  <si>
    <t>Hauwau Yusuf sulaiman</t>
  </si>
  <si>
    <t>yhauwau8@gmail.com</t>
  </si>
  <si>
    <t>Tudun wada</t>
  </si>
  <si>
    <t>ALHASSAN IDRIS</t>
  </si>
  <si>
    <t>idrisalhassansidi10@gmail.com</t>
  </si>
  <si>
    <t>HUSSAINI RABIU DANKAKA</t>
  </si>
  <si>
    <t>marrab2624@gmail.com</t>
  </si>
  <si>
    <t>bebeji</t>
  </si>
  <si>
    <t>Ibrahim Nura isah</t>
  </si>
  <si>
    <t>nuraibraheem1992@gmail.com</t>
  </si>
  <si>
    <t>Physical disability (mobility, limb impairment), Visual impairment (partial or full), Hearing impairment, Speech impairment</t>
  </si>
  <si>
    <t>Galadima Jabir Ibrahim</t>
  </si>
  <si>
    <t>jabiribrahim808@gmail.com</t>
  </si>
  <si>
    <t>Sulaiman Ya'u Sulaiman</t>
  </si>
  <si>
    <t>yausulaiman22@gmail.com</t>
  </si>
  <si>
    <t>Kiru Local Government Area</t>
  </si>
  <si>
    <t>Faiza Hamza zubairu</t>
  </si>
  <si>
    <t>faizahamzazubair1@gmail.com</t>
  </si>
  <si>
    <t>yusifammani06@gmail.com</t>
  </si>
  <si>
    <t>Murtala Sunusi</t>
  </si>
  <si>
    <t>Sunusimurta89@gmail.com</t>
  </si>
  <si>
    <t>Wudil local government</t>
  </si>
  <si>
    <t>Maryam tijjani hassan</t>
  </si>
  <si>
    <t>maryamtijjanihassan01@gmail.com</t>
  </si>
  <si>
    <t>Garko</t>
  </si>
  <si>
    <t>Takai Mukhtar Abdulkadir</t>
  </si>
  <si>
    <t>Mukhtarabdulkadirtakai@gmail.com</t>
  </si>
  <si>
    <t>Takai</t>
  </si>
  <si>
    <t>Ibrahim Rabiatu Ayuba</t>
  </si>
  <si>
    <t>adaweeyaibrahimayuba@gmail.com</t>
  </si>
  <si>
    <t>Usaina abdulhadi bako</t>
  </si>
  <si>
    <t>usainaabdulhadibako52@gmail.com</t>
  </si>
  <si>
    <t>Muhammad Hauwa Aliyu</t>
  </si>
  <si>
    <t>muhammadhauwaaliyu3@gmail.com</t>
  </si>
  <si>
    <t>Abubakar Furai’atu Rabiu</t>
  </si>
  <si>
    <t>furayatabbakars123@gmail.com</t>
  </si>
  <si>
    <t>Abubakar Aliyu Abdul</t>
  </si>
  <si>
    <t>aleeyumagaba@gmail.com</t>
  </si>
  <si>
    <t>Muhammad Ummi Said</t>
  </si>
  <si>
    <t>muhdummi744@gmail.com</t>
  </si>
  <si>
    <t>Nafisa Haruna Ahmad</t>
  </si>
  <si>
    <t>nafisaharunaahmad602@gmail.com</t>
  </si>
  <si>
    <t>Khadijamansur Muhammad</t>
  </si>
  <si>
    <t>Nuhu Hauwa umar</t>
  </si>
  <si>
    <t>jeddahtulkhair33@gmail.com</t>
  </si>
  <si>
    <t>Raheelat Mukhtar Yusuf</t>
  </si>
  <si>
    <t>raheelmyusuf3@gmail.com</t>
  </si>
  <si>
    <t>ZAINAB SANI ALIYU</t>
  </si>
  <si>
    <t>zainabsanigarko1@gmail.com</t>
  </si>
  <si>
    <t>Zahrau Sulaiman Ibrahim</t>
  </si>
  <si>
    <t>zahrausulaiman2001@gmail.com</t>
  </si>
  <si>
    <t>Esther Ndubuisi</t>
  </si>
  <si>
    <t>ecstaticesther1999@gmail.com</t>
  </si>
  <si>
    <t>Ewekure</t>
  </si>
  <si>
    <t>Muhammad Aisha Adam</t>
  </si>
  <si>
    <t>ayshmuhammadadam7@gmail.com</t>
  </si>
  <si>
    <t>Ukashatu usman giwa</t>
  </si>
  <si>
    <t>Ukashatugiwa33@gmail.com</t>
  </si>
  <si>
    <t>Zahraddin Abdulmumin</t>
  </si>
  <si>
    <t>Zahraddinabdulmumin0@gmail.co</t>
  </si>
  <si>
    <t>Sani Abdulrahman bin</t>
  </si>
  <si>
    <t>beinsani002@gmail.com</t>
  </si>
  <si>
    <t>Yaqub Hauwa Salihu</t>
  </si>
  <si>
    <t>yaqubhauwasalihu@gmail.com</t>
  </si>
  <si>
    <t>Isyaku Muhammad Mustapha</t>
  </si>
  <si>
    <t>mustaphaisyakumuhammad350@gmail.com</t>
  </si>
  <si>
    <t>DAWUD Abdullahi Oladebo</t>
  </si>
  <si>
    <t>abdullahidawudoladebo1@gmail.com</t>
  </si>
  <si>
    <t>Saleh Zainab Abubakar</t>
  </si>
  <si>
    <t>zainabsaleh211@gmail.com</t>
  </si>
  <si>
    <t>Tijjani A Haladu</t>
  </si>
  <si>
    <t>tijjanihaladu20@gmail.com</t>
  </si>
  <si>
    <t>Jakada Aisha Shehu</t>
  </si>
  <si>
    <t>aishasjakada@gmail.com</t>
  </si>
  <si>
    <t>Musa Mohammed Sani</t>
  </si>
  <si>
    <t>mohammedsanimusa91@gmail.com</t>
  </si>
  <si>
    <t>Usman Hafsat umar</t>
  </si>
  <si>
    <t>hafsatumarusman6497@gmail.com</t>
  </si>
  <si>
    <t>Aminu Mardiyya Yusuf</t>
  </si>
  <si>
    <t>mardiyyaaminu0@gmail.com</t>
  </si>
  <si>
    <t>ayshamuhammadadam7@gmail.com</t>
  </si>
  <si>
    <t>Ibrahim Aisha Muhammad</t>
  </si>
  <si>
    <t>aishaibrahimzango21@gmail.com</t>
  </si>
  <si>
    <t>Almustafa Ummulkhayr Rabiu</t>
  </si>
  <si>
    <t>ummulkhayralmustafa501@gmail.com</t>
  </si>
  <si>
    <t>Salamatu Yunusa</t>
  </si>
  <si>
    <t>salamatuy375@gmail.com</t>
  </si>
  <si>
    <t>Asmau Abubakar</t>
  </si>
  <si>
    <t>asmauabubakardanbappa@gmail.com</t>
  </si>
  <si>
    <t>Agwaza Bakimi Naomi</t>
  </si>
  <si>
    <t>bakimiagwaza@gmail.com</t>
  </si>
  <si>
    <t>Auwal Fatima tata</t>
  </si>
  <si>
    <t>fatimauwaltata@gmail.com</t>
  </si>
  <si>
    <t>Zahra'u Muhammad musa</t>
  </si>
  <si>
    <t>musazahraumuhammad@gmail.com</t>
  </si>
  <si>
    <t>Ibrahim anas</t>
  </si>
  <si>
    <t>ibrahimrofiaanas@gmail.com</t>
  </si>
  <si>
    <t>Tofa</t>
  </si>
  <si>
    <t>Abdulkadir Muhammad</t>
  </si>
  <si>
    <t>mndanusa212@gmail.com</t>
  </si>
  <si>
    <t>Parthacourt</t>
  </si>
  <si>
    <t>Abbas Muhammad sunusi</t>
  </si>
  <si>
    <t>abbasmsunusi@gmail.com</t>
  </si>
  <si>
    <t>Yau Sabiu</t>
  </si>
  <si>
    <t>yausabiu123@gmail.com</t>
  </si>
  <si>
    <t>Abubakar yau usman</t>
  </si>
  <si>
    <t>abubakaryauusman365@gmail.com</t>
  </si>
  <si>
    <t>Abdulkarim Bashir Musa</t>
  </si>
  <si>
    <t>abmjagoo@gmail.com</t>
  </si>
  <si>
    <t>Fatima Mustapha Ibrahim</t>
  </si>
  <si>
    <t>teemahshow2001@gmail.com</t>
  </si>
  <si>
    <t>Usman Hassana Umar</t>
  </si>
  <si>
    <t>hassanaumarusman10@gmail.com</t>
  </si>
  <si>
    <t>Jibrin Abubakar Umar</t>
  </si>
  <si>
    <t>jibrinabubakarumar260@gmail.com</t>
  </si>
  <si>
    <t>Sani Ibrahim</t>
  </si>
  <si>
    <t>Saniibrahimusman2018@gmail.com</t>
  </si>
  <si>
    <t>Rabi'u Abdulmalik Musa</t>
  </si>
  <si>
    <t>rabiumusaabdulmalik@gmail.com</t>
  </si>
  <si>
    <t>Makama Asiya Ibrahim</t>
  </si>
  <si>
    <t>makamaasiya@gmail.com</t>
  </si>
  <si>
    <t>Asma'u Rabi'u Umar</t>
  </si>
  <si>
    <t>asmaurabiuumar7@gmail.com</t>
  </si>
  <si>
    <t>Oche Joy</t>
  </si>
  <si>
    <t>ochejoymary21@gmail.com</t>
  </si>
  <si>
    <t>Fagge Local Government Area (LGA) in Kano State, Nigeria.</t>
  </si>
  <si>
    <t>Khadija sani ibrahim</t>
  </si>
  <si>
    <t>dasuksabiu.co@gmail.com</t>
  </si>
  <si>
    <t>shu'aibu murtala</t>
  </si>
  <si>
    <t>murtalashuaibu899@gmail.com</t>
  </si>
  <si>
    <t>Wambukhu Herbert</t>
  </si>
  <si>
    <t>wambukhu.herbert@stud.umu.ac.ug</t>
  </si>
  <si>
    <t>Nkozi</t>
  </si>
  <si>
    <t>Indigenous resident, Migrant from another part of Uganda</t>
  </si>
  <si>
    <t>Zainab Dahiru Said</t>
  </si>
  <si>
    <t>dahirusaidzainab@gmail.com</t>
  </si>
  <si>
    <t>Abubakar Musa</t>
  </si>
  <si>
    <t>musaabubakardarki583@gmail.com</t>
  </si>
  <si>
    <t>Iliyasu kabiru</t>
  </si>
  <si>
    <t>kabiruiliyasuwasai@gmail.com</t>
  </si>
  <si>
    <t>Minjibir LGA</t>
  </si>
  <si>
    <t>Hadiza Ibrahim Abdullahi</t>
  </si>
  <si>
    <t>hadizaibrahimabdullahi77@gmail.com</t>
  </si>
  <si>
    <t>Aliyu Muazu</t>
  </si>
  <si>
    <t>eljamson98@gmail.com</t>
  </si>
  <si>
    <t>AMINU RABIAT ABDULLAHI</t>
  </si>
  <si>
    <t>rabiataminu5522@gmail.com</t>
  </si>
  <si>
    <t>Saudat Aminu Ibrahim</t>
  </si>
  <si>
    <t>saudaAminu6@gmail.com</t>
  </si>
  <si>
    <t>Fatima Musa Maikudi</t>
  </si>
  <si>
    <t>amiramaikudi@gmail.com</t>
  </si>
  <si>
    <t>Asma'u Idris Muhammad</t>
  </si>
  <si>
    <t>asmauidrismuhammad@gmail.com</t>
  </si>
  <si>
    <t>Khadija yakubu maitama</t>
  </si>
  <si>
    <t>maitamakhadijayakubu@gmail.com</t>
  </si>
  <si>
    <t>Musa Aliyu Idris</t>
  </si>
  <si>
    <t>aleeyumusa75@gmail.com</t>
  </si>
  <si>
    <t>Asmau lawal musa</t>
  </si>
  <si>
    <t>asmaulawalmusa@gmail.com</t>
  </si>
  <si>
    <t>Abdulhamid Aminu Ibrahim</t>
  </si>
  <si>
    <t>abdulhamidgoma280@gmail.com</t>
  </si>
  <si>
    <t>Fatima Mustapha Rabi'u</t>
  </si>
  <si>
    <t>fatimamustapha874@gmail.com</t>
  </si>
  <si>
    <t>Halifa Ahmad Datti</t>
  </si>
  <si>
    <t>halifaahmaddatti9339@gmail.com</t>
  </si>
  <si>
    <t>Physical disability (mobility, limb impairment), Visual impairment (partial or full)</t>
  </si>
  <si>
    <t>Mboya Hovin Adolph</t>
  </si>
  <si>
    <t>mboyahovin@gmail.com</t>
  </si>
  <si>
    <t>Ilala</t>
  </si>
  <si>
    <t>boxumar10@gmail.com</t>
  </si>
  <si>
    <t>Musa Haruna</t>
  </si>
  <si>
    <t>harunamusa11@gmail.com</t>
  </si>
  <si>
    <t>Kamilu bara'atu Ado</t>
  </si>
  <si>
    <t>ummusultaankado@gmail.com</t>
  </si>
  <si>
    <t>Yusuf Abdulaziz</t>
  </si>
  <si>
    <t>yusufabdulaziz9716@gmail.com</t>
  </si>
  <si>
    <t>Yusuf Idris Yusuf</t>
  </si>
  <si>
    <t>yusufidrisyusuf21@gmail.com</t>
  </si>
  <si>
    <t>Hamza mujittapha</t>
  </si>
  <si>
    <t>hamzamujittapha8@gmail.com</t>
  </si>
  <si>
    <t>Maryam Aliyu Muhd</t>
  </si>
  <si>
    <t>maryamaliyubeuty@gmail.com</t>
  </si>
  <si>
    <t>Sulaiman abdulmalik sulaiman</t>
  </si>
  <si>
    <t>sulaimanabdulmalik70@gmail.com</t>
  </si>
  <si>
    <t>Dauda Jamilu Alhaji</t>
  </si>
  <si>
    <t>alhajijamilualhdauda@gmail.com</t>
  </si>
  <si>
    <t>Yusuf Hassan salisu</t>
  </si>
  <si>
    <t>salisyusuf7@gmail.com</t>
  </si>
  <si>
    <t>Shemau Ahmad</t>
  </si>
  <si>
    <t>shemauahmad300@gmail.com</t>
  </si>
  <si>
    <t>UWAIS HAUWA ABDULHAMEED</t>
  </si>
  <si>
    <t>hauwauwais2016@gmail.com</t>
  </si>
  <si>
    <t>KANO MUNICIPAL</t>
  </si>
  <si>
    <t>Sulaiman abubakar danbappa</t>
  </si>
  <si>
    <t>sulaimanabubakardanbappa@gmail.com</t>
  </si>
  <si>
    <t>Hamisu Hassan Aliyu</t>
  </si>
  <si>
    <t>hamisuhassanaliyu@gmail.com</t>
  </si>
  <si>
    <t>nothing</t>
  </si>
  <si>
    <t>Abdussamad shuaibu</t>
  </si>
  <si>
    <t>abdussamadshuaibu7@gmail.com</t>
  </si>
  <si>
    <t>Muhammad Zainab Bala</t>
  </si>
  <si>
    <t>zeebmuhd@gmail.com</t>
  </si>
  <si>
    <t>Atiku Farida Muhammad</t>
  </si>
  <si>
    <t>muhammadfarida67@gmail.com</t>
  </si>
  <si>
    <t>YASIR ADAM</t>
  </si>
  <si>
    <t>yasiradam6876@gmail.com</t>
  </si>
  <si>
    <t>SHUAIBU BASIRU</t>
  </si>
  <si>
    <t>bsyako017@gmail.com</t>
  </si>
  <si>
    <t>SADIQ ADO AHMED</t>
  </si>
  <si>
    <t>adosadiq15@gmail.com</t>
  </si>
  <si>
    <t>K M C</t>
  </si>
  <si>
    <t>Salihu Ummassalama Dz</t>
  </si>
  <si>
    <t>ummusalmasalihu471@gmail.com</t>
  </si>
  <si>
    <t>Walter-Anga Favour Dorbobari</t>
  </si>
  <si>
    <t>favouritewalter@gmail.com</t>
  </si>
  <si>
    <t>Ogu</t>
  </si>
  <si>
    <t>RabiaRabiluLawan</t>
  </si>
  <si>
    <t>rabiarabilulawan0@gmail.com</t>
  </si>
  <si>
    <t>Nafiu Yunusa</t>
  </si>
  <si>
    <t>nafiu7700@gmail.com</t>
  </si>
  <si>
    <t>DALA L.G.A</t>
  </si>
  <si>
    <t>Spinal cord injury</t>
  </si>
  <si>
    <t>Aliyu Bello</t>
  </si>
  <si>
    <t>aliyubello9856@gmail.com</t>
  </si>
  <si>
    <t>Umar Firdausi Dutse</t>
  </si>
  <si>
    <t>nuzlahfarouk@gmail.com</t>
  </si>
  <si>
    <t>Zim Nompumelelo</t>
  </si>
  <si>
    <t>zimnompumelelo976@gmail.com</t>
  </si>
  <si>
    <t>Calabar Municipality</t>
  </si>
  <si>
    <t>South African resident</t>
  </si>
  <si>
    <t>Ahmad iliyasu ibrahim</t>
  </si>
  <si>
    <t>ahmadiliyasu8135@gmail.com</t>
  </si>
  <si>
    <t>Shanono</t>
  </si>
  <si>
    <t>Surayya Abubakar</t>
  </si>
  <si>
    <t>surayyaadamabdullahi@gmail.com</t>
  </si>
  <si>
    <t>Abdulmalik sulaiman khadija</t>
  </si>
  <si>
    <t>khadijaabdulmaliksulaiman29@gmail.com</t>
  </si>
  <si>
    <t>Usman Amina Umar</t>
  </si>
  <si>
    <t>munamin4ever@gmail.com</t>
  </si>
  <si>
    <t>ABDULLAHI HAUWAU</t>
  </si>
  <si>
    <t>abdullahihauwau5050@gmail.com</t>
  </si>
  <si>
    <t>FAGGE LOCALGOVERNMENT</t>
  </si>
  <si>
    <t>Umma Muhammad hussain</t>
  </si>
  <si>
    <t>ummam864@gmail.com</t>
  </si>
  <si>
    <t>Nassarawa local government area</t>
  </si>
  <si>
    <t>Fabusuyi mayowa Timothy</t>
  </si>
  <si>
    <t>fabusuyimayowa38@gmail.com</t>
  </si>
  <si>
    <t>ISAH SULAIMAN ISAH</t>
  </si>
  <si>
    <t>isulaimanisah04@gmail.com</t>
  </si>
  <si>
    <t>Garum Mallam LGA</t>
  </si>
  <si>
    <t>Muhammad Farida</t>
  </si>
  <si>
    <t>faridamuhammad2260@gmail.com</t>
  </si>
  <si>
    <t>Aminu Amina Inuwa</t>
  </si>
  <si>
    <t>aminaaminuinuwa02@gmail.com</t>
  </si>
  <si>
    <t>Umma yahaya</t>
  </si>
  <si>
    <t>ummayahaya1992@gmail.com</t>
  </si>
  <si>
    <t>Sani Hafsat Muhammad</t>
  </si>
  <si>
    <t>sanihafsatmuhd@gmail.com</t>
  </si>
  <si>
    <t>maryammuhdabubakar5@gmail.com</t>
  </si>
  <si>
    <t>Sadiya Hashim Yahaya</t>
  </si>
  <si>
    <t>sadiyahashim28@gmail.com</t>
  </si>
  <si>
    <t>Ali Hassan Adamu</t>
  </si>
  <si>
    <t>hassanaliadam9@gmail.com</t>
  </si>
  <si>
    <t>Firdausi Aliyu Sani</t>
  </si>
  <si>
    <t>firdausialiyusani7@gmail.com</t>
  </si>
  <si>
    <t>Muhammad sadiya usman</t>
  </si>
  <si>
    <t>halimamuhammadusman9@gmail.com</t>
  </si>
  <si>
    <t>Kumbosto</t>
  </si>
  <si>
    <t>Ahmad Nafisa surajo</t>
  </si>
  <si>
    <t>nafisasurajo97@gmail.com</t>
  </si>
  <si>
    <t>JAMILU IBRAHIM</t>
  </si>
  <si>
    <t>jamiluibrahim1007@gmail.com</t>
  </si>
  <si>
    <t>Godpower Tamunokubie James</t>
  </si>
  <si>
    <t>Tamunotonyetende@gmail.com</t>
  </si>
  <si>
    <t>KARIMA UMAR</t>
  </si>
  <si>
    <t>kareemaumar17@gmail.com</t>
  </si>
  <si>
    <t>Abubakar mujahid yusif</t>
  </si>
  <si>
    <t>mujahidabubakar269@gmail.com</t>
  </si>
  <si>
    <t>Joshua Hannatu</t>
  </si>
  <si>
    <t>hannatujoshua08@gmail.com</t>
  </si>
  <si>
    <t>Abdurrahman Abdulmalik Abdulkadir</t>
  </si>
  <si>
    <t>abdulmalikmaikalwa@gmail.com</t>
  </si>
  <si>
    <t>YUSUF UMMI IBRAHIM</t>
  </si>
  <si>
    <t>ummiyusufibrahim82@gmail.com</t>
  </si>
  <si>
    <t>WUDIL</t>
  </si>
  <si>
    <t>Mato sadiya kabir</t>
  </si>
  <si>
    <t>sadiyahkabir@gmail.com</t>
  </si>
  <si>
    <t>Umar Farouk Dutse</t>
  </si>
  <si>
    <t>faroukumardutse@gmail.com</t>
  </si>
  <si>
    <t>Khadija Aminu tahir</t>
  </si>
  <si>
    <t>momabrar2002@gmail.com</t>
  </si>
  <si>
    <t>Ilham Abubakar Danbaffa</t>
  </si>
  <si>
    <t>ilhermdanbappah2@gmail.com</t>
  </si>
  <si>
    <t>Alasan dauda Hassan</t>
  </si>
  <si>
    <t>dr.khaleepergr@gmail.com</t>
  </si>
  <si>
    <t>Fatimah Abdulkareem</t>
  </si>
  <si>
    <t>abdulkareemfatimah4@gmail.com</t>
  </si>
  <si>
    <t>Gualo Confidence Dumdisi</t>
  </si>
  <si>
    <t>gualoconfidence1@gmail.com</t>
  </si>
  <si>
    <t>Harande Safiyya Yahya</t>
  </si>
  <si>
    <t>safiyyayharande@gmail.com</t>
  </si>
  <si>
    <t>Kabir insaf salis</t>
  </si>
  <si>
    <t>insafkabir616@gmail.com</t>
  </si>
  <si>
    <t>IBRAHIM NUHU ADO</t>
  </si>
  <si>
    <t>exboy04@gmail.com</t>
  </si>
  <si>
    <t>Muhammad asmau sani</t>
  </si>
  <si>
    <t>asmausanimuhammad229@gmail.com</t>
  </si>
  <si>
    <t>Idris Zainab Muhammad</t>
  </si>
  <si>
    <t>zeeidrismuhammad@gmail.com</t>
  </si>
  <si>
    <t>Ungogo local government</t>
  </si>
  <si>
    <t>Abduljalal hafsat yahaya</t>
  </si>
  <si>
    <t>hafsatabduljalal1745@gmail.com</t>
  </si>
  <si>
    <t>Muhammad Fatima Umar</t>
  </si>
  <si>
    <t>fatimamuhammadumar18@gmail.com</t>
  </si>
  <si>
    <t>Usman Habiba Umar</t>
  </si>
  <si>
    <t>habibaumar100@gmail.com</t>
  </si>
  <si>
    <t>Ahmad zahrau Ismail</t>
  </si>
  <si>
    <t>zahrauismailahmad@gmail.com</t>
  </si>
  <si>
    <t>A</t>
  </si>
  <si>
    <t>nafisahaminuabubakar@gmail.com</t>
  </si>
  <si>
    <t>Priscilla Mimi Anza</t>
  </si>
  <si>
    <t>priscillaanza@gmail.com</t>
  </si>
  <si>
    <t>Abdulaziz usaina</t>
  </si>
  <si>
    <t>usainaabdulaziz@gmail.com</t>
  </si>
  <si>
    <t>Bilkisu salisu</t>
  </si>
  <si>
    <t>bsalisu288@gmail.com</t>
  </si>
  <si>
    <t>Shamsu Ali</t>
  </si>
  <si>
    <t>shamsusulaimanfagge@gmail.com</t>
  </si>
  <si>
    <t>Sabiu Nafisat yakasai</t>
  </si>
  <si>
    <t>nafisatsabiuyakasai@gmail.com</t>
  </si>
  <si>
    <t>Musbahu Muhammad ibrahim</t>
  </si>
  <si>
    <t>muhammadmisbahu2451@gmail.com</t>
  </si>
  <si>
    <t>Asmau Auwal Nasidi</t>
  </si>
  <si>
    <t>asmauauwalnasidi26@gmail.com</t>
  </si>
  <si>
    <t>ADEDEJI JOSHUA OPEYEMI</t>
  </si>
  <si>
    <t>joshuaadedeji2002@gmail.com</t>
  </si>
  <si>
    <t>SAGAMU</t>
  </si>
  <si>
    <t>Hassana Lawan</t>
  </si>
  <si>
    <t>lawanhasna@gmail.com</t>
  </si>
  <si>
    <t>Surajo ibrahim</t>
  </si>
  <si>
    <t>surajoibrahim2244@gmail.com</t>
  </si>
  <si>
    <t>Ibrahim Maryam Umar</t>
  </si>
  <si>
    <t>maryamibrahimumar1@gmail.com</t>
  </si>
  <si>
    <t>Uche-Ihesiulor Ebenezer</t>
  </si>
  <si>
    <t>Isah Garba</t>
  </si>
  <si>
    <t>isahg7790@gmail.com</t>
  </si>
  <si>
    <t>Abdullahi Aminu Hassan</t>
  </si>
  <si>
    <t>alamenhassan200@gmail.com</t>
  </si>
  <si>
    <t>Salisu Binta</t>
  </si>
  <si>
    <t>bintasalisu1994@gmail.com</t>
  </si>
  <si>
    <t>Labaran Amina</t>
  </si>
  <si>
    <t>aaminalabaran@gmail.com</t>
  </si>
  <si>
    <t>KMC</t>
  </si>
  <si>
    <t>Imam oumhakeem Rabia</t>
  </si>
  <si>
    <t>homegardeningclub01@gmail.com</t>
  </si>
  <si>
    <t>Rano</t>
  </si>
  <si>
    <t>Hafsat isah</t>
  </si>
  <si>
    <t>hafsatisahlabaran@gmail.com</t>
  </si>
  <si>
    <t>Tinka Mugisha Vianney</t>
  </si>
  <si>
    <t>tinkamugishavianney@gmail.com</t>
  </si>
  <si>
    <t>Foreigner</t>
  </si>
  <si>
    <t>Sulaiman Usman</t>
  </si>
  <si>
    <t>usulaiman78@gmail.com</t>
  </si>
  <si>
    <t>Amina Ibrahim garba</t>
  </si>
  <si>
    <t>ibrahimameena034@gmail.com</t>
  </si>
  <si>
    <t>Tudunwada dankadai</t>
  </si>
  <si>
    <t>Aisha yahaya haruna</t>
  </si>
  <si>
    <t>aishaharuna709@gmail.com</t>
  </si>
  <si>
    <t>Otsai Samuel</t>
  </si>
  <si>
    <t>samuelotsai2@gmail.com</t>
  </si>
  <si>
    <t>Abeaokuta</t>
  </si>
  <si>
    <t>Adam Munkaila</t>
  </si>
  <si>
    <t>munkailaadam131619@gmail.com</t>
  </si>
  <si>
    <t>Habiba Muhammad musa</t>
  </si>
  <si>
    <t>habibamuhammadmusa02@gmail.com</t>
  </si>
  <si>
    <t>IBRAHIM YUSSIF MOHAMMED</t>
  </si>
  <si>
    <t>mohammedyussifibrahim86@gmail.com</t>
  </si>
  <si>
    <t>Nanumba south</t>
  </si>
  <si>
    <t>Ghana</t>
  </si>
  <si>
    <t>Aliyu faima lawan</t>
  </si>
  <si>
    <t>fatimaaliyualkons@gmail.com</t>
  </si>
  <si>
    <t>Kano munincipal</t>
  </si>
  <si>
    <t>Salisu Abubakar</t>
  </si>
  <si>
    <t>salisuabubakarsk@gmail.com</t>
  </si>
  <si>
    <t>Kibiya local government</t>
  </si>
  <si>
    <t>Tijjani Lawan Ibrahim</t>
  </si>
  <si>
    <t>tjgwale@gmail.com</t>
  </si>
  <si>
    <t>Salihu rabi'atu</t>
  </si>
  <si>
    <t>salihurabiatu@gmail.com</t>
  </si>
  <si>
    <t>Ayuba ismail abubakar</t>
  </si>
  <si>
    <t>ismailayubaabubakar@gmail.com</t>
  </si>
  <si>
    <t>Fagge LGA</t>
  </si>
  <si>
    <t>ABDULLAHI JAMILU</t>
  </si>
  <si>
    <t>jamiluabdullahimuhd@gmail.com</t>
  </si>
  <si>
    <t>Muhammad Habib Bala</t>
  </si>
  <si>
    <t>habibbalamuhammad@gmail.com</t>
  </si>
  <si>
    <t>Ungogo Local government</t>
  </si>
  <si>
    <t>Precious Ukamaka Simon</t>
  </si>
  <si>
    <t>precioussimon209@gmail.com</t>
  </si>
  <si>
    <t>FCT-ABUJA</t>
  </si>
  <si>
    <t>Auwal Abdulhakim Sani</t>
  </si>
  <si>
    <t>aasanee5833090@gmail.com</t>
  </si>
  <si>
    <t>Murtala Auwal Muhammad</t>
  </si>
  <si>
    <t>yellowanchau@gmail.com</t>
  </si>
  <si>
    <t>Moses Bridget pheebemi</t>
  </si>
  <si>
    <t>Flamesmoses60y9@gmail.com</t>
  </si>
  <si>
    <t>Zing</t>
  </si>
  <si>
    <t>Khadija Ismail</t>
  </si>
  <si>
    <t>deexieismail@gmail.com</t>
  </si>
  <si>
    <t>Sadiq usaini Abdullahi</t>
  </si>
  <si>
    <t>Sadiqusainiabdullahi@gmail.com</t>
  </si>
  <si>
    <t>Sulaiman Muhammad Mustapha</t>
  </si>
  <si>
    <t>mustaphas425@gmail.com</t>
  </si>
  <si>
    <t>Ishak Jamila Muhammad</t>
  </si>
  <si>
    <t>jamilaishakmuhammad@gmail.com</t>
  </si>
  <si>
    <t>Muhammad kudu maishera</t>
  </si>
  <si>
    <t>muhammadkudumaishera@gmail.com</t>
  </si>
  <si>
    <t>RASHEED ABDULKADIR YUSUF</t>
  </si>
  <si>
    <t>abdulkadiryusufrasheed3@gmail.com</t>
  </si>
  <si>
    <t>Bilkisu Dauda Ahmad</t>
  </si>
  <si>
    <t>Bilkisubintdawood@gmail.com</t>
  </si>
  <si>
    <t>Beredugo Ariwetebhari</t>
  </si>
  <si>
    <t>ariwetebhariberedugo@gmail.com</t>
  </si>
  <si>
    <t>Musa Ibrahim Nuruddeen</t>
  </si>
  <si>
    <t>nd2groupa@gmail.com</t>
  </si>
  <si>
    <t>Olanipekun Esther Oluwatobi</t>
  </si>
  <si>
    <t>olanipekunesther37@gmail.com</t>
  </si>
  <si>
    <t>Magboro</t>
  </si>
  <si>
    <t>Hajara Adam talle Mai Fata</t>
  </si>
  <si>
    <t>hajaraadamtallemaifata@gmali.com</t>
  </si>
  <si>
    <t>Wudli</t>
  </si>
  <si>
    <t>arabiyyu hajara idris</t>
  </si>
  <si>
    <t>hajaraarabiyyuidris22@gmail.com</t>
  </si>
  <si>
    <t>Ijadunminiyi Victor</t>
  </si>
  <si>
    <t>victorijad@gmail.com</t>
  </si>
  <si>
    <t>Ya’u Ummu-salma Ahmad</t>
  </si>
  <si>
    <t>ummusalmaahmadyau@gmail.com</t>
  </si>
  <si>
    <t>Agbam Tochi</t>
  </si>
  <si>
    <t>agbamtochi@gmail.com</t>
  </si>
  <si>
    <t>Obia akpor</t>
  </si>
  <si>
    <t>SENCHI EZEKIEL BABA</t>
  </si>
  <si>
    <t>senchibaba@gmail.com</t>
  </si>
  <si>
    <t>Muhammad Shamsuddeen Adam</t>
  </si>
  <si>
    <t>mshamsuddeenadam@gmail.com</t>
  </si>
  <si>
    <t>Yahaya Ghazali Abubakar</t>
  </si>
  <si>
    <t>alghazaliyahya14@gmail.com</t>
  </si>
  <si>
    <t>Muktar umar musa</t>
  </si>
  <si>
    <t>umarmuktar75@gmail.com</t>
  </si>
  <si>
    <t>Aisha khamis sulaiman</t>
  </si>
  <si>
    <t>aishakhamissulaiman@gmail.com</t>
  </si>
  <si>
    <t>Samira Abubakar</t>
  </si>
  <si>
    <t>sameraabubakar06@gmail.com</t>
  </si>
  <si>
    <t>Dan-Iya Amina Ibrahim</t>
  </si>
  <si>
    <t>aminadaniya456@gmail.com</t>
  </si>
  <si>
    <t>Akpan Victoria Effiong</t>
  </si>
  <si>
    <t>akpanvictoriaeffiong@gmail.com</t>
  </si>
  <si>
    <t>Auwal Mariya inuwa</t>
  </si>
  <si>
    <t>auwalmariya88@gmail.com</t>
  </si>
  <si>
    <t>Abubakar Muhammad Aliyu</t>
  </si>
  <si>
    <t>sadiqdokaji3474@gmail.com</t>
  </si>
  <si>
    <t>Iwejuo Chinaza Michael</t>
  </si>
  <si>
    <t>nazzymichael84@gmail.com</t>
  </si>
  <si>
    <t>Enugu south</t>
  </si>
  <si>
    <t>Oyewole Bamidele Marvel</t>
  </si>
  <si>
    <t>marveloyewole@gmail.com</t>
  </si>
  <si>
    <t>Abba musa maikudi</t>
  </si>
  <si>
    <t>abbamusamaikudi1998@gmail.com</t>
  </si>
  <si>
    <t>Muhammad Nura Abdulmumini</t>
  </si>
  <si>
    <t>muhdnura848@gmail.com</t>
  </si>
  <si>
    <t>LAWAN USMAN USMAN</t>
  </si>
  <si>
    <t>lawanusmanusman1@gmail.com</t>
  </si>
  <si>
    <t>NASSARAWA</t>
  </si>
  <si>
    <t>Ibrahim isa</t>
  </si>
  <si>
    <t>com.isababba@gmail.com</t>
  </si>
  <si>
    <t>Adebanjo Faith</t>
  </si>
  <si>
    <t>faithifeoluwaadebanjo@gmail.com</t>
  </si>
  <si>
    <t>Master Marcus</t>
  </si>
  <si>
    <t>okerensilver12@gmail.com</t>
  </si>
  <si>
    <t>Ibrahim Oyinofeoluwa Wuraola</t>
  </si>
  <si>
    <t>ibrahim.oyinofeoluwa@pg.funaab.edu.ng</t>
  </si>
  <si>
    <t>Ijebu-Ode Local Government</t>
  </si>
  <si>
    <t>Akinrinola Christiana Arike</t>
  </si>
  <si>
    <t>akinrinolachristy@gmail.com</t>
  </si>
  <si>
    <t>YUSUF, Azeez Olanrewaju</t>
  </si>
  <si>
    <t>yusufao@funaab.edu.ng</t>
  </si>
  <si>
    <t>Riyas Rabiu Yusuf</t>
  </si>
  <si>
    <t>riyasyusuf360@gmail.com</t>
  </si>
  <si>
    <t>ZAINAB ALIYU LAWAN</t>
  </si>
  <si>
    <t>xainabaleeyualkons19@gmail.com</t>
  </si>
  <si>
    <t>IBRAHIM</t>
  </si>
  <si>
    <t>rabiuibrahim6550@gmail.com</t>
  </si>
  <si>
    <t>Ojapinwa Oluwanbe Olanipekun</t>
  </si>
  <si>
    <t>ojapinwaolanipekun@gmail.com</t>
  </si>
  <si>
    <t>Ijebu North East</t>
  </si>
  <si>
    <t>DADA ODUNAYO OLUWAKEMI</t>
  </si>
  <si>
    <t>oluwakemdad@gmail.com</t>
  </si>
  <si>
    <t>Maijidda umar</t>
  </si>
  <si>
    <t>maijiddaumar7740@gmail.com</t>
  </si>
  <si>
    <t>Maryam sunusi junaidu</t>
  </si>
  <si>
    <t>HARUNA ALAMIN DALHATU</t>
  </si>
  <si>
    <t>alaminh2030@gmail.com</t>
  </si>
  <si>
    <t>Shuaibu Shamsiya</t>
  </si>
  <si>
    <t>shamsiyashuaibu01@gmail.com</t>
  </si>
  <si>
    <t>Muhammad Safiya Umar</t>
  </si>
  <si>
    <t>safiyyaumarmuhammad@gmail.com</t>
  </si>
  <si>
    <t>Lawan Maimuna haruna</t>
  </si>
  <si>
    <t>maemunalawanharuna@gmail.com</t>
  </si>
  <si>
    <t>Aisha Alfa Nusa</t>
  </si>
  <si>
    <t>alfaaisha12@gmail.com</t>
  </si>
  <si>
    <t>Ya'u Fatima Ahmad</t>
  </si>
  <si>
    <t>fatimaay27@gmail.com</t>
  </si>
  <si>
    <t>Oladepo Johnson Anuoluwa</t>
  </si>
  <si>
    <t>Johnsonars98@gmail.com</t>
  </si>
  <si>
    <t>Mustapha Nuruddeen Abdullahi</t>
  </si>
  <si>
    <t>musteey1100@gmail.com</t>
  </si>
  <si>
    <t>Lawan Fatima Haruna</t>
  </si>
  <si>
    <t>lawanharunafatima@gmail.com</t>
  </si>
  <si>
    <t>Kumbotso Local Government Area</t>
  </si>
  <si>
    <t>Chieke Precious Oluchi</t>
  </si>
  <si>
    <t>preciouschieke202@gmail.com</t>
  </si>
  <si>
    <t>Ahmad Hajara Musa</t>
  </si>
  <si>
    <t>ahmadmusahajara@gmail.com</t>
  </si>
  <si>
    <t>Alexander tamunonengiyeofori</t>
  </si>
  <si>
    <t>nelexa2@gmail.com</t>
  </si>
  <si>
    <t>Gambo Zakari</t>
  </si>
  <si>
    <t>gambo.zakari@yahoo.com</t>
  </si>
  <si>
    <t>Zuwairat Amuni Yakubu</t>
  </si>
  <si>
    <t>zuwairatyakubuaminu@gmail.com</t>
  </si>
  <si>
    <t>Yahaya munzali m</t>
  </si>
  <si>
    <t>munzalimyahaya@yahoo.com</t>
  </si>
  <si>
    <t>Ezieke Jessica Ifeoma</t>
  </si>
  <si>
    <t>ifeomaezieke91@gmail.com</t>
  </si>
  <si>
    <t>Ezeagu</t>
  </si>
  <si>
    <t>Azor Baridakara Saro</t>
  </si>
  <si>
    <t>samarv806@gmail.com</t>
  </si>
  <si>
    <t>Khana</t>
  </si>
  <si>
    <t>Kabiru Faruq Ajibola</t>
  </si>
  <si>
    <t>kabirfaruq26@gmail.com</t>
  </si>
  <si>
    <t>Isah datti zakari</t>
  </si>
  <si>
    <t>zakariisahdatti670@gmail.com</t>
  </si>
  <si>
    <t>Ibidapo -Obe Elizabeth</t>
  </si>
  <si>
    <t>famouslizzyfish@gmail.com</t>
  </si>
  <si>
    <t>Yewa south</t>
  </si>
  <si>
    <t>Abdullateef aniwar olamilekan</t>
  </si>
  <si>
    <t>abdullateefaniwar@gmail.com</t>
  </si>
  <si>
    <t>DOGARAI Nusaiba Salisu</t>
  </si>
  <si>
    <t>snusaiba26@gmail.com</t>
  </si>
  <si>
    <t>Gwale Local government area</t>
  </si>
  <si>
    <t>Zakari Abdulyassar Ibrahim</t>
  </si>
  <si>
    <t>abdulyassar@yahoo.com</t>
  </si>
  <si>
    <t>Adeyemo Afeez Babatunde</t>
  </si>
  <si>
    <t>adeyemo.afeez95@gmail.com</t>
  </si>
  <si>
    <t>Ismail Muhammad Rabiu</t>
  </si>
  <si>
    <t>rabiuzee111@gmail.com</t>
  </si>
  <si>
    <t>USAINI DATTI</t>
  </si>
  <si>
    <t>usainidatti002@gmail.com</t>
  </si>
  <si>
    <t>Garun Malam</t>
  </si>
  <si>
    <t>Usoro, Ekemini Gabriel</t>
  </si>
  <si>
    <t>kemcy2j@gmail.com</t>
  </si>
  <si>
    <t>CALABAR Municipal</t>
  </si>
  <si>
    <t>Ovai Hanniel Thomas</t>
  </si>
  <si>
    <t>ovaihanniel001@gmail.com</t>
  </si>
  <si>
    <t>Abi</t>
  </si>
  <si>
    <t>Hafsat</t>
  </si>
  <si>
    <t>hafsathassan425@gmail.com</t>
  </si>
  <si>
    <t>Kumbotso LGA</t>
  </si>
  <si>
    <t>AMINU SALAHA SALISU</t>
  </si>
  <si>
    <t>salahaaminusalisu5@gmail.com</t>
  </si>
  <si>
    <t>musa usman isah</t>
  </si>
  <si>
    <t>isahmusausman99@gmail.com</t>
  </si>
  <si>
    <t>Bello Ibrahim</t>
  </si>
  <si>
    <t>belloibrahimaliyu718@gmail.com</t>
  </si>
  <si>
    <t>Aminu Salaha Salisu</t>
  </si>
  <si>
    <t>Umar Saudat</t>
  </si>
  <si>
    <t>saudatdh@outlook.com</t>
  </si>
  <si>
    <t>MUTUWA MAURREN</t>
  </si>
  <si>
    <t>maureenmutuwa@gmail.com</t>
  </si>
  <si>
    <t>Musa Rahama Iliya</t>
  </si>
  <si>
    <t>rahamailiyasu2003@gmail.com</t>
  </si>
  <si>
    <t>Hassana Mahmud usman</t>
  </si>
  <si>
    <t>hassanamahmudusman@gmail.com</t>
  </si>
  <si>
    <t>SA'ID HAFSAT UMAR</t>
  </si>
  <si>
    <t>hafsatusaid@gmail.com</t>
  </si>
  <si>
    <t>Ebilatei Shadrack Owei</t>
  </si>
  <si>
    <t>ebilateishadrackowei@gmail.com</t>
  </si>
  <si>
    <t>Auwalu Abdu Haruna</t>
  </si>
  <si>
    <t>auwaluagarabawa@gmail.com</t>
  </si>
  <si>
    <t>Garba Musa Zannah</t>
  </si>
  <si>
    <t>zannah2019@gmail.com</t>
  </si>
  <si>
    <t>HENRY UDO UWEMEDIMO</t>
  </si>
  <si>
    <t>uwemh41@gmail.com</t>
  </si>
  <si>
    <t>Fatima Umar Abdullahi</t>
  </si>
  <si>
    <t>fatimaumarabdullahi26@gmail.com</t>
  </si>
  <si>
    <t>Iba ubokobong nsini</t>
  </si>
  <si>
    <t>ubokobong17@gmail.com</t>
  </si>
  <si>
    <t>HUSSAINI HUZAIFA HARUNA</t>
  </si>
  <si>
    <t>huzaifahussani9491@gmail.com</t>
  </si>
  <si>
    <t>Ajamobe Boluwatife Raphel</t>
  </si>
  <si>
    <t>boluwatifeajamobe6@gmail.com</t>
  </si>
  <si>
    <t>Yusuf Zainab</t>
  </si>
  <si>
    <t>zainabyusuf139@gmail.com</t>
  </si>
  <si>
    <t>Kaltume</t>
  </si>
  <si>
    <t>akaseebirigor@gmail.com</t>
  </si>
  <si>
    <t>Calabar South</t>
  </si>
  <si>
    <t>Amalu Grace Oluchi</t>
  </si>
  <si>
    <t>graceoluchi166@gmail.com</t>
  </si>
  <si>
    <t>Asobasi Leonard</t>
  </si>
  <si>
    <t>asobasileonard2019@gmail.com</t>
  </si>
  <si>
    <t>Moyo</t>
  </si>
  <si>
    <t>Ugandan</t>
  </si>
  <si>
    <t>Oladepo Abdulfatai Ganiyu</t>
  </si>
  <si>
    <t>abdulfataig@gmail.com</t>
  </si>
  <si>
    <t>Nathaniel Ewauma</t>
  </si>
  <si>
    <t>ewaumanathaniel@gmail.com</t>
  </si>
  <si>
    <t>Obio/Akpo</t>
  </si>
  <si>
    <t>Sadiya Abdullahi Aliyu</t>
  </si>
  <si>
    <t>sadiyaaliyu128@gmail.com</t>
  </si>
  <si>
    <t>Munincipal</t>
  </si>
  <si>
    <t>Karfi Abubakar Abdullahi</t>
  </si>
  <si>
    <t>abubakarkarfi8@gmail.com</t>
  </si>
  <si>
    <t>Adamu Faiza Yusuf</t>
  </si>
  <si>
    <t>faizayusufadamu52@gmail.com</t>
  </si>
  <si>
    <t>IBRAHIM HUSNA</t>
  </si>
  <si>
    <t>ibrahimhusna2000@gmail.com</t>
  </si>
  <si>
    <t>Ezieke Eucharia chisom</t>
  </si>
  <si>
    <t>eziekeeuchariachisom@gmail.com</t>
  </si>
  <si>
    <t>Ibrahim Khadja</t>
  </si>
  <si>
    <t>nanakhadijaibrahim313@gmail.com</t>
  </si>
  <si>
    <t>Umar Zainab kuta</t>
  </si>
  <si>
    <t>umarzainab108@gmail.com</t>
  </si>
  <si>
    <t>Agbai mark nduka</t>
  </si>
  <si>
    <t>agbaimark2019@gmail.com</t>
  </si>
  <si>
    <t>Obio-Akpor</t>
  </si>
  <si>
    <t>Fagha-dede Munasuoyu Pearl</t>
  </si>
  <si>
    <t>Pearldee1923@gamil.com</t>
  </si>
  <si>
    <t>Nembe LGA</t>
  </si>
  <si>
    <t>Rabilu Zainab</t>
  </si>
  <si>
    <t>zainabrabilu835@gmail.com</t>
  </si>
  <si>
    <t>Tudun wada local government</t>
  </si>
  <si>
    <t>Ibrahim Fatima Adam</t>
  </si>
  <si>
    <t>fatimaibrahimadam63@gmail.com</t>
  </si>
  <si>
    <t>Etuk Stella victor</t>
  </si>
  <si>
    <t>etukstella8@gmail.com</t>
  </si>
  <si>
    <t>Ogubolo</t>
  </si>
  <si>
    <t>Aliyu Hamida Sabo</t>
  </si>
  <si>
    <t>aliyuhamidasabo@gmail.com</t>
  </si>
  <si>
    <t>Sunday</t>
  </si>
  <si>
    <t>offongsunday490@gmail.com</t>
  </si>
  <si>
    <t>Calabar south</t>
  </si>
  <si>
    <t>Zubair Ruqayya</t>
  </si>
  <si>
    <t>ruqayyazubair19@gmail.com</t>
  </si>
  <si>
    <t>safiyya bashir ishaq</t>
  </si>
  <si>
    <t>safiyabashirishaq@gmail.com</t>
  </si>
  <si>
    <t>bunkure</t>
  </si>
  <si>
    <t>UBONGABASI, UDO TOMMY</t>
  </si>
  <si>
    <t>tommywonders007@gmail.com</t>
  </si>
  <si>
    <t>OBI JOSEPH</t>
  </si>
  <si>
    <t>jesuemekejoseph@gmail.com</t>
  </si>
  <si>
    <t>fagge</t>
  </si>
  <si>
    <t>Owenyie Cyril Barielba</t>
  </si>
  <si>
    <t>iamdasilentnoise@gmail.com</t>
  </si>
  <si>
    <t>Gokana</t>
  </si>
  <si>
    <t>MUHAMMAD AISHA</t>
  </si>
  <si>
    <t>muhammadaisha400@gmail.com</t>
  </si>
  <si>
    <t>Abdullateef Zulaihat</t>
  </si>
  <si>
    <t>abdullateefzulaihat@gmail.com</t>
  </si>
  <si>
    <t>Rimin gado</t>
  </si>
  <si>
    <t>Adebayo Oluwadamilola Racheal</t>
  </si>
  <si>
    <t>damilolaracheal15@gmail.com</t>
  </si>
  <si>
    <t>Hauwa Haruna</t>
  </si>
  <si>
    <t>harunahgama@gmail.com</t>
  </si>
  <si>
    <t>Abba muntaka balarabe</t>
  </si>
  <si>
    <t>munamin4real@gmail.com</t>
  </si>
  <si>
    <t>Okpako efe prosper</t>
  </si>
  <si>
    <t>okpakoprosper074@gmail.com</t>
  </si>
  <si>
    <t>Yunusa khadija ibrahim</t>
  </si>
  <si>
    <t>khadijaiyunusa@gmail.com</t>
  </si>
  <si>
    <t>Zakirai</t>
  </si>
  <si>
    <t>Briggs Krakrafaa Ipalibo</t>
  </si>
  <si>
    <t>krakrafaabriggs@gmail.com</t>
  </si>
  <si>
    <t>Asari-toru</t>
  </si>
  <si>
    <t>Fandubu Kabiru Sani</t>
  </si>
  <si>
    <t>kabirsfandubu@gmail.com</t>
  </si>
  <si>
    <t>Salisu Jamila Mohammed</t>
  </si>
  <si>
    <t>jmsalisu@gmail.com</t>
  </si>
  <si>
    <t>IBRAHIM RAHAMA ADAM</t>
  </si>
  <si>
    <t>rahamaibrahimadam52@gmail.com</t>
  </si>
  <si>
    <t>Onwudiwe Jane Eberechi</t>
  </si>
  <si>
    <t>janeonwudiwe@gmail.com</t>
  </si>
  <si>
    <t>ABIODUN OLUWADAYO MATTHEW</t>
  </si>
  <si>
    <t>aoluwadayo4@gmail.com</t>
  </si>
  <si>
    <t>Mahjuba Gambo Musa</t>
  </si>
  <si>
    <t>mahjubasaleh627@gmail.com</t>
  </si>
  <si>
    <t>INGOBAI WOYENGITARI</t>
  </si>
  <si>
    <t>ingobaitari22@gmail.com</t>
  </si>
  <si>
    <t>YENAGOA</t>
  </si>
  <si>
    <t>Agwu Precious Kalu</t>
  </si>
  <si>
    <t>kalu38294@gmail.com</t>
  </si>
  <si>
    <t>Asiya Isah muhammad</t>
  </si>
  <si>
    <t>asywuro@gmail.com</t>
  </si>
  <si>
    <t>EKIYOR ABRAHAM TUBOULAYEFA</t>
  </si>
  <si>
    <t>abrahamekiyor@gmail.com</t>
  </si>
  <si>
    <t>Shuaibu Abdullahi Garba</t>
  </si>
  <si>
    <t>abdullahigarba410@gmail.com</t>
  </si>
  <si>
    <t>Nuhu yakubu yakubu</t>
  </si>
  <si>
    <t>nuhuyakubuy@gmail.com</t>
  </si>
  <si>
    <t>ABDULLAHI ABDULAZIZ</t>
  </si>
  <si>
    <t>abdulazizabdullahi077@gmail.com</t>
  </si>
  <si>
    <t>NASARAWA</t>
  </si>
  <si>
    <t>Abdulsalam Usman Tobiloba</t>
  </si>
  <si>
    <t>usmantobi22@gmail.com</t>
  </si>
  <si>
    <t>Migrant (moved from another part of Nigeria), Student</t>
  </si>
  <si>
    <t>Ezenwa Augusta Anwulichukwuka</t>
  </si>
  <si>
    <t>ezenwaaugusta@gmail.com</t>
  </si>
  <si>
    <t>Faggee</t>
  </si>
  <si>
    <t>Said Khadija Abdullahi</t>
  </si>
  <si>
    <t>khadijasaidabdullahi307@gmail.com</t>
  </si>
  <si>
    <t>Kabeer, Maryam Muhammad</t>
  </si>
  <si>
    <t>maryamlere01@gmail.com</t>
  </si>
  <si>
    <t>Hamza Auwalu Inuwa</t>
  </si>
  <si>
    <t>hamzaauwalu82@gmail.com</t>
  </si>
  <si>
    <t>Abdullahi bashir</t>
  </si>
  <si>
    <t>abdullahi123bashir@gmail.com</t>
  </si>
  <si>
    <t>Ozuru Mercy Adaugo</t>
  </si>
  <si>
    <t>amikable889@gmail.com</t>
  </si>
  <si>
    <t>Agwu</t>
  </si>
  <si>
    <t>From another state in Nigeria</t>
  </si>
  <si>
    <t>Horsfall Special Wiseman</t>
  </si>
  <si>
    <t>specialwisemanhorsfall@gmail.com</t>
  </si>
  <si>
    <t>Ali Mujahiddeen</t>
  </si>
  <si>
    <t>alimujahiddeen@gmail.com</t>
  </si>
  <si>
    <t>Akinola-Adefolalu Precious</t>
  </si>
  <si>
    <t>adefolaluprecious@gmail.com</t>
  </si>
  <si>
    <t>Solanke Peter</t>
  </si>
  <si>
    <t>peterpopoolasolanke@gmail.com</t>
  </si>
  <si>
    <t>Joy precious ngegwe</t>
  </si>
  <si>
    <t>joyprecious999@gmail.com</t>
  </si>
  <si>
    <t>Obon, Daniel Asuquo</t>
  </si>
  <si>
    <t>dnicekuty@gmail.com</t>
  </si>
  <si>
    <t>UDO NDIANA SUNDAY</t>
  </si>
  <si>
    <t>ndianaudoh1993@gmail.com</t>
  </si>
  <si>
    <t>UYO</t>
  </si>
  <si>
    <t>Barakabo</t>
  </si>
  <si>
    <t>dipamoniprevero2018@gmail.com</t>
  </si>
  <si>
    <t>Missa maryam</t>
  </si>
  <si>
    <t>maryamolamidemissa@gmail.com</t>
  </si>
  <si>
    <t>Usman yahaya Abubakar</t>
  </si>
  <si>
    <t>Usmanyahaya2171@gmail.com</t>
  </si>
  <si>
    <t>Agu favour</t>
  </si>
  <si>
    <t>peacebabe778@gmail.com</t>
  </si>
  <si>
    <t>Enugu South</t>
  </si>
  <si>
    <t>Rabiatu suraj inuwa</t>
  </si>
  <si>
    <t>Rabiatusuraj81@gmail.com</t>
  </si>
  <si>
    <t>Assayomo destiny</t>
  </si>
  <si>
    <t>janeyanderson988@gmail.com</t>
  </si>
  <si>
    <t>Bomadi</t>
  </si>
  <si>
    <t>TAMUNO TAMUNOIMINABO PRECIOUS</t>
  </si>
  <si>
    <t>minabotamuno@gmail.com</t>
  </si>
  <si>
    <t>OGU/BOLO LGA</t>
  </si>
  <si>
    <t>Koguna Khadija Sani</t>
  </si>
  <si>
    <t>Khadijakoguna11@gmail.com</t>
  </si>
  <si>
    <t>IKPAIKPAI FININIPRE FEBBI</t>
  </si>
  <si>
    <t>integrated25farm@gmail.com</t>
  </si>
  <si>
    <t>Oke Ayoleke Zulukorinaeni</t>
  </si>
  <si>
    <t>emiokeayolekez@gmail.com</t>
  </si>
  <si>
    <t>Emem Justina Amaka</t>
  </si>
  <si>
    <t>ememjustina17@gmail.com</t>
  </si>
  <si>
    <t>Obio-Akpo</t>
  </si>
  <si>
    <t>Adeyemi</t>
  </si>
  <si>
    <t>peteradeyemi04@gmail.com</t>
  </si>
  <si>
    <t>Omunu Charles Efemena</t>
  </si>
  <si>
    <t>charles.efemena@gmail.com</t>
  </si>
  <si>
    <t>Obirikwere</t>
  </si>
  <si>
    <t>Hassana bello buba</t>
  </si>
  <si>
    <t>seenabuba5@gmail.com</t>
  </si>
  <si>
    <t>Olanrewaju John Timileyin</t>
  </si>
  <si>
    <t>olanrewajujohn918@gmail.com</t>
  </si>
  <si>
    <t>Imeko afon</t>
  </si>
  <si>
    <t>Dominic Gift Chinyere</t>
  </si>
  <si>
    <t>chinyeredominic11@gmail.com</t>
  </si>
  <si>
    <t>Enugu east</t>
  </si>
  <si>
    <t>Abdulkadir Abbas Auwal</t>
  </si>
  <si>
    <t>abdulkadirabbas31@gmail.com</t>
  </si>
  <si>
    <t>Mansur Abdullahi Dambatta</t>
  </si>
  <si>
    <t>mansirfish12@gmail.com</t>
  </si>
  <si>
    <t>Dambatta local Government, Kano state</t>
  </si>
  <si>
    <t>Abubakar Umar Muhammad</t>
  </si>
  <si>
    <t>umara2665@gmail.com</t>
  </si>
  <si>
    <t>Auwal badamasi isa</t>
  </si>
  <si>
    <t>badamasiauwalisa01@gmail.com</t>
  </si>
  <si>
    <t>ABDULAZEEZ MUHAMMAD SULAIMAN</t>
  </si>
  <si>
    <t>muhdabdulazeez41@gmail.com</t>
  </si>
  <si>
    <t>GARUN MALAM</t>
  </si>
  <si>
    <t>NURA YAKUBU</t>
  </si>
  <si>
    <t>nurayyakubu@gmaol.com</t>
  </si>
  <si>
    <t>Sani Hauwa'u</t>
  </si>
  <si>
    <t>hauwausani612@gmail.com</t>
  </si>
  <si>
    <t>DALA LGA</t>
  </si>
  <si>
    <t>Hafsat Bello Ahmad</t>
  </si>
  <si>
    <t>hbahmad4488@gmail.com</t>
  </si>
  <si>
    <t>Bamigbose Rebecca kehinde</t>
  </si>
  <si>
    <t>folashecrown017@gmail.com</t>
  </si>
  <si>
    <t>Ibrahim Bashir Abba</t>
  </si>
  <si>
    <t>basheerabbaibraheem@gmail.com</t>
  </si>
  <si>
    <t>Akinbani Rodiat Ololade</t>
  </si>
  <si>
    <t>akinbanirodiat04@gmail.com</t>
  </si>
  <si>
    <t>Ado-odo-ota</t>
  </si>
  <si>
    <t>Rabilu Bilya Hassan</t>
  </si>
  <si>
    <t>rabilubilya86@gmail.com</t>
  </si>
  <si>
    <t>Sani Surajo</t>
  </si>
  <si>
    <t>sanisurajo629@gmail.com</t>
  </si>
  <si>
    <t>Maryam usman musa</t>
  </si>
  <si>
    <t>maryamusmanmusa1@gmail.com</t>
  </si>
  <si>
    <t>Otobotekere Betty</t>
  </si>
  <si>
    <t>fynistkopa@gmail.com</t>
  </si>
  <si>
    <t>Zakari Hauwa Bello</t>
  </si>
  <si>
    <t>zakarihauwabello@gmail.com</t>
  </si>
  <si>
    <t>Garun malam local Government</t>
  </si>
  <si>
    <t>AROYEHUN AKEEM ADEBAYO</t>
  </si>
  <si>
    <t>aroyehunakeem@gmail.com</t>
  </si>
  <si>
    <t>ODEDA</t>
  </si>
  <si>
    <t>Akpannah, Mfoneno Monday</t>
  </si>
  <si>
    <t>akpannahmfoneno@gmail.com</t>
  </si>
  <si>
    <t>Musa Hafsat Usman</t>
  </si>
  <si>
    <t>hafsatmusausman582@gmail.com</t>
  </si>
  <si>
    <t>Hadejia road</t>
  </si>
  <si>
    <t>Hamza Ahmed Saba</t>
  </si>
  <si>
    <t>hamzaahmedsaba@gmail.com</t>
  </si>
  <si>
    <t>GARSHON WENENDA BENSON</t>
  </si>
  <si>
    <t>garshonvictor@gmail.com</t>
  </si>
  <si>
    <t>Lawan Rukayya Aminu</t>
  </si>
  <si>
    <t>rukayyaaminu6265@gmail.com</t>
  </si>
  <si>
    <t>Emmanuel Esther</t>
  </si>
  <si>
    <t>estheremma101@gmail.com</t>
  </si>
  <si>
    <t>Faggae</t>
  </si>
  <si>
    <t>Akporode Otitiri</t>
  </si>
  <si>
    <t>akporodeotitiri47@gmail.com</t>
  </si>
  <si>
    <t>Maryam yahaya Dauda</t>
  </si>
  <si>
    <t>shukrah1999@gmail.com</t>
  </si>
  <si>
    <t>Essang Emmanuel Ime</t>
  </si>
  <si>
    <t>emmanuelessang546@gmail.com</t>
  </si>
  <si>
    <t>Eket</t>
  </si>
  <si>
    <t>Ihunwo</t>
  </si>
  <si>
    <t>chinwebuduinunwo21@gmail.com</t>
  </si>
  <si>
    <t>Sydney Simeon Iyoyo</t>
  </si>
  <si>
    <t>iyoyosydney@gmail.com</t>
  </si>
  <si>
    <t>Ubi Jesam Ettah</t>
  </si>
  <si>
    <t>ejessy20@gmail.com</t>
  </si>
  <si>
    <t>Yakurr</t>
  </si>
  <si>
    <t>Adam Nafisa Saleh</t>
  </si>
  <si>
    <t>nafisaadamsaleh52@gmail.com</t>
  </si>
  <si>
    <t>MUHAMMAD AMINU UMAR</t>
  </si>
  <si>
    <t>aminuumarmuhammad2000@gmail.com</t>
  </si>
  <si>
    <t>Tarauni Local Government</t>
  </si>
  <si>
    <t>Yusif yahaya abubakar</t>
  </si>
  <si>
    <t>yusifa382@gmail.com</t>
  </si>
  <si>
    <t>Garunmalam</t>
  </si>
  <si>
    <t>Uba Bashir Kulo</t>
  </si>
  <si>
    <t>bashiruba406@gmail.com</t>
  </si>
  <si>
    <t>Edonkumoh job</t>
  </si>
  <si>
    <t>edonkumohjob@gmail.com</t>
  </si>
  <si>
    <t>Iwara Lucky Stephen</t>
  </si>
  <si>
    <t>iwaralucky001@gmail.com</t>
  </si>
  <si>
    <t>Ogidikpe Keniebi Alfred</t>
  </si>
  <si>
    <t>Ogidikpekeniebi@gmail.com</t>
  </si>
  <si>
    <t>Abdulazeez Muktar Opeyemi</t>
  </si>
  <si>
    <t>muktarabdulazeez2021@gmail.com</t>
  </si>
  <si>
    <t>Migrant (moved from another part of Nigeria), Like migrant corp member</t>
  </si>
  <si>
    <t>Ibrahim mariam omobolanle</t>
  </si>
  <si>
    <t>Ibmariam96@gmail.com</t>
  </si>
  <si>
    <t>Alimosho local government</t>
  </si>
  <si>
    <t>Akinbode Oreoluwa Rebecca</t>
  </si>
  <si>
    <t>oreoluwaakinbode59@gmail.com</t>
  </si>
  <si>
    <t>Okoi Destiny James</t>
  </si>
  <si>
    <t>destinyjames0935@gmail.com</t>
  </si>
  <si>
    <t>Ibrahim Surajo Habib</t>
  </si>
  <si>
    <t>surajhabib13@gmail.com</t>
  </si>
  <si>
    <t>Opere Justice</t>
  </si>
  <si>
    <t>justiceopere@outlook.com</t>
  </si>
  <si>
    <t>Ettah Henry Daniel</t>
  </si>
  <si>
    <t>ubithankgod01@gmail.com</t>
  </si>
  <si>
    <t>SABIU MUHAMMAD USMAN</t>
  </si>
  <si>
    <t>Sabiumuhammadusman@gmail.com</t>
  </si>
  <si>
    <t>Folaranmi julianah</t>
  </si>
  <si>
    <t>julianahfolaranmi4@gmail.com</t>
  </si>
  <si>
    <t>UDENTA EMMANUEL UCHENNA</t>
  </si>
  <si>
    <t>emmanueluchenna200450@gmail.com</t>
  </si>
  <si>
    <t>Daniel Ibitonbo Sylvanus</t>
  </si>
  <si>
    <t>danielsylva.sd@gmail.com</t>
  </si>
  <si>
    <t>FABIUS WABYOONA</t>
  </si>
  <si>
    <t>Wabyoonafabius@gmail.com</t>
  </si>
  <si>
    <t>Hoima district</t>
  </si>
  <si>
    <t>Trust Areraimu</t>
  </si>
  <si>
    <t>trustareraimu@gmail.com</t>
  </si>
  <si>
    <t>Rumasau Ali wada</t>
  </si>
  <si>
    <t>aliwadarumasau@gmail.com</t>
  </si>
  <si>
    <t>Oyong, Glory E.</t>
  </si>
  <si>
    <t>gloryoyonge@gmail.com</t>
  </si>
  <si>
    <t>Chinyere</t>
  </si>
  <si>
    <t>offemchichi@gmail.com</t>
  </si>
  <si>
    <t>Atamunotorudikari Wilson</t>
  </si>
  <si>
    <t>wilsonatamunotoru@gmail.com</t>
  </si>
  <si>
    <t>Sani abdullahi Ilu</t>
  </si>
  <si>
    <t>saniabdullahiilu@gmail.com</t>
  </si>
  <si>
    <t>Ali Galadima</t>
  </si>
  <si>
    <t>aligaladima35@gmail.com</t>
  </si>
  <si>
    <t>Jibrilwuya jibril Alhaji</t>
  </si>
  <si>
    <t>jibrilwuya@gmail.com</t>
  </si>
  <si>
    <t>ABDULHAMID Mustapha Yusuf</t>
  </si>
  <si>
    <t>abdulhamidmustapha836@gmail.com</t>
  </si>
  <si>
    <t>Muhammad jibril Ibrahim</t>
  </si>
  <si>
    <t>muhammadjibraheem@gmail.com</t>
  </si>
  <si>
    <t>Mohammed Alfa</t>
  </si>
  <si>
    <t>Alfaraja750@gmail.com</t>
  </si>
  <si>
    <t>Hussain Hikimat Avenebe</t>
  </si>
  <si>
    <t>hikimathussain@gmail.com</t>
  </si>
  <si>
    <t>Student</t>
  </si>
  <si>
    <t>Fatima ukashetu</t>
  </si>
  <si>
    <t>faizaharuna688@gmail.com</t>
  </si>
  <si>
    <t>Imam Muhammad Mustapha</t>
  </si>
  <si>
    <t>mustafamuhammadimam@gmail.com</t>
  </si>
  <si>
    <t>Aisha Ahmed saidu</t>
  </si>
  <si>
    <t>aishatuahmed01165@gmail.com</t>
  </si>
  <si>
    <t>Author Peace Aniedi</t>
  </si>
  <si>
    <t>authorpeace71@gmail.com</t>
  </si>
  <si>
    <t>Haladu Musa</t>
  </si>
  <si>
    <t>haladumusa19@gmail.com</t>
  </si>
  <si>
    <t>Ado zakari ahmad</t>
  </si>
  <si>
    <t>Ahmadadozakari@gmail.com</t>
  </si>
  <si>
    <t>Garun malam</t>
  </si>
  <si>
    <t>Salaudeen Olalekan Yusuf</t>
  </si>
  <si>
    <t>sallahuddinyusuf@gmail.com</t>
  </si>
  <si>
    <t>Eyo II Mary</t>
  </si>
  <si>
    <t>donnemario@gmail.com</t>
  </si>
  <si>
    <t>Joseph Ochohepo Ocheigbe</t>
  </si>
  <si>
    <t>josephochohepo840@gmail.com</t>
  </si>
  <si>
    <t>Lawan sani idris</t>
  </si>
  <si>
    <t>sanilawal22004@gmail.com</t>
  </si>
  <si>
    <t>Dawaki tofa</t>
  </si>
  <si>
    <t>Majekodunmi Abdul-Qadir Olugbenga</t>
  </si>
  <si>
    <t>majekodunmiabdulqadir@gmail.com</t>
  </si>
  <si>
    <t>Abubakar Abubakar Umar</t>
  </si>
  <si>
    <t>abubakarumarbebeji16@gmail.com</t>
  </si>
  <si>
    <t>Rukayya Abubakar Ibrahim</t>
  </si>
  <si>
    <t>rukayyaaibrahim010@gmail.com</t>
  </si>
  <si>
    <t>Sunday Emmanuel</t>
  </si>
  <si>
    <t>sundayemma3012@gmail.com</t>
  </si>
  <si>
    <t>Aishat Abdullahi Isah</t>
  </si>
  <si>
    <t>aishat.isah@aun.edu.ng</t>
  </si>
  <si>
    <t>Yusuf habiba Jibril</t>
  </si>
  <si>
    <t>faheemalady@gmail.com</t>
  </si>
  <si>
    <t>Ishaq Halimatu Adamu</t>
  </si>
  <si>
    <t>halimatuadamuishaq57@gmail.com</t>
  </si>
  <si>
    <t>Hassan Muhammed</t>
  </si>
  <si>
    <t>hassanmuhammadlapai@gmail.com</t>
  </si>
  <si>
    <t>Joseph Faith</t>
  </si>
  <si>
    <t>faithjoseph1532@gmail.com</t>
  </si>
  <si>
    <t>JIBRIN IDRIS</t>
  </si>
  <si>
    <t>idrisjibrin2017@gmail.com</t>
  </si>
  <si>
    <t>Zainab Bello Abubakar</t>
  </si>
  <si>
    <t>zainabbelloabubakar7@gmail.com</t>
  </si>
  <si>
    <t>Isa Haruna Abubakar</t>
  </si>
  <si>
    <t>harunaisa1010@gmail.com</t>
  </si>
  <si>
    <t>Albasu</t>
  </si>
  <si>
    <t>Kalesanwo Sodiq Adeyemi</t>
  </si>
  <si>
    <t>Kallyberry61@gmail.com</t>
  </si>
  <si>
    <t>Lebelage Barisere Chris</t>
  </si>
  <si>
    <t>sereview4real@gmail.com</t>
  </si>
  <si>
    <t>TAI</t>
  </si>
  <si>
    <t>ADU-OJO BARNABAS</t>
  </si>
  <si>
    <t>barnabasaduojo@gmail.com</t>
  </si>
  <si>
    <t>Enyinna Victor Uchenna</t>
  </si>
  <si>
    <t>engrenyinnavictor1998@gmail.com</t>
  </si>
  <si>
    <t>Abdullahi Muhammad Abubakar</t>
  </si>
  <si>
    <t>abuba4019@gmail.com</t>
  </si>
  <si>
    <t>Tudun Wada</t>
  </si>
  <si>
    <t>Ibrahim Furera Adamu</t>
  </si>
  <si>
    <t>fureerahadamu@gmail.com</t>
  </si>
  <si>
    <t>ALAMIN HAMISU HARBAU</t>
  </si>
  <si>
    <t>alaminhamisuharbau@gmail.com</t>
  </si>
  <si>
    <t>BICHI LOCAL GOVERNMENT</t>
  </si>
  <si>
    <t>Ikpaikpai</t>
  </si>
  <si>
    <t>glowreepatrick@gmail.com</t>
  </si>
  <si>
    <t>Abubakar Balarab Abdullahi</t>
  </si>
  <si>
    <t>aabemi@yahoo.com</t>
  </si>
  <si>
    <t>Mahmud Khadija Tijjani</t>
  </si>
  <si>
    <t>khadijamahmudtijjani@gmail.com</t>
  </si>
  <si>
    <t>nmadina1340@gmail.com</t>
  </si>
  <si>
    <t>Nnadi Esther Amarachi</t>
  </si>
  <si>
    <t>nwamakam@gmail.com</t>
  </si>
  <si>
    <t>Inusa Karibullah M</t>
  </si>
  <si>
    <t>karibullahinusa@gmail.com</t>
  </si>
  <si>
    <t>Gift Chioma Iheme</t>
  </si>
  <si>
    <t>queengifty37@gmail.com</t>
  </si>
  <si>
    <t>Pinadiri Wisdom</t>
  </si>
  <si>
    <t>wpinadiri@gmail.com</t>
  </si>
  <si>
    <t>Southern Ijaw Local Government Area</t>
  </si>
  <si>
    <t>Ahmad Halimat Sadiyat</t>
  </si>
  <si>
    <t>sadiyathalimat72@gmail.com</t>
  </si>
  <si>
    <t>Abdul Aziz Galadima</t>
  </si>
  <si>
    <t>abdulazizgaladima953@gmail.com</t>
  </si>
  <si>
    <t>KABIRU USMAN</t>
  </si>
  <si>
    <t>ukgaya8462@gmail.com</t>
  </si>
  <si>
    <t>GAYA</t>
  </si>
  <si>
    <t>UMOH MARIA EDEM</t>
  </si>
  <si>
    <t>enewan91@gmail.com</t>
  </si>
  <si>
    <t>CALABAR SOUTH</t>
  </si>
  <si>
    <t>Lucky fineroad james</t>
  </si>
  <si>
    <t>lfineroad@gmail.com</t>
  </si>
  <si>
    <t>Hassan sani bichi</t>
  </si>
  <si>
    <t>hassansanibichi@gmail.com</t>
  </si>
  <si>
    <t>Kumbotso local government</t>
  </si>
  <si>
    <t>Debekeme Akpoebi powedei</t>
  </si>
  <si>
    <t>blessingpatrick744@gmail.com</t>
  </si>
  <si>
    <t>Ibrahim usman</t>
  </si>
  <si>
    <t>ibrahinusman131313@gmail.com</t>
  </si>
  <si>
    <t>Munir shehu Muhammad</t>
  </si>
  <si>
    <t>munirshehumuhammad22@gmail.com</t>
  </si>
  <si>
    <t>Ugwu Emmanuel</t>
  </si>
  <si>
    <t>emmex55@gmail.com</t>
  </si>
  <si>
    <t>Ijebu North-East</t>
  </si>
  <si>
    <t>Usman Garba Ahmad</t>
  </si>
  <si>
    <t>usmangaro33503@gmail.com</t>
  </si>
  <si>
    <t>Maryam Muhammad Hamza</t>
  </si>
  <si>
    <t>maryammuhammadhamza10@gmail.com</t>
  </si>
  <si>
    <t>Gwale local government Area</t>
  </si>
  <si>
    <t>Hassan Ramlatu Muhammad</t>
  </si>
  <si>
    <t>ramlatuhassanmuhd@gmail.com</t>
  </si>
  <si>
    <t>Amakoromo juliet</t>
  </si>
  <si>
    <t>juamaks4@gmail.com</t>
  </si>
  <si>
    <t>Tijjani salis hanga</t>
  </si>
  <si>
    <t>alhajihanga230@gmail.com</t>
  </si>
  <si>
    <t>Awara Diepreye</t>
  </si>
  <si>
    <t>diepreyeawara2@yahoo.com</t>
  </si>
  <si>
    <t>Kaboufou Israel woyengikumo</t>
  </si>
  <si>
    <t>israelkaboufou78@gmail.com</t>
  </si>
  <si>
    <t>Yenagoa LGA</t>
  </si>
  <si>
    <t>IRAM GULZAR</t>
  </si>
  <si>
    <t>shahdriram@gmail.com</t>
  </si>
  <si>
    <t>Srinagar</t>
  </si>
  <si>
    <t>Indian</t>
  </si>
  <si>
    <t>Abdullahi Abubakar Sadiq</t>
  </si>
  <si>
    <t>abubakarsadiqabdullahi3439@gmail.com</t>
  </si>
  <si>
    <t>Huzaifa Adam Abdullahi</t>
  </si>
  <si>
    <t>adamhuzaifa572@gmail.com</t>
  </si>
  <si>
    <t>Igbiki Fagha Kenneth</t>
  </si>
  <si>
    <t>faghaigbiki@gmail.com</t>
  </si>
  <si>
    <t>Obio Akpo</t>
  </si>
  <si>
    <t>isah689@gmail.com</t>
  </si>
  <si>
    <t>Sunday Kenneth Igbang</t>
  </si>
  <si>
    <t>skenneth022@gmail.com</t>
  </si>
  <si>
    <t>Savvy Soume Sonia</t>
  </si>
  <si>
    <t>soniasoume@gmail.com</t>
  </si>
  <si>
    <t>Abdulaziz Isah</t>
  </si>
  <si>
    <t>abdulazizisahmagaji@gmail.com</t>
  </si>
  <si>
    <t>Musa Aisha Sabo</t>
  </si>
  <si>
    <t>aishamsiyama@gmail.com</t>
  </si>
  <si>
    <t>HAFSAT ABDULLAHI SABO</t>
  </si>
  <si>
    <t>hafsatabdullahisabo@gmail.com</t>
  </si>
  <si>
    <t>Elewa</t>
  </si>
  <si>
    <t>olorunkimbativentures@gmail.com</t>
  </si>
  <si>
    <t>Akpabuyo</t>
  </si>
  <si>
    <t>Jana Lucky Noel</t>
  </si>
  <si>
    <t>luckyjana2018@gmail.com</t>
  </si>
  <si>
    <t>Nn</t>
  </si>
  <si>
    <t>MURTALA IBRAHIM MUHAMMAD</t>
  </si>
  <si>
    <t>ibrahimmurtalamuhd4@gmail.com</t>
  </si>
  <si>
    <t>Kabo local government</t>
  </si>
  <si>
    <t>Wilson Unoh Inyang</t>
  </si>
  <si>
    <t>ejemot1234@gmail.com</t>
  </si>
  <si>
    <t>Biase</t>
  </si>
  <si>
    <t>Godwin Francis Obong</t>
  </si>
  <si>
    <t>godwinkings656@gmail.com</t>
  </si>
  <si>
    <t>Bakassi</t>
  </si>
  <si>
    <t>Joseph</t>
  </si>
  <si>
    <t>jokon213@gmail.com</t>
  </si>
  <si>
    <t>Abdullahi Abubakar Mukhtar</t>
  </si>
  <si>
    <t>bbkrmabdullahi@gmai.com</t>
  </si>
  <si>
    <t>Adetola John Doris</t>
  </si>
  <si>
    <t>jerusalemlighthope@gmail.com</t>
  </si>
  <si>
    <t>Remo North</t>
  </si>
  <si>
    <t>Najaatu Idris Abdullahi</t>
  </si>
  <si>
    <t>najaatuidrisabdullahi3@gmail.com</t>
  </si>
  <si>
    <t>Edet Maxwell</t>
  </si>
  <si>
    <t>paulessien96@gmail.com</t>
  </si>
  <si>
    <t>Hajara sunusi haruna</t>
  </si>
  <si>
    <t>hajarasunusi200@gmail.com</t>
  </si>
  <si>
    <t>Nwoziri Mary</t>
  </si>
  <si>
    <t>nwozirimary1997@gmail.com</t>
  </si>
  <si>
    <t>Yenagao</t>
  </si>
  <si>
    <t>Labaran hauwa abubakar</t>
  </si>
  <si>
    <t>hauwalabaranabubakar@gmail.com</t>
  </si>
  <si>
    <t>Isah husaina Muhammad</t>
  </si>
  <si>
    <t>husainaisa20022020@gmail.com</t>
  </si>
  <si>
    <t>Agbor Ununoh O</t>
  </si>
  <si>
    <t>agborununoh58@gmail.com</t>
  </si>
  <si>
    <t>Saifullahi Shehu Yahaya</t>
  </si>
  <si>
    <t>yahayasaifullahishehu@gmail.com</t>
  </si>
  <si>
    <t>Rimin Gado</t>
  </si>
  <si>
    <t>fatimataburajab266@gmail.com</t>
  </si>
  <si>
    <t>Saleh umaimah</t>
  </si>
  <si>
    <t>umaimahsaleh7777@gmail.com</t>
  </si>
  <si>
    <t>Fiddausi Bashir Galadima</t>
  </si>
  <si>
    <t>fiddausibashirgaladima@gmail.com</t>
  </si>
  <si>
    <t>AMB OKPU GRACE</t>
  </si>
  <si>
    <t>deegracy232@gmail.com</t>
  </si>
  <si>
    <t>OGBIA</t>
  </si>
  <si>
    <t>Saliu Akande Tunde</t>
  </si>
  <si>
    <t>akandesaliu65@gmail.com</t>
  </si>
  <si>
    <t>Malami Hassan</t>
  </si>
  <si>
    <t>hassanmalamimabera@gmail.com</t>
  </si>
  <si>
    <t>Gaya Aisha Yahaya</t>
  </si>
  <si>
    <t>aishayahayagaya@gmail.com</t>
  </si>
  <si>
    <t>Muhammad hassana Tukur</t>
  </si>
  <si>
    <t>hassanamuhdtukur@gmail.com</t>
  </si>
  <si>
    <t>Halladu Shamsu adam</t>
  </si>
  <si>
    <t>halladushamsu@gmail.com</t>
  </si>
  <si>
    <t>Abubakar Muhammed Wudil</t>
  </si>
  <si>
    <t>mabubakarwudil@gmail.com</t>
  </si>
  <si>
    <t>Maryam hassan yakub</t>
  </si>
  <si>
    <t>Maryamhassanyakub22@gmail.com</t>
  </si>
  <si>
    <t>Basira shafiu</t>
  </si>
  <si>
    <t>basirashafiujalli@gmail.com</t>
  </si>
  <si>
    <t>Halima Ibrahim lawan</t>
  </si>
  <si>
    <t>halimalawanibrahim54@gmail.com</t>
  </si>
  <si>
    <t>ROGO</t>
  </si>
  <si>
    <t>Ekanem Blessing Aniefiok</t>
  </si>
  <si>
    <t>ekanemblessing99@gmail.com</t>
  </si>
  <si>
    <t>ALI AHMAD ABDULKADIR</t>
  </si>
  <si>
    <t>ahmadbawa1988@gmail.com</t>
  </si>
  <si>
    <t>Saifullahi ibrahim aminu</t>
  </si>
  <si>
    <t>sayfibraheemameen@gmail.com</t>
  </si>
  <si>
    <t>Ridwan Yahya Zarewa</t>
  </si>
  <si>
    <t>jrzarewa@gmail.com</t>
  </si>
  <si>
    <t>Ibrahim Khadija Lawan</t>
  </si>
  <si>
    <t>khadijalawanibrahim08@gmail.com</t>
  </si>
  <si>
    <t>Rogo LGA</t>
  </si>
  <si>
    <t>Onasoga Adeniyi Omotayo</t>
  </si>
  <si>
    <t>omotayoadeniyi460@gmail.com</t>
  </si>
  <si>
    <t>Yahaya Aminu Bala</t>
  </si>
  <si>
    <t>aminumk29@gmail.com</t>
  </si>
  <si>
    <t>Abdullahi Aisha</t>
  </si>
  <si>
    <t>aeeshaabdallah@gmail.com</t>
  </si>
  <si>
    <t>Majekodunmi Abdul-Kareem Olayide</t>
  </si>
  <si>
    <t>abdulkareemmajekodunmi1@gmail.com</t>
  </si>
  <si>
    <t>Bassey Ann Charles</t>
  </si>
  <si>
    <t>annbassey27@gmail.com</t>
  </si>
  <si>
    <t>Nu'uman Sulaiman</t>
  </si>
  <si>
    <t>nuumansulaiman20@gmail.com</t>
  </si>
  <si>
    <t>BELI LAWAN ALI</t>
  </si>
  <si>
    <t>belilawanali@gmail.com</t>
  </si>
  <si>
    <t>Hamida Sabo Aliyu</t>
  </si>
  <si>
    <t>Haruna Abdulaziz Shehu</t>
  </si>
  <si>
    <t>harunashehuabdulaziz@gmail.com</t>
  </si>
  <si>
    <t>Oloyede Oluwatimilehin Victoria</t>
  </si>
  <si>
    <t>timihrh@gmail.com</t>
  </si>
  <si>
    <t>Hamisu Yusuf</t>
  </si>
  <si>
    <t>hamisuy296@gmail.com</t>
  </si>
  <si>
    <t>Gaya</t>
  </si>
  <si>
    <t>Umar Husseina Onozasi</t>
  </si>
  <si>
    <t>umarhusseinaonozasi@gmail.com</t>
  </si>
  <si>
    <t>Nwaubani Chidiebere Enyinnaya</t>
  </si>
  <si>
    <t>nwaubanichidie@gmail.com</t>
  </si>
  <si>
    <t>Fayanju Babatope Emmanuel</t>
  </si>
  <si>
    <t>babatopefayanju@yahoo.com</t>
  </si>
  <si>
    <t>Ado odo/Ota</t>
  </si>
  <si>
    <t>Anwuri Prince Azivudu</t>
  </si>
  <si>
    <t>prince.anwuri1@ust.edu.ng</t>
  </si>
  <si>
    <t>Emohua LGA</t>
  </si>
  <si>
    <t>Davalben Ltd</t>
  </si>
  <si>
    <t>infodavalbenltd@gmail.com</t>
  </si>
  <si>
    <t>Ogoja</t>
  </si>
  <si>
    <t>Marvellous Bassey Umoette</t>
  </si>
  <si>
    <t>umoettemarvellous5@gmail.com</t>
  </si>
  <si>
    <t>Mustapha mus’ab Muhammad</t>
  </si>
  <si>
    <t>mmmusab97@gmail.com</t>
  </si>
  <si>
    <t>Esther Emmanuel Uyoh</t>
  </si>
  <si>
    <t>estheremmanueluyoh@gmail.com</t>
  </si>
  <si>
    <t>Obio Okpor</t>
  </si>
  <si>
    <t>AGBE OBORO JUSTINE</t>
  </si>
  <si>
    <t>agbeoboro94@gmail.com</t>
  </si>
  <si>
    <t>OGOJA</t>
  </si>
  <si>
    <t>Tekearede Preye</t>
  </si>
  <si>
    <t>tekearedepreye27@gmail.com</t>
  </si>
  <si>
    <t>Chikezie Phillip ikenna</t>
  </si>
  <si>
    <t>aldimoni.gex4ril@gmail.com</t>
  </si>
  <si>
    <t>Calabar Municipal</t>
  </si>
  <si>
    <t>ODUSINA AMINAT AMOKE</t>
  </si>
  <si>
    <t>amokeaminat29@gmail.com</t>
  </si>
  <si>
    <t>BELLO NAZIFI</t>
  </si>
  <si>
    <t>nazifibello85@gmail.com</t>
  </si>
  <si>
    <t>RANO</t>
  </si>
  <si>
    <t>mercyozuru37@gmail.com</t>
  </si>
  <si>
    <t>Ikona Pauline Liman</t>
  </si>
  <si>
    <t>paulineikonaliman@gmail.com</t>
  </si>
  <si>
    <t>Calabar municipal</t>
  </si>
  <si>
    <t>Cynthia Martins</t>
  </si>
  <si>
    <t>cynthy4kismet@gmail.com</t>
  </si>
  <si>
    <t>Usama Abdullahi</t>
  </si>
  <si>
    <t>usamaabdullahi40@gmail.com</t>
  </si>
  <si>
    <t>Moses Joy</t>
  </si>
  <si>
    <t>mosesjoy2003@gmail.com</t>
  </si>
  <si>
    <t>Yunusa</t>
  </si>
  <si>
    <t>nurayunusabkd01@gmail.com</t>
  </si>
  <si>
    <t>Okanlawon Adeyemi A.</t>
  </si>
  <si>
    <t>adeke1586@gmail.com</t>
  </si>
  <si>
    <t>Ado-odo Otta</t>
  </si>
  <si>
    <t>Bello Marwana Sambo</t>
  </si>
  <si>
    <t>bellomarwanasambo@gmail.com</t>
  </si>
  <si>
    <t>Umar Suleiman Akwe</t>
  </si>
  <si>
    <t>usakwe@gmail.com</t>
  </si>
  <si>
    <t>Linus Samuel Sunday</t>
  </si>
  <si>
    <t>sammyjah756@gmail.com</t>
  </si>
  <si>
    <t>Vidorbu Promise Ziganubari</t>
  </si>
  <si>
    <t>vidorbujnr@gmail.com</t>
  </si>
  <si>
    <t>Ibrahim Imurana Muhammad</t>
  </si>
  <si>
    <t>ibrahimmohammedimurana@gmail.com</t>
  </si>
  <si>
    <t>Barrick Embelakpo</t>
  </si>
  <si>
    <t>barrickembelakpo1@gmail.com</t>
  </si>
  <si>
    <t>EBIGBAGHA EVELYN</t>
  </si>
  <si>
    <t>evelynoluwasheun@gmail.com</t>
  </si>
  <si>
    <t>Kole Olaniyi</t>
  </si>
  <si>
    <t>koleolaniyi60@gmail.com</t>
  </si>
  <si>
    <t>OJUGBELE MICHAEL ADURAGBEMI</t>
  </si>
  <si>
    <t>michealaduragbemi@gmail.com</t>
  </si>
  <si>
    <t>Amusa Monsurat Bidemi</t>
  </si>
  <si>
    <t>amusamonsurat9@gmail.com</t>
  </si>
  <si>
    <t>Enoh Comfort Anthony</t>
  </si>
  <si>
    <t>comfortanthonyenoh@gmail.com</t>
  </si>
  <si>
    <t>Onna</t>
  </si>
  <si>
    <t>Chidinma Njoku Ugochi</t>
  </si>
  <si>
    <t>chidinmanjoku59@gamil.com</t>
  </si>
  <si>
    <t>Njoku Chidinma Njoku</t>
  </si>
  <si>
    <t>OBi Hilda Njia</t>
  </si>
  <si>
    <t>njiahilda@gmail.com</t>
  </si>
  <si>
    <t>OGoja</t>
  </si>
  <si>
    <t>Bello Lukman</t>
  </si>
  <si>
    <t>belloshina35@gmail.com</t>
  </si>
  <si>
    <t>Fakeye Stephen Ayodeji</t>
  </si>
  <si>
    <t>fakeyestephen2005@gmail.com</t>
  </si>
  <si>
    <t>Yewa North</t>
  </si>
  <si>
    <t>Sekhele Mohau Johannes</t>
  </si>
  <si>
    <t>sekhelemohau@gmail.com</t>
  </si>
  <si>
    <t>Tshwane</t>
  </si>
  <si>
    <t>Tijjani Shamsiyya Salim</t>
  </si>
  <si>
    <t>Shamsiyyatijjani22@gmail.com</t>
  </si>
  <si>
    <t>Ian Abdallah</t>
  </si>
  <si>
    <t>ianabdallah3@gmail.com</t>
  </si>
  <si>
    <t>Suleiman Salisu Ibrahim</t>
  </si>
  <si>
    <t>suleimansalisuibrahim2@gmail.com</t>
  </si>
  <si>
    <t>King Sunday Agbagwa</t>
  </si>
  <si>
    <t>sundayoking@gmail.com</t>
  </si>
  <si>
    <t>Abio/Akpo</t>
  </si>
  <si>
    <t>Ukume Josephine</t>
  </si>
  <si>
    <t>ukumejosephine@gmail.com</t>
  </si>
  <si>
    <t>Gwer west</t>
  </si>
  <si>
    <t>Benson Ubi Ubi</t>
  </si>
  <si>
    <t>judebenbless@gmail.com</t>
  </si>
  <si>
    <t>Ibrahim Aisha Mahmud</t>
  </si>
  <si>
    <t>aishamahmud115@gmail.com</t>
  </si>
  <si>
    <t>Shehu musbahu</t>
  </si>
  <si>
    <t>mshehudanya@gmail.com</t>
  </si>
  <si>
    <t>Halima Dayyab suraj</t>
  </si>
  <si>
    <t>halimadayyabsuraj@gmail.com</t>
  </si>
  <si>
    <t>Kenneth Eze</t>
  </si>
  <si>
    <t>kennetheze952@gmail.com</t>
  </si>
  <si>
    <t>Udi</t>
  </si>
  <si>
    <t>Nwine precious Allen</t>
  </si>
  <si>
    <t>preshsteve9@gmail.com</t>
  </si>
  <si>
    <t>Khan</t>
  </si>
  <si>
    <t>Ogu Johnson Onyedikachi</t>
  </si>
  <si>
    <t>johnsononyedikachi86@gmail.com</t>
  </si>
  <si>
    <t>Menekara Victor</t>
  </si>
  <si>
    <t>victormenekara@gmail.com</t>
  </si>
  <si>
    <t>Ogugu jackson</t>
  </si>
  <si>
    <t>jacksonogugu94@gmail.com</t>
  </si>
  <si>
    <t>Ikwerre local government</t>
  </si>
  <si>
    <t>Sintei Tamaralayefa Prince</t>
  </si>
  <si>
    <t>sinteiprince9@gmail.com</t>
  </si>
  <si>
    <t>Ifugu Blessing Idubamoere</t>
  </si>
  <si>
    <t>blessing99608@gmail.com</t>
  </si>
  <si>
    <t>Kolga</t>
  </si>
  <si>
    <t>Ogechi onyekwere</t>
  </si>
  <si>
    <t>ogechionyekwere16@gmail.com</t>
  </si>
  <si>
    <t>Arochukwu</t>
  </si>
  <si>
    <t>Anas jibrin</t>
  </si>
  <si>
    <t>anasjibrin8544@gmail.com</t>
  </si>
  <si>
    <t>Wobo Rooney</t>
  </si>
  <si>
    <t>rooneywobo16@gmail.com</t>
  </si>
  <si>
    <t>Awah Onyinyechi Veronica</t>
  </si>
  <si>
    <t>giftie2k@gmail.com</t>
  </si>
  <si>
    <t>Awah Lawrence</t>
  </si>
  <si>
    <t>lawrenzoe22@gmail.com</t>
  </si>
  <si>
    <t>Fatima Kabir Ahmad</t>
  </si>
  <si>
    <t>fatimakabirdandago@gmail.com</t>
  </si>
  <si>
    <t>Issiaka DANIOKO</t>
  </si>
  <si>
    <t>daniokoissiaka@gmail.com</t>
  </si>
  <si>
    <t>Bamako</t>
  </si>
  <si>
    <t>Resident</t>
  </si>
  <si>
    <t>Muhammad Ahmad Nasidi</t>
  </si>
  <si>
    <t>aamoeva@gmail.com</t>
  </si>
  <si>
    <t>Usman zahrau</t>
  </si>
  <si>
    <t>xahrax002@gmail.com</t>
  </si>
  <si>
    <t>Krama Esther</t>
  </si>
  <si>
    <t>imameruesther@gmail.com</t>
  </si>
  <si>
    <t>Abua/Odual</t>
  </si>
  <si>
    <t>Omoteso Saheed</t>
  </si>
  <si>
    <t>saheed.teso@gmail.com</t>
  </si>
  <si>
    <t>Habib Fatima</t>
  </si>
  <si>
    <t>fatimahabbib003@gmail.com</t>
  </si>
  <si>
    <t>PETER CHISOM OKERE</t>
  </si>
  <si>
    <t>peterchisom97@gmail.com</t>
  </si>
  <si>
    <t>Albert Joshua</t>
  </si>
  <si>
    <t>albertjoshua463@gmail.com</t>
  </si>
  <si>
    <t>Asari Toru</t>
  </si>
  <si>
    <t>OBADIAH GODMADE</t>
  </si>
  <si>
    <t>obadiahgodmade@gmail.com</t>
  </si>
  <si>
    <t>OKAFOR EZEKIEL AHAMUEFUNA</t>
  </si>
  <si>
    <t>oezekiel302@gmail.com</t>
  </si>
  <si>
    <t>Abdullahi halima inuwa</t>
  </si>
  <si>
    <t>sadiyaainuwa537@gmail.com</t>
  </si>
  <si>
    <t>MUHAMMAD ABUBAKAR MUNEER</t>
  </si>
  <si>
    <t>el.muneer2@gmail.com</t>
  </si>
  <si>
    <t>Shaba, Salahu Muhammad</t>
  </si>
  <si>
    <t>salahu.shaba@gmail.com</t>
  </si>
  <si>
    <t>ADEDEJI TAOFIKAT BOLATITO</t>
  </si>
  <si>
    <t>adedejibolatito2000@gmail.com</t>
  </si>
  <si>
    <t>Obia apkor</t>
  </si>
  <si>
    <t>Amina Aminu Abdulmudallib</t>
  </si>
  <si>
    <t>ummiaminu572@gmail.com</t>
  </si>
  <si>
    <t>Ungogo gezawa Yan dodo</t>
  </si>
  <si>
    <t>Simeon faith</t>
  </si>
  <si>
    <t>ogechif704@gmail.com</t>
  </si>
  <si>
    <t>Etche local government area</t>
  </si>
  <si>
    <t>MAIKANO SHEHU ABDULLAHI</t>
  </si>
  <si>
    <t>maikanoshehu456@gmail.com</t>
  </si>
  <si>
    <t>AGHARITEVWERE CHRISTABEL</t>
  </si>
  <si>
    <t>cagharitevwere@gmail.com</t>
  </si>
  <si>
    <t>MUKAILA SODIQ AYOMIDE</t>
  </si>
  <si>
    <t>mikaheelayomide001@gmail.com</t>
  </si>
  <si>
    <t>Boki</t>
  </si>
  <si>
    <t>Sam Samuel Udeme</t>
  </si>
  <si>
    <t>bigsamm033@gmail.com</t>
  </si>
  <si>
    <t>Calabar</t>
  </si>
  <si>
    <t>Abdullahi hamza</t>
  </si>
  <si>
    <t>abdullahihmanga123@gmail.com</t>
  </si>
  <si>
    <t>Nkweke Rejoice</t>
  </si>
  <si>
    <t>nkwekerej5002@gmail.com</t>
  </si>
  <si>
    <t>ONELGA</t>
  </si>
  <si>
    <t>Usman Jamilu</t>
  </si>
  <si>
    <t>muhammadjameel93@gmail.com</t>
  </si>
  <si>
    <t>Badamasi Abubakar salisu</t>
  </si>
  <si>
    <t>badamasiabubakar700@gmail.com</t>
  </si>
  <si>
    <t>Aminu Fatima spikin</t>
  </si>
  <si>
    <t>fatimaspikin@gmail.com</t>
  </si>
  <si>
    <t>Abdurrahman Umma</t>
  </si>
  <si>
    <t>abdurrahmanumma295@gmail.com</t>
  </si>
  <si>
    <t>Mustapha shuaibu Muhammad</t>
  </si>
  <si>
    <t>mustaphasm2024@gmail.com</t>
  </si>
  <si>
    <t>Hussaini naima sani</t>
  </si>
  <si>
    <t>naimahusainisani@icloud.com</t>
  </si>
  <si>
    <t>EFFIONG BLESSING EKANEM</t>
  </si>
  <si>
    <t>ekanemblessing161@gmail.com</t>
  </si>
  <si>
    <t>Aisha balarabe shehu</t>
  </si>
  <si>
    <t>shehuaishabalarabe@gmail.com</t>
  </si>
  <si>
    <t>Muhammad abdulmalik sulaiman</t>
  </si>
  <si>
    <t>muhammadabdulmalik241@gmail.com</t>
  </si>
  <si>
    <t>Baba Aisha Muhammad</t>
  </si>
  <si>
    <t>aishmujeeba@gmail.com</t>
  </si>
  <si>
    <t>Khadija Hayatu</t>
  </si>
  <si>
    <t>safanakhadija@gmail.com</t>
  </si>
  <si>
    <t>Aisha Jamil Adam</t>
  </si>
  <si>
    <t>aishajamil149@gmail.com</t>
  </si>
  <si>
    <t>OBO,BESSIE ODUBO-AKI</t>
  </si>
  <si>
    <t>obobessie@gmail.com</t>
  </si>
  <si>
    <t>Usman Farida</t>
  </si>
  <si>
    <t>faridausman101@gmail.com</t>
  </si>
  <si>
    <t>Bobmanuel, Siyeofori Eric</t>
  </si>
  <si>
    <t>siyeoforibobmanuel@gmail.com</t>
  </si>
  <si>
    <t>jamilah Rabiu Bello</t>
  </si>
  <si>
    <t>jamilahrbello@gmail.com</t>
  </si>
  <si>
    <t>Abdulmalik Abubakar Zubairu</t>
  </si>
  <si>
    <t>alhajiabdulmalik6@gmail.com</t>
  </si>
  <si>
    <t>Thiong Achol Thiong But</t>
  </si>
  <si>
    <t>thiongachol@gmail.com</t>
  </si>
  <si>
    <t>NA</t>
  </si>
  <si>
    <t>Amirize Begin</t>
  </si>
  <si>
    <t>beginamirize@gmail.com</t>
  </si>
  <si>
    <t>Onelga</t>
  </si>
  <si>
    <t>Usman Umar Baba</t>
  </si>
  <si>
    <t>usmanumarbaba2081@gmail.com</t>
  </si>
  <si>
    <t>SULe Iliyasu Kassim</t>
  </si>
  <si>
    <t>iliyasusulekassim@gmail.com</t>
  </si>
  <si>
    <t>Raymond opere</t>
  </si>
  <si>
    <t>raymondopere@gmail.com</t>
  </si>
  <si>
    <t>Yunusa Tajudeen Muhammad</t>
  </si>
  <si>
    <t>tajudeenyunusa2@gmail.com</t>
  </si>
  <si>
    <t>IBRAHIM KABIR ALIYU</t>
  </si>
  <si>
    <t>kabiribrahimaliyu3@gmail.com</t>
  </si>
  <si>
    <t>Abubakar Abdulhakim Muhammad</t>
  </si>
  <si>
    <t>marevdoul41@gmail.com</t>
  </si>
  <si>
    <t>Fatima Abbas Ibrahim</t>
  </si>
  <si>
    <t>fatimaabbasibrahim981@gmail.com</t>
  </si>
  <si>
    <t>Obajuwonlo oladimeji eniola</t>
  </si>
  <si>
    <t>obadimex54j@gmail.com</t>
  </si>
  <si>
    <t>Abbas ibrahim Ibrahim</t>
  </si>
  <si>
    <t>ibrahimabbasibrahim5@gmail.com</t>
  </si>
  <si>
    <t>MADAMIDOLA RAHMOT OLAMIDE</t>
  </si>
  <si>
    <t>zaheedahazzah@gmail.com</t>
  </si>
  <si>
    <t>ADO ODO OTA LG</t>
  </si>
  <si>
    <t>Geleto Deresa Feyera</t>
  </si>
  <si>
    <t>deresafeyera@gmail.com</t>
  </si>
  <si>
    <t>Ibrahim Mubarak</t>
  </si>
  <si>
    <t>mubarakibrahim434@gmail.com</t>
  </si>
  <si>
    <t>BASHIR IDRIS YAHAYA</t>
  </si>
  <si>
    <t>bashiryahayaidris2018@gmail.com</t>
  </si>
  <si>
    <t>Yerima Tabeel</t>
  </si>
  <si>
    <t>yerimatabeel@gmail.com</t>
  </si>
  <si>
    <t>Chikun, Kaduna State</t>
  </si>
  <si>
    <t>DA'U SULEIMAN INDABO</t>
  </si>
  <si>
    <t>suleimandauindabo@gmail.com</t>
  </si>
  <si>
    <t>Ofoke kelvin chijindu</t>
  </si>
  <si>
    <t>kelvinofoke@gmail.com</t>
  </si>
  <si>
    <t>Ibiye promise</t>
  </si>
  <si>
    <t>promiseibiye30@gmail.com</t>
  </si>
  <si>
    <t>Ogu Bolo local government area</t>
  </si>
  <si>
    <t>Kabiru khadija</t>
  </si>
  <si>
    <t>kabirukhadija001@gmail.com</t>
  </si>
  <si>
    <t>Sanusi Muhammad Bello</t>
  </si>
  <si>
    <t>sanusimuhdbello02@gmail.com</t>
  </si>
  <si>
    <t>Tijjani Khadija Mahmud</t>
  </si>
  <si>
    <t>Allen onisoya ignaetus</t>
  </si>
  <si>
    <t>allenonisoya@gmail.com</t>
  </si>
  <si>
    <t>Ahaoada West</t>
  </si>
  <si>
    <t>Eson-obele Favour Anasemi</t>
  </si>
  <si>
    <t>esonobelefavour@gmail.com</t>
  </si>
  <si>
    <t>Salisu bawa</t>
  </si>
  <si>
    <t>salisubawa40@gmail.com</t>
  </si>
  <si>
    <t>Abdullahi Mohammed Haruna</t>
  </si>
  <si>
    <t>abuishaq3531@gmail.com</t>
  </si>
  <si>
    <t>Sadiq Onoruoiza Abdulateef</t>
  </si>
  <si>
    <t>sadiq.o.abdullateef@gmail.com</t>
  </si>
  <si>
    <t>Sadiya Hassan Muhammad</t>
  </si>
  <si>
    <t>hasansadiya603@gmail.com</t>
  </si>
  <si>
    <t>Baffa Umar Saleh</t>
  </si>
  <si>
    <t>umarbaffasaleh@gmail.com</t>
  </si>
  <si>
    <t>Wudil Local government</t>
  </si>
  <si>
    <t>Okifo Augustine okifo Augustine</t>
  </si>
  <si>
    <t>okifong@gmail.com</t>
  </si>
  <si>
    <t>Anthony Stella</t>
  </si>
  <si>
    <t>anthonystella177@gmail.com</t>
  </si>
  <si>
    <t>Umaru Hadiza Mambo</t>
  </si>
  <si>
    <t>umaruhadizamb@gmail.com</t>
  </si>
  <si>
    <t>Nnam</t>
  </si>
  <si>
    <t>nnamnkiruka1@gmail.com</t>
  </si>
  <si>
    <t>Nkanu West</t>
  </si>
  <si>
    <t>Osike Samuel Ifeakachukwu</t>
  </si>
  <si>
    <t>osikesamuel10@gmail.com</t>
  </si>
  <si>
    <t>Salim Abubakar Abubakar</t>
  </si>
  <si>
    <t>sirabubakarsalim@gmail.com</t>
  </si>
  <si>
    <t>Yahaya Hassan</t>
  </si>
  <si>
    <t>hassanyahaya4503@gmail.com</t>
  </si>
  <si>
    <t>Zakariyya Abdulrahman Danyaro</t>
  </si>
  <si>
    <t>xhacks020@gmail.com</t>
  </si>
  <si>
    <t>Fatima Abdulmalik Sulaiman</t>
  </si>
  <si>
    <t>fatimaabdulmaliksulaiman@gmail.com</t>
  </si>
  <si>
    <t>Isa ubaidu</t>
  </si>
  <si>
    <t>ubaiduisa@gmail.com</t>
  </si>
  <si>
    <t>Yusif Shazali</t>
  </si>
  <si>
    <t>yusifshazali2025@gmail.com</t>
  </si>
  <si>
    <t>Usman Abubakar</t>
  </si>
  <si>
    <t>usmanabubakarbangis@gmail.com</t>
  </si>
  <si>
    <t>Joel Payonimi Samson</t>
  </si>
  <si>
    <t>joelsamsonpayonimi@gmail.com</t>
  </si>
  <si>
    <t>RAFIU AKIBU ALARAPE</t>
  </si>
  <si>
    <t>alarape21@gmail.com</t>
  </si>
  <si>
    <t>Haruna hajara sunusi</t>
  </si>
  <si>
    <t>ENEYI, JOSEPHINE PEREKEBINA</t>
  </si>
  <si>
    <t>jossypere@gmail.com</t>
  </si>
  <si>
    <t>Onaji Musa</t>
  </si>
  <si>
    <t>onajimusa@gmail.com</t>
  </si>
  <si>
    <t>Kehinde Olubande</t>
  </si>
  <si>
    <t>Victorolubande@gmail.com</t>
  </si>
  <si>
    <t>ADEYEMI TOYIN VICTORIA</t>
  </si>
  <si>
    <t>adeyemivictoria08@gmail.com</t>
  </si>
  <si>
    <t>IFO LOCAL GOVERNMENT</t>
  </si>
  <si>
    <t>Kolo Sunday Daniel</t>
  </si>
  <si>
    <t>kolodaniel49@gmail.com</t>
  </si>
  <si>
    <t>Umar Ahmad</t>
  </si>
  <si>
    <t>ahmadumaraliyu2@gmail.com</t>
  </si>
  <si>
    <t>Oyewole peter ayomide</t>
  </si>
  <si>
    <t>ayomidegodwin9632@gmail.com</t>
  </si>
  <si>
    <t>Ogbolo Christian</t>
  </si>
  <si>
    <t>christianogbolo999@gmail.com</t>
  </si>
  <si>
    <t>Adeyemi Lookman</t>
  </si>
  <si>
    <t>adeyemiatilade92@gmail.com</t>
  </si>
  <si>
    <t>Muhammed Hauwau</t>
  </si>
  <si>
    <t>jiddarhhub02@gmail.com</t>
  </si>
  <si>
    <t>Tanitolorun Kehinde Romaric</t>
  </si>
  <si>
    <t>tanitolorunkehinde@gmail.com</t>
  </si>
  <si>
    <t>Muhammad Amina</t>
  </si>
  <si>
    <t>aminamuhammad6692@gmail.com</t>
  </si>
  <si>
    <t>Aliyu abubakar Sadiq</t>
  </si>
  <si>
    <t>abubakarsadiqaliyu6@gmail.com</t>
  </si>
  <si>
    <t>Kiru</t>
  </si>
  <si>
    <t>Balibuza Jacob</t>
  </si>
  <si>
    <t>yakobobalibuzajacques@gmail.com</t>
  </si>
  <si>
    <t>Kakuma</t>
  </si>
  <si>
    <t>Methal health</t>
  </si>
  <si>
    <t>Johnson Natmun</t>
  </si>
  <si>
    <t>natmunjohnson@gmail.com</t>
  </si>
  <si>
    <t>Muhammad Aisha Bashir</t>
  </si>
  <si>
    <t>ashmubash05@gmail.com</t>
  </si>
  <si>
    <t>DANIEL VICTOR ASUKWO</t>
  </si>
  <si>
    <t>dvictor955@gmail.com</t>
  </si>
  <si>
    <t>Okrika</t>
  </si>
  <si>
    <t>Uchendu Nnaemeka Martin</t>
  </si>
  <si>
    <t>nnaemekauchendu7@gmail.com</t>
  </si>
  <si>
    <t>Enugu East</t>
  </si>
  <si>
    <t>Muktar Hafsat Magori</t>
  </si>
  <si>
    <t>hafsahmuktar@gmail.com</t>
  </si>
  <si>
    <t>SECONDUS NKERE-AWAJI IRO ETETEGWUNG</t>
  </si>
  <si>
    <t>nkereawajiiro@gmail.com</t>
  </si>
  <si>
    <t>Andoni</t>
  </si>
  <si>
    <t>Abdullahi Maryam Idris</t>
  </si>
  <si>
    <t>abdullahimaryam193@gmail.com</t>
  </si>
  <si>
    <t>Monday Yakubu</t>
  </si>
  <si>
    <t>princechobeakapricelessangel@gmail.com</t>
  </si>
  <si>
    <t>Baraatu</t>
  </si>
  <si>
    <t>baraatu@594gmail.com</t>
  </si>
  <si>
    <t>Kwale</t>
  </si>
  <si>
    <t>Ibrahim Ali</t>
  </si>
  <si>
    <t>khaleepher4dd@gmail.com</t>
  </si>
  <si>
    <t>Chalawa</t>
  </si>
  <si>
    <t>Mubarak Gambo Haruna</t>
  </si>
  <si>
    <t>mubarakgambo44@gmail.com</t>
  </si>
  <si>
    <t>Garin malam</t>
  </si>
  <si>
    <t>Sulyman abdulafeez</t>
  </si>
  <si>
    <t>Sulymanabdulafeez@gmail.com</t>
  </si>
  <si>
    <t>Chanchanga LGa</t>
  </si>
  <si>
    <t>Rahul Kumar</t>
  </si>
  <si>
    <t>rahulevs01@gmail.com</t>
  </si>
  <si>
    <t>India</t>
  </si>
  <si>
    <t>Indigenous resident, India</t>
  </si>
  <si>
    <t>Muhammad Rubado Lawan</t>
  </si>
  <si>
    <t>rubadomuhammad1@gmail.com</t>
  </si>
  <si>
    <t>Abiodun Jubril</t>
  </si>
  <si>
    <t>abiodunjubril2580@gmail.com</t>
  </si>
  <si>
    <t>Ona Ara</t>
  </si>
  <si>
    <t>Udoakpan nseabasi nsikan</t>
  </si>
  <si>
    <t>nseabasinsikan2@gmail.com</t>
  </si>
  <si>
    <t>ALIYU USMAN ABUBAKAR</t>
  </si>
  <si>
    <t>amina406muhammad@gmail.com</t>
  </si>
  <si>
    <t>Kano State</t>
  </si>
  <si>
    <t>Salisu Ahmed Isah</t>
  </si>
  <si>
    <t>salisuisahdbt24@gmail.com</t>
  </si>
  <si>
    <t>Abdulrahaman</t>
  </si>
  <si>
    <t>babanlliya2020@gmail.com</t>
  </si>
  <si>
    <t>Nasarawa local government area</t>
  </si>
  <si>
    <t>Abdulsalam Abdulrahman Yusuf</t>
  </si>
  <si>
    <t>abdulsalamabdulrahmanyusuf230@gmail.com</t>
  </si>
  <si>
    <t>Salisu Ahmad Ahmad</t>
  </si>
  <si>
    <t>salisuaahmad080@gmail.com</t>
  </si>
  <si>
    <t>Nura Rabiu</t>
  </si>
  <si>
    <t>nurarabiuchafe2020@gmail.com</t>
  </si>
  <si>
    <t>Paiko</t>
  </si>
  <si>
    <t>Ibrahim Zaharaddeen Bashir</t>
  </si>
  <si>
    <t>zaharaddeenibrahimbash@gmail.com</t>
  </si>
  <si>
    <t>Adam Ibrahim</t>
  </si>
  <si>
    <t>ibrotechakanbi@gmail.com</t>
  </si>
  <si>
    <t>West</t>
  </si>
  <si>
    <t>Indigenous resident, Refugee (from another country), Migrant (moved from another part of Nigeria)</t>
  </si>
  <si>
    <t>Haruna Hadiza</t>
  </si>
  <si>
    <t>hdeeza001@gmail.com</t>
  </si>
  <si>
    <t>Awojoodu Veronica Oyesola</t>
  </si>
  <si>
    <t>oyesolaveronica@gmail.com</t>
  </si>
  <si>
    <t>Hakorimana Fabrice</t>
  </si>
  <si>
    <t>hakorimanafabrice1999@gmail.com</t>
  </si>
  <si>
    <t>Nyabikiri</t>
  </si>
  <si>
    <t>Jerry Ullah</t>
  </si>
  <si>
    <t>jerryakpakoro@gmail.com</t>
  </si>
  <si>
    <t>Aliyu Abbas Ibrahim</t>
  </si>
  <si>
    <t>aliyuabbasibrahim14@gmail.com</t>
  </si>
  <si>
    <t>Yunus Abdulgafar</t>
  </si>
  <si>
    <t>yabdulgafar724@gmail.com</t>
  </si>
  <si>
    <t>Ilorin West</t>
  </si>
  <si>
    <t>Ankit yadav</t>
  </si>
  <si>
    <t>ay3555032@gmail.com</t>
  </si>
  <si>
    <t>Bjp</t>
  </si>
  <si>
    <t>Ojoiyanuoluwa858@gmail.com</t>
  </si>
  <si>
    <t>Kamaluddeen Adam abdurrahmam</t>
  </si>
  <si>
    <t>kamaluddeenabdurrahmanadam@gmail.com</t>
  </si>
  <si>
    <t>Donga</t>
  </si>
  <si>
    <t>Indigenous resident, Refugee (from another country), Migrant (moved from another part of Nigeria),</t>
  </si>
  <si>
    <t>Oladosu Mary Yetunde</t>
  </si>
  <si>
    <t>Oladosumary11@gmail.com</t>
  </si>
  <si>
    <t>Irepodun local government</t>
  </si>
  <si>
    <t>Hassana Abdulaziz</t>
  </si>
  <si>
    <t>hassanabdulaziz1234@gmail.com</t>
  </si>
  <si>
    <t>Fatima Jamil Adam</t>
  </si>
  <si>
    <t>fatimajamiladam@gmail.com</t>
  </si>
  <si>
    <t>Muhammad Abdullahi Aminu</t>
  </si>
  <si>
    <t>mameenu02@gmail.com</t>
  </si>
  <si>
    <t>Badamasi Muhammad Adam</t>
  </si>
  <si>
    <t>muhammadbadamasi2017@gmail.com</t>
  </si>
  <si>
    <t>Haliru Abdullahi</t>
  </si>
  <si>
    <t>halliruabdullahi094@gmail.com</t>
  </si>
  <si>
    <t>Asmau Muhammad Tukur</t>
  </si>
  <si>
    <t>asmaumt19@gmail.com</t>
  </si>
  <si>
    <t>Sulaiman Jeremiah Damilola</t>
  </si>
  <si>
    <t>jessydamilola0@gmail.com</t>
  </si>
  <si>
    <t>Maidugu Maina Abubakar</t>
  </si>
  <si>
    <t>abubakarmainamaidugu0258@gmail.com</t>
  </si>
  <si>
    <t>Central</t>
  </si>
  <si>
    <t>Peter Damilola Oluwasikemi</t>
  </si>
  <si>
    <t>Sikemipeter@gmail.com</t>
  </si>
  <si>
    <t>Isabe</t>
  </si>
  <si>
    <t>Sharif Khadija Usman</t>
  </si>
  <si>
    <t>nanakhadeejah.sharif5@gmail.com</t>
  </si>
  <si>
    <t>Ndeodei-obase Ntede Edet</t>
  </si>
  <si>
    <t>benitaedet4@gmail.com</t>
  </si>
  <si>
    <t>Orlu Faith Nkeiru</t>
  </si>
  <si>
    <t>bright.ictpersonnel@gmail.com</t>
  </si>
  <si>
    <t>Rita Ayuba</t>
  </si>
  <si>
    <t>ritaayuba95@gmail.com</t>
  </si>
  <si>
    <t>Garba shafiu dahiru</t>
  </si>
  <si>
    <t>shafiudahirugarba84@gmail.com</t>
  </si>
  <si>
    <t>Abdullahi Hamisu Isah</t>
  </si>
  <si>
    <t>hamisuiabdullahi12@gmail.com</t>
  </si>
  <si>
    <t>Afolabi Israel</t>
  </si>
  <si>
    <t>afolabiisrael714@gmail.com</t>
  </si>
  <si>
    <t>Yahaya Nafisa</t>
  </si>
  <si>
    <t>nafisayahaya237@gmail.com</t>
  </si>
  <si>
    <t>Aketi Isaac</t>
  </si>
  <si>
    <t>isaacaketi3@gmail.com</t>
  </si>
  <si>
    <t>Salga</t>
  </si>
  <si>
    <t>rabia Lawan Abdulllahi</t>
  </si>
  <si>
    <t>Rabialawan4342@gmail.com</t>
  </si>
  <si>
    <t>Zubairu Mohammed tauheed</t>
  </si>
  <si>
    <t>mohammedtauheedzubairu@gmail.com</t>
  </si>
  <si>
    <t>N</t>
  </si>
  <si>
    <t>Abuzar Musa Muktar</t>
  </si>
  <si>
    <t>abuzarmuktar1@gmail.com</t>
  </si>
  <si>
    <t>Fagge Local government</t>
  </si>
  <si>
    <t>Indigenous resident, Migrant (moved from another part of Nigeria), Returnee</t>
  </si>
  <si>
    <t>Adeagbo Aishat Temitope</t>
  </si>
  <si>
    <t>adeagboaishat3@gmail.com</t>
  </si>
  <si>
    <t>Ogbomoso North</t>
  </si>
  <si>
    <t>Babatunde Emmanuel Odunayo</t>
  </si>
  <si>
    <t>babatundeemmanuelodunayo1000@gmail.com</t>
  </si>
  <si>
    <t>Ndoboke Doris Nurse-ere</t>
  </si>
  <si>
    <t>nurserendoboke@gmail.com</t>
  </si>
  <si>
    <t>MUTOKA CHARLES ODUORI</t>
  </si>
  <si>
    <t>mutokac5@gmail.com</t>
  </si>
  <si>
    <t>Eselenjor Gloria Onyebuchi</t>
  </si>
  <si>
    <t>emmanuellaesenjor@gmail.com</t>
  </si>
  <si>
    <t>Usman yusuf abubakar</t>
  </si>
  <si>
    <t>yusufusman495@gmail.com</t>
  </si>
  <si>
    <t>MAKAMA NAFIU ILIYASU</t>
  </si>
  <si>
    <t>nafiuiliyasumakama2025@gmail.com</t>
  </si>
  <si>
    <t>madobi</t>
  </si>
  <si>
    <t>fateeluv6@gmail.com</t>
  </si>
  <si>
    <t>Akindele Abdul-Hafeez Olaniran</t>
  </si>
  <si>
    <t>akindelehafeez@gmail.com</t>
  </si>
  <si>
    <t>Odedah</t>
  </si>
  <si>
    <t>Ahmad Kamalu Amin</t>
  </si>
  <si>
    <t>kamaluahmadamin@gmail.com</t>
  </si>
  <si>
    <t>Khansau lawan Ali</t>
  </si>
  <si>
    <t>khansaulawanali@gmail.com</t>
  </si>
  <si>
    <t>Hauwa'u</t>
  </si>
  <si>
    <t>hauwanababa2@gmail.com</t>
  </si>
  <si>
    <t>Saleh Halima Nababa</t>
  </si>
  <si>
    <t>halimasalehnababa057@gmail.com</t>
  </si>
  <si>
    <t>Okonkwo Sylvester Okechukwu</t>
  </si>
  <si>
    <t>okonkwosylvester92@gmail.com</t>
  </si>
  <si>
    <t>Uzouwani LGA</t>
  </si>
  <si>
    <t>Usaina Abdulhadi Bako</t>
  </si>
  <si>
    <t>Tarauni LGA uguwar uku kauye alu</t>
  </si>
  <si>
    <t>Aliyu Usman</t>
  </si>
  <si>
    <t>usmanaliyugayegaye44@gmail.com</t>
  </si>
  <si>
    <t>TANKO IDRIS HAUWA</t>
  </si>
  <si>
    <t>tankoidrishauwa@gmail.com</t>
  </si>
  <si>
    <t>Karaye Maryam Musa</t>
  </si>
  <si>
    <t>karayemaryam@gmail.com</t>
  </si>
  <si>
    <t>Laolu-kolawole</t>
  </si>
  <si>
    <t>samuelolajidelkj@gmail.com</t>
  </si>
  <si>
    <t>Jamiu Muhammad Hadi</t>
  </si>
  <si>
    <t>muhammadhadee1@gmail.com</t>
  </si>
  <si>
    <t>Fatima Muhammad Sunusi</t>
  </si>
  <si>
    <t>muhammadfatima879@gmail.com</t>
  </si>
  <si>
    <t>Municipal kano</t>
  </si>
  <si>
    <t>Umma mustapha jibrin</t>
  </si>
  <si>
    <t>ummamustaphajibrin210@gmail.com</t>
  </si>
  <si>
    <t>Ukashatu Usman Giwa</t>
  </si>
  <si>
    <t>ukashatugiwa33@gmail.com</t>
  </si>
  <si>
    <t>Abdulkadir Samira Adam</t>
  </si>
  <si>
    <t>samirangaya1@gmail.com</t>
  </si>
  <si>
    <t>muhammed Adamu</t>
  </si>
  <si>
    <t>muhammedadamu586@gmail.com</t>
  </si>
  <si>
    <t>sabon gari zaria of Kaduna state</t>
  </si>
  <si>
    <t>LAWAL</t>
  </si>
  <si>
    <t>hadizalawalsalisu@gmail.com</t>
  </si>
  <si>
    <t>Sulaiman Idris Abba</t>
  </si>
  <si>
    <t>idrissulaiman1109@gmail.com</t>
  </si>
  <si>
    <t>Garba Aliya</t>
  </si>
  <si>
    <t>ZAINAB JAFAR YAHAYA</t>
  </si>
  <si>
    <t>zainabjafaryahaya@gmail.com</t>
  </si>
  <si>
    <t>Yunusa Zainab Ibrahim</t>
  </si>
  <si>
    <t>zainabibrahimyunusa22@gmail.com</t>
  </si>
  <si>
    <t>Abubakar Ibrahim Sani</t>
  </si>
  <si>
    <t>ibrahimabubakardiso94@gmail.com</t>
  </si>
  <si>
    <t>Hamzat Rukayya Yangora</t>
  </si>
  <si>
    <t>werheeder@gmail.com</t>
  </si>
  <si>
    <t>Preye Ebis</t>
  </si>
  <si>
    <t>ebisp2020@gmail.com</t>
  </si>
  <si>
    <t>Bashir maryam garko</t>
  </si>
  <si>
    <t>garkobashirmaryam@gmail.com</t>
  </si>
  <si>
    <t>nassarawa</t>
  </si>
  <si>
    <t>Bilal Binta</t>
  </si>
  <si>
    <t>bilalbinta@gmail.com</t>
  </si>
  <si>
    <t>Aisha Dahiru</t>
  </si>
  <si>
    <t>aishadahiru597@gmail.com</t>
  </si>
  <si>
    <t>Kolapo Maleek Akolade</t>
  </si>
  <si>
    <t>kolapomaleek@gmail.com</t>
  </si>
  <si>
    <t>kabir Nafisa ibrahim</t>
  </si>
  <si>
    <t>feenerhkabeer@gmail.com</t>
  </si>
  <si>
    <t>kano municipal</t>
  </si>
  <si>
    <t>Aisha Adam Abubakar</t>
  </si>
  <si>
    <t>ashaadammarmara@gmail.com</t>
  </si>
  <si>
    <t>Solomon Chukwumbana Desire</t>
  </si>
  <si>
    <t>desires442@gmail.com</t>
  </si>
  <si>
    <t>Awolope, Tobi Mary</t>
  </si>
  <si>
    <t>awolopetobi@gmail.com</t>
  </si>
  <si>
    <t>Kpalap Baribor-ve Nen-ka Jasper</t>
  </si>
  <si>
    <t>kpalapjay@gmail.com</t>
  </si>
  <si>
    <t>Tijjani Anwar Aminu</t>
  </si>
  <si>
    <t>anwartijjani1102@gmail.com</t>
  </si>
  <si>
    <t>Mohammed Alamin Mohammed</t>
  </si>
  <si>
    <t>mohdalamin727@gmail.com</t>
  </si>
  <si>
    <t>Rahila Alhassan inuwa</t>
  </si>
  <si>
    <t>alhassanraheelah@gmail.com</t>
  </si>
  <si>
    <t>Ibrahim Jamila Abubakar</t>
  </si>
  <si>
    <t>jamilaibrahim1020@gmail.com</t>
  </si>
  <si>
    <t>Abdullahi Shafiu Muhammad</t>
  </si>
  <si>
    <t>shafiumuhammad55@gmail.com</t>
  </si>
  <si>
    <t>Abdu Abdullahi Muhammad</t>
  </si>
  <si>
    <t>abdulbowwow55@gmail.com</t>
  </si>
  <si>
    <t>Mohammed Ismaila Atsu</t>
  </si>
  <si>
    <t>mohammedismaila130@gmail.com</t>
  </si>
  <si>
    <t>Aliyu Idris Etsugaie</t>
  </si>
  <si>
    <t>aliyusheshi345@gmail.com</t>
  </si>
  <si>
    <t>ISAH SAUDATU ABDULLAHI</t>
  </si>
  <si>
    <t>saudatisah2020@gmail.com</t>
  </si>
  <si>
    <t>Gwale LGA Kano state Nigeria</t>
  </si>
  <si>
    <t>Musa Isah</t>
  </si>
  <si>
    <t>musaisah7946@gmail.com</t>
  </si>
  <si>
    <t>MUHAMMAD SANI ILIYASU</t>
  </si>
  <si>
    <t>iliyamuhdsani@gmail.com</t>
  </si>
  <si>
    <t>MADOBI LGA</t>
  </si>
  <si>
    <t>OGUZIE, JOYCE CHIAMAKA</t>
  </si>
  <si>
    <t>joyceoguzie@gmail.com</t>
  </si>
  <si>
    <t>ISAH MARAKISIYYA ABDULLAHI</t>
  </si>
  <si>
    <t>maraqisiyyaisahabdullahi@gmail.com</t>
  </si>
  <si>
    <t>Shu'aibu shazali Uba</t>
  </si>
  <si>
    <t>shazalishuaibu90@gmail.com</t>
  </si>
  <si>
    <t>AHMAD ALI</t>
  </si>
  <si>
    <t>aliahmadmemai@gmail.com</t>
  </si>
  <si>
    <t>Felix Baridole</t>
  </si>
  <si>
    <t>felixbaridoleleo@gmail.com</t>
  </si>
  <si>
    <t>Tai</t>
  </si>
  <si>
    <t>Ya'u Mohammed</t>
  </si>
  <si>
    <t>balandee002@gmail.com</t>
  </si>
  <si>
    <t>Ugoo Tavershima Richard</t>
  </si>
  <si>
    <t>richard.ugoo@uam.edu.ng</t>
  </si>
  <si>
    <t>ALHASSAN MAARUF MUSA</t>
  </si>
  <si>
    <t>maarufalhassanmusa@gmail.com</t>
  </si>
  <si>
    <t>AIMANA SALISU ISHAQ</t>
  </si>
  <si>
    <t>salisuaimanaishaq@gmail.com</t>
  </si>
  <si>
    <t>GWALE</t>
  </si>
  <si>
    <t>SAFIYYA BELLO AMINU</t>
  </si>
  <si>
    <t>safiyyabelloaminu51@gmail.com</t>
  </si>
  <si>
    <t>Suleiman Abdulmajid</t>
  </si>
  <si>
    <t>abdulmajidsuleiman69@gmail.com</t>
  </si>
  <si>
    <t>Musa Adam Yusuf</t>
  </si>
  <si>
    <t>modibbo216@gmail.com</t>
  </si>
  <si>
    <t>ALAWIYYA ISYAKU ISMAIL</t>
  </si>
  <si>
    <t>alawiyyaisyakuismail@gmail.com</t>
  </si>
  <si>
    <t>Frank, favour friday</t>
  </si>
  <si>
    <t>favourfrank66@gmail.com</t>
  </si>
  <si>
    <t>Rukayya sabo Isah</t>
  </si>
  <si>
    <t>rukayyahisah35@gmail.com</t>
  </si>
  <si>
    <t>Effiong</t>
  </si>
  <si>
    <t>gryeffiong@gmail.com</t>
  </si>
  <si>
    <t>CALABAR</t>
  </si>
  <si>
    <t>Chinedu Pius Ikechukwu</t>
  </si>
  <si>
    <t>chinedupius66@gmail.com</t>
  </si>
  <si>
    <t>ODEY MERCY AGBO</t>
  </si>
  <si>
    <t>mercyagboodey@gmail.com</t>
  </si>
  <si>
    <t>Bekwarra</t>
  </si>
  <si>
    <t>Ashir Na'ima Dandago</t>
  </si>
  <si>
    <t>ashirdandagon@gmail.com</t>
  </si>
  <si>
    <t>Aminu Fatima</t>
  </si>
  <si>
    <t>fatimaaminu206@gmail.com</t>
  </si>
  <si>
    <t>Aminu Hauwa Hassan</t>
  </si>
  <si>
    <t>hauwaaminuhassan46@gmail.com</t>
  </si>
  <si>
    <t>Rahmabilyaminismail@gmail.com</t>
  </si>
  <si>
    <t>rahmabilyaminismail@gmail.com</t>
  </si>
  <si>
    <t>Dawakin kudu local government</t>
  </si>
  <si>
    <t>Usman zainab Gule</t>
  </si>
  <si>
    <t>zainabusmangule@gmail.com</t>
  </si>
  <si>
    <t>Yusuf Abdullahi</t>
  </si>
  <si>
    <t>meetabdul2008@gmail.com</t>
  </si>
  <si>
    <t>Rufai shehu Ahmad</t>
  </si>
  <si>
    <t>shehuahmadrufai@yahoo.com</t>
  </si>
  <si>
    <t>Starming</t>
  </si>
  <si>
    <t>Odey Alexandria Danclementino</t>
  </si>
  <si>
    <t>danclementinoalexandria@gmail.com</t>
  </si>
  <si>
    <t>Yala</t>
  </si>
  <si>
    <t>ODEY FERDINAND OGBECHE</t>
  </si>
  <si>
    <t>ferdinandogbeche2022@gmail.com</t>
  </si>
  <si>
    <t>Sunday Wonah</t>
  </si>
  <si>
    <t>swonah11@gmail.com</t>
  </si>
  <si>
    <t>Badamasi</t>
  </si>
  <si>
    <t>badamasihashimumuhd52@gmail.com</t>
  </si>
  <si>
    <t>OLADIPO Uthman</t>
  </si>
  <si>
    <t>oladipouthman1@gmail.com</t>
  </si>
  <si>
    <t>Israel Nkarilor Lucky-fellow</t>
  </si>
  <si>
    <t>luckynkarilor@gmail.com</t>
  </si>
  <si>
    <t>LIMAN BUKASHA</t>
  </si>
  <si>
    <t>limanbukasha1@gmail.com</t>
  </si>
  <si>
    <t>LAPAI</t>
  </si>
  <si>
    <t>Nwokenkwo Hephzibah Chimdiya</t>
  </si>
  <si>
    <t>nwokenkwohephzibah@gmail.com</t>
  </si>
  <si>
    <t>MUKHTAR MUHAMMAD</t>
  </si>
  <si>
    <t>Muhammadmukhtar1314@gmail.com</t>
  </si>
  <si>
    <t>IDIKU DESTINY OHOBU</t>
  </si>
  <si>
    <t>destinyidiku5@gmail.com</t>
  </si>
  <si>
    <t>Momoh Adams</t>
  </si>
  <si>
    <t>adamsadavize160@gmail.com</t>
  </si>
  <si>
    <t>Schooling</t>
  </si>
  <si>
    <t>Dambazau Mahmud Aminu</t>
  </si>
  <si>
    <t>madambazau@gmail.com</t>
  </si>
  <si>
    <t>Ojong, Aganyi Asu</t>
  </si>
  <si>
    <t>aganyiojongasu@gmail.com</t>
  </si>
  <si>
    <t>Etung</t>
  </si>
  <si>
    <t>Karima Yusha'u sultan</t>
  </si>
  <si>
    <t>sultankarimayusha@gmail.com</t>
  </si>
  <si>
    <t>Vaah,Precious Barivule</t>
  </si>
  <si>
    <t>vaahbarivule@gmail.com</t>
  </si>
  <si>
    <t>Obia kpor</t>
  </si>
  <si>
    <t>Adindu Kelechi Kelvin</t>
  </si>
  <si>
    <t>kelechiadindu2006@gmail.com</t>
  </si>
  <si>
    <t>OSAJE PEACE ERUEMULOR</t>
  </si>
  <si>
    <t>peaceosaje@gmail.com</t>
  </si>
  <si>
    <t>Ogbaji Victor James</t>
  </si>
  <si>
    <t>ogbvicco@gmail.com</t>
  </si>
  <si>
    <t>Nnadi Esther Abiola</t>
  </si>
  <si>
    <t>nnadiestheronyiyechukwu@gmail.com</t>
  </si>
  <si>
    <t>Opara Favour</t>
  </si>
  <si>
    <t>favouropara899@gmail.com</t>
  </si>
  <si>
    <t>Ikwerra</t>
  </si>
  <si>
    <t>Amasuomo Frank Okus</t>
  </si>
  <si>
    <t>frankamasuomo@gmail.com</t>
  </si>
  <si>
    <t>NURA FATIMA NURA</t>
  </si>
  <si>
    <t>nuraf6365@gmail.com</t>
  </si>
  <si>
    <t>Enang Gift Ogar</t>
  </si>
  <si>
    <t>giftenang123@gmail.com</t>
  </si>
  <si>
    <t>David-ogoloma Dumo Azunda</t>
  </si>
  <si>
    <t>daviddumo768@gmail.com</t>
  </si>
  <si>
    <t>PHALGA</t>
  </si>
  <si>
    <t>Anielo chiamaka</t>
  </si>
  <si>
    <t>chiamakaanielo417@gmail.com</t>
  </si>
  <si>
    <t>HALIMA IBRAHIM GARBA</t>
  </si>
  <si>
    <t>halimaibrahimgarba002@gmail.com</t>
  </si>
  <si>
    <t>Bilyamin Sulaiman</t>
  </si>
  <si>
    <t>sulaimanbilyamin6@gmail.com</t>
  </si>
  <si>
    <t>Umar Mohammed</t>
  </si>
  <si>
    <t>umarmohammedmaito7@gmail.com</t>
  </si>
  <si>
    <t>Ogar Raphael Ekpo</t>
  </si>
  <si>
    <t>ekpo.rapheal@gmail.com</t>
  </si>
  <si>
    <t>Ogunleye Gbenga</t>
  </si>
  <si>
    <t>gbengabusayoogunleye@gmail.com</t>
  </si>
  <si>
    <t>NABILa Ashir Dandago</t>
  </si>
  <si>
    <t>nashirdandago@gmail.com</t>
  </si>
  <si>
    <t>TIMITIMI</t>
  </si>
  <si>
    <t>dausboy00000@gmail.com</t>
  </si>
  <si>
    <t>KOLOKUMA/OPOKUMA L.G.A</t>
  </si>
  <si>
    <t>Hindatu Abdulmuminu</t>
  </si>
  <si>
    <t>hindatuaidris@gmail.com</t>
  </si>
  <si>
    <t>Inya, Faith Ugo</t>
  </si>
  <si>
    <t>ugodiam@gmail.com</t>
  </si>
  <si>
    <t>Odey Monica Owonobe</t>
  </si>
  <si>
    <t>odeymonicaowonobe@gmail.com</t>
  </si>
  <si>
    <t>Zakiyya Jamilu Ibrahim</t>
  </si>
  <si>
    <t>zakiyyajamilibrahim@gmail.com</t>
  </si>
  <si>
    <t>Onifade Joshua</t>
  </si>
  <si>
    <t>Kayode.t.Joshua@gmail.com</t>
  </si>
  <si>
    <t>Yenagoa Local Government Area</t>
  </si>
  <si>
    <t>Dan'asabe Abba Imam</t>
  </si>
  <si>
    <t>abbadimamtofa@gmail.com</t>
  </si>
  <si>
    <t>Tofa Local Government</t>
  </si>
  <si>
    <t>OKOR, ANGEL-WINI BIOSIO</t>
  </si>
  <si>
    <t>okorangelwini@gmail.com</t>
  </si>
  <si>
    <t>FATIMA MUNIR</t>
  </si>
  <si>
    <t>07036480547@gmail.com</t>
  </si>
  <si>
    <t>Muhammad Ibrahim hafiz</t>
  </si>
  <si>
    <t>ibrahimhafizmuhammad7@gmail.com</t>
  </si>
  <si>
    <t>Idris</t>
  </si>
  <si>
    <t>ahmedidrismohammed@gmail.com</t>
  </si>
  <si>
    <t>ASSAM FIONA OBI</t>
  </si>
  <si>
    <t>fionaassam81@gmail.com</t>
  </si>
  <si>
    <t>Madamidola Abdul razaq</t>
  </si>
  <si>
    <t>tunjimadamidola@gmail.com</t>
  </si>
  <si>
    <t>Bashir Abubakar</t>
  </si>
  <si>
    <t>Abubakarbashir3a@gmail.com</t>
  </si>
  <si>
    <t>Yusuf Sunusi Miko</t>
  </si>
  <si>
    <t>sunusimiko77@gmail.com</t>
  </si>
  <si>
    <t>SA'ADATU MUSA SA'ID</t>
  </si>
  <si>
    <t>saadatumusasaid@gmail.com</t>
  </si>
  <si>
    <t>Usman Umar maito</t>
  </si>
  <si>
    <t>umarusmanmaito2020@gmail.com</t>
  </si>
  <si>
    <t>Ruqayya iliyasu</t>
  </si>
  <si>
    <t>rukayyailiyasuyau@gmail.com</t>
  </si>
  <si>
    <t>EMMANUEL</t>
  </si>
  <si>
    <t>favouremmanuel6074@gmail.com</t>
  </si>
  <si>
    <t>Mkpat enin</t>
  </si>
  <si>
    <t>Umar Abdullahi Beli</t>
  </si>
  <si>
    <t>umarabdullahibeli001@gmail.com</t>
  </si>
  <si>
    <t>Wordu Chika Divine</t>
  </si>
  <si>
    <t>divinewordu@gmail.com</t>
  </si>
  <si>
    <t>Hashimu Ahmed</t>
  </si>
  <si>
    <t>hashimuahmed792@gmail.com</t>
  </si>
  <si>
    <t>Maradun</t>
  </si>
  <si>
    <t>Buhar umar</t>
  </si>
  <si>
    <t>ameerumar839@gmail.com</t>
  </si>
  <si>
    <t>Ungogo LGA</t>
  </si>
  <si>
    <t>Maryam Sani</t>
  </si>
  <si>
    <t>abdullahimikoyusuf9@gamil.com</t>
  </si>
  <si>
    <t>Hadiza saminu</t>
  </si>
  <si>
    <t>hadizasaminu92@gmail.com</t>
  </si>
  <si>
    <t>Elgah kingsley Egede</t>
  </si>
  <si>
    <t>elgahkingsley@gmail.com</t>
  </si>
  <si>
    <t>Ogar Kelly Wama</t>
  </si>
  <si>
    <t>ogarkelly1@gmail.com</t>
  </si>
  <si>
    <t>Ogbor Godwin Ipuole</t>
  </si>
  <si>
    <t>ogborgodwinipuole@gmail.com</t>
  </si>
  <si>
    <t>YALA</t>
  </si>
  <si>
    <t>Abdulrazak Aisha Ibrahim</t>
  </si>
  <si>
    <t>aysher0605@gmail.com</t>
  </si>
  <si>
    <t>Ikirika Bina-arau Christiana</t>
  </si>
  <si>
    <t>ikirikabinaarauchristiana@gmail.com</t>
  </si>
  <si>
    <t>ODEY DANIEL-MARK NDOTUCHOWO</t>
  </si>
  <si>
    <t>danielmark09035@gmail.com</t>
  </si>
  <si>
    <t>Maxwell Eliphaz</t>
  </si>
  <si>
    <t>maxwelleliphaz3@gmail.com</t>
  </si>
  <si>
    <t>Lilongwe</t>
  </si>
  <si>
    <t>IDRIS HALIMA HARUNA</t>
  </si>
  <si>
    <t>halimaidris07015@gmail.com</t>
  </si>
  <si>
    <t>Ali Aminu</t>
  </si>
  <si>
    <t>aliyusharifaminu@gmail.com</t>
  </si>
  <si>
    <t>ENI WILLIAM UGOBO</t>
  </si>
  <si>
    <t>williameni631@gmail.com</t>
  </si>
  <si>
    <t>TUDARA BARIFAA ENDURANCE</t>
  </si>
  <si>
    <t>endur8015@gmail.com</t>
  </si>
  <si>
    <t>Fabeke pyale</t>
  </si>
  <si>
    <t>pyasfabeke@gmail.com</t>
  </si>
  <si>
    <t>Ofana Elizabeth Akpana</t>
  </si>
  <si>
    <t>ofanatestimony@gmail.com</t>
  </si>
  <si>
    <t>Yala local government area</t>
  </si>
  <si>
    <t>Halima Adam</t>
  </si>
  <si>
    <t>mamanahmad1142@gmail.com</t>
  </si>
  <si>
    <t>Kaduna south</t>
  </si>
  <si>
    <t>Muhammad Usman Auwal</t>
  </si>
  <si>
    <t>usmanmuhammadauwal343@gmail.com</t>
  </si>
  <si>
    <t>Ado Maryam Sabo</t>
  </si>
  <si>
    <t>masabo2019@gmail.com</t>
  </si>
  <si>
    <t>Domaniczky Rein, Fernando Joaquín</t>
  </si>
  <si>
    <t>fdomaniczkyr@gmail.com</t>
  </si>
  <si>
    <t>International participant (non-Nigerian)</t>
  </si>
  <si>
    <t>ABDULRAHAMAN IBRAHIM</t>
  </si>
  <si>
    <t>abdulrahamanibrahimmadobi@gmail.com</t>
  </si>
  <si>
    <t>DANLAdi wada</t>
  </si>
  <si>
    <t>danladiwada97@gmail.com</t>
  </si>
  <si>
    <t>ado bello muhammad</t>
  </si>
  <si>
    <t>belloadom@gmail.com</t>
  </si>
  <si>
    <t>Farida</t>
  </si>
  <si>
    <t>faridatu77@gmail.com</t>
  </si>
  <si>
    <t>Adam Abdulmumin Ado</t>
  </si>
  <si>
    <t>Adamabdulmumin1124@gmail.com</t>
  </si>
  <si>
    <t>Nura yahanasu imam</t>
  </si>
  <si>
    <t>yahanasunuraimam112233@gmail.com</t>
  </si>
  <si>
    <t>Abubakar Yunusa</t>
  </si>
  <si>
    <t>yunusaabubakarmadobi@gmail.com</t>
  </si>
  <si>
    <t>Kipngeno Towett</t>
  </si>
  <si>
    <t>manassekipngeno@gmail.com</t>
  </si>
  <si>
    <t>County Government</t>
  </si>
  <si>
    <t>Egwuatu chika chikwelu</t>
  </si>
  <si>
    <t>egwuatuchika53@gmail.com</t>
  </si>
  <si>
    <t>Yenagoa town</t>
  </si>
  <si>
    <t>LAWAN ABBA</t>
  </si>
  <si>
    <t>abbalawan07@gmail.com</t>
  </si>
  <si>
    <t>Ogar Patrick ogar</t>
  </si>
  <si>
    <t>ogarpatrickogar@gmail.com</t>
  </si>
  <si>
    <t>Kabir Khadija Abba</t>
  </si>
  <si>
    <t>mamansiyama095@gmail.com</t>
  </si>
  <si>
    <t>Ndah, Fred Chukwudozie</t>
  </si>
  <si>
    <t>Afrifieldfarms@gmail.com</t>
  </si>
  <si>
    <t>Bashir Abida Abubakar</t>
  </si>
  <si>
    <t>abidabashirabubakar@gmail.com</t>
  </si>
  <si>
    <t>Aisha Rabi u</t>
  </si>
  <si>
    <t>rabiuzubairaysha@gmail.com</t>
  </si>
  <si>
    <t>ABIMA KINGSLEY ENYA</t>
  </si>
  <si>
    <t>abimadestiny@gmail.com</t>
  </si>
  <si>
    <t>IKOM</t>
  </si>
  <si>
    <t>OGBIJI STEPHEN IYANG</t>
  </si>
  <si>
    <t>stegbiji@gmail.com</t>
  </si>
  <si>
    <t>Okosi</t>
  </si>
  <si>
    <t>jessicaokosi2022@gmail.com</t>
  </si>
  <si>
    <t>Maimuna Abubakar sani</t>
  </si>
  <si>
    <t>maimunaabubakarsani27@gmail.com</t>
  </si>
  <si>
    <t>Alieu Jagne</t>
  </si>
  <si>
    <t>alieu@agribridge.africa</t>
  </si>
  <si>
    <t>agribridge africa</t>
  </si>
  <si>
    <t>OLotu Rosemary Ekaette</t>
  </si>
  <si>
    <t>oloturex7@gmail.com</t>
  </si>
  <si>
    <t>Umar Mohammed Awwal</t>
  </si>
  <si>
    <t>mawwal4190@gmail.com</t>
  </si>
  <si>
    <t>AMINATU UMAR YAHAYA</t>
  </si>
  <si>
    <t>yahayaaminatu267@gmail.com</t>
  </si>
  <si>
    <t>Bamidele Oluwafemi Michael</t>
  </si>
  <si>
    <t>bamidelefemi07@gmail.com</t>
  </si>
  <si>
    <t>Nsaa Marshall Bariborveh</t>
  </si>
  <si>
    <t>nsaamarshall@gmail.com</t>
  </si>
  <si>
    <t>Gokana Local Government Area</t>
  </si>
  <si>
    <t>Tobiah</t>
  </si>
  <si>
    <t>stephentobiah@gmail.com</t>
  </si>
  <si>
    <t>Ogba/Egbema/Ndoni</t>
  </si>
  <si>
    <t>Ettum Benjamin Chibuikem</t>
  </si>
  <si>
    <t>chibuikem0011@gmail.com</t>
  </si>
  <si>
    <t>Igbo Etiti Local Government Area</t>
  </si>
  <si>
    <t>Ekwem chinyere</t>
  </si>
  <si>
    <t>ekwemchinyere1980@gmail.com</t>
  </si>
  <si>
    <t>ibrahimkhalil2175@gmail.com</t>
  </si>
  <si>
    <t>Patrick</t>
  </si>
  <si>
    <t>patrickserena179@gmail.com</t>
  </si>
  <si>
    <t>Adamu Anas Yusuf</t>
  </si>
  <si>
    <t>anasadamu428@gmail.com</t>
  </si>
  <si>
    <t>Pene Lekara</t>
  </si>
  <si>
    <t>saturdaylekara33@gmail.com</t>
  </si>
  <si>
    <t>Fatima sani</t>
  </si>
  <si>
    <t>fatimasaninaibawa1234@gmail.com</t>
  </si>
  <si>
    <t>Umar Dantala Ibn</t>
  </si>
  <si>
    <t>ibnumardantala@gmail.com</t>
  </si>
  <si>
    <t>Samuel Imaeette</t>
  </si>
  <si>
    <t>imaettesamuel@gmail.com</t>
  </si>
  <si>
    <t>Maimuna Hussain sulaiman</t>
  </si>
  <si>
    <t>maimunahussainwaya@gmail.com</t>
  </si>
  <si>
    <t>Kunbotso</t>
  </si>
  <si>
    <t>Zainab Ibrahim</t>
  </si>
  <si>
    <t>ummiiebraheem@gmail.com</t>
  </si>
  <si>
    <t>ADAMU MUAZU YUNUSA</t>
  </si>
  <si>
    <t>adamumuazuyunusa@gmail.com</t>
  </si>
  <si>
    <t>Aminu Adamu</t>
  </si>
  <si>
    <t>aminuadamumarmara15@gmail.com</t>
  </si>
  <si>
    <t>Umar Mohammed umar</t>
  </si>
  <si>
    <t>umarmohdumar2020@gmail.com</t>
  </si>
  <si>
    <t>Hamza</t>
  </si>
  <si>
    <t>hamzeenohgd1@gmail.com</t>
  </si>
  <si>
    <t>Kuye Mary Idowu</t>
  </si>
  <si>
    <t>maryidowukuye1@gmail.com</t>
  </si>
  <si>
    <t>Zulai Nasiru Ahali</t>
  </si>
  <si>
    <t>nasmadzulaihatventures@gmail.com</t>
  </si>
  <si>
    <t>SURENDRA RAM</t>
  </si>
  <si>
    <t>surendraram934144@gmail.com</t>
  </si>
  <si>
    <t>Salihu Hajara</t>
  </si>
  <si>
    <t>hajarasalihu910@gmail.com</t>
  </si>
  <si>
    <t>Dambatta Ibrahim Suleiman</t>
  </si>
  <si>
    <t>halifadbt@gmail.com</t>
  </si>
  <si>
    <t>Odey Samson akwohi</t>
  </si>
  <si>
    <t>odeysamsonakwohi@gmail.com</t>
  </si>
  <si>
    <t>Agboola Mercy Comfort</t>
  </si>
  <si>
    <t>agboolamc.22@student.funaab.edu.ng</t>
  </si>
  <si>
    <t>Akankwatsa Dean</t>
  </si>
  <si>
    <t>amadidean0@gmail.com</t>
  </si>
  <si>
    <t>Kampala</t>
  </si>
  <si>
    <t>SUNUSI ASMAU MUKHTAR</t>
  </si>
  <si>
    <t>asmausunusimukhtar@gmail.com</t>
  </si>
  <si>
    <t>Omashi Sunday ogamodey</t>
  </si>
  <si>
    <t>omashisunday038@gmail.com</t>
  </si>
  <si>
    <t>Kabiru Saleh Ibrahim</t>
  </si>
  <si>
    <t>Kabirusibrahim10@gmail.com</t>
  </si>
  <si>
    <t>Mubarak Adamu tukur</t>
  </si>
  <si>
    <t>mubarakadam2828@gmail.com</t>
  </si>
  <si>
    <t>Aisha Salis Sufyan</t>
  </si>
  <si>
    <t>aishasalissufiyan@gmail.com</t>
  </si>
  <si>
    <t>Fagge local government</t>
  </si>
  <si>
    <t>Attoe, Joshua Emmanuel</t>
  </si>
  <si>
    <t>joshuattoe01@gmail.com</t>
  </si>
  <si>
    <t>ObiaAkpor</t>
  </si>
  <si>
    <t>Sani Utai Najib</t>
  </si>
  <si>
    <t>utainajibsani@gmail.com</t>
  </si>
  <si>
    <t>Banabip Sorgia Solomon</t>
  </si>
  <si>
    <t>banabipsorgia@gmail.com</t>
  </si>
  <si>
    <t>Salis aisha sufyan</t>
  </si>
  <si>
    <t>Ogar Joseph Ajor</t>
  </si>
  <si>
    <t>ogarj0809@gmail.com</t>
  </si>
  <si>
    <t>Sakpaide Precious Oghenenyerhovwo</t>
  </si>
  <si>
    <t>shuzzysakpaide@gmail.com</t>
  </si>
  <si>
    <t>Echenim Chibuzor</t>
  </si>
  <si>
    <t>echenimchibuzor@gmail.com</t>
  </si>
  <si>
    <t>Lawan Hassana Aliyu</t>
  </si>
  <si>
    <t>hassanaaliyualkons@gmail.com</t>
  </si>
  <si>
    <t>Ofuka Offa Ofuka</t>
  </si>
  <si>
    <t>Mofuka48@gmail.com</t>
  </si>
  <si>
    <t>Auwalu Dan asabe</t>
  </si>
  <si>
    <t>auwaldanasabe991@gmail.com</t>
  </si>
  <si>
    <t>Dawakin Duku</t>
  </si>
  <si>
    <t>Shuaibu amina sani</t>
  </si>
  <si>
    <t>aminashuaibusani0@gmail.com</t>
  </si>
  <si>
    <t>BUNKURE</t>
  </si>
  <si>
    <t>Safiya Mallum Izge</t>
  </si>
  <si>
    <t>safiyamall2017@gmail.com</t>
  </si>
  <si>
    <t>Gwoza</t>
  </si>
  <si>
    <t>Popoola Adenike Sideeqah</t>
  </si>
  <si>
    <t>siddybeejay@gmail.com</t>
  </si>
  <si>
    <t>Non-indigen resident</t>
  </si>
  <si>
    <t>Okpachu Victoria</t>
  </si>
  <si>
    <t>okpachuvictoria@gmail.com</t>
  </si>
  <si>
    <t>Yahaya Yahaya</t>
  </si>
  <si>
    <t>Walelign Endalew Getnet</t>
  </si>
  <si>
    <t>endalewhu@gmail.com</t>
  </si>
  <si>
    <t>Oromia</t>
  </si>
  <si>
    <t>Aisha Abdulgafar Shafii</t>
  </si>
  <si>
    <t>abdulgafaraishashafii@gmail.com</t>
  </si>
  <si>
    <t>IKUSEBIALA MODUPE ESTHER</t>
  </si>
  <si>
    <t>ikusebialamodupe@gmail.com</t>
  </si>
  <si>
    <t>Iwara, Godsfavour Paulinus</t>
  </si>
  <si>
    <t>iwaragodsfav114@gmail.com</t>
  </si>
  <si>
    <t>Tolu Tamaratari Brandy</t>
  </si>
  <si>
    <t>tamarataritolu2023@gmail.com</t>
  </si>
  <si>
    <t>Ekeremor LGA</t>
  </si>
  <si>
    <t>Kayigwa Apollo</t>
  </si>
  <si>
    <t>kayigwaapollo19@gmail.com</t>
  </si>
  <si>
    <t>Christopher Abraham Onoruoyiza</t>
  </si>
  <si>
    <t>chrisstandard4all@gmail.com</t>
  </si>
  <si>
    <t>Moving to reside in port</t>
  </si>
  <si>
    <t>Oyinloye saheed bolaji</t>
  </si>
  <si>
    <t>oyinloyesaheedbolaji@gmail.com</t>
  </si>
  <si>
    <t>Nill</t>
  </si>
  <si>
    <t>Ado munir sabo</t>
  </si>
  <si>
    <t>Muneersagagi4@gmail.com</t>
  </si>
  <si>
    <t>Olorode Abiola Alabi</t>
  </si>
  <si>
    <t>olorodekamoldeen@gmail.com</t>
  </si>
  <si>
    <t>Imeko -Afon</t>
  </si>
  <si>
    <t>Akinwale Grace Anuoluwapo</t>
  </si>
  <si>
    <t>anuoluwapoolaojo@gmail.com</t>
  </si>
  <si>
    <t>John Okachi Njeni</t>
  </si>
  <si>
    <t>njenijohn96@gmail.com</t>
  </si>
  <si>
    <t>Aduma Elizabeth Ekor</t>
  </si>
  <si>
    <t>ojekap349@gmail.com</t>
  </si>
  <si>
    <t>Muhammad usman kawu</t>
  </si>
  <si>
    <t>uthman8195@gmail.com</t>
  </si>
  <si>
    <t>Suleiman Maryam Omoshoke</t>
  </si>
  <si>
    <t>abdulkareemmaryam1@gmail.com</t>
  </si>
  <si>
    <t>Agbara</t>
  </si>
  <si>
    <t>Martins Cynthia</t>
  </si>
  <si>
    <t>Ngene Charles Chukwuka</t>
  </si>
  <si>
    <t>ngenecharleschukwuka@gmail.com</t>
  </si>
  <si>
    <t>Aninri</t>
  </si>
  <si>
    <t>Salihu Ibrahim</t>
  </si>
  <si>
    <t>ibrahimsalihu965@gmail.com</t>
  </si>
  <si>
    <t>LAWAN JIBRIL MANSUR</t>
  </si>
  <si>
    <t>jibrillawanmansur@gmail.com</t>
  </si>
  <si>
    <t>Ahmad Danlami</t>
  </si>
  <si>
    <t>ahmaddanlami98@gmail.com</t>
  </si>
  <si>
    <t>Usman yusif Adam</t>
  </si>
  <si>
    <t>usmanyusifadam3529@gmail.com</t>
  </si>
  <si>
    <t>KIBIYA</t>
  </si>
  <si>
    <t>Hadi khadija muhammad</t>
  </si>
  <si>
    <t>kmhadi97@gmail.com</t>
  </si>
  <si>
    <t>Maryam Aliyu</t>
  </si>
  <si>
    <t>maryamaliyu303@gmail.com</t>
  </si>
  <si>
    <t>Umatr Fatima Nasidi</t>
  </si>
  <si>
    <t>fatimaumarnasidi@gmail.com</t>
  </si>
  <si>
    <t>Hauwau Wafiya Ibrahim</t>
  </si>
  <si>
    <t>wafyrad77@gmail.com</t>
  </si>
  <si>
    <t>Etim Ofem Usang</t>
  </si>
  <si>
    <t>ofeminous@yahoo.com</t>
  </si>
  <si>
    <t>Ugbong Joy Anyinukiema</t>
  </si>
  <si>
    <t>joyugbong@gmail.com</t>
  </si>
  <si>
    <t>OBANLIKU</t>
  </si>
  <si>
    <t>Niimatu Abdulrazak Yusuf</t>
  </si>
  <si>
    <t>niimatuyusuf09@gmail.com</t>
  </si>
  <si>
    <t>Wadi Angarawai</t>
  </si>
  <si>
    <t>wadiangarawai@gmail.com</t>
  </si>
  <si>
    <t>ODO BENARD AKOBI</t>
  </si>
  <si>
    <t>odobenardakobi@gmail.com</t>
  </si>
  <si>
    <t>Ojo Timileyin Elizabeth</t>
  </si>
  <si>
    <t>lizzykay71@gmail.com</t>
  </si>
  <si>
    <t>OTA</t>
  </si>
  <si>
    <t>Aisha Danladi Abubakar</t>
  </si>
  <si>
    <t>aishadanladiabubakar76@gmail.com</t>
  </si>
  <si>
    <t>Odoh charity chioma</t>
  </si>
  <si>
    <t>chiomaokwudilli2467@gmail.com</t>
  </si>
  <si>
    <t>Nkanu west</t>
  </si>
  <si>
    <t>Khadeeja hudu</t>
  </si>
  <si>
    <t>khadeejahudu49@gmail.com</t>
  </si>
  <si>
    <t>MADOBI</t>
  </si>
  <si>
    <t>Khadija Danladi Abubakar</t>
  </si>
  <si>
    <t>khadijadanladiabubakar12@gmail.com</t>
  </si>
  <si>
    <t>Falaki Musa</t>
  </si>
  <si>
    <t>falakimusa2025@gmail.com</t>
  </si>
  <si>
    <t>Aisha Abdulrazaq Yusuf</t>
  </si>
  <si>
    <t>aishah.aay@gmail.com</t>
  </si>
  <si>
    <t>Ezeugwu Bonaventure Soromtochukwu</t>
  </si>
  <si>
    <t>bonaventureezeugwu63@gmail.com</t>
  </si>
  <si>
    <t>Hudu</t>
  </si>
  <si>
    <t>HAFSA USMAN</t>
  </si>
  <si>
    <t>hafsausman494@gmail.com</t>
  </si>
  <si>
    <t>MUNICIPAL</t>
  </si>
  <si>
    <t>Umar Rahmat mohammed</t>
  </si>
  <si>
    <t>ramatumar348@gmail.com</t>
  </si>
  <si>
    <t>chanchaga</t>
  </si>
  <si>
    <t>Sadiq Lukman Musa</t>
  </si>
  <si>
    <t>qidasnamkul@yahoo.com</t>
  </si>
  <si>
    <t>Faiza Ahmad</t>
  </si>
  <si>
    <t>faizaahmadashuaibu12@gmail.com</t>
  </si>
  <si>
    <t>Nigeria</t>
  </si>
  <si>
    <t>Mathew</t>
  </si>
  <si>
    <t>destinymathew27@gmail.com</t>
  </si>
  <si>
    <t>Emohua</t>
  </si>
  <si>
    <t>Yusuf lubabatu Abdulrazaq</t>
  </si>
  <si>
    <t>lubabahbintabdulrazaq04@gmail.com</t>
  </si>
  <si>
    <t>Halliru Ibrahim</t>
  </si>
  <si>
    <t>ibrahimhalliru8989@gmail.com</t>
  </si>
  <si>
    <t>Ibrahim Zainab Adam</t>
  </si>
  <si>
    <t>motadole@gmail.com</t>
  </si>
  <si>
    <t>Auwal salisu Adam</t>
  </si>
  <si>
    <t>auwalsalisuadamningawa@gmail.com</t>
  </si>
  <si>
    <t>Eustakio Chisomo</t>
  </si>
  <si>
    <t>chisomoeustakio61@gmail.com</t>
  </si>
  <si>
    <t>Blantyre city in Malawi</t>
  </si>
  <si>
    <t>Abubakar Abba Abdullahi</t>
  </si>
  <si>
    <t>abbaabdullahee09@gmail.com</t>
  </si>
  <si>
    <t>Johnson-Oloto Favour Ofunne</t>
  </si>
  <si>
    <t>ofunneoloto2019@gmail.com</t>
  </si>
  <si>
    <t>Ebughe Friday Isaac</t>
  </si>
  <si>
    <t>isaacebughe@gmail.com</t>
  </si>
  <si>
    <t>OBUBRA</t>
  </si>
  <si>
    <t>Adama Nuhu Tahir</t>
  </si>
  <si>
    <t>ummitahir2@gmail.com</t>
  </si>
  <si>
    <t>Saifullahi Abubakar</t>
  </si>
  <si>
    <t>saifullahiabubakar07069078285@gmail.com</t>
  </si>
  <si>
    <t>IGE, NURUDEEN OLAMILEKAN</t>
  </si>
  <si>
    <t>nurudeenuge@gmail.com</t>
  </si>
  <si>
    <t>Ummulkhairi Labaran abubakar</t>
  </si>
  <si>
    <t>ummulkhairilabaranabubakar4@gmail.com</t>
  </si>
  <si>
    <t>Loveth Eke.</t>
  </si>
  <si>
    <t>ifomsadanna@gmail.com</t>
  </si>
  <si>
    <t>Enugu East.</t>
  </si>
  <si>
    <t>Alabi cornelius oluwatimilehin</t>
  </si>
  <si>
    <t>alabitimic@gmail.com</t>
  </si>
  <si>
    <t>Oriade</t>
  </si>
  <si>
    <t>Abubakar Musa Yunusa</t>
  </si>
  <si>
    <t>abubakarmyunusa998@gmail.com</t>
  </si>
  <si>
    <t>Kangiwa Thomas Jonathan</t>
  </si>
  <si>
    <t>kangiwajonathan@gmail.com</t>
  </si>
  <si>
    <t>NAMPWERA LONAH</t>
  </si>
  <si>
    <t>lonahnampwera@gmail.com</t>
  </si>
  <si>
    <t>Labaran Auwal Abubakar</t>
  </si>
  <si>
    <t>auwallabaranabubakar2000@gmail.com</t>
  </si>
  <si>
    <t>Evans Janet Chinaza</t>
  </si>
  <si>
    <t>evansjanetchinaza@gmail.com</t>
  </si>
  <si>
    <t>Ibrahim Jamila shuaibu</t>
  </si>
  <si>
    <t>jamilaibrahim2080@gmail.com</t>
  </si>
  <si>
    <t>Halima abdullahi inuwa</t>
  </si>
  <si>
    <t>Umar Ibrahim badamasi</t>
  </si>
  <si>
    <t>uibrahimbadamasi@gmail.com</t>
  </si>
  <si>
    <t>Shittu Nurudeen Ojo</t>
  </si>
  <si>
    <t>nurudeenshittu.ns@gmail.com</t>
  </si>
  <si>
    <t>Agege, Lagos</t>
  </si>
  <si>
    <t>Umma maitala salihu</t>
  </si>
  <si>
    <t>ummamaitalasalihu@gmail.com</t>
  </si>
  <si>
    <t>Yusuf jafar</t>
  </si>
  <si>
    <t>yusufjafar313@gmail.com</t>
  </si>
  <si>
    <t>Adamu Idris Ibrahim</t>
  </si>
  <si>
    <t>idrisadamuibrahim66@gmail.com</t>
  </si>
  <si>
    <t>Abdullahi Hauwa'u Danladi</t>
  </si>
  <si>
    <t>hauwadanladiabdullahi@gmail.com</t>
  </si>
  <si>
    <t>Shuaib Sakeena Danladi</t>
  </si>
  <si>
    <t>sakeenahsdld@gmail.com</t>
  </si>
  <si>
    <t>Wilson, Pinima Good</t>
  </si>
  <si>
    <t>Pinipanky@gmail.com</t>
  </si>
  <si>
    <t>Zango Sadiq Aminu</t>
  </si>
  <si>
    <t>zangosadiq94@gmail.com</t>
  </si>
  <si>
    <t>Shariff Ummusalma Suleiman</t>
  </si>
  <si>
    <t>ummusalmashariff@gmail.com</t>
  </si>
  <si>
    <t>Ogar Sunday Odama</t>
  </si>
  <si>
    <t>ogars0362@gmail.com</t>
  </si>
  <si>
    <t>Adoga Peter Oheta</t>
  </si>
  <si>
    <t>slimcadio@gmail.com</t>
  </si>
  <si>
    <t>Zubairu umar shehu</t>
  </si>
  <si>
    <t>umarshehu89@gmail.com</t>
  </si>
  <si>
    <t>Dambatta local government</t>
  </si>
  <si>
    <t>ASIYA ISMA’Il ABUBAKAR</t>
  </si>
  <si>
    <t>asiyaismail4041@gmail.com</t>
  </si>
  <si>
    <t>Adekunle Oluwatomisin</t>
  </si>
  <si>
    <t>oluwatomisina1995@gmail.com</t>
  </si>
  <si>
    <t>Yewa South</t>
  </si>
  <si>
    <t>Abubakar Abdullahi Saeed</t>
  </si>
  <si>
    <t>abubakarsaeed991@gmail.com</t>
  </si>
  <si>
    <t>Koki Maryam Kabir</t>
  </si>
  <si>
    <t>kokimaryamkabir@gmail.com</t>
  </si>
  <si>
    <t>YAKUBU IBRAHIM</t>
  </si>
  <si>
    <t>ibrahimyakubu502@gmail.com</t>
  </si>
  <si>
    <t>ABDULLAHI GADDAFI BADAMASI</t>
  </si>
  <si>
    <t>gaddafigate0536@gmail.com</t>
  </si>
  <si>
    <t>Sulaiman Maryam Said</t>
  </si>
  <si>
    <t>mssmaryam1510@gmail.com</t>
  </si>
  <si>
    <t>Shamsudeen Isa Abdulganiyyu</t>
  </si>
  <si>
    <t>shamsuddeen1198@gmail.com</t>
  </si>
  <si>
    <t>Ibrahim Hafizu</t>
  </si>
  <si>
    <t>hafizuibrahim880@gmail.com</t>
  </si>
  <si>
    <t>Odey Michael Ogbaji</t>
  </si>
  <si>
    <t>michaelodey151@gmail.com</t>
  </si>
  <si>
    <t>Umar uba hudu</t>
  </si>
  <si>
    <t>umarubahudu@gmail.com</t>
  </si>
  <si>
    <t>Garun Mallam Local government</t>
  </si>
  <si>
    <t>Odey Lydia onwanyi</t>
  </si>
  <si>
    <t>lydiaonwanyi714@gmail.com</t>
  </si>
  <si>
    <t>Yala Local Government Area</t>
  </si>
  <si>
    <t>Simon, Tariladei Matthias</t>
  </si>
  <si>
    <t>tarisco329@gmail.com</t>
  </si>
  <si>
    <t>ZAKIYYA BELLO AMIN</t>
  </si>
  <si>
    <t>zakiyyabelloaminu@gmail.com</t>
  </si>
  <si>
    <t>Aisha Bashir Abubakar</t>
  </si>
  <si>
    <t>aishabashirabubakar@gmail.com</t>
  </si>
  <si>
    <t>Oli Regina uke</t>
  </si>
  <si>
    <t>oliregina780@gmail.com</t>
  </si>
  <si>
    <t>Yahaya ZAKKIYA</t>
  </si>
  <si>
    <t>zakkiyamaikano2021@gmail.com</t>
  </si>
  <si>
    <t>Ibrahim saratu shuaibu</t>
  </si>
  <si>
    <t>saratuibrahimshuaibu5@gmail.com</t>
  </si>
  <si>
    <t>Surajo unar</t>
  </si>
  <si>
    <t>umarsurajo695@gmail.com</t>
  </si>
  <si>
    <t>Ismail Umar Muhammad</t>
  </si>
  <si>
    <t>umarismailmuhammad220@gmail.com</t>
  </si>
  <si>
    <t>Abubakar Abba</t>
  </si>
  <si>
    <t>abbaabubakar1182@gmail.com</t>
  </si>
  <si>
    <t>Braimoh Mercy</t>
  </si>
  <si>
    <t>braimohm30@gmail.com</t>
  </si>
  <si>
    <t>OGBOR MICHAEL EKANGFANUYEN</t>
  </si>
  <si>
    <t>ogbormichael2356@gmail.com</t>
  </si>
  <si>
    <t>Hafsat Abubakar Muhammad</t>
  </si>
  <si>
    <t>abubakarmuhammadhafsat40@gmail.com</t>
  </si>
  <si>
    <t>Ungwaggo</t>
  </si>
  <si>
    <t>RABI YAHAYA IBRAHIM</t>
  </si>
  <si>
    <t>ryahayaibrahim6@gmail.com</t>
  </si>
  <si>
    <t>Mariya shitu</t>
  </si>
  <si>
    <t>shitumariya412@gmail.com</t>
  </si>
  <si>
    <t>Patience Abel Sunday</t>
  </si>
  <si>
    <t>ps3708216@gmail.com</t>
  </si>
  <si>
    <t>Ogar, Onyinyechi Doris</t>
  </si>
  <si>
    <t>onyinegbom@yahoo.com</t>
  </si>
  <si>
    <t>SILAS LONGLIFE CHRISTIAN</t>
  </si>
  <si>
    <t>christianlonglife365@gmail.com</t>
  </si>
  <si>
    <t>Shehu Abubakar Sadiq</t>
  </si>
  <si>
    <t>sadeeqmore@gmail.com</t>
  </si>
  <si>
    <t>Safiyya Usman Adam</t>
  </si>
  <si>
    <t>safiyyausmanadam@gmail.com</t>
  </si>
  <si>
    <t>Umar Ibn-umar</t>
  </si>
  <si>
    <t>slkibnumar@gmail.com</t>
  </si>
  <si>
    <t>Abubakar Isah Aishatu</t>
  </si>
  <si>
    <t>ummujawad73@gmail.com</t>
  </si>
  <si>
    <t>Ahmed Idris</t>
  </si>
  <si>
    <t>ahmedidriskobo03@gmail.com</t>
  </si>
  <si>
    <t>Abbas Jamilu</t>
  </si>
  <si>
    <t>abbas4jameel50@gmail.com</t>
  </si>
  <si>
    <t>Chinwo Elizabeth Oronne</t>
  </si>
  <si>
    <t>chinwoe@mail.com</t>
  </si>
  <si>
    <t>Port harcourt city</t>
  </si>
  <si>
    <t>Zainab Shehu Adam</t>
  </si>
  <si>
    <t>zynabadam09@gmail.com</t>
  </si>
  <si>
    <t>ADAM UMMA AMINA</t>
  </si>
  <si>
    <t>aminaumma028@gmail.com</t>
  </si>
  <si>
    <t>Ibrahim Fatima Buhari</t>
  </si>
  <si>
    <t>ibrahimbuharifatima@gmail.com</t>
  </si>
  <si>
    <t>Okoroafor iheoma goodness</t>
  </si>
  <si>
    <t>iheomaok1990@gmail.com</t>
  </si>
  <si>
    <t>Obingwu Aba</t>
  </si>
  <si>
    <t>Living in Aba, abia state</t>
  </si>
  <si>
    <t>Nwok Harmony</t>
  </si>
  <si>
    <t>nwokaharmony24@gmail.com</t>
  </si>
  <si>
    <t>Ahoada west</t>
  </si>
  <si>
    <t>Suleiman Aisha</t>
  </si>
  <si>
    <t>aishasule72@gmail.com</t>
  </si>
  <si>
    <t>BRIGGS SOMINA MONDAY</t>
  </si>
  <si>
    <t>somina.briggs7@gmail.com</t>
  </si>
  <si>
    <t>Akuku toru local government area</t>
  </si>
  <si>
    <t>Hafsat yahaya zakariyya</t>
  </si>
  <si>
    <t>yahayahafsatzakariyya@gmail.com</t>
  </si>
  <si>
    <t>Abdulbaki Hadiza</t>
  </si>
  <si>
    <t>khadeejat709@gmail.com</t>
  </si>
  <si>
    <t>Amina Garba musa</t>
  </si>
  <si>
    <t>aminagarbamusa015@gmail.com</t>
  </si>
  <si>
    <t>Warawa</t>
  </si>
  <si>
    <t>Liwhuliwhue Augustine Udie</t>
  </si>
  <si>
    <t>udieaustine@gmail.com</t>
  </si>
  <si>
    <t>Anas Saidu Bebeji</t>
  </si>
  <si>
    <t>Anasingbbj@gmail.com</t>
  </si>
  <si>
    <t>Edeh Felicitas Ogochukwu</t>
  </si>
  <si>
    <t>felicitasedeh3@gmail.com</t>
  </si>
  <si>
    <t>Abdullahi aisha lemu</t>
  </si>
  <si>
    <t>aishaabdullahilemu@gmail.com</t>
  </si>
  <si>
    <t>Abdullahi Sani Latifa</t>
  </si>
  <si>
    <t>latifasani55@gmail.com</t>
  </si>
  <si>
    <t>Ibrahim Najib</t>
  </si>
  <si>
    <t>ibrahimnajib630@gmail.com</t>
  </si>
  <si>
    <t>Etukudoh Faith</t>
  </si>
  <si>
    <t>faithetukudoh@gmail.com</t>
  </si>
  <si>
    <t>Nelson Amis</t>
  </si>
  <si>
    <t>sifunanelson20@gmail.com</t>
  </si>
  <si>
    <t>Nairobi</t>
  </si>
  <si>
    <t>Musa Suleiman</t>
  </si>
  <si>
    <t>suleinatata@gmail.com</t>
  </si>
  <si>
    <t>Gwuale LGA</t>
  </si>
  <si>
    <t>NYSC service</t>
  </si>
  <si>
    <t>Jibrin Yunusa</t>
  </si>
  <si>
    <t>jibrinyunusa1984@gmail.com</t>
  </si>
  <si>
    <t>Usman Zainab</t>
  </si>
  <si>
    <t>zeemax1047@gmail.com</t>
  </si>
  <si>
    <t>JIBRIN ABDULLAHI ADAM</t>
  </si>
  <si>
    <t>jibrinabdullahiadamu21@gmail.com</t>
  </si>
  <si>
    <t>Suleiman Yusuf AbdulRauf</t>
  </si>
  <si>
    <t>yusabdulrauf@yahoo.com</t>
  </si>
  <si>
    <t>Sadiq Wafiqah Akawu</t>
  </si>
  <si>
    <t>wafiqahsadiqakawu@gmail.com</t>
  </si>
  <si>
    <t>Aisha Saidu</t>
  </si>
  <si>
    <t>aishasaidubebeji@gmail.com</t>
  </si>
  <si>
    <t>Musa Aminu Abdullahi</t>
  </si>
  <si>
    <t>aminumusaabdullahi001@gmail.com</t>
  </si>
  <si>
    <t>OYETORO, Miracle Atinuke</t>
  </si>
  <si>
    <t>miracle.oyetoro@gmail.com</t>
  </si>
  <si>
    <t>Agbado Oke Odo (Place of Origin)</t>
  </si>
  <si>
    <t>Mansur Hassan Dangiwa</t>
  </si>
  <si>
    <t>mansurhassandangiwa@gmail.com</t>
  </si>
  <si>
    <t>EZE IDINOTU GIFT</t>
  </si>
  <si>
    <t>idinaotue@gmail.com</t>
  </si>
  <si>
    <t>Ibiakpor</t>
  </si>
  <si>
    <t>Nura hauwau yaro</t>
  </si>
  <si>
    <t>hauwaunurayaro@gmail.com</t>
  </si>
  <si>
    <t>Umar Hauwa Sadi</t>
  </si>
  <si>
    <t>hauwasadiumar@gmail.com</t>
  </si>
  <si>
    <t>Joseph Emmanuel Ede</t>
  </si>
  <si>
    <t>emmanueljosephede.1@gmail.com</t>
  </si>
  <si>
    <t>Lawal husaini musa</t>
  </si>
  <si>
    <t>husainimusalawal@gmail.com</t>
  </si>
  <si>
    <t>Garum Mallam</t>
  </si>
  <si>
    <t>Muhammad Abdullahi Hussain</t>
  </si>
  <si>
    <t>abdullahimdhussain@gmail.com</t>
  </si>
  <si>
    <t>UMAR FATIMAH MUSA</t>
  </si>
  <si>
    <t>fatimahgawu@gmail.com</t>
  </si>
  <si>
    <t>None of the above</t>
  </si>
  <si>
    <t>Abubakar Mardia</t>
  </si>
  <si>
    <t>mardiaabubakari4@gmail.com</t>
  </si>
  <si>
    <t>Tamale</t>
  </si>
  <si>
    <t>BAKO ABDULLAHI KASIM</t>
  </si>
  <si>
    <t>bakoabdullahi1099@gmail.com</t>
  </si>
  <si>
    <t>Abdulmumin Aisha Abubakar</t>
  </si>
  <si>
    <t>abubakarayshatabdulmumin@gmail.com</t>
  </si>
  <si>
    <t>Bisrat Mechal</t>
  </si>
  <si>
    <t>mechalbisrat@gmail.com</t>
  </si>
  <si>
    <t>Wolkite</t>
  </si>
  <si>
    <t>Saheed Nofisat Oluwafolakemi</t>
  </si>
  <si>
    <t>oluwakemynoffy97@gmail.com</t>
  </si>
  <si>
    <t>ijaiye/ojokoro</t>
  </si>
  <si>
    <t>OMANKO DAVID OJAR</t>
  </si>
  <si>
    <t>omankodavid123@gmail.com</t>
  </si>
  <si>
    <t>Abubakar Tijjani Maikeke</t>
  </si>
  <si>
    <t>abubakartijjanimaikeke@gmail.com</t>
  </si>
  <si>
    <t>Abdullahi Idris</t>
  </si>
  <si>
    <t>uise1049@gmail.com</t>
  </si>
  <si>
    <t>ONI Gbotemi Jerry</t>
  </si>
  <si>
    <t>onijerry034@gmail.com</t>
  </si>
  <si>
    <t>Abdullahi jamila Abubakar</t>
  </si>
  <si>
    <t>jamilaabdullahiabubakar01@gmail.con</t>
  </si>
  <si>
    <t>Edu Jude Awara</t>
  </si>
  <si>
    <t>judeawaraedu@gmail.com</t>
  </si>
  <si>
    <t>Chimezie Gideon</t>
  </si>
  <si>
    <t>ndukwuchimezie95@gmail.com</t>
  </si>
  <si>
    <t>Obio akpo</t>
  </si>
  <si>
    <t>Hassan salihu Abubakar</t>
  </si>
  <si>
    <t>strickly4hassan@gmail.com</t>
  </si>
  <si>
    <t>YAHAYA AHMADU TIJANI</t>
  </si>
  <si>
    <t>tijjanitijjani78@gmail.com</t>
  </si>
  <si>
    <t>Adamu hussaini aliyu</t>
  </si>
  <si>
    <t>adamuhussainialiyu41@gmail.com</t>
  </si>
  <si>
    <t>Abdullahi Aliyu Wambai</t>
  </si>
  <si>
    <t>aliyuabdullahiwambai@gmail.com</t>
  </si>
  <si>
    <t>Shamsiyya Alhassan yusuf</t>
  </si>
  <si>
    <t>shamsiyyaalhassa@gmail.com</t>
  </si>
  <si>
    <t>Lubanga Muzamiru</t>
  </si>
  <si>
    <t>lubangamuzamiru42@gmail.com</t>
  </si>
  <si>
    <t>Uma Patricia Nnenna</t>
  </si>
  <si>
    <t>umapnnenn@gmail.com</t>
  </si>
  <si>
    <t>Ejim uju jovita</t>
  </si>
  <si>
    <t>ujuejim84@gmail.com</t>
  </si>
  <si>
    <t>zainabummuammatullah@gmail.com</t>
  </si>
  <si>
    <t>Abubakar maijidda bature</t>
  </si>
  <si>
    <t>Maijiddabatureabubakar@gmail.com</t>
  </si>
  <si>
    <t>Abure Rose Margret</t>
  </si>
  <si>
    <t>aburerose16@gmail.com</t>
  </si>
  <si>
    <t>Adejare Taiwo Atinuke</t>
  </si>
  <si>
    <t>adiotaiwo252@gmail.com</t>
  </si>
  <si>
    <t>Egbedore</t>
  </si>
  <si>
    <t>Sulaiman Ibrahim</t>
  </si>
  <si>
    <t>siagro25@gmail.com</t>
  </si>
  <si>
    <t>Nasiru Kabiru Shehu</t>
  </si>
  <si>
    <t>nasirukabirushehu2020@gmail.com</t>
  </si>
  <si>
    <t>OLotu Inibaraniye</t>
  </si>
  <si>
    <t>Ezieke Maryjane Chioma</t>
  </si>
  <si>
    <t>eziekechioma89@gmail.com</t>
  </si>
  <si>
    <t>Alhassan Usman</t>
  </si>
  <si>
    <t>alhassanusman101@gmail.com</t>
  </si>
  <si>
    <t>Abdullahi khadijat saba</t>
  </si>
  <si>
    <t>khadijatasaba22@gmail.com</t>
  </si>
  <si>
    <t>Chanchaga local government area</t>
  </si>
  <si>
    <t>Salisu Amina Haruna</t>
  </si>
  <si>
    <t>aminasalisuharuna0@gmail.com</t>
  </si>
  <si>
    <t>Tofa local government</t>
  </si>
  <si>
    <t>Yusuf Idris Ibrahim</t>
  </si>
  <si>
    <t>Yusufibrahimidris@gmail.com</t>
  </si>
  <si>
    <t>Abubakar Muhammed Aliyu</t>
  </si>
  <si>
    <t>aliyuabubakarmuhammad704@gmail.com</t>
  </si>
  <si>
    <t>Tasyawa</t>
  </si>
  <si>
    <t>Aminu Abdurrauf</t>
  </si>
  <si>
    <t>mustaphaabdurrauf@gmail.com</t>
  </si>
  <si>
    <t>Nansubuga</t>
  </si>
  <si>
    <t>hildanansubuga9@gmail.com</t>
  </si>
  <si>
    <t>Resident in Uganda</t>
  </si>
  <si>
    <t>Daramola Bunmi</t>
  </si>
  <si>
    <t>lovethbunmi112@gmail.com</t>
  </si>
  <si>
    <t>ABRAHAM RUTH</t>
  </si>
  <si>
    <t>ruthabrahambola2020@gmail.com</t>
  </si>
  <si>
    <t>Ibrahim Yusuf Bala</t>
  </si>
  <si>
    <t>yusufkhalifa52@gmail.com</t>
  </si>
  <si>
    <t>Ussene Melvis</t>
  </si>
  <si>
    <t>melvismau@gmail.com</t>
  </si>
  <si>
    <t>Boane</t>
  </si>
  <si>
    <t>Amina Abdussalam</t>
  </si>
  <si>
    <t>aminaabdussalamsaleh@gmail.com</t>
  </si>
  <si>
    <t>Mukhtar aminu adam</t>
  </si>
  <si>
    <t>mukhtaraminuadam90@gmail.com</t>
  </si>
  <si>
    <t>Muktar Abubakar</t>
  </si>
  <si>
    <t>abubakarmuktar383@gmail.com</t>
  </si>
  <si>
    <t>Mukhtar Sani</t>
  </si>
  <si>
    <t>sanimukhtar007@gmail.com</t>
  </si>
  <si>
    <t>SULAIMAN IBRAHIM</t>
  </si>
  <si>
    <t>simuhammad02@gmail.com</t>
  </si>
  <si>
    <t>Ibrahim Zainab Hamisu</t>
  </si>
  <si>
    <t>mrsaderm@gmail.com</t>
  </si>
  <si>
    <t>Kano municipal council</t>
  </si>
  <si>
    <t>Tijani Abdulrahman Muhammad</t>
  </si>
  <si>
    <t>muhdta2@gmail.com</t>
  </si>
  <si>
    <t>Musa Ibrahim Badamasi</t>
  </si>
  <si>
    <t>ibrahimbadamasimusa@gmail.com</t>
  </si>
  <si>
    <t>Adobayero Muhammad Alhaji</t>
  </si>
  <si>
    <t>adobayarozzz@gmail.com</t>
  </si>
  <si>
    <t>Oloyede Feranmi Joseph</t>
  </si>
  <si>
    <t>oloyedeferanmi14@gmail.com</t>
  </si>
  <si>
    <t>Ibrahim Khadijh Yahaya</t>
  </si>
  <si>
    <t>khadijahyahayaibrahim1916@gmail.com</t>
  </si>
  <si>
    <t>Abdulrafiu</t>
  </si>
  <si>
    <t>abdulrahab02@gmail.com</t>
  </si>
  <si>
    <t>Shuaibu Hafizu Muhammad</t>
  </si>
  <si>
    <t>hafizumuhammadshuaibu@gmail.com</t>
  </si>
  <si>
    <t>Jaoa Antonio Paulo</t>
  </si>
  <si>
    <t>pauloikonoklasta@gmail.com</t>
  </si>
  <si>
    <t>Luanda</t>
  </si>
  <si>
    <t>ibrahimbayede7075@gmail.com</t>
  </si>
  <si>
    <t>IBRAHIM MUSA SALISU</t>
  </si>
  <si>
    <t>ibrahimmusasalisu34@gmail.com</t>
  </si>
  <si>
    <t>Hauwa shehu turaki</t>
  </si>
  <si>
    <t>mamanzunnurain24@gmail.com</t>
  </si>
  <si>
    <t>MUAZU ABUBAKAR</t>
  </si>
  <si>
    <t>muazu1911@gmail.com</t>
  </si>
  <si>
    <t>GARUN MALAM LOCAL GOVERNMENT</t>
  </si>
  <si>
    <t>Muhammad Fatima Buhari</t>
  </si>
  <si>
    <t>muhammadfatimabuhari60@gmail.com</t>
  </si>
  <si>
    <t>Nsidibe Michael Etim</t>
  </si>
  <si>
    <t>Nsidibemetim@gmail.com</t>
  </si>
  <si>
    <t>Salisu Minnatullahi</t>
  </si>
  <si>
    <t>minnatullahisalisu@gmail.com</t>
  </si>
  <si>
    <t>Yohana Rhodes Ramadhani</t>
  </si>
  <si>
    <t>yohanarhodes98@gmail.com</t>
  </si>
  <si>
    <t>Kahama Shinyanga</t>
  </si>
  <si>
    <t>Muhmmed Ibrahim</t>
  </si>
  <si>
    <t>ibrahimmuhammed902@gmail.com</t>
  </si>
  <si>
    <t>Onwelike Lotanna</t>
  </si>
  <si>
    <t>lotanna2309@gmail.com</t>
  </si>
  <si>
    <t>Obiakpor</t>
  </si>
  <si>
    <t>Abdullahi Usman Adam</t>
  </si>
  <si>
    <t>usmankno1@gmail.com</t>
  </si>
  <si>
    <t>Lukman Abubakar Abbas</t>
  </si>
  <si>
    <t>lukumanabbas@gmail.com</t>
  </si>
  <si>
    <t>Ahmad Aisha Yusuf</t>
  </si>
  <si>
    <t>yusufaisha6486@gmail.com</t>
  </si>
  <si>
    <t>Suleiman Umar Ibrahim</t>
  </si>
  <si>
    <t>umaribrahimsuleiman284@gmail.com</t>
  </si>
  <si>
    <t>NJAH JULIANA MONOBI</t>
  </si>
  <si>
    <t>juliemonobi22@gmail.com</t>
  </si>
  <si>
    <t>Makinde comfort Remilekun</t>
  </si>
  <si>
    <t>comfortmakinde3539@gmail.com</t>
  </si>
  <si>
    <t>Muhammad Ramatu</t>
  </si>
  <si>
    <t>ramatumuhammad69@gmail.com</t>
  </si>
  <si>
    <t>Abdullahi Abubakar Roba</t>
  </si>
  <si>
    <t>abubakarabdullahiroba61@gmail.com</t>
  </si>
  <si>
    <t>Oni Funmilayo Christianah</t>
  </si>
  <si>
    <t>funmilayoayomideoni@gmail.com</t>
  </si>
  <si>
    <t>Ifeanyi Agwazia</t>
  </si>
  <si>
    <t>ifeanyiagwazia@gmail.com</t>
  </si>
  <si>
    <t>Ojediran</t>
  </si>
  <si>
    <t>ojediranoreofe@gmail.com</t>
  </si>
  <si>
    <t>Abdalrahman</t>
  </si>
  <si>
    <t>mabayzied@gmail.com</t>
  </si>
  <si>
    <t>Sudan</t>
  </si>
  <si>
    <t>Refugee (from another country),</t>
  </si>
  <si>
    <t>Ibrahim Fatima Ndanusa</t>
  </si>
  <si>
    <t>ndanusafatima440@gmail.com</t>
  </si>
  <si>
    <t>Ibrahim Idris karyah</t>
  </si>
  <si>
    <t>Sarkiinyaki@gmail.com</t>
  </si>
  <si>
    <t>Abubakar Hajara Abdullahi</t>
  </si>
  <si>
    <t>abdullahiabubakarhajara@gmail.com</t>
  </si>
  <si>
    <t>Ahmad Fatima Rufa'i</t>
  </si>
  <si>
    <t>fatimaahmadrufai39@gmail.com</t>
  </si>
  <si>
    <t>Maryam Jamil mansur</t>
  </si>
  <si>
    <t>maryamjamilmansur67@gmail.com</t>
  </si>
  <si>
    <t>Onyeagoro Nnaemeka Christopher</t>
  </si>
  <si>
    <t>onyeagoronna@gmail.com</t>
  </si>
  <si>
    <t>Resident of Port Harcourt, Originally from Imo state</t>
  </si>
  <si>
    <t>Ibrahim Muhammad Isah</t>
  </si>
  <si>
    <t>najibdbt001@gmail.com</t>
  </si>
  <si>
    <t>Idris Mohammed</t>
  </si>
  <si>
    <t>idrismohammed0551@gmail.com</t>
  </si>
  <si>
    <t>Halliru fauziyya idris</t>
  </si>
  <si>
    <t>fauziyyahalliru36@gmail.com</t>
  </si>
  <si>
    <t>SAIDU HUSSAINI</t>
  </si>
  <si>
    <t>saidhusainn88@gmail.com</t>
  </si>
  <si>
    <t>AJINGI</t>
  </si>
  <si>
    <t>Ogundele RUKAYAT Abidemi</t>
  </si>
  <si>
    <t>ogundeleruqoyat20@gmail.com</t>
  </si>
  <si>
    <t>Abeokuta Abeokuta</t>
  </si>
  <si>
    <t>Suwaiba Abdullahi Abubakar</t>
  </si>
  <si>
    <t>abdullahisuwaibah3@gmail.com</t>
  </si>
  <si>
    <t>Halliru Aisha Idris</t>
  </si>
  <si>
    <t>aishahalliru950@gmail.com</t>
  </si>
  <si>
    <t>Umar Abdallah ibn</t>
  </si>
  <si>
    <t>umarabdullahbin93@gmail.com</t>
  </si>
  <si>
    <t>Abdulrahim sani bala</t>
  </si>
  <si>
    <t>abdurrahimsani57@gmail.com</t>
  </si>
  <si>
    <t>Mahmud Umar Isa</t>
  </si>
  <si>
    <t>merumar001@gmail.com</t>
  </si>
  <si>
    <t>Muhammad muhammad Aliyu</t>
  </si>
  <si>
    <t>mmuhammadaliyu63@gmail.com</t>
  </si>
  <si>
    <t>Umar Isa</t>
  </si>
  <si>
    <t>fatrouq77@gmail.com</t>
  </si>
  <si>
    <t>Muhammad Kabir Abubakar</t>
  </si>
  <si>
    <t>muhammadkabirabubakar25@gmail.com</t>
  </si>
  <si>
    <t>Kano mininsifar</t>
  </si>
  <si>
    <t>Ado, Abubakar Yusuf</t>
  </si>
  <si>
    <t>abubakarysfado@gmail.com</t>
  </si>
  <si>
    <t>Adelusi Israel Ayodeji</t>
  </si>
  <si>
    <t>israelsanguin@gmail.com</t>
  </si>
  <si>
    <t>Sagamu Local Government</t>
  </si>
  <si>
    <t>Jidda Halima Abdullahi</t>
  </si>
  <si>
    <t>haleemerjidda@gmail.com</t>
  </si>
  <si>
    <t>Muhammad Dagaci S-Ahmad</t>
  </si>
  <si>
    <t>shehudagacimuhammad@gmail.com</t>
  </si>
  <si>
    <t>Arminda Sumbuleiro</t>
  </si>
  <si>
    <t>asumbuleiro@gmail.com</t>
  </si>
  <si>
    <t>Moçambique, Nampula /Ribáuè</t>
  </si>
  <si>
    <t>Waheed Mohammed</t>
  </si>
  <si>
    <t>adedayor091@gmail.com</t>
  </si>
  <si>
    <t>Othman Hasiya Asabe</t>
  </si>
  <si>
    <t>othmanhasiyaasabe@gmail.com</t>
  </si>
  <si>
    <t>Odhiambo Isaac Owuor</t>
  </si>
  <si>
    <t>owuisaac3535@gmail.com</t>
  </si>
  <si>
    <t>Sunday, Joyce Ebi</t>
  </si>
  <si>
    <t>ebisunday6@gmail.com</t>
  </si>
  <si>
    <t>ALIYU MUHAMMAD MUSA</t>
  </si>
  <si>
    <t>aliwudilmuhammad@gmail.com</t>
  </si>
  <si>
    <t>Muhammad Yaro Sheriff</t>
  </si>
  <si>
    <t>msheriffyaro@gmail.com</t>
  </si>
  <si>
    <t>ISAH Muhammad Auwal</t>
  </si>
  <si>
    <t>isahmuhammadauwalkuchi@gmail.com</t>
  </si>
  <si>
    <t>Sheriff Zainab</t>
  </si>
  <si>
    <t>zainabsheriff72@gmail.com</t>
  </si>
  <si>
    <t>Daniel John salami</t>
  </si>
  <si>
    <t>jdanielsalami@gmail.com</t>
  </si>
  <si>
    <t>Umar Adamu Izah</t>
  </si>
  <si>
    <t>umaradamuizah@gmail.com</t>
  </si>
  <si>
    <t>Gehlot Geetika</t>
  </si>
  <si>
    <t>geetikagehlot7@gmail.com</t>
  </si>
  <si>
    <t>Urban local bodies</t>
  </si>
  <si>
    <t>Mubanga Nsanda</t>
  </si>
  <si>
    <t>nsandamubanga@gmail.com</t>
  </si>
  <si>
    <t>Zambia</t>
  </si>
  <si>
    <t>Victoria Omale</t>
  </si>
  <si>
    <t>victoriaomale44@gmail.com</t>
  </si>
  <si>
    <t>Nasara local government</t>
  </si>
  <si>
    <t>Ikegbunam Ebubechukwu Hilary</t>
  </si>
  <si>
    <t>ikegbunamh@gmail.com</t>
  </si>
  <si>
    <t>Suleiman Zeenat Tijjani</t>
  </si>
  <si>
    <t>zeenattijjani003@gmail.com</t>
  </si>
  <si>
    <t>Nagya</t>
  </si>
  <si>
    <t>yahayanagya4@gmail.com</t>
  </si>
  <si>
    <t>Abdullahi Muhyiddeen Muhd</t>
  </si>
  <si>
    <t>muhyiddeenmuhammad@gmail.com</t>
  </si>
  <si>
    <t>Hassan Salamah Othman</t>
  </si>
  <si>
    <t>angelinazak@yahoo.com</t>
  </si>
  <si>
    <t>Yusuf Aminu Gadanya</t>
  </si>
  <si>
    <t>gadanya617@gmail.com</t>
  </si>
  <si>
    <t>Bagwai</t>
  </si>
  <si>
    <t>Inuwa Rabiu</t>
  </si>
  <si>
    <t>inuwarabiu626@gmail.com</t>
  </si>
  <si>
    <t>Idehen Isimhenmhen Wilfred</t>
  </si>
  <si>
    <t>tgdistribution88@gmail.com</t>
  </si>
  <si>
    <t>Haruna Muhammad Muttaqa</t>
  </si>
  <si>
    <t>harunamuhammadmuttaka02@gmail.com</t>
  </si>
  <si>
    <t>Garba Maryam Umar</t>
  </si>
  <si>
    <t>maryamgarbaumar504@gmail.com</t>
  </si>
  <si>
    <t>Ajoma Simon Okwoche</t>
  </si>
  <si>
    <t>jomosinee@gmail.com</t>
  </si>
  <si>
    <t>Babayaro Umar Sani</t>
  </si>
  <si>
    <t>umarsanibabayaro89@gmail.com</t>
  </si>
  <si>
    <t>Ummussalama Gali Usman</t>
  </si>
  <si>
    <t>galikunya@yahoo.com</t>
  </si>
  <si>
    <t>Uwanodung emmanuel uyimuke</t>
  </si>
  <si>
    <t>uwanodung322@gmail.com</t>
  </si>
  <si>
    <t>Obanliku</t>
  </si>
  <si>
    <t>Kalu Emmanuel enyinna</t>
  </si>
  <si>
    <t>kalue410@gmail.com</t>
  </si>
  <si>
    <t>Afikpo north</t>
  </si>
  <si>
    <t>Noah Gabriel Onuche</t>
  </si>
  <si>
    <t>gabrielnoah535@gmail.com</t>
  </si>
  <si>
    <t>Ekpenyong Samuel Edet</t>
  </si>
  <si>
    <t>samuelekpenyong1997@gmail.com</t>
  </si>
  <si>
    <t>Odupkani</t>
  </si>
  <si>
    <t>Hashimu Yusuf</t>
  </si>
  <si>
    <t>yusufprovost@gmail.com</t>
  </si>
  <si>
    <t>Enejo Hosea Noah</t>
  </si>
  <si>
    <t>enejonoah88@gmail.com</t>
  </si>
  <si>
    <t>Dick</t>
  </si>
  <si>
    <t>dicktamunotonye@gmail.com</t>
  </si>
  <si>
    <t>Mafita Harold Henry</t>
  </si>
  <si>
    <t>mafitaharold@gmail.com</t>
  </si>
  <si>
    <t>Eguno</t>
  </si>
  <si>
    <t>Umar musbahu magaji</t>
  </si>
  <si>
    <t>umarmusbahu510@gmail.com</t>
  </si>
  <si>
    <t>Yakubu Celestina Kuje</t>
  </si>
  <si>
    <t>kujecelestinayakubu@gmail.com</t>
  </si>
  <si>
    <t>Alarape Rofiyat Aduragbemi</t>
  </si>
  <si>
    <t>alaraper25@gmail.com</t>
  </si>
  <si>
    <t>Ajape Mustopha Akinjide</t>
  </si>
  <si>
    <t>ajapeakinjide@gmail.com</t>
  </si>
  <si>
    <t>Azeez Yusuf</t>
  </si>
  <si>
    <t>yusufazeez204@gmail.com</t>
  </si>
  <si>
    <t>Alabata</t>
  </si>
  <si>
    <t>Ibrahim Abdullahi</t>
  </si>
  <si>
    <t>ai07060675510@gmail.com</t>
  </si>
  <si>
    <t>Opadare Daniel</t>
  </si>
  <si>
    <t>fodio2498@gmail.com</t>
  </si>
  <si>
    <t>Ado-Odo Ota</t>
  </si>
  <si>
    <t>Opadare Ireoluwa Deborah</t>
  </si>
  <si>
    <t>deborahayoad@gmail.com</t>
  </si>
  <si>
    <t>Ado odo otta</t>
  </si>
  <si>
    <t>A Nigerian</t>
  </si>
  <si>
    <t>Kereotu Peres</t>
  </si>
  <si>
    <t>kereotuperes@gmail.com</t>
  </si>
  <si>
    <t>Imamu Nura Madaki</t>
  </si>
  <si>
    <t>imamunuramadaki354@gmail.com</t>
  </si>
  <si>
    <t>Arowolo Ezekiel Oluwadunmininu</t>
  </si>
  <si>
    <t>chalmeestellabrandy@gmail.com</t>
  </si>
  <si>
    <t>OLATUNJI ESTHER ADEOLA</t>
  </si>
  <si>
    <t>olatunjiestheradeola015@gmail.com</t>
  </si>
  <si>
    <t>Essiet Itoro Bassey</t>
  </si>
  <si>
    <t>praisebassey69@gmail.com</t>
  </si>
  <si>
    <t>Portharcourt LG</t>
  </si>
  <si>
    <t>hussaina Ibrahim</t>
  </si>
  <si>
    <t>hussainaibrahim2005@gmail.com</t>
  </si>
  <si>
    <t>Fakorede Victoria olamide</t>
  </si>
  <si>
    <t>Victoriaolamidefakorede@gmail.com</t>
  </si>
  <si>
    <t>John Sharon omotola</t>
  </si>
  <si>
    <t>sharonomoj@gmail.com</t>
  </si>
  <si>
    <t>Oladele adekemi mojirade</t>
  </si>
  <si>
    <t>oladeleadekemimojirade@gmail.com</t>
  </si>
  <si>
    <t>Abeokuta South local government</t>
  </si>
  <si>
    <t>Ndunagum Divine Nneamaka</t>
  </si>
  <si>
    <t>divinenneamaka8@gmail.com</t>
  </si>
  <si>
    <t>Ademuyiwa misturah opeyemi</t>
  </si>
  <si>
    <t>ademuyiwamisturah68@gmail.com</t>
  </si>
  <si>
    <t>Oseghale Emmanuel</t>
  </si>
  <si>
    <t>oseghalefavmin@gmail.com</t>
  </si>
  <si>
    <t>SALIHU UBA KHALID</t>
  </si>
  <si>
    <t>khalidsalihuuba16@gmail.com</t>
  </si>
  <si>
    <t>GARUN MALLAM</t>
  </si>
  <si>
    <t>Fatima yakubu Abdullahi</t>
  </si>
  <si>
    <t>fattyyakubu@gmail.com</t>
  </si>
  <si>
    <t>Sunusi m Usman</t>
  </si>
  <si>
    <t>janansunusi@gmail.com</t>
  </si>
  <si>
    <t>OYEBANJI ZAINAB OMOWUMI</t>
  </si>
  <si>
    <t>zainaboyebanji27@gmail.com</t>
  </si>
  <si>
    <t>Yewa Local government</t>
  </si>
  <si>
    <t>Zulyadaini Muhammad Aminu</t>
  </si>
  <si>
    <t>zulyadainimuhammad2@gmail.com</t>
  </si>
  <si>
    <t>Osikoya Michael olutayo</t>
  </si>
  <si>
    <t>osikoyamichaelarchangel@gmail.com</t>
  </si>
  <si>
    <t>Abba Hauwa Wada</t>
  </si>
  <si>
    <t>hauwaabba45@gmail.com</t>
  </si>
  <si>
    <t>Samaila Ashiru</t>
  </si>
  <si>
    <t>ashirusamailafana@gmail.com</t>
  </si>
  <si>
    <t>Ibrahim Khadija Dauda Ibrahim</t>
  </si>
  <si>
    <t>nanakhadijaibrahimdauda@gmail.com</t>
  </si>
  <si>
    <t>YUSUF SALISU</t>
  </si>
  <si>
    <t>salisuyusuf0035@gmail.com</t>
  </si>
  <si>
    <t>Adedokun Comfort</t>
  </si>
  <si>
    <t>adeoladokun31@gmail.com</t>
  </si>
  <si>
    <t>Khadija Abdullahi Lawan</t>
  </si>
  <si>
    <t>ummykhadija243@gmail.com</t>
  </si>
  <si>
    <t>HARUNA RAHAMA MIKHAIL</t>
  </si>
  <si>
    <t>rahamaharunatm@gmail.com</t>
  </si>
  <si>
    <t>Agboola Mercy Boluwatife</t>
  </si>
  <si>
    <t>agboolamercy360@gmail.com</t>
  </si>
  <si>
    <t>Olamide Joy Boluwatife</t>
  </si>
  <si>
    <t>bolujoy001@gmail.com</t>
  </si>
  <si>
    <t>Salau Oluwatobi Zainab</t>
  </si>
  <si>
    <t>zainabsalauoluwatobi@gmail.com</t>
  </si>
  <si>
    <t>John Abraham Onuche</t>
  </si>
  <si>
    <t>solidn72@gmail.com</t>
  </si>
  <si>
    <t>Ishara</t>
  </si>
  <si>
    <t>CHINEDU VICTOR CHUKWUEMEKA</t>
  </si>
  <si>
    <t>emekachinedu777@gmail.com</t>
  </si>
  <si>
    <t>Elefeshi bukeuyim Bridget</t>
  </si>
  <si>
    <t>elefeshibridget@gmail.com</t>
  </si>
  <si>
    <t>Ibilade Abdulmuiz</t>
  </si>
  <si>
    <t>ibiladeabdulmuiz@gmail.com</t>
  </si>
  <si>
    <t>Iperu</t>
  </si>
  <si>
    <t>Ayim Charity</t>
  </si>
  <si>
    <t>agbormbaayim@gmail.com</t>
  </si>
  <si>
    <t>Ibrahim oyindamola</t>
  </si>
  <si>
    <t>ibrahimoyin6946@gmail.com</t>
  </si>
  <si>
    <t>imoubie@gmail.com</t>
  </si>
  <si>
    <t>GAMBO AISHATU</t>
  </si>
  <si>
    <t>aisjatugambo263@gmail.com</t>
  </si>
  <si>
    <t>Shamsiyya Musa Abba</t>
  </si>
  <si>
    <t>abbamushamsiyya@gmail.com</t>
  </si>
  <si>
    <t>Adesina ifeoluwa Idowu</t>
  </si>
  <si>
    <t>adesinaifeoluwa07@gmail.com</t>
  </si>
  <si>
    <t>Chinwo favour adanne</t>
  </si>
  <si>
    <t>roselinemorn71@gmail.com</t>
  </si>
  <si>
    <t>Oladimeji Elijah Obaloluwa</t>
  </si>
  <si>
    <t>successfulking0@gmail.com</t>
  </si>
  <si>
    <t>Muhammad anwar Ali</t>
  </si>
  <si>
    <t>muhammadanwarali132@gmail.com</t>
  </si>
  <si>
    <t>Chinwo chimene gold</t>
  </si>
  <si>
    <t>Hassan Ibrahim Balarabe</t>
  </si>
  <si>
    <t>bhassanibrahim77@gmail.com</t>
  </si>
  <si>
    <t>Johnson princess onyinyechukwu</t>
  </si>
  <si>
    <t>princessjohnsononyechi@gmail.com</t>
  </si>
  <si>
    <t>Abdussalam Abdurrahman Isa</t>
  </si>
  <si>
    <t>abdullrck1234@gmail.com</t>
  </si>
  <si>
    <t>Adamu Mohammed Abubakar</t>
  </si>
  <si>
    <t>adamu4mohammed001@gmail.com</t>
  </si>
  <si>
    <t>Ahmed Abdulmajeed</t>
  </si>
  <si>
    <t>abdulazaki2121@gmail.com</t>
  </si>
  <si>
    <t>Hotoro</t>
  </si>
  <si>
    <t>Fatima Ahmad mukaddam</t>
  </si>
  <si>
    <t>ahmadfatimamukaddam69@gmail.com</t>
  </si>
  <si>
    <t>Suleiman kabiru</t>
  </si>
  <si>
    <t>suleimankabiru246@gmail.com</t>
  </si>
  <si>
    <t>Dan batta</t>
  </si>
  <si>
    <t>Adeniyi Adeola Oluwasegun</t>
  </si>
  <si>
    <t>adeniyiadeola223@gmail.com</t>
  </si>
  <si>
    <t>Lazarus Abraham Audu</t>
  </si>
  <si>
    <t>abramlaxarus@gmail.com</t>
  </si>
  <si>
    <t>Salaudeen</t>
  </si>
  <si>
    <t>mubarakabidemi414@gmail.com</t>
  </si>
  <si>
    <t>Tarfa Sethjoshua</t>
  </si>
  <si>
    <t>sethjoshuatarfa@gmail.com</t>
  </si>
  <si>
    <t>Numan</t>
  </si>
  <si>
    <t>George wonyengifie awo</t>
  </si>
  <si>
    <t>georgewonyengifie6@gmail.com</t>
  </si>
  <si>
    <t>Yau ummukursum Abdullahi</t>
  </si>
  <si>
    <t>CHAULA, FLAVIAN.</t>
  </si>
  <si>
    <t>chaulaflavian@gmail.com</t>
  </si>
  <si>
    <t>Refugee (from another country), I AM TANZANIAN</t>
  </si>
  <si>
    <t>Jacob peaceca</t>
  </si>
  <si>
    <t>priscajacob244@gmail.com</t>
  </si>
  <si>
    <t>Amina Idris</t>
  </si>
  <si>
    <t>aminatman24@gmail.com</t>
  </si>
  <si>
    <t>Igho Princewill Kelly</t>
  </si>
  <si>
    <t>ighoprincewill1@gmail.com</t>
  </si>
  <si>
    <t>Ado- odo/ota</t>
  </si>
  <si>
    <t>Rukayya murtala Ahmad</t>
  </si>
  <si>
    <t>rukayyamurtalaahmad2018@gmail.com</t>
  </si>
  <si>
    <t>Garba Abubakar Umar</t>
  </si>
  <si>
    <t>umarg3094@gmail.com</t>
  </si>
  <si>
    <t>bello salihu muhammad</t>
  </si>
  <si>
    <t>salihubellomuhammad5@gmail.com</t>
  </si>
  <si>
    <t>dawakin tofa</t>
  </si>
  <si>
    <t>Nazifi Muhammad</t>
  </si>
  <si>
    <t>nazifimuhammad1982@gmail.com</t>
  </si>
  <si>
    <t>Muhammad Ahmad Nura</t>
  </si>
  <si>
    <t>ahmadnuramuhammd2020@gmail.com</t>
  </si>
  <si>
    <t>Chidimma Nwasike</t>
  </si>
  <si>
    <t>chidimmawansike129@gmail.com</t>
  </si>
  <si>
    <t>SULAIMON AYUBA ADEWALE</t>
  </si>
  <si>
    <t>hardtheywhale@gmail.com</t>
  </si>
  <si>
    <t>IBIKUNLE SUMMAYAH ABIDEMI</t>
  </si>
  <si>
    <t>ibikunlesummayahabidemi501@gmail.com</t>
  </si>
  <si>
    <t>ATIBA</t>
  </si>
  <si>
    <t>Awolowo Abraham</t>
  </si>
  <si>
    <t>awoloabraham6@gmail.com</t>
  </si>
  <si>
    <t>Atuwa, Abraham Gabriel</t>
  </si>
  <si>
    <t>atuwa011@gmail.com</t>
  </si>
  <si>
    <t>Nicholas</t>
  </si>
  <si>
    <t>www.donald99@gmail.com</t>
  </si>
  <si>
    <t>George Awolowo kpenseme</t>
  </si>
  <si>
    <t>Georgekpenseme6@gmail.com</t>
  </si>
  <si>
    <t>Umar Jamil Mansur</t>
  </si>
  <si>
    <t>jamilumar615@gmail.com</t>
  </si>
  <si>
    <t>Aisha shehu bello</t>
  </si>
  <si>
    <t>aishashehubellokku@gmail.com</t>
  </si>
  <si>
    <t>Mansur usman</t>
  </si>
  <si>
    <t>mansurusman2244@gmail.com</t>
  </si>
  <si>
    <t>Zahaddeen Ali</t>
  </si>
  <si>
    <t>zaharaddeenali297@gmail.com</t>
  </si>
  <si>
    <t>Olagunju</t>
  </si>
  <si>
    <t>olagunjufolarinwa98@gmail.com</t>
  </si>
  <si>
    <t>Ado Odo Otta</t>
  </si>
  <si>
    <t>Mutiu Gbolahan Sherif</t>
  </si>
  <si>
    <t>mutiugbolahan48@gmail.com</t>
  </si>
  <si>
    <t>Umar Yusuf Salimat</t>
  </si>
  <si>
    <t>yusufsumarchingini@gmail.com</t>
  </si>
  <si>
    <t>Ismail Ibrahim munkail</t>
  </si>
  <si>
    <t>eseey18@gmail.com</t>
  </si>
  <si>
    <t>Festus</t>
  </si>
  <si>
    <t>dfestus203@gmail.com</t>
  </si>
  <si>
    <t>Abdulkareem Zainab Olawunmi</t>
  </si>
  <si>
    <t>zaynabolawunmi150@gmail.com</t>
  </si>
  <si>
    <t>Abdullahi idris kachako</t>
  </si>
  <si>
    <t>abdulaone15@gmail.com</t>
  </si>
  <si>
    <t>Adejoh Stephen Marvellous</t>
  </si>
  <si>
    <t>adejohstephenmarvellous@gmail.com</t>
  </si>
  <si>
    <t>Abdulhamid Fatima Adam</t>
  </si>
  <si>
    <t>apharteyma@gmail.com</t>
  </si>
  <si>
    <t>ABBA ASIYA</t>
  </si>
  <si>
    <t>aseeyaabba2010@gmail.com</t>
  </si>
  <si>
    <t>Nura Abdullahi</t>
  </si>
  <si>
    <t>abdullahinuradaura@gmail.com</t>
  </si>
  <si>
    <t>Emmanuel Emmanuel Umegbolu</t>
  </si>
  <si>
    <t>umegboluemmanuel35@gmail.com</t>
  </si>
  <si>
    <t>Ngozi</t>
  </si>
  <si>
    <t>lightchioma5@gmail.com</t>
  </si>
  <si>
    <t>Ishaq Fatima maikore</t>
  </si>
  <si>
    <t>fatimaishaq600@yahoo.com</t>
  </si>
  <si>
    <t>Nasir Abdulrahman Khadija</t>
  </si>
  <si>
    <t>dijata.nasir@gmail.com</t>
  </si>
  <si>
    <t>Odeyale AbdulGafar Adewale</t>
  </si>
  <si>
    <t>odeyaleadewale2006@gmail.com</t>
  </si>
  <si>
    <t>Alfred Unwana Akanuboh</t>
  </si>
  <si>
    <t>unwanaalfred2019@gmail.com</t>
  </si>
  <si>
    <t>Omomo Jonah light</t>
  </si>
  <si>
    <t>omomojonah02@gmail.com</t>
  </si>
  <si>
    <t>IKARE DUNSIN STEPHEN</t>
  </si>
  <si>
    <t>solorundunsinn@gmail.com</t>
  </si>
  <si>
    <t>precious lamossy izekor</t>
  </si>
  <si>
    <t>lamossyprecious@gmail.com</t>
  </si>
  <si>
    <t>yenegoa</t>
  </si>
  <si>
    <t>ASIYA SANI TAFIDA</t>
  </si>
  <si>
    <t>asiyasani3@gmail.com</t>
  </si>
  <si>
    <t>Bello Hussaina Jibril</t>
  </si>
  <si>
    <t>jibrilhussaina93@gmail.com</t>
  </si>
  <si>
    <t>Obono, George Iwara</t>
  </si>
  <si>
    <t>obonogeorgeiwara@gmail.com</t>
  </si>
  <si>
    <t>AUGUSTINE SINIME KUOTE</t>
  </si>
  <si>
    <t>sinimeaugustine@gmail.com</t>
  </si>
  <si>
    <t>Olaleye zainab jumoke</t>
  </si>
  <si>
    <t>zainabolaleye249@gmail.com</t>
  </si>
  <si>
    <t>Zulaihat sani</t>
  </si>
  <si>
    <t>sanizulaiha20@gmail.com</t>
  </si>
  <si>
    <t>Umar Khadija Abubakar</t>
  </si>
  <si>
    <t>khadijamardiyya17@yahoo.com</t>
  </si>
  <si>
    <t>Barnabas Blessing</t>
  </si>
  <si>
    <t>blessingbanabas27@gmail.com</t>
  </si>
  <si>
    <t>Aisha aminu ahmad</t>
  </si>
  <si>
    <t>aminuaisha534@gmail.com</t>
  </si>
  <si>
    <t>ualiyu467@gmail.com</t>
  </si>
  <si>
    <t>Bankole Sudaat Fayoke</t>
  </si>
  <si>
    <t>bankolesudaat@gmail.com</t>
  </si>
  <si>
    <t>Ahonle Jennifer Eferi</t>
  </si>
  <si>
    <t>ahonlejennifer0@gmail.com</t>
  </si>
  <si>
    <t>POPOOLA, Ayisat Anuoluwa</t>
  </si>
  <si>
    <t>ayisatanuoluwapo1@gmail.com</t>
  </si>
  <si>
    <t>Aminu Umar Hussain</t>
  </si>
  <si>
    <t>umaraminuhussain@gmail.com</t>
  </si>
  <si>
    <t>harunaabdalla134@gmail.com</t>
  </si>
  <si>
    <t>Nuhu Hassana Tahir</t>
  </si>
  <si>
    <t>hassananuhutahir72@gmail.com</t>
  </si>
  <si>
    <t>Amina sunusi</t>
  </si>
  <si>
    <t>aminasunusi40@gmail.com</t>
  </si>
  <si>
    <t>Ibrahim surayya Dauda</t>
  </si>
  <si>
    <t>suriibrahimd@gmail.com</t>
  </si>
  <si>
    <t>Kamalu sunusi alhassan</t>
  </si>
  <si>
    <t>kamalksag2@gmail.com</t>
  </si>
  <si>
    <t>LAWAN</t>
  </si>
  <si>
    <t>isahlawanzakariyya@gmail.com</t>
  </si>
  <si>
    <t>Otuzi Jesse Thompson</t>
  </si>
  <si>
    <t>otuzijt@gmail.com</t>
  </si>
  <si>
    <t>Garba khadija Muhammad</t>
  </si>
  <si>
    <t>khadijam581@gmail.com</t>
  </si>
  <si>
    <t>ENAIDE AKPOFINI JESSIE</t>
  </si>
  <si>
    <t>enaidej15@gmail.com</t>
  </si>
  <si>
    <t>EKEREMOR LGA</t>
  </si>
  <si>
    <t>Shaba</t>
  </si>
  <si>
    <t>firdausij2019@gmail.com</t>
  </si>
  <si>
    <t>Hamza ibrahim zakariyya</t>
  </si>
  <si>
    <t>ibrahimhamza1532@gmail.com</t>
  </si>
  <si>
    <t>Rukayya Muhammad</t>
  </si>
  <si>
    <t>rukayyamuhammad260@gmail.com</t>
  </si>
  <si>
    <t>Bala Zulaihat Abdulaziz</t>
  </si>
  <si>
    <t>abdulazeezzulaihat4@gmail.com</t>
  </si>
  <si>
    <t>Needam Favour Felix</t>
  </si>
  <si>
    <t>favourneedam2021@gmail.com</t>
  </si>
  <si>
    <t>ORIJI BOUNTIFUL</t>
  </si>
  <si>
    <t>orijibountiful@gmail.com</t>
  </si>
  <si>
    <t>EMOHUA LOCAL GOVERNMENT AREA</t>
  </si>
  <si>
    <t>Safiyya Lawan Mato</t>
  </si>
  <si>
    <t>safiyyalawanmato@gmail.com</t>
  </si>
  <si>
    <t>Akpan, Faith Robert</t>
  </si>
  <si>
    <t>faithyroberts7@gmail.com</t>
  </si>
  <si>
    <t>Obio Akpor L.G.A</t>
  </si>
  <si>
    <t>Shafqat Maleeha</t>
  </si>
  <si>
    <t>shafqatmaleeha279@gmail.com</t>
  </si>
  <si>
    <t>Pakistan</t>
  </si>
  <si>
    <t>Mukuba Isaac</t>
  </si>
  <si>
    <t>mukubaisaac2017@gmail.com</t>
  </si>
  <si>
    <t>Jinja</t>
  </si>
  <si>
    <t>Safiyanu Zuhairat Daneji</t>
  </si>
  <si>
    <t>zuhairahdaneji@gmail.com</t>
  </si>
  <si>
    <t>Alhaji Ado Bayero Ibrahim</t>
  </si>
  <si>
    <t>adobayero58@gmail.com</t>
  </si>
  <si>
    <t>Sanusi Mohammed</t>
  </si>
  <si>
    <t>smohammedshatta@gmail.com</t>
  </si>
  <si>
    <t>Alhassan Ejika Aisha</t>
  </si>
  <si>
    <t>ejika.alhassan2020@uniabuja.edu</t>
  </si>
  <si>
    <t>jibril nasidi abdullahi</t>
  </si>
  <si>
    <t>abdullahijibrilnasidi@gmail.com</t>
  </si>
  <si>
    <t>nasarawa</t>
  </si>
  <si>
    <t>OKPECHI, IGWUT EGBE</t>
  </si>
  <si>
    <t>igwutokpechi@gmail.com</t>
  </si>
  <si>
    <t>Usman kawu inuwa</t>
  </si>
  <si>
    <t>usmankawu132@gmail.com</t>
  </si>
  <si>
    <t>Physical disability (mobility, limb impairment),</t>
  </si>
  <si>
    <t>Osim, Osim Ogonyi</t>
  </si>
  <si>
    <t>ogonyiosim@gmail.com</t>
  </si>
  <si>
    <t>Orusha Pius</t>
  </si>
  <si>
    <t>orushapius@gmail.com</t>
  </si>
  <si>
    <t>Mecha Kingsley Ukpai</t>
  </si>
  <si>
    <t>kingsleymecha@gmail.com</t>
  </si>
  <si>
    <t>Awelewa Joseph</t>
  </si>
  <si>
    <t>joshawelewa05@gmail.com</t>
  </si>
  <si>
    <t>Rukayya nasidi maisudan</t>
  </si>
  <si>
    <t>rukayyanasidimesudan@gmail.com</t>
  </si>
  <si>
    <t>Winnie Marunga</t>
  </si>
  <si>
    <t>winniemarunga11@gmail.com</t>
  </si>
  <si>
    <t>Another country</t>
  </si>
  <si>
    <t>INYEDE SHEDRACK MBOM</t>
  </si>
  <si>
    <t>shedrackiyede2020@gmail.com</t>
  </si>
  <si>
    <t>Bolarinwa fatiah ajoke</t>
  </si>
  <si>
    <t>fatiahbolarinwa6@gmail.com</t>
  </si>
  <si>
    <t>Abdullahi Surayya Musa</t>
  </si>
  <si>
    <t>surayyamusaabdullahi@gmail.com</t>
  </si>
  <si>
    <t>MGBEBE ANTHONY NGBONGHO</t>
  </si>
  <si>
    <t>tonybest921@gmail.com</t>
  </si>
  <si>
    <t>Ekpo Beauty Ogbuchi</t>
  </si>
  <si>
    <t>ekpobeautyolor@gmail.com</t>
  </si>
  <si>
    <t>Ntanu Joseph</t>
  </si>
  <si>
    <t>jpotonuy@gmail.com</t>
  </si>
  <si>
    <t>Ishaq maimuna Abdullahi</t>
  </si>
  <si>
    <t>maimoonalkaseem@gmail.com</t>
  </si>
  <si>
    <t>Sulaiman Asiya Shariff</t>
  </si>
  <si>
    <t>asiyashareefsulaiman@gmail.com</t>
  </si>
  <si>
    <t>igwe finegirl</t>
  </si>
  <si>
    <t>igwefinegirl3@gmail.com</t>
  </si>
  <si>
    <t>Abubakar abdullahi Abba</t>
  </si>
  <si>
    <t>idrisbalaidris71ib@gmail.com</t>
  </si>
  <si>
    <t>Garum malam</t>
  </si>
  <si>
    <t>ABEL BENJAMIN AWON</t>
  </si>
  <si>
    <t>niceben49@gmail.com</t>
  </si>
  <si>
    <t>Jema</t>
  </si>
  <si>
    <t>Amina Aminu Ahmed</t>
  </si>
  <si>
    <t>Aminaaminuahmed7@gmail.com</t>
  </si>
  <si>
    <t>Opue odey Bernard</t>
  </si>
  <si>
    <t>Odeybernardopue7@gmail.com</t>
  </si>
  <si>
    <t>Abubakar Shuaibu</t>
  </si>
  <si>
    <t>shuaibu.aadof@gmail.com</t>
  </si>
  <si>
    <t>Haqueanbarul</t>
  </si>
  <si>
    <t>haqueanbarul500@gmail.com</t>
  </si>
  <si>
    <t>Emmanuel Obim Abima</t>
  </si>
  <si>
    <t>emmanuelabima8@gmail.com</t>
  </si>
  <si>
    <t>Bilkisu hassan muhammad</t>
  </si>
  <si>
    <t>mbilkisu90@gmail.com</t>
  </si>
  <si>
    <t>Ibrahim Nuruddeen</t>
  </si>
  <si>
    <t>ibnuruddeen@gmail.com</t>
  </si>
  <si>
    <t>Nnanna Chiamaka Joan</t>
  </si>
  <si>
    <t>chiamakannanna234@gmail.com</t>
  </si>
  <si>
    <t>Omojola, Tolu' Emmanuel</t>
  </si>
  <si>
    <t>e.t.omojola@gmail.com</t>
  </si>
  <si>
    <t>Yussuff Taiwo Hannah</t>
  </si>
  <si>
    <t>hannah.bella025@gmail.com</t>
  </si>
  <si>
    <t>Ado Odo Ota</t>
  </si>
  <si>
    <t>Mark John Emmanuel</t>
  </si>
  <si>
    <t>johnmark4real14@gmail.com</t>
  </si>
  <si>
    <t>Olufowora Olushola Benjamin</t>
  </si>
  <si>
    <t>olusholaomotayo96@gmail.com</t>
  </si>
  <si>
    <t>Nuhu Sameera Tahir</t>
  </si>
  <si>
    <t>sermirah@gmail.com</t>
  </si>
  <si>
    <t>Adams Elizabeth Moyosore</t>
  </si>
  <si>
    <t>elizabethmoyoadams77@gmail.com</t>
  </si>
  <si>
    <t>Yunusa Isyaka Alhaji</t>
  </si>
  <si>
    <t>gallantman641@gmail.com</t>
  </si>
  <si>
    <t>OKON IKWO NSIKHE</t>
  </si>
  <si>
    <t>ikwonsikheokon@gmail.com</t>
  </si>
  <si>
    <t>ABUBAKAR NASIRU ABUBAKAR</t>
  </si>
  <si>
    <t>nasirumabubakar962@gmail.com</t>
  </si>
  <si>
    <t>INUWA AMINU ADAM</t>
  </si>
  <si>
    <t>inuwaaminu202@gmail.com</t>
  </si>
  <si>
    <t>Ugbuji Agnes mbere</t>
  </si>
  <si>
    <t>ugbujiagnes2020@gmail.com</t>
  </si>
  <si>
    <t>Peter Linda</t>
  </si>
  <si>
    <t>lindabette58@gmail.com</t>
  </si>
  <si>
    <t>Abdulazeez Kawthar Oyindamola</t>
  </si>
  <si>
    <t>kawtharoyindamola@gmail.com</t>
  </si>
  <si>
    <t>Daniel Joy Ebi</t>
  </si>
  <si>
    <t>ebighepadei29@gmail.com</t>
  </si>
  <si>
    <t>Abubakar Ubaidullahi</t>
  </si>
  <si>
    <t>ubaiyid001@gmail.com</t>
  </si>
  <si>
    <t>Jenrade</t>
  </si>
  <si>
    <t>jenradetaofeek@gmail.com</t>
  </si>
  <si>
    <t>AKINDELE Emmanuel Akinyele</t>
  </si>
  <si>
    <t>akinomoakin141@gmail.com</t>
  </si>
  <si>
    <t>Ugbor Fredaline Akan</t>
  </si>
  <si>
    <t>ugborfredaline57@gmail.com</t>
  </si>
  <si>
    <t>Muili Waliyat Olabisi</t>
  </si>
  <si>
    <t>waliyatolabisimuili@gmail.com</t>
  </si>
  <si>
    <t>OTUZI GLORY THOMPSON</t>
  </si>
  <si>
    <t>otuziglory@gmail.com</t>
  </si>
  <si>
    <t>Tobin Jennifer eladei-ebitoma</t>
  </si>
  <si>
    <t>www.jennyluv71@gmail.com</t>
  </si>
  <si>
    <t>BADAWE BAGUE OLIVIER</t>
  </si>
  <si>
    <t>olivierbadawe@gmail.com</t>
  </si>
  <si>
    <t>Maroua</t>
  </si>
  <si>
    <t>Wonah Philomina Echa</t>
  </si>
  <si>
    <t>royalphil001@gmail.com</t>
  </si>
  <si>
    <t>ANA SAMUEL</t>
  </si>
  <si>
    <t>samuelana009@gmail.com</t>
  </si>
  <si>
    <t>OBIA AKPOR</t>
  </si>
  <si>
    <t>Abednego Ebitari Cynthia</t>
  </si>
  <si>
    <t>abednegoebitari@gmail.com</t>
  </si>
  <si>
    <t>Anacleto Amaral</t>
  </si>
  <si>
    <t>anacletosamaral@gmail.com</t>
  </si>
  <si>
    <t>Mohammad Yabagi</t>
  </si>
  <si>
    <t>muhammadyabagi66@gmail.com</t>
  </si>
  <si>
    <t>Joseph Godwin Olamide</t>
  </si>
  <si>
    <t>kemij5887@gmail.com</t>
  </si>
  <si>
    <t>Sarah Saad</t>
  </si>
  <si>
    <t>sarah.g.saad33@gmail.com</t>
  </si>
  <si>
    <t>Dickson Esther Eberegu</t>
  </si>
  <si>
    <t>dicksonesthereberegu@gmail.com</t>
  </si>
  <si>
    <t>Halifa Abdullahi</t>
  </si>
  <si>
    <t>halifaabdullahiwdl10@gmail.com</t>
  </si>
  <si>
    <t>Busari Hanan Oladokun</t>
  </si>
  <si>
    <t>hananola99@gmail.com</t>
  </si>
  <si>
    <t>Ahmad</t>
  </si>
  <si>
    <t>ahmadbinahmad3000@gmail.com</t>
  </si>
  <si>
    <t>Ayuba Nafiu Nasir</t>
  </si>
  <si>
    <t>nangurungawa@gmail.com</t>
  </si>
  <si>
    <t>Mato Hafsat Lawan</t>
  </si>
  <si>
    <t>hafsalawanmato00@gmail.com</t>
  </si>
  <si>
    <t>Olopagha Imomotimi Sonia</t>
  </si>
  <si>
    <t>olopaghasonia@gmail.com</t>
  </si>
  <si>
    <t>Musa Aishatu Alhaji</t>
  </si>
  <si>
    <t>aishaalhajimusa103@gmail.com</t>
  </si>
  <si>
    <t>Akpo Emmanuel Akomaye</t>
  </si>
  <si>
    <t>akpoemmanuel8@gmail.com</t>
  </si>
  <si>
    <t>Muhammad Zahra baba</t>
  </si>
  <si>
    <t>zerhramuhammadbaba@gmail.com</t>
  </si>
  <si>
    <t>Effiong, Effiong Ita</t>
  </si>
  <si>
    <t>effiongita2008@yahoo.com</t>
  </si>
  <si>
    <t>Patta Grace Angelina</t>
  </si>
  <si>
    <t>pattagrace1@gmail.com</t>
  </si>
  <si>
    <t>Gokana LGA</t>
  </si>
  <si>
    <t>Ngombi Ephraim Unyuku</t>
  </si>
  <si>
    <t>ngombiephraim@gmail.com</t>
  </si>
  <si>
    <t>UMOREN, IMA-ABASI UWEM</t>
  </si>
  <si>
    <t>imaabasiumoren150@gmail.com</t>
  </si>
  <si>
    <t>Udu Austin Ochim</t>
  </si>
  <si>
    <t>austinudu4@gmail.com</t>
  </si>
  <si>
    <t>OBE ALPHONSUS ALOKPA</t>
  </si>
  <si>
    <t>obea55495@gmail.com</t>
  </si>
  <si>
    <t>BEKWARRA</t>
  </si>
  <si>
    <t>Ekpe Bernard Ulakom</t>
  </si>
  <si>
    <t>Ekpebernard5@gmail.com</t>
  </si>
  <si>
    <t>Onawo Matthew Ochim</t>
  </si>
  <si>
    <t>onawomatthew288@gmail.com</t>
  </si>
  <si>
    <t>EDE PATRICK OLAH</t>
  </si>
  <si>
    <t>edepat2009@gmail.com</t>
  </si>
  <si>
    <t>Ogar Precious Ichorbeshe</t>
  </si>
  <si>
    <t>preciousichorbeshe@gmail.com</t>
  </si>
  <si>
    <t>Bekwara</t>
  </si>
  <si>
    <t>Ukukong Patrick Anyianliwho</t>
  </si>
  <si>
    <t>ukukongpatrick53@gmail.com</t>
  </si>
  <si>
    <t>Ojie</t>
  </si>
  <si>
    <t>ojiejamesobey2000@gmail.com</t>
  </si>
  <si>
    <t>EDE GODWIN AJOR</t>
  </si>
  <si>
    <t>godwinede111@gmail.com</t>
  </si>
  <si>
    <t>UGBER VINCENT EKA</t>
  </si>
  <si>
    <t>vinobrown201@gmail.com</t>
  </si>
  <si>
    <t>ADEH CHRISTOPHER AYANG</t>
  </si>
  <si>
    <t>adehchristopher156@gmail.com</t>
  </si>
  <si>
    <t>Udu Sunday Ogana</t>
  </si>
  <si>
    <t>libatzanaam@gmail.com</t>
  </si>
  <si>
    <t>Adabor mark omagu</t>
  </si>
  <si>
    <t>adabormarkfish@gmail.com</t>
  </si>
  <si>
    <t>Ebebe Martha</t>
  </si>
  <si>
    <t>ebebemarthanyewie@gmail.com</t>
  </si>
  <si>
    <t>Onyukwu, Friday Kerian</t>
  </si>
  <si>
    <t>onyukwufriday77@gmail.com</t>
  </si>
  <si>
    <t>Muhammad Aisha Ab</t>
  </si>
  <si>
    <t>aishaab84@gmail.com</t>
  </si>
  <si>
    <t>Gbarabe Barida</t>
  </si>
  <si>
    <t>gbarabebarida@gmail.com</t>
  </si>
  <si>
    <t>Bassey mba Bassey</t>
  </si>
  <si>
    <t>mbaexclusive24@gmail.com</t>
  </si>
  <si>
    <t>Ridwan Ibrahim Maikaratu</t>
  </si>
  <si>
    <t>ibrahimridwanmaikaratu787898@gmail.com</t>
  </si>
  <si>
    <t>Sabon gari</t>
  </si>
  <si>
    <t>RAPHEAL CHUKWUKA ANIGBOH</t>
  </si>
  <si>
    <t>climateknight1@gmail.com</t>
  </si>
  <si>
    <t>ELEME</t>
  </si>
  <si>
    <t>Chimmuanya Ukam</t>
  </si>
  <si>
    <t>chimnewton@gmail.com</t>
  </si>
  <si>
    <t>Seleji Anna kavuyi</t>
  </si>
  <si>
    <t>selejikay18@gmail.com</t>
  </si>
  <si>
    <t>Solomon Israel Edet</t>
  </si>
  <si>
    <t>israelsolomoned@gmail.com</t>
  </si>
  <si>
    <t>Odukpani</t>
  </si>
  <si>
    <t>Arikpo Mercy Eno</t>
  </si>
  <si>
    <t>mercyarikpo1@gmail.com</t>
  </si>
  <si>
    <t>Oshie Godwin Ireritem</t>
  </si>
  <si>
    <t>goshie482@gmail.com</t>
  </si>
  <si>
    <t>Ulaga Martha</t>
  </si>
  <si>
    <t>ulagamartha4@gmail.com</t>
  </si>
  <si>
    <t>Ahmad Abdulkadir ali</t>
  </si>
  <si>
    <t>Shefrach Adie</t>
  </si>
  <si>
    <t>shedrachadie1@gmail.com</t>
  </si>
  <si>
    <t>Rehema Kagoya</t>
  </si>
  <si>
    <t>remakagoya@gmail.com</t>
  </si>
  <si>
    <t>I am a Ugandan</t>
  </si>
  <si>
    <t>Eja Nkanu Michael</t>
  </si>
  <si>
    <t>nkanueja@gmail.com</t>
  </si>
  <si>
    <t>Kuku Onen Oden</t>
  </si>
  <si>
    <t>kukueworo@gmail.com</t>
  </si>
  <si>
    <t>OFFIONG AGBONSIASIK JOHN</t>
  </si>
  <si>
    <t>ajoff0577@gmail.com</t>
  </si>
  <si>
    <t>Ekpenyong, Ekpenyong Okon</t>
  </si>
  <si>
    <t>ekpenyongekpenyong28@gmail.com</t>
  </si>
  <si>
    <t>Ubong sylvester john</t>
  </si>
  <si>
    <t>kellywears6@gmail.com</t>
  </si>
  <si>
    <t>Odukapni</t>
  </si>
  <si>
    <t>Bawa Monica</t>
  </si>
  <si>
    <t>bawamonica230@gmail.com</t>
  </si>
  <si>
    <t>mariga</t>
  </si>
  <si>
    <t>Adeitan</t>
  </si>
  <si>
    <t>taiwoadeitan23@gmail.com</t>
  </si>
  <si>
    <t>BASSEY, EYO EYO</t>
  </si>
  <si>
    <t>bardeemzees30@gmail.com</t>
  </si>
  <si>
    <t>Sadiq Idris Abdulkadir</t>
  </si>
  <si>
    <t>sadiqidrisabdulkadir@gmail.com</t>
  </si>
  <si>
    <t>Mbom Pius Idagu</t>
  </si>
  <si>
    <t>mbompius@gmail.com</t>
  </si>
  <si>
    <t>Egberi Caroline chigozie</t>
  </si>
  <si>
    <t>egbericaroline@gmail.com</t>
  </si>
  <si>
    <t>Eluu, Peace Ifunanya.</t>
  </si>
  <si>
    <t>peaceeluu23@gmail.com</t>
  </si>
  <si>
    <t>Calabar Municipal.</t>
  </si>
  <si>
    <t>Agube, Peace Eric</t>
  </si>
  <si>
    <t>agubepeace@gmail.com</t>
  </si>
  <si>
    <t>Eld.Dr. Godfrey -Johnson Ogbonnaya Ndubuisi</t>
  </si>
  <si>
    <t>freddojohnson.farm@gmail.com</t>
  </si>
  <si>
    <t>Odukpani Lga</t>
  </si>
  <si>
    <t>Veronica Alali</t>
  </si>
  <si>
    <t>veroalai4@gmail.com</t>
  </si>
  <si>
    <t>Maryam Abdullahi Idris</t>
  </si>
  <si>
    <t>Joel Joshua Auta</t>
  </si>
  <si>
    <t>joshua4joel2025@gmail.com</t>
  </si>
  <si>
    <t>Lawal Habeeb Olarewaju</t>
  </si>
  <si>
    <t>lawalhabeeblopex@gmail.com</t>
  </si>
  <si>
    <t>Abdulhadi Nasir</t>
  </si>
  <si>
    <t>naseerhadiado18@gmail.com</t>
  </si>
  <si>
    <t>Gwale L. G</t>
  </si>
  <si>
    <t>Abanshiebe Mathias</t>
  </si>
  <si>
    <t>aniontedmathias@gmail.com</t>
  </si>
  <si>
    <t>Majuk, Sunday Efre</t>
  </si>
  <si>
    <t>majuksunday@gmail.com</t>
  </si>
  <si>
    <t>ESSO Prince Caleb</t>
  </si>
  <si>
    <t>essoprincecaleb@gmail.com</t>
  </si>
  <si>
    <t>Abomey-Calavi</t>
  </si>
  <si>
    <t>Ima Marvellous Imoke</t>
  </si>
  <si>
    <t>marvellousimoke@gmail.com</t>
  </si>
  <si>
    <t>Ismail Abdulrashid Alhassan</t>
  </si>
  <si>
    <t>aflexitarian@gmail.com</t>
  </si>
  <si>
    <t>Peter Gladys</t>
  </si>
  <si>
    <t>petergladys50@gmail.com</t>
  </si>
  <si>
    <t>Mogini Mathew Nkawu</t>
  </si>
  <si>
    <t>matthewnkawu@gmail.com</t>
  </si>
  <si>
    <t>Emmanuel ekpo edet</t>
  </si>
  <si>
    <t>emmahita61@gmail.com</t>
  </si>
  <si>
    <t>Franklin</t>
  </si>
  <si>
    <t>Franklinonizibe@gmail.com</t>
  </si>
  <si>
    <t>Ibrahim Muhammad</t>
  </si>
  <si>
    <t>ibzamani30@gmail.com</t>
  </si>
  <si>
    <t>Maimuna hamisu Ibrahim</t>
  </si>
  <si>
    <t>maimunatukhamisibrahim@gmail.com</t>
  </si>
  <si>
    <t>MAXWELL EYILAKEME WILLIAMS</t>
  </si>
  <si>
    <t>williamsssico@gmail.com</t>
  </si>
  <si>
    <t>Esther Ekpo Eyo</t>
  </si>
  <si>
    <t>casmincosmose@gmail.com</t>
  </si>
  <si>
    <t>Municipality</t>
  </si>
  <si>
    <t>Anyaegbulam Victor chigozie</t>
  </si>
  <si>
    <t>victorchigozie123@gmail.com</t>
  </si>
  <si>
    <t>Adie Julius Okoli</t>
  </si>
  <si>
    <t>juliusadieokoli@gmail.com</t>
  </si>
  <si>
    <t>Akuku Achilles Ugbani</t>
  </si>
  <si>
    <t>akukuachilles@gmail.com</t>
  </si>
  <si>
    <t>OCHUOLE JACINTA ORIBA</t>
  </si>
  <si>
    <t>ochuolejacinta@gmail.com</t>
  </si>
  <si>
    <t>Fagae</t>
  </si>
  <si>
    <t>Stephen Egar Ayim</t>
  </si>
  <si>
    <t>stephenayim9@gmail.com</t>
  </si>
  <si>
    <t>ogoja</t>
  </si>
  <si>
    <t>Mburukem, Dennis Ekpe</t>
  </si>
  <si>
    <t>mburukemekpe@gmail.com</t>
  </si>
  <si>
    <t>Ojulari Ayopelumi sunday</t>
  </si>
  <si>
    <t>ojulariayomi@gmail.com</t>
  </si>
  <si>
    <t>Abeokuta north local government</t>
  </si>
  <si>
    <t>AJAMA MARGARET AGBO OGBAJI</t>
  </si>
  <si>
    <t>Joel kemje moses</t>
  </si>
  <si>
    <t>codekelvin96@gmail.com</t>
  </si>
  <si>
    <t>Unung Emmanuel Ade</t>
  </si>
  <si>
    <t>unungade110@gmail.com</t>
  </si>
  <si>
    <t>HASSAN, Alhassan</t>
  </si>
  <si>
    <t>alhassanh88@gmail.com</t>
  </si>
  <si>
    <t>Ekpang Marbel Bushuane</t>
  </si>
  <si>
    <t>marbelekpang@gmail.com</t>
  </si>
  <si>
    <t>Ekeng, Ekanem Inysng</t>
  </si>
  <si>
    <t>ekengekanem@gmail.com</t>
  </si>
  <si>
    <t>Zahrau Bashir Umar</t>
  </si>
  <si>
    <t>zahraubashirumar36@gmail.com</t>
  </si>
  <si>
    <t>Tailoring</t>
  </si>
  <si>
    <t>Owoh mmaduabuchi divine</t>
  </si>
  <si>
    <t>benchido090@gmail.com</t>
  </si>
  <si>
    <t>Abba ibrahim</t>
  </si>
  <si>
    <t>abbaibrahimshehu9@gmail.com</t>
  </si>
  <si>
    <t>Adam Halima Balarabe</t>
  </si>
  <si>
    <t>balarabeadamh@gmail.com</t>
  </si>
  <si>
    <t>Kano-Municipal</t>
  </si>
  <si>
    <t>Hajara musa adam</t>
  </si>
  <si>
    <t>hajaramusaadam3330@gmail.com</t>
  </si>
  <si>
    <t>Bitrus Cyprian</t>
  </si>
  <si>
    <t>bitruscypran@gmail.com</t>
  </si>
  <si>
    <t>AMAJAMA GODWIN USHIE</t>
  </si>
  <si>
    <t>amajamagodwin541@gmail.com</t>
  </si>
  <si>
    <t>Nkomujang promise ishortamor</t>
  </si>
  <si>
    <t>estherivory36@gmail.com</t>
  </si>
  <si>
    <t>Ohaeri Augusta Chinenye</t>
  </si>
  <si>
    <t>chinenyeohaeri18@gmail.com</t>
  </si>
  <si>
    <t>Saadatu Nasir Ibrahim</t>
  </si>
  <si>
    <t>saadatunibrahim@gmail.com</t>
  </si>
  <si>
    <t>Sadiq Rukayat ohunene</t>
  </si>
  <si>
    <t>ohunenefaithy@gmail.com</t>
  </si>
  <si>
    <t>Abubakar Shamsuddeen Rabiu</t>
  </si>
  <si>
    <t>shamsuddeenrad@gmail.com</t>
  </si>
  <si>
    <t>Asaye, Awatt Nkanor</t>
  </si>
  <si>
    <t>awattasaye1@gmail.com</t>
  </si>
  <si>
    <t>Ibu Denis ugep</t>
  </si>
  <si>
    <t>ugepdenis@gmail.com</t>
  </si>
  <si>
    <t>Ushang Grace Awhobiwom</t>
  </si>
  <si>
    <t>gracebiwom2@gmail.com</t>
  </si>
  <si>
    <t>Inangre Denis esidene</t>
  </si>
  <si>
    <t>inangredenis@gmail.com</t>
  </si>
  <si>
    <t>Arowosegbe Mariam Omotayo</t>
  </si>
  <si>
    <t>Arowosegbeomotayo@gmail.com</t>
  </si>
  <si>
    <t>RENNER UNITY ODIONIN</t>
  </si>
  <si>
    <t>unityrenner78@gmail.com</t>
  </si>
  <si>
    <t>Ekpe</t>
  </si>
  <si>
    <t>mathiasekpe79@gmail.com</t>
  </si>
  <si>
    <t>Arisha Sarah Monfuje</t>
  </si>
  <si>
    <t>arishasarah2@gmail.com</t>
  </si>
  <si>
    <t>Abdul Aziz Masu Bashir</t>
  </si>
  <si>
    <t>Abdulazeezbashirmasu@gmail.com</t>
  </si>
  <si>
    <t>BALA UMAR ISAH</t>
  </si>
  <si>
    <t>umarbalaisah22@gmail.com</t>
  </si>
  <si>
    <t>Precious nyebuchi igwe</t>
  </si>
  <si>
    <t>preciousigwe500@gmail.comi</t>
  </si>
  <si>
    <t>Olusanya Oluwaseun</t>
  </si>
  <si>
    <t>oluwaseuno603@gmail.com</t>
  </si>
  <si>
    <t>Ewongho Egale Henry</t>
  </si>
  <si>
    <t>Egalehenry051@gmail.com</t>
  </si>
  <si>
    <t>Umar Mu'awiyya</t>
  </si>
  <si>
    <t>umarsenior37@gmail.com</t>
  </si>
  <si>
    <t>Makoda</t>
  </si>
  <si>
    <t>Peace Jephthah oyeleke</t>
  </si>
  <si>
    <t>peacejephthah229@gmail.com</t>
  </si>
  <si>
    <t>Ogbia, bayelsa state</t>
  </si>
  <si>
    <t>Onigah Grace Ayam</t>
  </si>
  <si>
    <t>enduranceonigah@gmail.com</t>
  </si>
  <si>
    <t>Bekwarra local government area</t>
  </si>
  <si>
    <t>Melvin purity omitonie</t>
  </si>
  <si>
    <t>melvinpurityomitonie@gmail.com</t>
  </si>
  <si>
    <t>Ogbia local government area</t>
  </si>
  <si>
    <t>Abubakar usman</t>
  </si>
  <si>
    <t>usmanibrahim3635@gmail.com</t>
  </si>
  <si>
    <t>Musa Issa Majin</t>
  </si>
  <si>
    <t>Musaissamajin500@gmail.com</t>
  </si>
  <si>
    <t>Onigah Agnes Agbo</t>
  </si>
  <si>
    <t>onigahagnesagbo@gmail.com</t>
  </si>
  <si>
    <t>Usman Zubaida Habib</t>
  </si>
  <si>
    <t>zubaidausman06@gmail.com</t>
  </si>
  <si>
    <t>Tibesa Solange search</t>
  </si>
  <si>
    <t>stibesa16@gmail.com</t>
  </si>
  <si>
    <t>Bashir Maryam Muhammad</t>
  </si>
  <si>
    <t>marybashir043@gmail.com</t>
  </si>
  <si>
    <t>Lasisi Adam Mofolorunso</t>
  </si>
  <si>
    <t>lasisiadam2017@gmail.com</t>
  </si>
  <si>
    <t>Adam Sani Yusuf</t>
  </si>
  <si>
    <t>sani.takalmawa@oikos-international.org</t>
  </si>
  <si>
    <t>Nathaniel Clementina Barieeba</t>
  </si>
  <si>
    <t>nathclemzy204@gmail.com</t>
  </si>
  <si>
    <t>Mudasiru Mariam Anuoluwapo</t>
  </si>
  <si>
    <t>mariammudasiru94@gmail.com</t>
  </si>
  <si>
    <t>Abdullahi Musa Zubairu</t>
  </si>
  <si>
    <t>mzubairr3@gmail.com</t>
  </si>
  <si>
    <t>NYONG ANTIGHA ASUQUO</t>
  </si>
  <si>
    <t>anti.nyong001@gmail.com</t>
  </si>
  <si>
    <t>Gibson Seinitonkumo</t>
  </si>
  <si>
    <t>seinitonkumogibson@gmail.com</t>
  </si>
  <si>
    <t>Amina Muhammed sani</t>
  </si>
  <si>
    <t>yougladiladidi@gmail.com</t>
  </si>
  <si>
    <t>OLUWASINA Aduragbemi Marvelous.</t>
  </si>
  <si>
    <t>aduragbemiolu2000@gmail.com</t>
  </si>
  <si>
    <t>Odeda3</t>
  </si>
  <si>
    <t>jimoh yussuff babatunde</t>
  </si>
  <si>
    <t>jimoh.yussuff5@gmail.com</t>
  </si>
  <si>
    <t>Ibrahim Nazira</t>
  </si>
  <si>
    <t>ibrahimnazira434@gmail.com</t>
  </si>
  <si>
    <t>dahiru yahaya danmalam</t>
  </si>
  <si>
    <t>yahayadahirudanmalam@gmail.com</t>
  </si>
  <si>
    <t>Emakenlad BLANC</t>
  </si>
  <si>
    <t>emakenlad.blanc@yahoo.com</t>
  </si>
  <si>
    <t>Collectivité territoriale</t>
  </si>
  <si>
    <t>AFFARIT Ibrahim mahaman talib</t>
  </si>
  <si>
    <t>affaritibrahim@gmail.com</t>
  </si>
  <si>
    <t>Gouré, kazoe</t>
  </si>
  <si>
    <t>Aderonmu Halimat Aderonke</t>
  </si>
  <si>
    <t>aderonmuhalimataderonke@gmail.com</t>
  </si>
  <si>
    <t>Lawan mallam gana</t>
  </si>
  <si>
    <t>lawanmallamgana740@gmail.com</t>
  </si>
  <si>
    <t>Nganzai</t>
  </si>
  <si>
    <t>Baballe Jinjiri</t>
  </si>
  <si>
    <t>baballejinjiri126@gmail.com</t>
  </si>
  <si>
    <t>Ani Akachukwu Godwin</t>
  </si>
  <si>
    <t>anigodwin874@gmail.com</t>
  </si>
  <si>
    <t>Olaleye Gbemisola Zeenat</t>
  </si>
  <si>
    <t>zeenatolaleye6@gmail.com</t>
  </si>
  <si>
    <t>ota</t>
  </si>
  <si>
    <t>Tabesick James Tabesick</t>
  </si>
  <si>
    <t>tebesickjames@gmail.com</t>
  </si>
  <si>
    <t>Joshua calistus eze</t>
  </si>
  <si>
    <t>calistusjoshua66@gmail.com</t>
  </si>
  <si>
    <t>Igbo eze south</t>
  </si>
  <si>
    <t>Normal</t>
  </si>
  <si>
    <t>AHMAD IMURANA</t>
  </si>
  <si>
    <t>imuranaahmad2020@gmail.com</t>
  </si>
  <si>
    <t>MASHEGU</t>
  </si>
  <si>
    <t>Agba Ogbang Agba</t>
  </si>
  <si>
    <t>agbaogbangagba@gmail.com</t>
  </si>
  <si>
    <t>Tijjani Zainab Abubakar</t>
  </si>
  <si>
    <t>abubakarzainab045@gmail.com</t>
  </si>
  <si>
    <t>Ibrahim Brima Josiah</t>
  </si>
  <si>
    <t>ibrahimjosiah567@gmail.com</t>
  </si>
  <si>
    <t>SierraLeone ,Bonthe District,moribaTown</t>
  </si>
  <si>
    <t>Obok venise Egwu</t>
  </si>
  <si>
    <t>veniseegwu88@gmail.com</t>
  </si>
  <si>
    <t>mammaga1982@gmail.com</t>
  </si>
  <si>
    <t>Joeffrey Sunday Kurah</t>
  </si>
  <si>
    <t>kurahjoeffrey@gmail.com</t>
  </si>
  <si>
    <t>Abubakar abba</t>
  </si>
  <si>
    <t>abbacooper900@gmail.com</t>
  </si>
  <si>
    <t>Kabir sa'ad Aisha</t>
  </si>
  <si>
    <t>kabirsaadaisha871@gmail.com</t>
  </si>
  <si>
    <t>Habibu Amina Yahaya</t>
  </si>
  <si>
    <t>aminahabibu5888@gmail.com</t>
  </si>
  <si>
    <t>Caleb Aziboledia</t>
  </si>
  <si>
    <t>azibolediac@gmail.com</t>
  </si>
  <si>
    <t>Adeoti Aminat Ajoke</t>
  </si>
  <si>
    <t>hassanaminat2016@gmail.com</t>
  </si>
  <si>
    <t>Jimoh Abdulmujeeb Adedayo</t>
  </si>
  <si>
    <t>abdmujeeb0607@gmail.com</t>
  </si>
  <si>
    <t>Ekol Felix Ebogor</t>
  </si>
  <si>
    <t>paulfelixe@gmail.com</t>
  </si>
  <si>
    <t>Oladimeji</t>
  </si>
  <si>
    <t>harithkolapo97@gmail.com</t>
  </si>
  <si>
    <t>Asuquo Marjorie Eyo</t>
  </si>
  <si>
    <t>marjorieasuquo1@gmail.com</t>
  </si>
  <si>
    <t>Muhammad Hadi Dalha</t>
  </si>
  <si>
    <t>talk2mhadi@gmail.com</t>
  </si>
  <si>
    <t>Kabi samson kaziba</t>
  </si>
  <si>
    <t>kabisam2019@gmail.com</t>
  </si>
  <si>
    <t>Muhammad Ummussalma</t>
  </si>
  <si>
    <t>ummussalmam9@gmail.com</t>
  </si>
  <si>
    <t>Abdullahi Maryam</t>
  </si>
  <si>
    <t>maryamabdullahinwu@gmail.com</t>
  </si>
  <si>
    <t>Alomaja Sunday John</t>
  </si>
  <si>
    <t>alomajasundayjohn0@gmail.com</t>
  </si>
  <si>
    <t>Usman Rukayya Muhammad</t>
  </si>
  <si>
    <t>rukkyanass99@gmail.com</t>
  </si>
  <si>
    <t>Keshose Pius Keshose</t>
  </si>
  <si>
    <t>keshosek@gmail.com</t>
  </si>
  <si>
    <t>Nnejika Chioma Geraldine</t>
  </si>
  <si>
    <t>ceciliafred002@gmail.com</t>
  </si>
  <si>
    <t>Yau Fatima Abdullahi</t>
  </si>
  <si>
    <t>Obi, Gilbert Ewor</t>
  </si>
  <si>
    <t>gilbertabang040@gmail.com</t>
  </si>
  <si>
    <t>Sunusi Aminu Abdullahi</t>
  </si>
  <si>
    <t>Aminusunusi44@gmail.com</t>
  </si>
  <si>
    <t>Omotoso Opeyemi</t>
  </si>
  <si>
    <t>opeomotoso46@gmail.com</t>
  </si>
  <si>
    <t>Okon, Lucille Effiong</t>
  </si>
  <si>
    <t>evangeljoshua2@gmail.com</t>
  </si>
  <si>
    <t>Alabi temitope Emmanuel</t>
  </si>
  <si>
    <t>alabitemitope1212@gmail.com</t>
  </si>
  <si>
    <t>I shuffle ibadan and Abeokuta</t>
  </si>
  <si>
    <t>Abdullahi Abubakar Ahmad</t>
  </si>
  <si>
    <t>abdullahisarigirin@gmail.com</t>
  </si>
  <si>
    <t>kabo</t>
  </si>
  <si>
    <t>Auwal Jibril Kuki</t>
  </si>
  <si>
    <t>Jeebrealkuki@gmail.com</t>
  </si>
  <si>
    <t>Johnson Ebimiefagha Mercy</t>
  </si>
  <si>
    <t>Johnsonebimiefaghamercy@gmail.com</t>
  </si>
  <si>
    <t>Kolokuma Opokuma Local Government Area</t>
  </si>
  <si>
    <t>ABDULMALIK MUSA</t>
  </si>
  <si>
    <t>abdulmalikkmusalano@gmail.com</t>
  </si>
  <si>
    <t>Babangida Ahmad</t>
  </si>
  <si>
    <t>soundabkan@gmail.com</t>
  </si>
  <si>
    <t>Suleiman Abubakar Sadiq</t>
  </si>
  <si>
    <t>seerdeeqsuleiman@gmail.com</t>
  </si>
  <si>
    <t>Muhammad Hassan Datti</t>
  </si>
  <si>
    <t>hassandatti7470@gmail.com</t>
  </si>
  <si>
    <t>Elenwo Miracle</t>
  </si>
  <si>
    <t>m.elenwo2015@gmail.com</t>
  </si>
  <si>
    <t>Obalga</t>
  </si>
  <si>
    <t>Bassey, Thankgod Chukwu</t>
  </si>
  <si>
    <t>thankgodagube30@gmail.com</t>
  </si>
  <si>
    <t>asiyashariffsulaiman@gmail.com</t>
  </si>
  <si>
    <t>Michael Margaret Ubelle</t>
  </si>
  <si>
    <t>margaretmicheal2019@gmail.com</t>
  </si>
  <si>
    <t>Yala local Government Area</t>
  </si>
  <si>
    <t>Abangui Baiye Nkongho</t>
  </si>
  <si>
    <t>abanguibaiye86@gmail.com</t>
  </si>
  <si>
    <t>Sadiya Muhammad Auwal</t>
  </si>
  <si>
    <t>haleemah02m.auwal@gmail.com</t>
  </si>
  <si>
    <t>Bilyaminu Adam</t>
  </si>
  <si>
    <t>bilyaminuadam606@gmail.com</t>
  </si>
  <si>
    <t>Musa Mustapha Ango</t>
  </si>
  <si>
    <t>angolistic88@gmail.com</t>
  </si>
  <si>
    <t>IBRAHIM MUSA GARBA</t>
  </si>
  <si>
    <t>yamusa2229@gmail.com</t>
  </si>
  <si>
    <t>GARBA IDRIS</t>
  </si>
  <si>
    <t>idrisgarbady@gmail.com</t>
  </si>
  <si>
    <t>Ngoe Thomas Itoe</t>
  </si>
  <si>
    <t>Greaterlovethomas@gmail.com</t>
  </si>
  <si>
    <t>AISHA ABDULLAHI YAKUBU</t>
  </si>
  <si>
    <t>yakubaisha035@gmail.com</t>
  </si>
  <si>
    <t>BADARU MUBARAK MANSUR</t>
  </si>
  <si>
    <t>mubarakbadaru1234@gmail.com</t>
  </si>
  <si>
    <t>Usman Ismail</t>
  </si>
  <si>
    <t>makunusmanismail@gmail.com</t>
  </si>
  <si>
    <t>Sulaiman Aliyu Umar</t>
  </si>
  <si>
    <t>Sulaimanaliyuumar6@gmail.com</t>
  </si>
  <si>
    <t>Udum Chizindu</t>
  </si>
  <si>
    <t>chizinduudum@gmail.com</t>
  </si>
  <si>
    <t>Isiaka Idowu Abdullahi</t>
  </si>
  <si>
    <t>idowuabdullahi2@gmail.com</t>
  </si>
  <si>
    <t>Obafemi-Owode</t>
  </si>
  <si>
    <t>Haggai Rimamnuskep</t>
  </si>
  <si>
    <t>haggaiaugustine7@gmail.com</t>
  </si>
  <si>
    <t>Onabe Gabriel Robert</t>
  </si>
  <si>
    <t>Onabegabriel93@gmail.com</t>
  </si>
  <si>
    <t>Atugonza</t>
  </si>
  <si>
    <t>atugonzawyckliffe40@gmail.com</t>
  </si>
  <si>
    <t>Kagadi district</t>
  </si>
  <si>
    <t>Gbaa</t>
  </si>
  <si>
    <t>agrogene24@gmail.com</t>
  </si>
  <si>
    <t>Usman Maryam ya'u</t>
  </si>
  <si>
    <t>maryamusmanyau32@gmail.com</t>
  </si>
  <si>
    <t>Abashe Abdulrahman Muhammad</t>
  </si>
  <si>
    <t>muhdabdulrahmnabbas@gmail.com</t>
  </si>
  <si>
    <t>Jibrin Muhammad Mustapha</t>
  </si>
  <si>
    <t>muhammad256143@gmail.com</t>
  </si>
  <si>
    <t>Agere comrade</t>
  </si>
  <si>
    <t>Comradeboriye@gmail.com</t>
  </si>
  <si>
    <t>Omoweh Barovwe Daniella</t>
  </si>
  <si>
    <t>daniellaomoweh@gmail.com</t>
  </si>
  <si>
    <t>Ewekoro local government srea</t>
  </si>
  <si>
    <t>Usman Amadu Alasan</t>
  </si>
  <si>
    <t>usmanamadualasan@gmail.com</t>
  </si>
  <si>
    <t>Onabe Juliet ocheagbe</t>
  </si>
  <si>
    <t>julietpaticheagbe@gmail.com</t>
  </si>
  <si>
    <t>Rabiu muhammad Tajudden</t>
  </si>
  <si>
    <t>tajjuddeennayaya@gmail.com</t>
  </si>
  <si>
    <t>MOGA VINCENT MOGA</t>
  </si>
  <si>
    <t>vincentmoga36@gmail.com</t>
  </si>
  <si>
    <t>Omotosho</t>
  </si>
  <si>
    <t>omotoshostephen@gmail.com</t>
  </si>
  <si>
    <t>Umari George</t>
  </si>
  <si>
    <t>georgeumari2018@gmail.com</t>
  </si>
  <si>
    <t>Muhammad Muhsin Muhammad</t>
  </si>
  <si>
    <t>mmuhsin045@gmail.com</t>
  </si>
  <si>
    <t>Adisa Oyinlola Barakat</t>
  </si>
  <si>
    <t>tawakaltoyinbarokah@gmail.com</t>
  </si>
  <si>
    <t>Bassey</t>
  </si>
  <si>
    <t>orokbassey1@gmail.com</t>
  </si>
  <si>
    <t>Ojiba Adaiba</t>
  </si>
  <si>
    <t>ada.zetlon@gmail.com</t>
  </si>
  <si>
    <t>Muhammad Safiya</t>
  </si>
  <si>
    <t>muhammadsafiya2001@gmail.com</t>
  </si>
  <si>
    <t>YUSHA'U Muhammad Bello</t>
  </si>
  <si>
    <t>muhammadbelloyushau5@gmail.com</t>
  </si>
  <si>
    <t>Amasa Micheal</t>
  </si>
  <si>
    <t>Azibatayamasa@gmail.com</t>
  </si>
  <si>
    <t>Allam Patricia Nguemo</t>
  </si>
  <si>
    <t>patriciaallam574@gmail.com</t>
  </si>
  <si>
    <t>Chanchage</t>
  </si>
  <si>
    <t>Mohammed Maryam</t>
  </si>
  <si>
    <t>zamzamnaallah@gmail.com</t>
  </si>
  <si>
    <t>Lasisi Abdulmojeed Kehinde</t>
  </si>
  <si>
    <t>lasisiabdulmojeed@gmail.com</t>
  </si>
  <si>
    <t>Damilola Abodunde</t>
  </si>
  <si>
    <t>kingdamilola01@gmail.com</t>
  </si>
  <si>
    <t>Musa Halima</t>
  </si>
  <si>
    <t>halaals2024@gmail.com</t>
  </si>
  <si>
    <t>Mahmud Abubakar</t>
  </si>
  <si>
    <t>abubakarmahmud522@gmail.com</t>
  </si>
  <si>
    <t>SHUAIBU JIBRIL</t>
  </si>
  <si>
    <t>jibrilshuaibudanhassan@gmail.com</t>
  </si>
  <si>
    <t>Shittu Lateefat</t>
  </si>
  <si>
    <t>lateefahshittu22@gmail.com</t>
  </si>
  <si>
    <t>Ikor Jessica Afia</t>
  </si>
  <si>
    <t>afiajessica23@gmail.com</t>
  </si>
  <si>
    <t>Jonathan God’swill</t>
  </si>
  <si>
    <t>jgodswill222@gmail.com</t>
  </si>
  <si>
    <t>Onyango teeko salim</t>
  </si>
  <si>
    <t>onyangoteekosalim@gmail.com</t>
  </si>
  <si>
    <t>Adam Ahmad Musa</t>
  </si>
  <si>
    <t>ahmadmusasmartagribus@gmail.com</t>
  </si>
  <si>
    <t>Abba saminu isah</t>
  </si>
  <si>
    <t>abbasaminuisah10@gmail.com</t>
  </si>
  <si>
    <t>Paul Joy Zee</t>
  </si>
  <si>
    <t>joyzeeginger@gmail.com</t>
  </si>
  <si>
    <t>Jos south</t>
  </si>
  <si>
    <t>Agbeluyi Samuel</t>
  </si>
  <si>
    <t>yurmex4real@gmail.com</t>
  </si>
  <si>
    <t>Tonayam Leslie Sunday</t>
  </si>
  <si>
    <t>tonayamleslie695@gmail.com</t>
  </si>
  <si>
    <t>Mukhtar isyaku</t>
  </si>
  <si>
    <t>isyakumukhtar70@gmail.com</t>
  </si>
  <si>
    <t>Ibrahim Abdurrahman Muhammad</t>
  </si>
  <si>
    <t>abdulibrahimmuhd4@gmail.com</t>
  </si>
  <si>
    <t>Salisu Asma'u isari</t>
  </si>
  <si>
    <t>asmausalisu1515@gmail.com</t>
  </si>
  <si>
    <t>Aziz Bin Rasheed Soomro</t>
  </si>
  <si>
    <t>abdulazizsoomro6@gmail.com</t>
  </si>
  <si>
    <t>Karachi</t>
  </si>
  <si>
    <t>I want to move current county</t>
  </si>
  <si>
    <t>Zainab Hamza Abdulwahab</t>
  </si>
  <si>
    <t>zhamzaabdulwahab@gmail.com</t>
  </si>
  <si>
    <t>Salisu zainab isari</t>
  </si>
  <si>
    <t>Abubakar Umar Zakari</t>
  </si>
  <si>
    <t>abubakarumarzakari0@gmail.com</t>
  </si>
  <si>
    <t>Adebayo Adesewa</t>
  </si>
  <si>
    <t>adesewaadebayo0@gmail.com</t>
  </si>
  <si>
    <t>Rabiu sani Saleh</t>
  </si>
  <si>
    <t>rabiusanisaleh4@gmail.com</t>
  </si>
  <si>
    <t>Aje Paul Oluwagbemiga</t>
  </si>
  <si>
    <t>paulajetomiwa@gmail.com</t>
  </si>
  <si>
    <t>TAMIM SALIHU NAROKA</t>
  </si>
  <si>
    <t>tamimsalihunaroka@gmail.com</t>
  </si>
  <si>
    <t>Gwalw</t>
  </si>
  <si>
    <t>Ikyernum Nguyilan salome</t>
  </si>
  <si>
    <t>salomeoraduen909@gmail.com</t>
  </si>
  <si>
    <t>Ado Abdulhakim Garba</t>
  </si>
  <si>
    <t>abdulhakimadogarbak19@gmail.com</t>
  </si>
  <si>
    <t>Salisu Rukayya Babangida</t>
  </si>
  <si>
    <t>rukayyasalisudtf@gmail.com</t>
  </si>
  <si>
    <t>MUHAMMAD ABUBAKAR LAWAN</t>
  </si>
  <si>
    <t>abubakarmlawan6@gmail.com</t>
  </si>
  <si>
    <t>Abdullahi Ibrahim Adeleke</t>
  </si>
  <si>
    <t>adexibrahim0@gmail.com</t>
  </si>
  <si>
    <t>Shuaibu Mujahid</t>
  </si>
  <si>
    <t>mujahidshuaibu2020@gmail.com</t>
  </si>
  <si>
    <t>Yusuf Bala Yunusa</t>
  </si>
  <si>
    <t>balayusuf577@gmail.com</t>
  </si>
  <si>
    <t>MUHAMMAD JAAFAR</t>
  </si>
  <si>
    <t>jmjaafaru@gmail.com</t>
  </si>
  <si>
    <t>Is’haq Aisha oladunni</t>
  </si>
  <si>
    <t>aishaoladunni49@gmail.com</t>
  </si>
  <si>
    <t>George Akpos</t>
  </si>
  <si>
    <t>georgeakposhp@gmail.com</t>
  </si>
  <si>
    <t>Odok Victor Kenneth</t>
  </si>
  <si>
    <t>odokworship94@gmail.com</t>
  </si>
  <si>
    <t>Nura Habib Yusuf</t>
  </si>
  <si>
    <t>nurahabeebyusuf@gmail.com</t>
  </si>
  <si>
    <t>Odesola Peter Tobiloba</t>
  </si>
  <si>
    <t>odesolapeter76@gmail.com</t>
  </si>
  <si>
    <t>Adekunle Damilola Adeyanju</t>
  </si>
  <si>
    <t>adetilewa2008@gmail.com</t>
  </si>
  <si>
    <t>Bamidele David Williams</t>
  </si>
  <si>
    <t>dprincewill01@gmail.com</t>
  </si>
  <si>
    <t>Gwadabe Bello</t>
  </si>
  <si>
    <t>bellogwadabe08060928159@gmail.com</t>
  </si>
  <si>
    <t>Abraham</t>
  </si>
  <si>
    <t>abrahamomotayo26@gmail.com</t>
  </si>
  <si>
    <t>Ado odo</t>
  </si>
  <si>
    <t>Bello abubakar tanko</t>
  </si>
  <si>
    <t>abubakarbtanko406@gmail.com</t>
  </si>
  <si>
    <t>ONIFADE MOTUNRAYO ADENIKE</t>
  </si>
  <si>
    <t>Onifademotunrayo90@gmail.com</t>
  </si>
  <si>
    <t>IDRIS M INUSA</t>
  </si>
  <si>
    <t>wasaimjb@gmail.com</t>
  </si>
  <si>
    <t>ABDULJALEEL ABDULAZEEZ</t>
  </si>
  <si>
    <t>abdulazajaz@gmail.com</t>
  </si>
  <si>
    <t>Usman Buhari muhd</t>
  </si>
  <si>
    <t>generb1062@gmail.com</t>
  </si>
  <si>
    <t>OLABOOYE TAOFEEKAT GBEMISOLA</t>
  </si>
  <si>
    <t>olabooye.taofeekatgbemisola@gmail.com</t>
  </si>
  <si>
    <t>IPOSU BALIKIS OLAMIJI</t>
  </si>
  <si>
    <t>bilikisu_bakare@yahoo.com</t>
  </si>
  <si>
    <t>IBIANG-ABAM EMMANUELA F.</t>
  </si>
  <si>
    <t>fidelemmanuela@gmail.com</t>
  </si>
  <si>
    <t>Fatolu Joseph Olanrewaju</t>
  </si>
  <si>
    <t>josephifeoluwa52@gmail.com</t>
  </si>
  <si>
    <t>Eromosele Peter Bobby</t>
  </si>
  <si>
    <t>bobbypeter84@gmail.com</t>
  </si>
  <si>
    <t>ZAINAB SABO</t>
  </si>
  <si>
    <t>zainabbellosabo@gmail.com</t>
  </si>
  <si>
    <t>Ibhulansi Hope Elkanah</t>
  </si>
  <si>
    <t>hopeelkanah@gmail.com</t>
  </si>
  <si>
    <t>Aliyu Hussaina Ridwan</t>
  </si>
  <si>
    <t>hussainaaliyu916@gmail.com</t>
  </si>
  <si>
    <t>Adedoyin Emmanuel Adedeji</t>
  </si>
  <si>
    <t>emmanueladedoyin086@gmail.com</t>
  </si>
  <si>
    <t>Adeleke Iyanuoluwa Joshua</t>
  </si>
  <si>
    <t>joshuaiyanuoluwa3@gmail.com</t>
  </si>
  <si>
    <t>Aribilola Abiola</t>
  </si>
  <si>
    <t>aribilola1abiola@gmail.com</t>
  </si>
  <si>
    <t>Olawanle Ebunoluwa Janet</t>
  </si>
  <si>
    <t>olawanlejanet99@gmail.com</t>
  </si>
  <si>
    <t>Ibadan North</t>
  </si>
  <si>
    <t>Rabiu zaharadeen musa</t>
  </si>
  <si>
    <t>rabiuzaradeen297@gmail.com</t>
  </si>
  <si>
    <t>Yusuf Yunusa Maikanti</t>
  </si>
  <si>
    <t>maikantiyunus@gmail.com</t>
  </si>
  <si>
    <t>Adebisi Adewunmi Deborah</t>
  </si>
  <si>
    <t>adebisideborah2017@gmail.com</t>
  </si>
  <si>
    <t>Salmanu Hamidan</t>
  </si>
  <si>
    <t>salmanuhamidan79@gmail.com</t>
  </si>
  <si>
    <t>Eyo</t>
  </si>
  <si>
    <t>akabom4real@yahoo.com</t>
  </si>
  <si>
    <t>Yusuf Danjuma Mukhtar</t>
  </si>
  <si>
    <t>mukhtardanjumayusuf@gmail.com</t>
  </si>
  <si>
    <t>Etim Matthew</t>
  </si>
  <si>
    <t>etimmatthew29@gmail.com</t>
  </si>
  <si>
    <t>Namugabe Rebecca Ciara</t>
  </si>
  <si>
    <t>namugaberebecca15@gmail.com</t>
  </si>
  <si>
    <t>Wakiso district headquarters</t>
  </si>
  <si>
    <t>Normal citizen</t>
  </si>
  <si>
    <t>Okonnya, Idongesit Elisha</t>
  </si>
  <si>
    <t>idongesitokonnya@gmail.com</t>
  </si>
  <si>
    <t>Oyedele Moses</t>
  </si>
  <si>
    <t>mosesoyewumi05@gmail.com</t>
  </si>
  <si>
    <t>Awolope</t>
  </si>
  <si>
    <t>awolopegbenga@gmail.com</t>
  </si>
  <si>
    <t>OSEKO DESMOND ISMAELI</t>
  </si>
  <si>
    <t>desmondoseko5@gmail.com</t>
  </si>
  <si>
    <t>kisii</t>
  </si>
  <si>
    <t>Najmudeen Tolhah Adeyinka</t>
  </si>
  <si>
    <t>tolhanajmudeen2006@gmail.com</t>
  </si>
  <si>
    <t>Ojo Joseph olaoluwa</t>
  </si>
  <si>
    <t>josepholaoluwa024@gmail.com</t>
  </si>
  <si>
    <t>Joshua Adesokan</t>
  </si>
  <si>
    <t>Abk South</t>
  </si>
  <si>
    <t>Shagamu/ Abeokuta</t>
  </si>
  <si>
    <t>Sani Ibrahim Waziri</t>
  </si>
  <si>
    <t>asiyawaziri99@gmail.com</t>
  </si>
  <si>
    <t>Kumbotso lga</t>
  </si>
  <si>
    <t>OLUTOLA SUNDAY OLUFAYOSI</t>
  </si>
  <si>
    <t>olutolasundayolufayosi@gmail.com</t>
  </si>
  <si>
    <t>Oyekola Ayomikun</t>
  </si>
  <si>
    <t>Ayomikunoyekola7@gmail.com</t>
  </si>
  <si>
    <t>Bashir Mubarak Muhammad</t>
  </si>
  <si>
    <t>mubarakbashir594@gmail.com</t>
  </si>
  <si>
    <t>Idiku Benjamin Odey</t>
  </si>
  <si>
    <t>idikubenjamin4@gmail.com</t>
  </si>
  <si>
    <t>Ajayi</t>
  </si>
  <si>
    <t>ajayiracheal87@gmail.com</t>
  </si>
  <si>
    <t>Idris Muhammad idris</t>
  </si>
  <si>
    <t>idrismuhammadidris34@gmail.com</t>
  </si>
  <si>
    <t>Dasaolu Abolaji Hakeem</t>
  </si>
  <si>
    <t>dasaoluabolajihakeem@gmail.com</t>
  </si>
  <si>
    <t>ALIYU ABUBAKAR</t>
  </si>
  <si>
    <t>abkraleeyu@gmail.com</t>
  </si>
  <si>
    <t>BICHI</t>
  </si>
  <si>
    <t>Suleiman Amina</t>
  </si>
  <si>
    <t>aaminatu526@gmail.com</t>
  </si>
  <si>
    <t>Okechukwu Paul</t>
  </si>
  <si>
    <t>chinazapaulokey@gmail.com</t>
  </si>
  <si>
    <t>Oladapo korede moses</t>
  </si>
  <si>
    <t>mahdeskoholadapo@gmail.com</t>
  </si>
  <si>
    <t>Melvin Favour Orunibebi</t>
  </si>
  <si>
    <t>favourmelvin45@gmail.com</t>
  </si>
  <si>
    <t>Othuke Marvellous</t>
  </si>
  <si>
    <t>elohorothuke@gmail.com</t>
  </si>
  <si>
    <t>LASAKI MONISOLA OPEYEMI</t>
  </si>
  <si>
    <t>lasakimonisola@gmail.com</t>
  </si>
  <si>
    <t>ADENIRAN Idowu Olusegun</t>
  </si>
  <si>
    <t>idowuadeniran845@gmail.com</t>
  </si>
  <si>
    <t>Adam Sadiq musa</t>
  </si>
  <si>
    <t>musaadamsiddeeq8476@gmail.com</t>
  </si>
  <si>
    <t>Nabila Musa Adam</t>
  </si>
  <si>
    <t>momeenusman20@gmail.com</t>
  </si>
  <si>
    <t>Adisa Mariam Ajoke</t>
  </si>
  <si>
    <t>mariam.ajoke.adisa@gmail.com</t>
  </si>
  <si>
    <t>Usman Maimuna Jumai</t>
  </si>
  <si>
    <t>maimunausman1111@gmail.com</t>
  </si>
  <si>
    <t>Suleiman Jibrin Nda</t>
  </si>
  <si>
    <t>jibrinnda93@gmail.com</t>
  </si>
  <si>
    <t>Bodunwa Adebusuyi Isaac</t>
  </si>
  <si>
    <t>adebusuyiagro@gmail.com</t>
  </si>
  <si>
    <t>Adebayo Nasirudeen</t>
  </si>
  <si>
    <t>adebayonasirudeen19@gmail.com</t>
  </si>
  <si>
    <t>Melvin Faith Orugunyetaziba</t>
  </si>
  <si>
    <t>melvinfaith01@gmail.com</t>
  </si>
  <si>
    <t>George Micheal Olamide</t>
  </si>
  <si>
    <t>georgemichealolamide@gmail.com</t>
  </si>
  <si>
    <t>Ewekoro LG</t>
  </si>
  <si>
    <t>Emem Emmanuel</t>
  </si>
  <si>
    <t>emmanuelemem94@gmail.com</t>
  </si>
  <si>
    <t>Okon Linus Effiong</t>
  </si>
  <si>
    <t>okonlinus41@gmail.com</t>
  </si>
  <si>
    <t>Calabar mincipal</t>
  </si>
  <si>
    <t>Mansur abdulkareem kabara</t>
  </si>
  <si>
    <t>mansurkabara81@gmail.com</t>
  </si>
  <si>
    <t>Khalid Idris</t>
  </si>
  <si>
    <t>khalididris2022@gmail.com</t>
  </si>
  <si>
    <t>Olasupo Israel Oluwatobiloba</t>
  </si>
  <si>
    <t>olasupoisrael5@gmail.com</t>
  </si>
  <si>
    <t>Ihejimba Ugonna David</t>
  </si>
  <si>
    <t>ugonnaihejimba@gmail.com</t>
  </si>
  <si>
    <t>Ayetoro Yewa North</t>
  </si>
  <si>
    <t>Amina sale</t>
  </si>
  <si>
    <t>aminasale72@gmail.com</t>
  </si>
  <si>
    <t>Agura patience</t>
  </si>
  <si>
    <t>agurapatience359@gmail.com</t>
  </si>
  <si>
    <t>Salaudeen yusirat omolara</t>
  </si>
  <si>
    <t>salaudeenyusiratomolara@gmail.com</t>
  </si>
  <si>
    <t>Atisbo</t>
  </si>
  <si>
    <t>Saleh adam</t>
  </si>
  <si>
    <t>Adamsaleh3256@gmail.com</t>
  </si>
  <si>
    <t>UGOALA HENRY UZOMA</t>
  </si>
  <si>
    <t>ugoala.henry@gmail.com</t>
  </si>
  <si>
    <t>ENUGU NORTH</t>
  </si>
  <si>
    <t>Hamzat Aishat Opeyemi</t>
  </si>
  <si>
    <t>hamzatao.20@student.funaab.edu.ng</t>
  </si>
  <si>
    <t>msagirbuk@gmail.com</t>
  </si>
  <si>
    <t>Muhammad umaimatu</t>
  </si>
  <si>
    <t>umaimatudanfullo@gmail.com</t>
  </si>
  <si>
    <t>Alungbe, Bismark Odey</t>
  </si>
  <si>
    <t>alungbebismark@gmail.com</t>
  </si>
  <si>
    <t>OLADELE Isaac Oluwasegun</t>
  </si>
  <si>
    <t>oladeleisaac01@gmail.com</t>
  </si>
  <si>
    <t>HASHIM HABIB MURTALA</t>
  </si>
  <si>
    <t>habibhashim420@gmail.com</t>
  </si>
  <si>
    <t>Oziegbe Uwaokhonye Kenneth</t>
  </si>
  <si>
    <t>kenyem@ymail.com</t>
  </si>
  <si>
    <t>ADEH MOSES ADEH</t>
  </si>
  <si>
    <t>mosesadeh2@gmail.com</t>
  </si>
  <si>
    <t>Hassan Zainab</t>
  </si>
  <si>
    <t>zainabprincessh@gmail.com</t>
  </si>
  <si>
    <t>Iliyasu Isah</t>
  </si>
  <si>
    <t>isahiliyasu7@gmail.com</t>
  </si>
  <si>
    <t>Ibrahima do Wudil</t>
  </si>
  <si>
    <t>ibrahimadowudil032@gmail.com</t>
  </si>
  <si>
    <t>Wudil L.G</t>
  </si>
  <si>
    <t>Yusuf nafisat omowumi</t>
  </si>
  <si>
    <t>nafisatomowumi987@gmail.com</t>
  </si>
  <si>
    <t>Shittu Balikis Oluwabukola</t>
  </si>
  <si>
    <t>shittubalikisbukola@gmail.com</t>
  </si>
  <si>
    <t>Itele</t>
  </si>
  <si>
    <t>DEREK NYING TATAMENTAN</t>
  </si>
  <si>
    <t>derekdarrel@gmail.com</t>
  </si>
  <si>
    <t>Victor Ugwumsinachi Ikechi</t>
  </si>
  <si>
    <t>vicokenyi40@gmail.com</t>
  </si>
  <si>
    <t>Shuaib Nafisat Omobolanle</t>
  </si>
  <si>
    <t>temmieomobolanle@gmail.com</t>
  </si>
  <si>
    <t>Ibadan</t>
  </si>
  <si>
    <t>SANI ZAINAB LADAN</t>
  </si>
  <si>
    <t>zainabsani144@gmail.com</t>
  </si>
  <si>
    <t>TARAUNI LOCAL GOVERNMENT</t>
  </si>
  <si>
    <t>Tijani fatimah opeyemi</t>
  </si>
  <si>
    <t>tijaniopeyemi419@gmail.com</t>
  </si>
  <si>
    <t>Alimosho</t>
  </si>
  <si>
    <t>Balogun Teslimah Temitope</t>
  </si>
  <si>
    <t>taofeekelekuru@gmail.com</t>
  </si>
  <si>
    <t>Ado ota</t>
  </si>
  <si>
    <t>Udeh Israel Chukwuka</t>
  </si>
  <si>
    <t>everliveudo.israel@gmail.com</t>
  </si>
  <si>
    <t>Okon</t>
  </si>
  <si>
    <t>ekanemokon949@gmail.com</t>
  </si>
  <si>
    <t>Abdul Emmanuel Ojonugua</t>
  </si>
  <si>
    <t>emmanuelabdul965@gmail.com</t>
  </si>
  <si>
    <t>Sango</t>
  </si>
  <si>
    <t>omotosopeter4christ@gmail.com</t>
  </si>
  <si>
    <t>Oyawale Ruth oluwadamilola</t>
  </si>
  <si>
    <t>Mogabor Esther</t>
  </si>
  <si>
    <t>mogaboreesther21@gmail.com</t>
  </si>
  <si>
    <t>Igboke, Stanley Patrick</t>
  </si>
  <si>
    <t>talk2igbokestanley@gmail.com</t>
  </si>
  <si>
    <t>Adebiyi Eniola Oluwatunmise</t>
  </si>
  <si>
    <t>adebiyieniola32@gmail.com</t>
  </si>
  <si>
    <t>Maryam kabir</t>
  </si>
  <si>
    <t>maryamkabir86@gmail.com</t>
  </si>
  <si>
    <t>Nwankwo Divinemiracle</t>
  </si>
  <si>
    <t>divinemiracle404@gmail.com</t>
  </si>
  <si>
    <t>Babagana sunusi</t>
  </si>
  <si>
    <t>sunusibabagana@gmail.com</t>
  </si>
  <si>
    <t>Ezeh Chukwuemeka</t>
  </si>
  <si>
    <t>ezeha60@gmail.com</t>
  </si>
  <si>
    <t>Abdulrauf Hammed Adekola</t>
  </si>
  <si>
    <t>adekolahammed122@gmail.com</t>
  </si>
  <si>
    <t>Ado odo otta lga</t>
  </si>
  <si>
    <t>AJAO Ademola Quadri</t>
  </si>
  <si>
    <t>sapientademola2526@gmail.com</t>
  </si>
  <si>
    <t>Lawan Ibrahim Ibrahim</t>
  </si>
  <si>
    <t>ibrahimlawanibrahim485@gmail.com</t>
  </si>
  <si>
    <t>Hafsat shehu adam</t>
  </si>
  <si>
    <t>hafsatshehuadam1994@gmail.com</t>
  </si>
  <si>
    <t>Bello Olubukola Odunayo</t>
  </si>
  <si>
    <t>bellobukola482@gmail.com</t>
  </si>
  <si>
    <t>FRANCO ENO-MFON NSEMEKE</t>
  </si>
  <si>
    <t>francoenomfonnsemeke@gmail.com</t>
  </si>
  <si>
    <t>OBIO-AKPOR</t>
  </si>
  <si>
    <t>Ezurike precious chinoyerem</t>
  </si>
  <si>
    <t>ezurikeprecious01@gmail.com</t>
  </si>
  <si>
    <t>AGUNLOYE AISHAT ADEJOJU</t>
  </si>
  <si>
    <t>aisheiytu5701@gmail.com</t>
  </si>
  <si>
    <t>I don't know</t>
  </si>
  <si>
    <t>Chukwunedum Winner Godsent</t>
  </si>
  <si>
    <t>winnergodsent@gmail.com</t>
  </si>
  <si>
    <t>Hajara Ishaq Muhammad</t>
  </si>
  <si>
    <t>hajjoiman99@gmail.com</t>
  </si>
  <si>
    <t>Mohammed Ibrahim Baba</t>
  </si>
  <si>
    <t>Ibrahibabamohammed78@gmail.com</t>
  </si>
  <si>
    <t>Safiyanu Rahama Isah</t>
  </si>
  <si>
    <t>safiyanuisahrahama@gmail.com</t>
  </si>
  <si>
    <t>Safiyanu Maryam Isah</t>
  </si>
  <si>
    <t>Ibrahim Sunusi Ali</t>
  </si>
  <si>
    <t>dambattasunusi@gmail.com</t>
  </si>
  <si>
    <t>Oloruntoba</t>
  </si>
  <si>
    <t>oloruntobahephzibah@gmail.com</t>
  </si>
  <si>
    <t>Jimoh Ahmed Akande</t>
  </si>
  <si>
    <t>jimohahmedakande@gmail.com</t>
  </si>
  <si>
    <t>Ijebu north</t>
  </si>
  <si>
    <t>Okochi Deborah Nnwaneka</t>
  </si>
  <si>
    <t>okochidn@gmail.com</t>
  </si>
  <si>
    <t>USANG, Sampson Usang</t>
  </si>
  <si>
    <t>youngstarusang@gmail.com</t>
  </si>
  <si>
    <t>Komolafe Oluwatosin</t>
  </si>
  <si>
    <t>komolafeoluwatosin01@gmail.com</t>
  </si>
  <si>
    <t>Okebukola Rejoice</t>
  </si>
  <si>
    <t>okebukolarejoice@gmail.com</t>
  </si>
  <si>
    <t>Ijebu-ode</t>
  </si>
  <si>
    <t>Oluwagbemiga Blessing Aremu</t>
  </si>
  <si>
    <t>recreatesnedibles@gmail.com</t>
  </si>
  <si>
    <t>Joseph Victoria opeyemi</t>
  </si>
  <si>
    <t>funmilayoopeyemi234@gmail.com</t>
  </si>
  <si>
    <t>Ogun state</t>
  </si>
  <si>
    <t>Oladele Israel olamide</t>
  </si>
  <si>
    <t>oladeleadekemi0@gmail.com</t>
  </si>
  <si>
    <t>Dzukogi khadijat Abubakar</t>
  </si>
  <si>
    <t>kdzukogi@gmail.com</t>
  </si>
  <si>
    <t>Yusuff</t>
  </si>
  <si>
    <t>yusuffkhadijat2000@gmail.com</t>
  </si>
  <si>
    <t>Dzukogi zainab Abubakar</t>
  </si>
  <si>
    <t>Zainabdzukogi42@gmail.com</t>
  </si>
  <si>
    <t>Nwabor Chukwuebuka Paul</t>
  </si>
  <si>
    <t>ebukas4paul@gmail.com</t>
  </si>
  <si>
    <t>OBI GODWIN CHUKWUDI</t>
  </si>
  <si>
    <t>godwin.obi@federalpolyilaro.edu.ng</t>
  </si>
  <si>
    <t>Sotinwa</t>
  </si>
  <si>
    <t>sotinwamichael1@gmail.com</t>
  </si>
  <si>
    <t>Oyeyode Oluwabukola Faith</t>
  </si>
  <si>
    <t>oyeyodeoluwabukolafaith@gmail.com</t>
  </si>
  <si>
    <t>Ndaiji Amina Shehu</t>
  </si>
  <si>
    <t>aminandaiji203@gmail.com</t>
  </si>
  <si>
    <t>Adeniran Daniel</t>
  </si>
  <si>
    <t>dadeniran29@gmail.com</t>
  </si>
  <si>
    <t>Sotinwa Michael</t>
  </si>
  <si>
    <t>Egbodo Solomon Onah</t>
  </si>
  <si>
    <t>egbodoso.22@student.funaab.com</t>
  </si>
  <si>
    <t>Odede</t>
  </si>
  <si>
    <t>Gabriel</t>
  </si>
  <si>
    <t>gabfaith94@gmail.com</t>
  </si>
  <si>
    <t>Adebayo Adefisayo Muyiwa</t>
  </si>
  <si>
    <t>fissadep@gmail.com</t>
  </si>
  <si>
    <t>Obatola adewunmi</t>
  </si>
  <si>
    <t>obatolaifedapo@gmail.com</t>
  </si>
  <si>
    <t>Sani Fatima</t>
  </si>
  <si>
    <t>BENSON IME EDEM</t>
  </si>
  <si>
    <t>able2081@gmail.com</t>
  </si>
  <si>
    <t>Dahunsi Oluwaferanmi</t>
  </si>
  <si>
    <t>dahunsiferanmi20@gmail.com</t>
  </si>
  <si>
    <t>IFINIBIE ABRAHAM ABRAHAM</t>
  </si>
  <si>
    <t>ifinibieabraham1999@gmail.com</t>
  </si>
  <si>
    <t>OLADIPUPO PHILIP ABIMBOLA</t>
  </si>
  <si>
    <t>pa3919999@gmail.com</t>
  </si>
  <si>
    <t>Imeko-afon</t>
  </si>
  <si>
    <t>Gana Kingsley</t>
  </si>
  <si>
    <t>kingsleygana1@gmail.com</t>
  </si>
  <si>
    <t>Olagbeji</t>
  </si>
  <si>
    <t>muhjumahb@gmail.com</t>
  </si>
  <si>
    <t>Adeyemi Oluwafemi</t>
  </si>
  <si>
    <t>adeyemioluwafemi@gmail.com</t>
  </si>
  <si>
    <t>Mohammed</t>
  </si>
  <si>
    <t>mohammedjemil34@gmail.com</t>
  </si>
  <si>
    <t>Caroline Karambu</t>
  </si>
  <si>
    <t>carolmwaki1996@gmail.com</t>
  </si>
  <si>
    <t>Kenyan</t>
  </si>
  <si>
    <t>Oladokun Sodiq Oladele</t>
  </si>
  <si>
    <t>oladokundele@gmail.com</t>
  </si>
  <si>
    <t>Bature Jeremiah Didam</t>
  </si>
  <si>
    <t>jerrybatu98@gmail.com</t>
  </si>
  <si>
    <t>Ifinibie Blessing Ifinibie</t>
  </si>
  <si>
    <t>ifinibieblessing368@gmail.com</t>
  </si>
  <si>
    <t>LINUS THESSY OGOCHUKWU</t>
  </si>
  <si>
    <t>thessylinus29@gmail.com</t>
  </si>
  <si>
    <t>IKWERE</t>
  </si>
  <si>
    <t>Kapyil Noel Nanchang</t>
  </si>
  <si>
    <t>noelkapyil@gmail.com</t>
  </si>
  <si>
    <t>Yahaya hawawu Muhammad</t>
  </si>
  <si>
    <t>hauway265@gmail.com</t>
  </si>
  <si>
    <t>Olayiwola Toheeb</t>
  </si>
  <si>
    <t>toheebbolaji2810@gmail.com</t>
  </si>
  <si>
    <t>Oluwabitan Adedolapo Iyanuoluwa</t>
  </si>
  <si>
    <t>iyanubitan95@gmail.com</t>
  </si>
  <si>
    <t>Osiele LGA</t>
  </si>
  <si>
    <t>Joseph makamu</t>
  </si>
  <si>
    <t>makamujoseph102@gmail.com</t>
  </si>
  <si>
    <t>Bungoma Tongaren</t>
  </si>
  <si>
    <t>Gbadegesin Bimpe Abidemi</t>
  </si>
  <si>
    <t>gbadegesinbimpeabidemi@gmail.com</t>
  </si>
  <si>
    <t>Ewekoro local government</t>
  </si>
  <si>
    <t>Jenrade Fadhilat Omofaderera</t>
  </si>
  <si>
    <t>faderera2003@gmail.com</t>
  </si>
  <si>
    <t>Augustine Moses</t>
  </si>
  <si>
    <t>connectmoses2016@gmail.com</t>
  </si>
  <si>
    <t>Collins Owekigha Collins</t>
  </si>
  <si>
    <t>collinsowekigha@gmail.com</t>
  </si>
  <si>
    <t>Mohammed Alhaji shehu Amad</t>
  </si>
  <si>
    <t>alhajishehumohammed@gmail.com</t>
  </si>
  <si>
    <t>UDENYI JOSEPHINE OMARI</t>
  </si>
  <si>
    <t>udenyijosephine950@gmail.com</t>
  </si>
  <si>
    <t>Felix Fabopreghe Denis</t>
  </si>
  <si>
    <t>Felixfabopreghe@gmail.com</t>
  </si>
  <si>
    <t>Aketi woyengibrakumo Isaac</t>
  </si>
  <si>
    <t>Uyakumoh Egbaseimokumoh</t>
  </si>
  <si>
    <t>uyakumoh1991@gmail.com</t>
  </si>
  <si>
    <t>Uche Victoria</t>
  </si>
  <si>
    <t>victoriauche179@gmail.com</t>
  </si>
  <si>
    <t>Abdul Abdulkadir Ibrahim</t>
  </si>
  <si>
    <t>abdulqadirnako@gmail.com</t>
  </si>
  <si>
    <t>OKE JUMOKE ABOSEDE</t>
  </si>
  <si>
    <t>okejumokeabosede@gmail.com</t>
  </si>
  <si>
    <t>Enekamie wisdom</t>
  </si>
  <si>
    <t>enekamiew@gmail.com</t>
  </si>
  <si>
    <t>Sagbama local government area</t>
  </si>
  <si>
    <t>Deidei Pereladei</t>
  </si>
  <si>
    <t>pdeidei@yahoo.com</t>
  </si>
  <si>
    <t>Ogola Ruth</t>
  </si>
  <si>
    <t>blissful2922@gmail.com</t>
  </si>
  <si>
    <t>FRANK</t>
  </si>
  <si>
    <t>frankrufus80s@gmail.com</t>
  </si>
  <si>
    <t>SOUTHERN IJAW LOCAL GOVERNMENT AREA</t>
  </si>
  <si>
    <t>UKPE, OFONIME SUNDAY</t>
  </si>
  <si>
    <t>ofonimeukpe74@gmail.com</t>
  </si>
  <si>
    <t>TAMARANEBI, TAMARANYE HAPPINESS</t>
  </si>
  <si>
    <t>tammynesstah@gmail.com</t>
  </si>
  <si>
    <t>Amzat Barakat Olabisi</t>
  </si>
  <si>
    <t>barakatamzat262@gmail.com</t>
  </si>
  <si>
    <t>Ado-Odo/Ota Local Government Area</t>
  </si>
  <si>
    <t>Lucky Fineroad james</t>
  </si>
  <si>
    <t>Hussaini</t>
  </si>
  <si>
    <t>maimunahussaini537@gmail.com</t>
  </si>
  <si>
    <t>Auwal saminu yunus</t>
  </si>
  <si>
    <t>auwalsaminusyunus@gmail.com</t>
  </si>
  <si>
    <t>Muhammad mujittafa Yusuf</t>
  </si>
  <si>
    <t>mmykarfi@gmail.com</t>
  </si>
  <si>
    <t>Babandi Muhammad Bashir</t>
  </si>
  <si>
    <t>mbbabandi@gmail.com</t>
  </si>
  <si>
    <t>Adam Hajara madaki</t>
  </si>
  <si>
    <t>adammadakihajara@gmail.com</t>
  </si>
  <si>
    <t>MAIMUNA AHMAD TIJJANI</t>
  </si>
  <si>
    <t>maimunaahmadtijjani364@gmail.com</t>
  </si>
  <si>
    <t>Ibrahim Isah Umar</t>
  </si>
  <si>
    <t>ibrahimisahumar806@gmail.com</t>
  </si>
  <si>
    <t>MUSAB MUSA ADAM</t>
  </si>
  <si>
    <t>Musabadammusa942@gmail.com</t>
  </si>
  <si>
    <t>KURA</t>
  </si>
  <si>
    <t>Salihu ahmad naibi</t>
  </si>
  <si>
    <t>salihunaibiahmad123@gmail.com</t>
  </si>
  <si>
    <t>Musaddiq Habib yahaya</t>
  </si>
  <si>
    <t>musaddiqh216@gmail.com</t>
  </si>
  <si>
    <t>Isah Aisha Umar</t>
  </si>
  <si>
    <t>aishaisahumar96@gmail.com</t>
  </si>
  <si>
    <t>Muhammad isah Bello</t>
  </si>
  <si>
    <t>isahbello50@gmail.com</t>
  </si>
  <si>
    <t>OLADIMEJI JOSHUA BIOLA</t>
  </si>
  <si>
    <t>biolaoladimeji04@gmail.com</t>
  </si>
  <si>
    <t>Nafi'u Salisu Ya'u</t>
  </si>
  <si>
    <t>napiusalisu@gmail.com</t>
  </si>
  <si>
    <t>Nassarawa local government</t>
  </si>
  <si>
    <t>BASHIR SHEHU ABUBAKAR</t>
  </si>
  <si>
    <t>bashirshehuabubakar@gmail.com</t>
  </si>
  <si>
    <t>Gambo Aminu Isah</t>
  </si>
  <si>
    <t>aminugamboisah@gmail.com</t>
  </si>
  <si>
    <t>Akande Opeyemi Grace</t>
  </si>
  <si>
    <t>ogotitiakande@gmail.com</t>
  </si>
  <si>
    <t>ISMA'IL YAHAYA YAHAYA</t>
  </si>
  <si>
    <t>yahayayahayaismail@gmail.com</t>
  </si>
  <si>
    <t>Lamido Hauwau</t>
  </si>
  <si>
    <t>Lamidohauwa9@gmail.com</t>
  </si>
  <si>
    <t>Usman isah shuaib</t>
  </si>
  <si>
    <t>Usmanisahdanhajiya@gmail.com</t>
  </si>
  <si>
    <t>Arazi fortune agada</t>
  </si>
  <si>
    <t>fortunearazi83@gmail.com</t>
  </si>
  <si>
    <t>Bamikole Habeeb</t>
  </si>
  <si>
    <t>aceayo17@gmail.com</t>
  </si>
  <si>
    <t>Obafemi Owode Local Government</t>
  </si>
  <si>
    <t>Akintunde Taiwo Akinwunmi</t>
  </si>
  <si>
    <t>akinwunmireborn@gmail.com</t>
  </si>
  <si>
    <t>nnazifimuhammad393@gmail.com</t>
  </si>
  <si>
    <t>Hussaini Abubakar Umar (Abubakar Hussaini Umar)</t>
  </si>
  <si>
    <t>abubakarumarhussaini7@gmail.com</t>
  </si>
  <si>
    <t>Kura local government Area</t>
  </si>
  <si>
    <t>Dibagha ebiboloukemi</t>
  </si>
  <si>
    <t>ebidibagha@gmail.com</t>
  </si>
  <si>
    <t>Yeri Ifiye joy</t>
  </si>
  <si>
    <t>yeriifiye@gmail.com</t>
  </si>
  <si>
    <t>Eyu Bassey Abriza</t>
  </si>
  <si>
    <t>eyubassey22@gmail.com</t>
  </si>
  <si>
    <t>Abubakar Ibrahim Yunusa</t>
  </si>
  <si>
    <t>ibrahimyunusa0904@gmail.com</t>
  </si>
  <si>
    <t>Ebikeme Solomon</t>
  </si>
  <si>
    <t>solomonebikeme51@gmail.com</t>
  </si>
  <si>
    <t>Abdulafeez</t>
  </si>
  <si>
    <t>engineerdamex01@gmail.com</t>
  </si>
  <si>
    <t>Yusha u abubakar</t>
  </si>
  <si>
    <t>yushauabubakar711@gmail.com</t>
  </si>
  <si>
    <t>Chukwu Joshua Odira</t>
  </si>
  <si>
    <t>chukwujoshuaodc4@gmail.com</t>
  </si>
  <si>
    <t>Kolokuma opokuma LGA</t>
  </si>
  <si>
    <t>Fagbenro Ibrahim</t>
  </si>
  <si>
    <t>fagbenroibrahim30@gmail.com</t>
  </si>
  <si>
    <t>Egba Izibenkien Prince</t>
  </si>
  <si>
    <t>izibenkienprince@gmail.com</t>
  </si>
  <si>
    <t>Alhassan Samuel</t>
  </si>
  <si>
    <t>alhassansamuel7@gmail.com</t>
  </si>
  <si>
    <t>Alfa umar sanda</t>
  </si>
  <si>
    <t>Alfaumarsanda@gmail.com</t>
  </si>
  <si>
    <t>Abduljaleel Muhammad</t>
  </si>
  <si>
    <t>jalaludeen440@gmail.com</t>
  </si>
  <si>
    <t>Ahmad idris Al hassan</t>
  </si>
  <si>
    <t>alhassangwarzoahmadidris@gmail.com</t>
  </si>
  <si>
    <t>Saba victor suasun</t>
  </si>
  <si>
    <t>sabavictor26@gmail.com</t>
  </si>
  <si>
    <t>MUSTAPHA ABDULMALIK ABDULMALIK</t>
  </si>
  <si>
    <t>malikabdul517@gmail.com</t>
  </si>
  <si>
    <t>Yusuf Idris</t>
  </si>
  <si>
    <t>idris.yusuf.gaba@gmail.com</t>
  </si>
  <si>
    <t>Rabiu Abdulkadir Danhassan</t>
  </si>
  <si>
    <t>rabdulkadir990@gmail.com</t>
  </si>
  <si>
    <t>Igodo Charles</t>
  </si>
  <si>
    <t>charlesigodo7@gmail.com</t>
  </si>
  <si>
    <t>Otieno Kevin Omondi</t>
  </si>
  <si>
    <t>otienoomondi.kevin1@gmail.com</t>
  </si>
  <si>
    <t>Kisumu</t>
  </si>
  <si>
    <t>Chukwu Anthony chukwudi</t>
  </si>
  <si>
    <t>chukwuanthonychukwudi@gmail.com</t>
  </si>
  <si>
    <t>Awgu</t>
  </si>
  <si>
    <t>Liman Abubakar Sadiq</t>
  </si>
  <si>
    <t>sadiqliman376@gmail.com</t>
  </si>
  <si>
    <t>Jibrin mohammed</t>
  </si>
  <si>
    <t>mohammedjibrin703@gmail.com</t>
  </si>
  <si>
    <t>CHIJIOKE PROSPER CHIDUBEM</t>
  </si>
  <si>
    <t>ceejprosper664@gmail.com</t>
  </si>
  <si>
    <t>Odo Peter onyebuchi</t>
  </si>
  <si>
    <t>onyebuchipeterodo@gmail.com</t>
  </si>
  <si>
    <t>Igbo Eze South</t>
  </si>
  <si>
    <t>Jubachukwu Adaeze Blessing</t>
  </si>
  <si>
    <t>Jubachukwuadaeze06@gmail.com</t>
  </si>
  <si>
    <t>HAMMED ZAINAB TEMITAYO</t>
  </si>
  <si>
    <t>hammedzainabtemitayo@gmail.com</t>
  </si>
  <si>
    <t>Hussaina Danladi Adamu</t>
  </si>
  <si>
    <t>adamuhussaina20@gmail.com</t>
  </si>
  <si>
    <t>Oluwaseun Opeyemi Banjo</t>
  </si>
  <si>
    <t>oluwaseunbanjo797@gmail.com</t>
  </si>
  <si>
    <t>Balogun Mordiyyah Ejide</t>
  </si>
  <si>
    <t>mordiyyahbalogun5@gmail.com</t>
  </si>
  <si>
    <t>Muhammad sani abdullahi</t>
  </si>
  <si>
    <t>msaniabdullahi127@gmail.com</t>
  </si>
  <si>
    <t>YAHAYA</t>
  </si>
  <si>
    <t>Abdullahiahmad12@gmail.com</t>
  </si>
  <si>
    <t>Nwibo blessing patience</t>
  </si>
  <si>
    <t>nwiboblessing7@gmail.com</t>
  </si>
  <si>
    <t>Faruk Ataba Adams</t>
  </si>
  <si>
    <t>atabaadams92@gmail.com</t>
  </si>
  <si>
    <t>Abdurasheed Abdurahman Ahmad</t>
  </si>
  <si>
    <t>abdurasheed2006@gmail.com</t>
  </si>
  <si>
    <t>Khadija musa umar</t>
  </si>
  <si>
    <t>Khadijatmusaumar2023@gmail.com</t>
  </si>
  <si>
    <t>Olaide Kafilat Abdulhammed</t>
  </si>
  <si>
    <t>olaideabdulhammed2022@gmail.com</t>
  </si>
  <si>
    <t>YUSUF IDRIS</t>
  </si>
  <si>
    <t>57usuf7@gmail.com</t>
  </si>
  <si>
    <t>SULEJA</t>
  </si>
  <si>
    <t>Godspower Waribo</t>
  </si>
  <si>
    <t>godspowerwaribo@gmail.com</t>
  </si>
  <si>
    <t>OKPEZUNE Mmesomachukwu Success</t>
  </si>
  <si>
    <t>emenikemmesoma4@gmail.com</t>
  </si>
  <si>
    <t>Awka South LGA</t>
  </si>
  <si>
    <t>EGBERIBIN AYIBAEBI A.I</t>
  </si>
  <si>
    <t>eayibaebi@gmail.com</t>
  </si>
  <si>
    <t>Manko Hussaina Fatima</t>
  </si>
  <si>
    <t>mankofatima32@gmail.com</t>
  </si>
  <si>
    <t>Praise Uzondu Ukachi</t>
  </si>
  <si>
    <t>praiseduke1@gmail.com</t>
  </si>
  <si>
    <t>Yakubu Harold Bala</t>
  </si>
  <si>
    <t>yakubuharoldbala@gmail.com</t>
  </si>
  <si>
    <t>Lawan</t>
  </si>
  <si>
    <t>Lawanmuhammad0000@gmail.com</t>
  </si>
  <si>
    <t>Yakubu Elizabeth Andrew</t>
  </si>
  <si>
    <t>lisa.ochigbo@gmail.com</t>
  </si>
  <si>
    <t>Sabo gari</t>
  </si>
  <si>
    <t>Ukpai Bob</t>
  </si>
  <si>
    <t>bobukpai@gmail.com</t>
  </si>
  <si>
    <t>labaranjemil@gmail.com</t>
  </si>
  <si>
    <t>Alkasim shu,aibu inuwa</t>
  </si>
  <si>
    <t>doubleb193@gmail.com</t>
  </si>
  <si>
    <t>Gwale local govement</t>
  </si>
  <si>
    <t>From kano state nigeria</t>
  </si>
  <si>
    <t>Inuwa Yusuf sani</t>
  </si>
  <si>
    <t>inuwayusuf0090@gmail.com</t>
  </si>
  <si>
    <t>Habibu Rukayya</t>
  </si>
  <si>
    <t>rukayyahabibu00@gmail.com</t>
  </si>
  <si>
    <t>Sogo Tonyo Clinton</t>
  </si>
  <si>
    <t>larrysogo@gmail.com</t>
  </si>
  <si>
    <t>Adam Mustapha Abdulmalik</t>
  </si>
  <si>
    <t>adammabdul007@gmail.com</t>
  </si>
  <si>
    <t>Ahmad Abubakar Usman</t>
  </si>
  <si>
    <t>a2.u.banyo@gmail.com</t>
  </si>
  <si>
    <t>Usaini sani ahmad</t>
  </si>
  <si>
    <t>saniusaini10@gmail.com</t>
  </si>
  <si>
    <t>Fatima Muhammad</t>
  </si>
  <si>
    <t>ummisatatima2021@gmail.com</t>
  </si>
  <si>
    <t>TIJJANI SHEHU AHMAD</t>
  </si>
  <si>
    <t>halifakurawa@gmail.com</t>
  </si>
  <si>
    <t>Williams Comforter Bethel</t>
  </si>
  <si>
    <t>info.comforterbethel@gmail.com</t>
  </si>
  <si>
    <t>Degema</t>
  </si>
  <si>
    <t>Neife Ikechukwu</t>
  </si>
  <si>
    <t>iykemitch@gmail.com</t>
  </si>
  <si>
    <t>chigbu christian</t>
  </si>
  <si>
    <t>chigbuchristian@gmail.com</t>
  </si>
  <si>
    <t>ANDULMUMI ZAHRADDEEN ISAHQ</t>
  </si>
  <si>
    <t>zahraddeenabdulmumin1@gmail.com</t>
  </si>
  <si>
    <t>ANAKE DAVID ANIMPULE</t>
  </si>
  <si>
    <t>anakeanimpule5854@gmail.com</t>
  </si>
  <si>
    <t>Shehu Safiyya Tijjani</t>
  </si>
  <si>
    <t>safiyyashehutijjani52@gmail.com</t>
  </si>
  <si>
    <t>Maryam Is'haq Sulaiman</t>
  </si>
  <si>
    <t>maryamishaq68587@gmail.com</t>
  </si>
  <si>
    <t>Abdullahi Surajo Ismail</t>
  </si>
  <si>
    <t>surajoismail16@gmail.com</t>
  </si>
  <si>
    <t>Shehu Naima Tajjani</t>
  </si>
  <si>
    <t>naimashehutijjani99@gmail.com</t>
  </si>
  <si>
    <t>Ahmad Ahmad Shehu</t>
  </si>
  <si>
    <t>Ahmadahmad3601@gmail.com</t>
  </si>
  <si>
    <t>Kio Yinanaboemi</t>
  </si>
  <si>
    <t>pipi3k2014@gmail.com</t>
  </si>
  <si>
    <t>Oyedokun Eniola Ayomide</t>
  </si>
  <si>
    <t>eniolaben2000@gmail.com</t>
  </si>
  <si>
    <t>Terkende Michael Aondofa</t>
  </si>
  <si>
    <t>terkendemichael08@gmail.com</t>
  </si>
  <si>
    <t>Nsukka Local Government</t>
  </si>
  <si>
    <t>Alistide Ishimwe</t>
  </si>
  <si>
    <t>aristideishimwe61@gmail.com</t>
  </si>
  <si>
    <t>Rwanda</t>
  </si>
  <si>
    <t>Mede Atoo Peter</t>
  </si>
  <si>
    <t>atoomedepeter@gmail.com</t>
  </si>
  <si>
    <t>Olawale Esther Ibukunoluwa</t>
  </si>
  <si>
    <t>ibukunoluwa5555@gmail.com</t>
  </si>
  <si>
    <t>Mujaheed Abdulazeez Abdulkareem</t>
  </si>
  <si>
    <t>mujaheedabdulazeez@yahoo.com</t>
  </si>
  <si>
    <t>Yusif isah shuaibu</t>
  </si>
  <si>
    <t>yijadda@gmail.com</t>
  </si>
  <si>
    <t>Non</t>
  </si>
  <si>
    <t>Idris abdulaziz ahmad</t>
  </si>
  <si>
    <t>abdulazizidris555@gmail.com</t>
  </si>
  <si>
    <t>Ahmad Aisha Abdullahi</t>
  </si>
  <si>
    <t>ahmadaishaabdullahi3@gmail.com</t>
  </si>
  <si>
    <t>Physical disability (mobility, limb impairment), Visual impairment (partial or full), Hearing impairment, Speech impairment, Cognitive/learning disability,</t>
  </si>
  <si>
    <t>Otobo Shem Tiekuro</t>
  </si>
  <si>
    <t>otobotiekuro@gmail.com</t>
  </si>
  <si>
    <t>Murja SANI ladan</t>
  </si>
  <si>
    <t>murjaladan0@gmail.com</t>
  </si>
  <si>
    <t>TARAUNI local government</t>
  </si>
  <si>
    <t>Auwalu Sani Ibrahim</t>
  </si>
  <si>
    <t>msdankawu@gmail.com</t>
  </si>
  <si>
    <t>Mahdi Mubarak Bala</t>
  </si>
  <si>
    <t>mubarakbalam20@gmail.com</t>
  </si>
  <si>
    <t>Muhammad zakari muhammad</t>
  </si>
  <si>
    <t>muhammadzakarimuhammas393@gmail.com</t>
  </si>
  <si>
    <t>kasim jamilu</t>
  </si>
  <si>
    <t>kasimj02@gmail.com</t>
  </si>
  <si>
    <t>Aminu Ahmad sulaiman</t>
  </si>
  <si>
    <t>lilhass48@gmail.com</t>
  </si>
  <si>
    <t>Ummulkhairi Bala Ibrahim</t>
  </si>
  <si>
    <t>ummulkhairibalaibrahim@gmail.com</t>
  </si>
  <si>
    <t>Ibrahim ahmad Bashir</t>
  </si>
  <si>
    <t>ahmadbashiribrahim84@gmail.com</t>
  </si>
  <si>
    <t>OBASI AWUCHA OKWUN</t>
  </si>
  <si>
    <t>obasyawucha@gmail.com</t>
  </si>
  <si>
    <t>obio/akpo</t>
  </si>
  <si>
    <t>Indigenous resident, seeking for greener pasture/ job</t>
  </si>
  <si>
    <t>Aliyu Maryam Auwal</t>
  </si>
  <si>
    <t>maryamauwalaliyu2005@gmail.com</t>
  </si>
  <si>
    <t>Muhammad Ahmad Aisami</t>
  </si>
  <si>
    <t>muhammadaliyus138@gmail.com</t>
  </si>
  <si>
    <t>Kabir Bashir Muhammad</t>
  </si>
  <si>
    <t>bashirkmuhammd@gmail.com</t>
  </si>
  <si>
    <t>Oyeshola Oyebamiji</t>
  </si>
  <si>
    <t>oyesholaoyebamiji@gmail.com</t>
  </si>
  <si>
    <t>Ado odo OTA local government</t>
  </si>
  <si>
    <t>Odey Felix Ijege</t>
  </si>
  <si>
    <t>odeyfelixijege@gmail.com</t>
  </si>
  <si>
    <t>Arije Damilola Samuel</t>
  </si>
  <si>
    <t>adamilola1113@gmail.com</t>
  </si>
  <si>
    <t>MUJAHID SALISU</t>
  </si>
  <si>
    <t>mujahidsalisu426@gmail.com</t>
  </si>
  <si>
    <t>Ahmad Abdullahi Uba</t>
  </si>
  <si>
    <t>abdullahiubaahmad@gmail.com</t>
  </si>
  <si>
    <t>Adiamo Nafisat</t>
  </si>
  <si>
    <t>adiamonafisat@gmail.com</t>
  </si>
  <si>
    <t>Iwo local government</t>
  </si>
  <si>
    <t>Anas sani lawan</t>
  </si>
  <si>
    <t>anassanilawan8@gmail.com</t>
  </si>
  <si>
    <t>Ayodele Thomas</t>
  </si>
  <si>
    <t>ayodelethimas@gmail.com</t>
  </si>
  <si>
    <t>Yewa South Local Government area</t>
  </si>
  <si>
    <t>Ajetunmobi oluwaseyifunmi Temitope</t>
  </si>
  <si>
    <t>ajetunmobioluwaseyi@gmail.com</t>
  </si>
  <si>
    <t>obio/akpor</t>
  </si>
  <si>
    <t>Bashir musa Ismail</t>
  </si>
  <si>
    <t>bashirmusajakara@gmail.com</t>
  </si>
  <si>
    <t>NTIME JOEL IKUTAL</t>
  </si>
  <si>
    <t>ntimejoel.com@gmail.com</t>
  </si>
  <si>
    <t>Umar dalhatu Adam</t>
  </si>
  <si>
    <t>umardalhatuadam@gmail.com</t>
  </si>
  <si>
    <t>Returnee,</t>
  </si>
  <si>
    <t>Adam Zakariyya</t>
  </si>
  <si>
    <t>zakariyyaadam27@gmail.com</t>
  </si>
  <si>
    <t>Ibrahim Muhammad isyaku</t>
  </si>
  <si>
    <t>Ibrahimmuhammadbichi@gmail.com</t>
  </si>
  <si>
    <t>Zainab musa adam</t>
  </si>
  <si>
    <t>Zernab1234@gmail.com</t>
  </si>
  <si>
    <t>Kolo Janet</t>
  </si>
  <si>
    <t>talk2janekolo@gnail.com</t>
  </si>
  <si>
    <t>Kalu Sylvia</t>
  </si>
  <si>
    <t>sylviabed3@gmail.com</t>
  </si>
  <si>
    <t>Ogbolu Michael</t>
  </si>
  <si>
    <t>michaelogbolu5@gmail.com</t>
  </si>
  <si>
    <t>Jamila</t>
  </si>
  <si>
    <t>Jamilausmanisa3@gmail.com</t>
  </si>
  <si>
    <t>Alpha Tim Austin</t>
  </si>
  <si>
    <t>austindmeek1@gmail.com</t>
  </si>
  <si>
    <t>IBRAHIM NURA MUHAMMAD</t>
  </si>
  <si>
    <t>muhammadnuraibrahim2024@gmail.com</t>
  </si>
  <si>
    <t>Abba yahaya</t>
  </si>
  <si>
    <t>abbazobene@gmail.com</t>
  </si>
  <si>
    <t>ibrahim Muhammad</t>
  </si>
  <si>
    <t>ibrahim09067058955@gmail.com</t>
  </si>
  <si>
    <t>dawaki tofa</t>
  </si>
  <si>
    <t>Abdrahman Rodiyat Eyinade</t>
  </si>
  <si>
    <t>rodiyatabdrahman@student.oauife.edu.ng</t>
  </si>
  <si>
    <t>Allen Ebiere Palmer</t>
  </si>
  <si>
    <t>allenebierepalmer@gmail.com</t>
  </si>
  <si>
    <t>Hafsat Murtala Abdulkarim</t>
  </si>
  <si>
    <t>Hafsatmurtalayankees@icloud.com</t>
  </si>
  <si>
    <t>Muhammad Habeeb</t>
  </si>
  <si>
    <t>habeebmuhammadadamu@gmail.com</t>
  </si>
  <si>
    <t>Isah Niimatullahi Kabir</t>
  </si>
  <si>
    <t>niimatullahikabir@gmail.com</t>
  </si>
  <si>
    <t>Adebayo Sukurat Bolanle</t>
  </si>
  <si>
    <t>sukuratadebayo379@gmail.com</t>
  </si>
  <si>
    <t>Abdullahi Zainab Hussaini</t>
  </si>
  <si>
    <t>zainabhussainiabdullahi6677@gmail.com</t>
  </si>
  <si>
    <t>Yusuf Rahama</t>
  </si>
  <si>
    <t>rahamayusuf69@gmail.com</t>
  </si>
  <si>
    <t>SHEHU AMINU ABUBAKAR</t>
  </si>
  <si>
    <t>aminubarakallah@gmail.com</t>
  </si>
  <si>
    <t>Muhammad rafi alamin</t>
  </si>
  <si>
    <t>alameenrafee010@gmail.com</t>
  </si>
  <si>
    <t>Bussa</t>
  </si>
  <si>
    <t>Dahiru Tukur</t>
  </si>
  <si>
    <t>tukurdahirut@gmail.com</t>
  </si>
  <si>
    <t>Umar lawan</t>
  </si>
  <si>
    <t>umarlawan802@gmail.com</t>
  </si>
  <si>
    <t>Aliyu halima auwal</t>
  </si>
  <si>
    <t>halimaauwalaliyu08@gmail.com</t>
  </si>
  <si>
    <t>MAHADI FATIMA HASSAN</t>
  </si>
  <si>
    <t>awatib7335@gmail.com</t>
  </si>
  <si>
    <t>Isa kehinde</t>
  </si>
  <si>
    <t>isakehinde2019@gmail.com</t>
  </si>
  <si>
    <t>Akinyele ,Oyo state</t>
  </si>
  <si>
    <t>NASIR SHAFA’ATU AMINU</t>
  </si>
  <si>
    <t>zahramahadi22@gmail.com</t>
  </si>
  <si>
    <t>K MC</t>
  </si>
  <si>
    <t>Usman Mustapha Muazu</t>
  </si>
  <si>
    <t>Mustyshakur4grt@gmail.com</t>
  </si>
  <si>
    <t>Adeoye Abraham No NoBright</t>
  </si>
  <si>
    <t>abrahambright007@gmail.com</t>
  </si>
  <si>
    <t>Alomaja Deborah Omowunmi</t>
  </si>
  <si>
    <t>apomaja.deborah@gmail.com</t>
  </si>
  <si>
    <t>Adeyeni Israel Iye-oluwa</t>
  </si>
  <si>
    <t>israeladeyeni@gmail.com</t>
  </si>
  <si>
    <t>Muhammad alamin rafi</t>
  </si>
  <si>
    <t>alameenrafee01@gmail.com</t>
  </si>
  <si>
    <t>Muhuseen sani Muhammad</t>
  </si>
  <si>
    <t>muhuseensanimuhammad@gmail.com</t>
  </si>
  <si>
    <t>Yusuf Daniel Al-ameen</t>
  </si>
  <si>
    <t>josephharbiodun@gmail.com</t>
  </si>
  <si>
    <t>Ahmad Nanafirdausi</t>
  </si>
  <si>
    <t>nanafirdausiahmad78@gmail.com</t>
  </si>
  <si>
    <t>AMINU KABIRU</t>
  </si>
  <si>
    <t>kabiruaminu96@gmail.com</t>
  </si>
  <si>
    <t>Saifullahi shuaibu</t>
  </si>
  <si>
    <t>saifullahishuaibu16@gmail.com</t>
  </si>
  <si>
    <t>Muhammad Bashir</t>
  </si>
  <si>
    <t>mnashir2020@gmail.com</t>
  </si>
  <si>
    <t>Usman Amina Mu'az</t>
  </si>
  <si>
    <t>aminausmanmuaz@gmail.com</t>
  </si>
  <si>
    <t>Salisu usaini</t>
  </si>
  <si>
    <t>usainisalisu792@gmail.com</t>
  </si>
  <si>
    <t>No more a student</t>
  </si>
  <si>
    <t>Adeyemo faidat eniola</t>
  </si>
  <si>
    <t>adeyemoeniola842@gmail.com</t>
  </si>
  <si>
    <t>Ido</t>
  </si>
  <si>
    <t>Abolanle Olajumoke Ruth</t>
  </si>
  <si>
    <t>abolanleolajumokeruth@gmail.com</t>
  </si>
  <si>
    <t>Ahmad khadija sharif</t>
  </si>
  <si>
    <t>khadijaahmadsharif84@gmail.com</t>
  </si>
  <si>
    <t>Abdullahi jamilu sulaiman</t>
  </si>
  <si>
    <t>jamilusulaimanabdullahi98@gmail.com</t>
  </si>
  <si>
    <t>Abdulyasar auwal</t>
  </si>
  <si>
    <t>Abdulyasarauwal360@gmail.com</t>
  </si>
  <si>
    <t>Gwale l.g.a</t>
  </si>
  <si>
    <t>Saad saifullahi abdullahi</t>
  </si>
  <si>
    <t>saifullahisaadabdullahikfd@gmail.com</t>
  </si>
  <si>
    <t>Babatifin Abubakar Manko</t>
  </si>
  <si>
    <t>mankoabubakar448@gmail.com</t>
  </si>
  <si>
    <t>Auwal sadiya</t>
  </si>
  <si>
    <t>sadiyaauwal@gmail.com</t>
  </si>
  <si>
    <t>Musa zakariyya uba</t>
  </si>
  <si>
    <t>zakariyyamusauba@gmail.com</t>
  </si>
  <si>
    <t>gwale</t>
  </si>
  <si>
    <t>Aminu Kabiru</t>
  </si>
  <si>
    <t>Ahmad Ibrahim Abdulkadir</t>
  </si>
  <si>
    <t>ibrahimabdulkadirahmad260@gmail.com</t>
  </si>
  <si>
    <t>Abdulrahman salihu</t>
  </si>
  <si>
    <t>salihuameer3296@gmail.com</t>
  </si>
  <si>
    <t>Joshua Saro Anthony</t>
  </si>
  <si>
    <t>anthonysarojoshua83@gmail.com</t>
  </si>
  <si>
    <t>Musbahu Bara'u Sulaiman</t>
  </si>
  <si>
    <t>musbahubarausulaiman@gmail.com</t>
  </si>
  <si>
    <t>Abraham Adebola Shedrack</t>
  </si>
  <si>
    <t>adebolashedrack@gmail.com</t>
  </si>
  <si>
    <t>Islam musa uba</t>
  </si>
  <si>
    <t>musaubaislam@gmail.com</t>
  </si>
  <si>
    <t>Osanyinro Victoria Goodnews</t>
  </si>
  <si>
    <t>osanyinrogoodnews14@gmail.com</t>
  </si>
  <si>
    <t>Rasaq Bolaji</t>
  </si>
  <si>
    <t>rasaqjamiubolaji@gmail.com</t>
  </si>
  <si>
    <t>Owei-tongu Aya-ebi</t>
  </si>
  <si>
    <t>oweitongu.ayaebi@gmail.com</t>
  </si>
  <si>
    <t>Idris Adam haruna</t>
  </si>
  <si>
    <t>Idrisadamharuna77@gmail.com</t>
  </si>
  <si>
    <t>Gwale lga</t>
  </si>
  <si>
    <t>Nasir sani muhammad</t>
  </si>
  <si>
    <t>sanimahammad4@gmail.com</t>
  </si>
  <si>
    <t>Lirwanu Abubukar Aisami</t>
  </si>
  <si>
    <t>Hussein Abdulbasit Temitope</t>
  </si>
  <si>
    <t>husseintemitope00@gmail.com</t>
  </si>
  <si>
    <t>Umar faruk Aminu</t>
  </si>
  <si>
    <t>farukaminu96@gmail.com</t>
  </si>
  <si>
    <t>Odey blessing ochuole</t>
  </si>
  <si>
    <t>odeyblessing42@gmail.com</t>
  </si>
  <si>
    <t>Abdulmalik Ahmad</t>
  </si>
  <si>
    <t>kurah00125@gmail.com</t>
  </si>
  <si>
    <t>ABUBAKAR AISHA</t>
  </si>
  <si>
    <t>aishaabumuhd2004@gmail.com</t>
  </si>
  <si>
    <t>Adebeso idowu</t>
  </si>
  <si>
    <t>highdeenoble92@gmail.com</t>
  </si>
  <si>
    <t>Yunusa Saleh</t>
  </si>
  <si>
    <t>salehyunusa16@gmail.com</t>
  </si>
  <si>
    <t>Sani Afaf Abdullahi</t>
  </si>
  <si>
    <t>abdullahiafaf6@gmail.com</t>
  </si>
  <si>
    <t>Esther Ebikoboere Otobotekere</t>
  </si>
  <si>
    <t>estherotobotekere282@gmail.com</t>
  </si>
  <si>
    <t>Yusuf Izzuddeen Atiku</t>
  </si>
  <si>
    <t>izzuddeenyusuf5@gmail.com</t>
  </si>
  <si>
    <t>Ewelie Chukwuemeka Justice</t>
  </si>
  <si>
    <t>justice.ewelie@uniport.edu.ng</t>
  </si>
  <si>
    <t>Akingbaso Favour Ayomide</t>
  </si>
  <si>
    <t>favourayomide487@gmail.com</t>
  </si>
  <si>
    <t>Jeremia Shikongo</t>
  </si>
  <si>
    <t>jshikongo2381@gmail.com</t>
  </si>
  <si>
    <t>Namibia</t>
  </si>
  <si>
    <t>Ewelie Queen</t>
  </si>
  <si>
    <t>queenchinyere.qc@gmail.com</t>
  </si>
  <si>
    <t>Rukayya Usman Adam</t>
  </si>
  <si>
    <t>rukayyausmanadam49@gmail.com</t>
  </si>
  <si>
    <t>Bashir Nafiu</t>
  </si>
  <si>
    <t>nafiubahmad0706520@gmail.com</t>
  </si>
  <si>
    <t>Sadiq jafar Idris</t>
  </si>
  <si>
    <t>realfuad19@gmail.com</t>
  </si>
  <si>
    <t>Olusegun Timothy</t>
  </si>
  <si>
    <t>timothyolusegun0@gmail.com</t>
  </si>
  <si>
    <t>Charles maina</t>
  </si>
  <si>
    <t>mainacharleswaja@gmail.com</t>
  </si>
  <si>
    <t>ABDULGAFFA ABBA MAHMUD</t>
  </si>
  <si>
    <t>abdulgaffarabbam@gmail.com</t>
  </si>
  <si>
    <t>ISIAQ WALIYAH IDOWU</t>
  </si>
  <si>
    <t>adukewaleeyah@gmail.com</t>
  </si>
  <si>
    <t>Salihu shuaibu abdullahi</t>
  </si>
  <si>
    <t>salihuabdullahishuaibu14@gmail.com</t>
  </si>
  <si>
    <t>Haruna Habu Ibrahim</t>
  </si>
  <si>
    <t>abubakarharuna120@gmail.com</t>
  </si>
  <si>
    <t>Sani usman</t>
  </si>
  <si>
    <t>usmansanibichi703@gmail.com</t>
  </si>
  <si>
    <t>Ogunwale Olashile Fatimat</t>
  </si>
  <si>
    <t>lanshileogunwale@gmail.com</t>
  </si>
  <si>
    <t>Kabiru habiba</t>
  </si>
  <si>
    <t>habibakabirahmed89@gmail.com</t>
  </si>
  <si>
    <t>Muhammad maryam</t>
  </si>
  <si>
    <t>maryammuhammad3704@gmail.com</t>
  </si>
  <si>
    <t>Shira</t>
  </si>
  <si>
    <t>IBRAHIM ABDULLAHI UMAR</t>
  </si>
  <si>
    <t>ibrahimabdullahiumar851@gmail.com</t>
  </si>
  <si>
    <t>Rukayya Usman</t>
  </si>
  <si>
    <t>rukayyausman@gmail.com</t>
  </si>
  <si>
    <t>Amadi David John</t>
  </si>
  <si>
    <t>dj524287@gmail.com</t>
  </si>
  <si>
    <t>Muhammad Abdurrashid Muhammad</t>
  </si>
  <si>
    <t>abdurrashidfari@gmail.com</t>
  </si>
  <si>
    <t>Adebeso Taiwo Hassan</t>
  </si>
  <si>
    <t>globallife9823@gmail.com</t>
  </si>
  <si>
    <t>Salihu Aminu Ibrahim</t>
  </si>
  <si>
    <t>salihuaminu3330@gmail.com</t>
  </si>
  <si>
    <t>Okike Christopher Chidiebere</t>
  </si>
  <si>
    <t>okikechristopher14@gmail.com</t>
  </si>
  <si>
    <t>Igbo-Eze South</t>
  </si>
  <si>
    <t>Usman Maazu Maazu</t>
  </si>
  <si>
    <t>muazusman4grt@gmail.com</t>
  </si>
  <si>
    <t>NROKE MOJANA UGBANA</t>
  </si>
  <si>
    <t>mojanaugbana@gmail.com</t>
  </si>
  <si>
    <t>ISAH AMINU MOHD</t>
  </si>
  <si>
    <t>aminuisah2292@gmail.com</t>
  </si>
  <si>
    <t>Dambatta local Govt</t>
  </si>
  <si>
    <t>Obilor Precious Nkechi</t>
  </si>
  <si>
    <t>preciousobilor409@gmail.com</t>
  </si>
  <si>
    <t>Obio /Akpor</t>
  </si>
  <si>
    <t>ummininsaf123@gmail.com</t>
  </si>
  <si>
    <t>Aminu ismail Abubakar</t>
  </si>
  <si>
    <t>aminuismail2006@gmail.com</t>
  </si>
  <si>
    <t>Gwale local government area</t>
  </si>
  <si>
    <t>Muhammad Nafisa Kabir</t>
  </si>
  <si>
    <t>nafisamikabir@gmail.com</t>
  </si>
  <si>
    <t>Hauwau Kabir Muhammad</t>
  </si>
  <si>
    <t>hauwauk52@gmail.com</t>
  </si>
  <si>
    <t>Habiba muktar</t>
  </si>
  <si>
    <t>habibamukhtar054@gmail.com</t>
  </si>
  <si>
    <t>Reuben Janet inara</t>
  </si>
  <si>
    <t>inarareuben@gmail.com</t>
  </si>
  <si>
    <t>Auwal badamsi Umar</t>
  </si>
  <si>
    <t>alitqanconstruction995@gmail.com</t>
  </si>
  <si>
    <t>Eric Stanley</t>
  </si>
  <si>
    <t>ericsile2000@gmail.com</t>
  </si>
  <si>
    <t>Ebimobowei Raphael</t>
  </si>
  <si>
    <t>ebimoboweiraphael5@gmail.com</t>
  </si>
  <si>
    <t>Tsowa Jibrin Ndako</t>
  </si>
  <si>
    <t>tsowajibril994@gmail.com</t>
  </si>
  <si>
    <t>Abdullahi Sahabi Muhammad</t>
  </si>
  <si>
    <t>kafinchiri360@gmail.com</t>
  </si>
  <si>
    <t>Adekunle Blessing Omogbolahan</t>
  </si>
  <si>
    <t>samarudy47@gmail.com</t>
  </si>
  <si>
    <t>ZUBAIRU MAHFUZ UBA</t>
  </si>
  <si>
    <t>zubairumahfuz@gmail.com</t>
  </si>
  <si>
    <t>OPOROMOWEI EBIATUDUO</t>
  </si>
  <si>
    <t>eoporos@gmail.com</t>
  </si>
  <si>
    <t>Abubakar Abdullahi Abdullahi</t>
  </si>
  <si>
    <t>abdullahiabubakarabdullahi630@gmail.com</t>
  </si>
  <si>
    <t>Kabiru Yusuf</t>
  </si>
  <si>
    <t>kabiruyusufaisami@gmail.com</t>
  </si>
  <si>
    <t>BELLO EBUNOLUWA CHRISTIANAH</t>
  </si>
  <si>
    <t>ebunoluwachristy45@gmail.com</t>
  </si>
  <si>
    <t>Ewekoro Local Government</t>
  </si>
  <si>
    <t>SURAJ KABIR Muhammad</t>
  </si>
  <si>
    <t>surajkabir22@gmail.com</t>
  </si>
  <si>
    <t>Aliyu Tijjani</t>
  </si>
  <si>
    <t>aliyutaliyu2017@gmail.com</t>
  </si>
  <si>
    <t>Abubakar Bashir Abdullahi</t>
  </si>
  <si>
    <t>abubakarbashir876@gmail.com</t>
  </si>
  <si>
    <t>Kano Munincipal</t>
  </si>
  <si>
    <t>Egbe David</t>
  </si>
  <si>
    <t>egbedavid56@gmail.com</t>
  </si>
  <si>
    <t>Chisanim Lucky</t>
  </si>
  <si>
    <t>www.luckychisanim@gmail.com</t>
  </si>
  <si>
    <t>Ahoada East</t>
  </si>
  <si>
    <t>Yusuf sani Lawan</t>
  </si>
  <si>
    <t>yslfandubuo3@gmail.com</t>
  </si>
  <si>
    <t>Edwin Israel Gaga</t>
  </si>
  <si>
    <t>edwinisrael1755@gmail.com</t>
  </si>
  <si>
    <t>Adamu Salisu</t>
  </si>
  <si>
    <t>adamusalisu2030@gmail.com</t>
  </si>
  <si>
    <t>John Faith Akayi</t>
  </si>
  <si>
    <t>splendourjohn2023@gmail.com</t>
  </si>
  <si>
    <t>Abdullahi Hassan Ladan</t>
  </si>
  <si>
    <t>alhasanabdullahi5@gmail.com</t>
  </si>
  <si>
    <t>SULAIMAN ISMAIL SULAIMAN</t>
  </si>
  <si>
    <t>sulaimanismail247@gmail.com</t>
  </si>
  <si>
    <t>ADJAGBA Daniella</t>
  </si>
  <si>
    <t>daniella.adg@gmail.com</t>
  </si>
  <si>
    <t>Idiroko</t>
  </si>
  <si>
    <t>Refugee (from another country), From Benin Republic to Nigeria</t>
  </si>
  <si>
    <t>Yassar Abdullahi Ameen</t>
  </si>
  <si>
    <t>abdullaha.kyassar@gmail.com</t>
  </si>
  <si>
    <t>Ogunyemi Janet Oluwabunmi</t>
  </si>
  <si>
    <t>olluwabunmi@gmail.com</t>
  </si>
  <si>
    <t>Ndeye Fatou sy</t>
  </si>
  <si>
    <t>ndeyefatousy024@gmail.com</t>
  </si>
  <si>
    <t>SENEGAL</t>
  </si>
  <si>
    <t>not concerned</t>
  </si>
  <si>
    <t>Nebonta Blessing Ukamaka</t>
  </si>
  <si>
    <t>empressamaka57@gmail.com</t>
  </si>
  <si>
    <t>Ummu sharif</t>
  </si>
  <si>
    <t>ummahsharif2@gmail.com</t>
  </si>
  <si>
    <t>Dahiru Imrana Danhassan</t>
  </si>
  <si>
    <t>idahirudanhassan.idd@gmail.com</t>
  </si>
  <si>
    <t>Olulaja Olanrewaju</t>
  </si>
  <si>
    <t>olulajaola@gmail.com</t>
  </si>
  <si>
    <t>Elechi Azubuike</t>
  </si>
  <si>
    <t>elechigodswill1@gmail.com</t>
  </si>
  <si>
    <t>Ibrahim Ali Abdullahi</t>
  </si>
  <si>
    <t>ibrahim916559@gmail.com</t>
  </si>
  <si>
    <t>Somalia</t>
  </si>
  <si>
    <t>Somali</t>
  </si>
  <si>
    <t>JIBRIL MUBARAK ALIYU</t>
  </si>
  <si>
    <t>mubarakaliyujibril4@gmail.com</t>
  </si>
  <si>
    <t>Jazuli nura</t>
  </si>
  <si>
    <t>Jaxulinoura97@gmail.com</t>
  </si>
  <si>
    <t>Mustapha Mudassir Bature</t>
  </si>
  <si>
    <t>mudassirmustapha107@gmail.com</t>
  </si>
  <si>
    <t>Chielo Zita Uchechukwu</t>
  </si>
  <si>
    <t>chielozita@gmail.com</t>
  </si>
  <si>
    <t>Enugu East Local Government Area</t>
  </si>
  <si>
    <t>Poli Iseimokumo</t>
  </si>
  <si>
    <t>damseliseimokumo@gmail.com</t>
  </si>
  <si>
    <t>Adegboyega</t>
  </si>
  <si>
    <t>olayinkaabdulhafeez@gmail.com</t>
  </si>
  <si>
    <t>Sumayya sharif lili</t>
  </si>
  <si>
    <t>sumayyasharif0@gmail.com</t>
  </si>
  <si>
    <t>Anele Ogwuegba Promise</t>
  </si>
  <si>
    <t>aneleogwuegba016@gmail.com</t>
  </si>
  <si>
    <t>Ogunsanya Olanike</t>
  </si>
  <si>
    <t>ogunsanyaolanike2022@gmail.com</t>
  </si>
  <si>
    <t>Auwal ubaidu</t>
  </si>
  <si>
    <t>1234Ubaiduauwal@gmail.com</t>
  </si>
  <si>
    <t>Hamza Abubakar Adam</t>
  </si>
  <si>
    <t>abubakarhamza653@gmail.com</t>
  </si>
  <si>
    <t>AYUBA ABDULLAHI</t>
  </si>
  <si>
    <t>abdullahiayuba@gmail.com</t>
  </si>
  <si>
    <t>Mohammed Alhaji Ndagi</t>
  </si>
  <si>
    <t>mohammedalhajindagi334@gmail.com</t>
  </si>
  <si>
    <t>Ogar Favour Irima</t>
  </si>
  <si>
    <t>ogarfavour396@gmail.com</t>
  </si>
  <si>
    <t>Ali Abubakar Yakasai</t>
  </si>
  <si>
    <t>yacaxai@gmail.com</t>
  </si>
  <si>
    <t>Auwal salamatu</t>
  </si>
  <si>
    <t>salamatuauwalaliyu@gmail.com</t>
  </si>
  <si>
    <t>Hamza Faruk Adam</t>
  </si>
  <si>
    <t>farukhamzaadam@gmail.com</t>
  </si>
  <si>
    <t>kumbotso LGA</t>
  </si>
  <si>
    <t>OYALUNA Stanley Oluwagbenga</t>
  </si>
  <si>
    <t>stanleyoyaluna@gmail.com</t>
  </si>
  <si>
    <t>RABIATU HARUNA KHALIS</t>
  </si>
  <si>
    <t>rabiatuharunakhalid@gmail.com</t>
  </si>
  <si>
    <t>Rabi Yusuf madaki</t>
  </si>
  <si>
    <t>rabimadakiyusif@gmail.com</t>
  </si>
  <si>
    <t>Abdulmalik surayya Bosso</t>
  </si>
  <si>
    <t>suraiyyaabdulmalik@gmail.com</t>
  </si>
  <si>
    <t>Muhammed habiba</t>
  </si>
  <si>
    <t>habibamuhd3259@gmail.com</t>
  </si>
  <si>
    <t>Muhammed fatimo binta</t>
  </si>
  <si>
    <t>beautyluv@gmail.com</t>
  </si>
  <si>
    <t>Muhammad Ummulkhairi ladidi</t>
  </si>
  <si>
    <t>muhammadummulkhairi77@gmail.com</t>
  </si>
  <si>
    <t>Sa'adu Alkasim</t>
  </si>
  <si>
    <t>alkasimsaadu5@gmail.com</t>
  </si>
  <si>
    <t>Dawakin Kudu LGA</t>
  </si>
  <si>
    <t>Wada Khadija khalil</t>
  </si>
  <si>
    <t>khadijawadakhalil07@gmail.com</t>
  </si>
  <si>
    <t>Municipal local government area</t>
  </si>
  <si>
    <t>Shamsu bala</t>
  </si>
  <si>
    <t>shamsubala565@gmail.com</t>
  </si>
  <si>
    <t>Mamman Rabe Aliyu</t>
  </si>
  <si>
    <t>mammanrabealiyu37@gmail.com</t>
  </si>
  <si>
    <t>Daura local government katsina state</t>
  </si>
  <si>
    <t>Ismail usaini</t>
  </si>
  <si>
    <t>ismailuiabaco@gmail.com</t>
  </si>
  <si>
    <t>Sanusi Almustapha</t>
  </si>
  <si>
    <t>almustaphasanusi4@gmail.com</t>
  </si>
  <si>
    <t>Caesar Williams</t>
  </si>
  <si>
    <t>ayons.williams@gmail.com</t>
  </si>
  <si>
    <t>HASSAN IBRAHIM MUSA</t>
  </si>
  <si>
    <t>hassanibrahimmusa430@gmail.com</t>
  </si>
  <si>
    <t>Potiskum local government</t>
  </si>
  <si>
    <t>Eyo Offiong Bassey</t>
  </si>
  <si>
    <t>offiongeyo18@gmail.com</t>
  </si>
  <si>
    <t>Timothy Ayodele Daniel</t>
  </si>
  <si>
    <t>ayomidedan27@gmail.com</t>
  </si>
  <si>
    <t>Abdullahi Usaini</t>
  </si>
  <si>
    <t>husainiabdullahi389@gmail.com</t>
  </si>
  <si>
    <t>Abubakar Sulaiman Muhammad</t>
  </si>
  <si>
    <t>miraclesewingmaterial@gmail.com</t>
  </si>
  <si>
    <t>Benjamin Favour</t>
  </si>
  <si>
    <t>greenhabitats01@gmail.com</t>
  </si>
  <si>
    <t>Obiakpor/Phalga</t>
  </si>
  <si>
    <t>Shehu Adabiyya tijjani</t>
  </si>
  <si>
    <t>adabiyyashehu5@gmail.com</t>
  </si>
  <si>
    <t>Ojebiyi</t>
  </si>
  <si>
    <t>maryojebiyi@gmail.com</t>
  </si>
  <si>
    <t>Imeko Afon</t>
  </si>
  <si>
    <t>Bob Vivian Ujong</t>
  </si>
  <si>
    <t>vivianbob76@gmail.com</t>
  </si>
  <si>
    <t>Yakkur</t>
  </si>
  <si>
    <t>OGUOMA SOLOMON PRINCE</t>
  </si>
  <si>
    <t>princesolomonoguoma@gmail.com</t>
  </si>
  <si>
    <t>Muhammad idris</t>
  </si>
  <si>
    <t>idrimuhammad2001@gmail.com</t>
  </si>
  <si>
    <t>Emmanuel Chukwuemeka Nkemokoro</t>
  </si>
  <si>
    <t>cen4success2006@gmail.com</t>
  </si>
  <si>
    <t>salisuabdullahi9522@gmail.com</t>
  </si>
  <si>
    <t>Godmade Agusi</t>
  </si>
  <si>
    <t>agusigodmade@gmail.com</t>
  </si>
  <si>
    <t>Oyewo Faruq Adewale</t>
  </si>
  <si>
    <t>Faruqoyewo321@gmail.com</t>
  </si>
  <si>
    <t>Ado-Odo/Ota</t>
  </si>
  <si>
    <t>Zulai Nasiru search</t>
  </si>
  <si>
    <t>zulainasirahali@gmail.com</t>
  </si>
  <si>
    <t>Ogbobe Blessing chigozirim</t>
  </si>
  <si>
    <t>Ogbobechigozirim@gmail.com</t>
  </si>
  <si>
    <t>GBENDA SILAS AZAACHIA</t>
  </si>
  <si>
    <t>gbendasilas@gmail.com</t>
  </si>
  <si>
    <t>Jonathan Eunice Amokeye</t>
  </si>
  <si>
    <t>likoeunice07@gmail.com</t>
  </si>
  <si>
    <t>Aliyu usman</t>
  </si>
  <si>
    <t>indabawakurmawa@gmail.com</t>
  </si>
  <si>
    <t>Auwalu Hassan</t>
  </si>
  <si>
    <t>hassanauwalalbasari@gmail.com</t>
  </si>
  <si>
    <t>Muazma Batool</t>
  </si>
  <si>
    <t>batoolmuazma54@gmail.com</t>
  </si>
  <si>
    <t>Khushab</t>
  </si>
  <si>
    <t>Adeoye Abraham Bright</t>
  </si>
  <si>
    <t>Hammed suliyat kikelomo</t>
  </si>
  <si>
    <t>suliyath556@gmail.com</t>
  </si>
  <si>
    <t>Stephen Edwin Sunday</t>
  </si>
  <si>
    <t>stephenedwin39@gmail.com</t>
  </si>
  <si>
    <t>Olatunji Success</t>
  </si>
  <si>
    <t>olatunjisuccess302@gmail.com</t>
  </si>
  <si>
    <t>Bayoko Tarila Abraham</t>
  </si>
  <si>
    <t>tarila2fit@gmail.com</t>
  </si>
  <si>
    <t>Adikesi Jonathan</t>
  </si>
  <si>
    <t>adikesij@gmail.com</t>
  </si>
  <si>
    <t>Bello Afeez</t>
  </si>
  <si>
    <t>hafeeztimi@gmail.com</t>
  </si>
  <si>
    <t>Ekpede Tobouzibokeere Rejoice</t>
  </si>
  <si>
    <t>rejoices2912@gmail.com</t>
  </si>
  <si>
    <t>Akinpelu Abiodun</t>
  </si>
  <si>
    <t>shaadybox1@gmail.com</t>
  </si>
  <si>
    <t>Onifade Patience Titilope</t>
  </si>
  <si>
    <t>onifadepatience9@gmail.com</t>
  </si>
  <si>
    <t>Lasisi Wasiu Abefe</t>
  </si>
  <si>
    <t>abdullazeezabdulwasiu5@gmail.com</t>
  </si>
  <si>
    <t>Atakumosa west</t>
  </si>
  <si>
    <t>Adegoke Sunday</t>
  </si>
  <si>
    <t>adegokesunday719@gmail.com</t>
  </si>
  <si>
    <t>adegokeseyi202@gmail.com</t>
  </si>
  <si>
    <t>Samuel Ekene</t>
  </si>
  <si>
    <t>ekenesamuel07@gmail.com</t>
  </si>
  <si>
    <t>Eze Ngozi precious</t>
  </si>
  <si>
    <t>ngozieze1000@gmail.com</t>
  </si>
  <si>
    <t>Lukpata Julius Okom</t>
  </si>
  <si>
    <t>blessedjuliuslukpata1990@gmail.com</t>
  </si>
  <si>
    <t>Abdulazeez Abdulmumini Niyi</t>
  </si>
  <si>
    <t>niyi12421@gmail.com</t>
  </si>
  <si>
    <t>Francis, Jeremiah Okara</t>
  </si>
  <si>
    <t>jermy205@gmail.com</t>
  </si>
  <si>
    <t>OTUMALA Emmanuel</t>
  </si>
  <si>
    <t>eootumala@gmail.com</t>
  </si>
  <si>
    <t>Lawal Nasimat Abiodun</t>
  </si>
  <si>
    <t>lanyabhay97@gmail.com</t>
  </si>
  <si>
    <t>Anyamene Vivian Vivian</t>
  </si>
  <si>
    <t>viviananyameneadaobi@gmail.com</t>
  </si>
  <si>
    <t>Port harcourt</t>
  </si>
  <si>
    <t>Etim, Imeobong Aniefiok</t>
  </si>
  <si>
    <t>imeobongetim67@gmail.com</t>
  </si>
  <si>
    <t>Anyamene Adaobi Bridget</t>
  </si>
  <si>
    <t>anyameneadaobi15@gmail.com</t>
  </si>
  <si>
    <t>Muhammad Rafiqullah</t>
  </si>
  <si>
    <t>mohdrafiqullahrufqa@gmail.com</t>
  </si>
  <si>
    <t>yeah</t>
  </si>
  <si>
    <t>international</t>
  </si>
  <si>
    <t>Gemechu Bosho Bosho</t>
  </si>
  <si>
    <t>gemibosho44@gmail.com</t>
  </si>
  <si>
    <t>OGENYI Timothy</t>
  </si>
  <si>
    <t>timothyogenyi2708@yahoo.com</t>
  </si>
  <si>
    <t>Adesanya Evelyn</t>
  </si>
  <si>
    <t>mildredevelyn15@gmail.com</t>
  </si>
  <si>
    <t>MAANEE DIVINE ZORBARI</t>
  </si>
  <si>
    <t>divinemaanee@gmail.com</t>
  </si>
  <si>
    <t>Obia-akpor LGA</t>
  </si>
  <si>
    <t>Patience Ndidiamaka Ugwoke</t>
  </si>
  <si>
    <t>patiencendidiamaka2020@gmail.com</t>
  </si>
  <si>
    <t>Enugu-east</t>
  </si>
  <si>
    <t>Diffa Dadisere Destiny</t>
  </si>
  <si>
    <t>diffadadisere22@gmail.com</t>
  </si>
  <si>
    <t>Bassey Minika Offiong</t>
  </si>
  <si>
    <t>minikabassey16@gmail.com</t>
  </si>
  <si>
    <t>Achigbe, Success Uron-Bassey</t>
  </si>
  <si>
    <t>uronsuccess@gmail.com</t>
  </si>
  <si>
    <t>Olayinka Boluwatife Olaitan</t>
  </si>
  <si>
    <t>olayinkaboluwatife10@gmail.com</t>
  </si>
  <si>
    <t>Oyoroko iruoesirioghene Joan</t>
  </si>
  <si>
    <t>joanoyoroko@gmail.com</t>
  </si>
  <si>
    <t>Ashiru Ibrahim</t>
  </si>
  <si>
    <t>ashiruibrahim123456@gmail.com</t>
  </si>
  <si>
    <t>Kunchi LG</t>
  </si>
  <si>
    <t>Rahin jari</t>
  </si>
  <si>
    <t>Moga Alfred Agada</t>
  </si>
  <si>
    <t>alfredagada25@gmail.com</t>
  </si>
  <si>
    <t>Adukuwa Davis Opuroru</t>
  </si>
  <si>
    <t>destinydavides@gmail.com</t>
  </si>
  <si>
    <t>Nitika Chalise</t>
  </si>
  <si>
    <t>nitikachalise@gmail.com</t>
  </si>
  <si>
    <t>Nepal</t>
  </si>
  <si>
    <t>Apeh Michael Agene</t>
  </si>
  <si>
    <t>apehmichael@gmail.com</t>
  </si>
  <si>
    <t>Udenu</t>
  </si>
  <si>
    <t>Al Ghiffari Abdullah Ghazi</t>
  </si>
  <si>
    <t>abdfrghazi@apps.ipb.ac.id</t>
  </si>
  <si>
    <t>Indonesia</t>
  </si>
  <si>
    <t>Anieke Alaba Kikelomo</t>
  </si>
  <si>
    <t>aniekealaba@gmail.com</t>
  </si>
  <si>
    <t>Odus Benedicta</t>
  </si>
  <si>
    <t>benedictaodus8@gmail.com</t>
  </si>
  <si>
    <t>Anosike Chinweotuto Blessed</t>
  </si>
  <si>
    <t>blesschinwe001@gmail.com</t>
  </si>
  <si>
    <t>Timi-inebife Douglas Lekwot</t>
  </si>
  <si>
    <t>timilekwot@gmail.com</t>
  </si>
  <si>
    <t>Southern ijaw LGA</t>
  </si>
  <si>
    <t>Atakor shedrack ugbut</t>
  </si>
  <si>
    <t>atakorshedrack07@gmail.com</t>
  </si>
  <si>
    <t>Asu Gabriel Okem</t>
  </si>
  <si>
    <t>gabrielasuokem@gmail.com</t>
  </si>
  <si>
    <t>Agagha doubra Ezekiel</t>
  </si>
  <si>
    <t>agaghabra75@gmail.com</t>
  </si>
  <si>
    <t>ORI BENEDICT AGBOR</t>
  </si>
  <si>
    <t>agborbenedict3@gmail.com</t>
  </si>
  <si>
    <t>Ndifreke John Thomas</t>
  </si>
  <si>
    <t>louisaabundant@gmail.com</t>
  </si>
  <si>
    <t>Shrestha Kishor</t>
  </si>
  <si>
    <t>Kishorshrestha682@gmail.com</t>
  </si>
  <si>
    <t>Musa Haruna Muhammad</t>
  </si>
  <si>
    <t>mharuna2014@gmail.com</t>
  </si>
  <si>
    <t>Dala LGA</t>
  </si>
  <si>
    <t>Pere ere Gilbert. Amarachi</t>
  </si>
  <si>
    <t>gilbertgraceamarachi@gmail.com</t>
  </si>
  <si>
    <t>INODU DOGIYE OSUMA</t>
  </si>
  <si>
    <t>dogiyeosuma77@gmail.com</t>
  </si>
  <si>
    <t>NEMBE LGA</t>
  </si>
  <si>
    <t>Panebi Prince Thomas</t>
  </si>
  <si>
    <t>Danpannychris@gmail.com</t>
  </si>
  <si>
    <t>Olagunju Quadri Dolapo</t>
  </si>
  <si>
    <t>olagunjudolapo161@gmail.com</t>
  </si>
  <si>
    <t>Umar haruna ahmad</t>
  </si>
  <si>
    <t>umarhahmadbujuwazee14@gmail.com</t>
  </si>
  <si>
    <t>Otumbere Hosannah</t>
  </si>
  <si>
    <t>hosannahotumbere@gmail.com</t>
  </si>
  <si>
    <t>Olajumoke Peace Oluwatimileyin</t>
  </si>
  <si>
    <t>olajumokepeace208@gmail.com</t>
  </si>
  <si>
    <t>lasakimonisola@gnail.com</t>
  </si>
  <si>
    <t>IFO local government</t>
  </si>
  <si>
    <t>Adeleye Joshua</t>
  </si>
  <si>
    <t>joshuaadeleye436@gmail.com</t>
  </si>
  <si>
    <t>Ijebu-east</t>
  </si>
  <si>
    <t>IBEH SAMUEL OBINNA</t>
  </si>
  <si>
    <t>ibehsamuel741@gmail.com</t>
  </si>
  <si>
    <t>MKPANG, IQUO THOMAS</t>
  </si>
  <si>
    <t>prettyark40@gmail.com</t>
  </si>
  <si>
    <t>Nnaji Augustine Udochukwu</t>
  </si>
  <si>
    <t>udnevafails@yahoo.com</t>
  </si>
  <si>
    <t>UGAH PHILIP UKPUTU</t>
  </si>
  <si>
    <t>ugahphilipnaija@gmail.com</t>
  </si>
  <si>
    <t>Essien</t>
  </si>
  <si>
    <t>ekeeme58@gmail.com</t>
  </si>
  <si>
    <t>Nkanu</t>
  </si>
  <si>
    <t>bliszygf@gmail.com</t>
  </si>
  <si>
    <t>Abdurrahman uba adam</t>
  </si>
  <si>
    <t>lajinuba@gmail.com</t>
  </si>
  <si>
    <t>Ikpechukwu Chinazam Alexander</t>
  </si>
  <si>
    <t>alexanderikpechukwu@gmail.com</t>
  </si>
  <si>
    <t>IBRAHIM BASHIR A</t>
  </si>
  <si>
    <t>bashirdoguwa803@gmail.com</t>
  </si>
  <si>
    <t>Sabastine Endurance Chimeucheya</t>
  </si>
  <si>
    <t>endurancesabastine2004@gmail.com</t>
  </si>
  <si>
    <t>Uzo-wani LGA</t>
  </si>
  <si>
    <t>Adeniyi Ifeoluwa Elizabeth</t>
  </si>
  <si>
    <t>ifeadeniyi524@gmail.com</t>
  </si>
  <si>
    <t>Eungu east</t>
  </si>
  <si>
    <t>Abubakar Maimuna Alhaji</t>
  </si>
  <si>
    <t>maimunaalhaji98@gmail.com</t>
  </si>
  <si>
    <t>Fatma Elzahraa Mohamed abdo</t>
  </si>
  <si>
    <t>elzahraafatma288@gmail.com</t>
  </si>
  <si>
    <t>Egypt</t>
  </si>
  <si>
    <t>Egesi Esther Chisimdi C.P</t>
  </si>
  <si>
    <t>chisimdiegesi957@gmail.com</t>
  </si>
  <si>
    <t>AJIBO TOCHUKWU LUKE</t>
  </si>
  <si>
    <t>tochukwuprince508@gmail.com</t>
  </si>
  <si>
    <t>NSUKKA</t>
  </si>
  <si>
    <t>Nwachukwu Arinze Anthony</t>
  </si>
  <si>
    <t>nwachukwuarinze@gmail.com</t>
  </si>
  <si>
    <t>Simon Kitgak</t>
  </si>
  <si>
    <t>kitgakbala@gmail.com</t>
  </si>
  <si>
    <t>MURINDI ASHLEY TASHINGA</t>
  </si>
  <si>
    <t>ashleytashingamurindi@gmail.com</t>
  </si>
  <si>
    <t>Harare</t>
  </si>
  <si>
    <t>Atsua Patience Iveren</t>
  </si>
  <si>
    <t>iverenjulius@gmail.com</t>
  </si>
  <si>
    <t>Ugwu</t>
  </si>
  <si>
    <t>danieljosh1303@gmail.com</t>
  </si>
  <si>
    <t>Isi uzo</t>
  </si>
  <si>
    <t>Jumare Victoria Olivia</t>
  </si>
  <si>
    <t>jamarevictoria3@gmail.com</t>
  </si>
  <si>
    <t>ANEKWE CHINELO CHIMAMANDA</t>
  </si>
  <si>
    <t>chinelochimamanda@gmail.com</t>
  </si>
  <si>
    <t>Peter Kolapo</t>
  </si>
  <si>
    <t>kolapopeterapata@gmail.com</t>
  </si>
  <si>
    <t>Sarah Dantsoho</t>
  </si>
  <si>
    <t>dantsohosarah@gmail.com</t>
  </si>
  <si>
    <t>Richard Butoyi</t>
  </si>
  <si>
    <t>butoyirichard0@gmail.com</t>
  </si>
  <si>
    <t>Lamzy Jarrett</t>
  </si>
  <si>
    <t>samuelyorpoi00@gmail.com</t>
  </si>
  <si>
    <t>Bo</t>
  </si>
  <si>
    <t>MANSOUR Bahaduri</t>
  </si>
  <si>
    <t>mansourbahaduri1998@gmail.com</t>
  </si>
  <si>
    <t>Imarat Islami</t>
  </si>
  <si>
    <t>AFGHANISTAN</t>
  </si>
  <si>
    <t>Uba Abel</t>
  </si>
  <si>
    <t>oharuthchiemezer@gmail.com</t>
  </si>
  <si>
    <t>Napoleon Gloria Angakumo</t>
  </si>
  <si>
    <t>gangakumo@gmail.com</t>
  </si>
  <si>
    <t>Southern Ijaw LGA</t>
  </si>
  <si>
    <t>Ugwuagbo Mmeribunkem Obadiah</t>
  </si>
  <si>
    <t>mmeribunkem@gmail.com</t>
  </si>
  <si>
    <t>OKATE GOD'SGIFT RINENE</t>
  </si>
  <si>
    <t>okategodsgift@gmail.com</t>
  </si>
  <si>
    <t>Kalu Janet</t>
  </si>
  <si>
    <t>janetkalu82@gmail.com</t>
  </si>
  <si>
    <t>Nworie</t>
  </si>
  <si>
    <t>ugochibethel5@gmail.com</t>
  </si>
  <si>
    <t>Siham Daud Mohammed</t>
  </si>
  <si>
    <t>sihamsimran01@gmail.com</t>
  </si>
  <si>
    <t>Jailos Mwandosya</t>
  </si>
  <si>
    <t>mwandosyaj@gmail.com</t>
  </si>
  <si>
    <t>Malawi</t>
  </si>
  <si>
    <t>AGBOR DESTINY AGBOR</t>
  </si>
  <si>
    <t>destinyagbor184@gmail.com</t>
  </si>
  <si>
    <t>Aneke Amarachukwu Mercy</t>
  </si>
  <si>
    <t>amaraaneke7@gmail.com</t>
  </si>
  <si>
    <t>Tancy David</t>
  </si>
  <si>
    <t>tancydavid5@gmail.com</t>
  </si>
  <si>
    <t>Lambert Esther Oluchi</t>
  </si>
  <si>
    <t>Lambertesther16@gmail.com</t>
  </si>
  <si>
    <t>JIBRIN AMINA GARBA</t>
  </si>
  <si>
    <t>gimbiyaamina001@gmail.com</t>
  </si>
  <si>
    <t>David Solomon Azibataman</t>
  </si>
  <si>
    <t>menidinthompson23@gmail.com</t>
  </si>
  <si>
    <t>OGBIA LOCAL GOVERNMENT AREA</t>
  </si>
  <si>
    <t>ADEBANWO AYOTUNDE EBENEZER</t>
  </si>
  <si>
    <t>imoleayoadebanwo1@gmail.com</t>
  </si>
  <si>
    <t>Odeda local govt</t>
  </si>
  <si>
    <t>NNEJI KELECHI PRINCEWILL</t>
  </si>
  <si>
    <t>nnejiprincewill3@gmail.com</t>
  </si>
  <si>
    <t>Chioma Nnaji</t>
  </si>
  <si>
    <t>emailingsforme@gmail.com</t>
  </si>
  <si>
    <t>Dania Michael Ogbomma</t>
  </si>
  <si>
    <t>michaeldania2014@gmail.com</t>
  </si>
  <si>
    <t>Abdulmajeed Isa</t>
  </si>
  <si>
    <t>isaabdulmajeed70@gmail.com</t>
  </si>
  <si>
    <t>Awulu</t>
  </si>
  <si>
    <t>paulocholiawulu@gmail.com</t>
  </si>
  <si>
    <t>Isah Muhammad</t>
  </si>
  <si>
    <t>islamketso@gmail.com</t>
  </si>
  <si>
    <t>Adamu Muhammad Alhaji</t>
  </si>
  <si>
    <t>mmtatabu@gmail.com</t>
  </si>
  <si>
    <t>Omar Hasiya</t>
  </si>
  <si>
    <t>omarhasiya111@gmail.com</t>
  </si>
  <si>
    <t>Brian Manda</t>
  </si>
  <si>
    <t>briancmanda@gmail.com</t>
  </si>
  <si>
    <t>Ahmed jamiu</t>
  </si>
  <si>
    <t>ahmedjamiu899@gmail.com</t>
  </si>
  <si>
    <t>Muhammad Amina Umar</t>
  </si>
  <si>
    <t>aminumar699@gmail.com</t>
  </si>
  <si>
    <t>Ganiyat jimoh</t>
  </si>
  <si>
    <t>ganiyatja@gmail.com</t>
  </si>
  <si>
    <t>ABDULLAHI SHEHU OWOLABI</t>
  </si>
  <si>
    <t>owolabiowoblow2@gmail.com</t>
  </si>
  <si>
    <t>Ipokia local government</t>
  </si>
  <si>
    <t>Aliyu Sagir Maikada</t>
  </si>
  <si>
    <t>hightasteinvestmentltd@gmail.com</t>
  </si>
  <si>
    <t>Kumbutso</t>
  </si>
  <si>
    <t>BOBI Umar Muhammad</t>
  </si>
  <si>
    <t>bobiumar@gmail.com</t>
  </si>
  <si>
    <t>Sikirat jimoh</t>
  </si>
  <si>
    <t>sikiratjimoh@yahoo.com</t>
  </si>
  <si>
    <t>Ekebosi Chinenye</t>
  </si>
  <si>
    <t>chinenyeekebosi31@gmail.com</t>
  </si>
  <si>
    <t>Attah</t>
  </si>
  <si>
    <t>miracleattah11@gmail.com</t>
  </si>
  <si>
    <t>Saidu Muhammad Aliyu</t>
  </si>
  <si>
    <t>larusmuhd@gmail.com</t>
  </si>
  <si>
    <t>Umar Aisha Marafa</t>
  </si>
  <si>
    <t>talk2aishaumarmarafa@gmail.com</t>
  </si>
  <si>
    <t>Cidney Jeshi Munyole</t>
  </si>
  <si>
    <t>cidneyjeshimunyole@gmail.com</t>
  </si>
  <si>
    <t>Bungoma</t>
  </si>
  <si>
    <t>Indigenous resident, Refugee (from another country), Kenyan</t>
  </si>
  <si>
    <t>Abubakar Sadiq Isah Lemu</t>
  </si>
  <si>
    <t>Sadeeqlemu@gmail.com</t>
  </si>
  <si>
    <t>Mbee Macauley Lawrence</t>
  </si>
  <si>
    <t>macauleylawrence@gmail.com</t>
  </si>
  <si>
    <t>Jibrin Abdullahi Musa</t>
  </si>
  <si>
    <t>mjibrin233@gmail.com</t>
  </si>
  <si>
    <t>Muhammad isah</t>
  </si>
  <si>
    <t>isah16.im@gmail.com</t>
  </si>
  <si>
    <t>Bala Silvanus Shewami</t>
  </si>
  <si>
    <t>balasilvanus@gmail.com</t>
  </si>
  <si>
    <t>Usman Sadiq Hajara</t>
  </si>
  <si>
    <t>mamahajar2011@gmail.com</t>
  </si>
  <si>
    <t>Gana Stephen kolo</t>
  </si>
  <si>
    <t>kolostephengana@gmail.com</t>
  </si>
  <si>
    <t>Bala Shekwonya Silas</t>
  </si>
  <si>
    <t>Silasbala3@gmail.com</t>
  </si>
  <si>
    <t>Sanneh Ansumana</t>
  </si>
  <si>
    <t>ansumanasanne109@gmail.com</t>
  </si>
  <si>
    <t>Kanifin municipal council</t>
  </si>
  <si>
    <t>Tukura Abraham Ayuba</t>
  </si>
  <si>
    <t>tukuraabraham@gmail.com</t>
  </si>
  <si>
    <t>JIBRIN MOHAMMED</t>
  </si>
  <si>
    <t>mohammedjibrin96@gmail.com</t>
  </si>
  <si>
    <t>Musa Farida Kadiri</t>
  </si>
  <si>
    <t>musamaryfarida@gmail.com</t>
  </si>
  <si>
    <t>Abdullahi Balkisu</t>
  </si>
  <si>
    <t>abdullahibalkisu1716@gmail.com</t>
  </si>
  <si>
    <t>Abdulwaheed sadeeq</t>
  </si>
  <si>
    <t>abubakarsadeeqabdulwaheed1@gmail.com</t>
  </si>
  <si>
    <t>Wambai Aliyu</t>
  </si>
  <si>
    <t>aliyuwambai1991@gmail.com</t>
  </si>
  <si>
    <t>Lubabatu Usman</t>
  </si>
  <si>
    <t>usmangarbalubabatu@gmail.com</t>
  </si>
  <si>
    <t>Mohammed Mohammed katcha</t>
  </si>
  <si>
    <t>mohammedkatcha123@gmail.com</t>
  </si>
  <si>
    <t>Magdaline Luka adamu</t>
  </si>
  <si>
    <t>munya</t>
  </si>
  <si>
    <t>Muhammad sadeeq sabo</t>
  </si>
  <si>
    <t>muhammadsadeeqsabo1@gmail.com</t>
  </si>
  <si>
    <t>Hamidu Kasimu</t>
  </si>
  <si>
    <t>hamidukasimu6@gmail.com</t>
  </si>
  <si>
    <t>MUHAMMAD MANSUR SHUAIBU</t>
  </si>
  <si>
    <t>passy080@gmail.com</t>
  </si>
  <si>
    <t>Abdullahi Zulaihat</t>
  </si>
  <si>
    <t>zulaihatabdullahi35@gmail.com</t>
  </si>
  <si>
    <t>Yahuza Aisha</t>
  </si>
  <si>
    <t>yahuzaaisha46@gmail.com</t>
  </si>
  <si>
    <t>Abednego Bridget</t>
  </si>
  <si>
    <t>abenegobridget@gmail.com</t>
  </si>
  <si>
    <t>BUHARI HARUNA NADAPPO</t>
  </si>
  <si>
    <t>harunanadappobuhari@gmail.com</t>
  </si>
  <si>
    <t>Mbah promise</t>
  </si>
  <si>
    <t>emmanuelpromise114@gmail.com</t>
  </si>
  <si>
    <t>Enugu East local government area</t>
  </si>
  <si>
    <t>Turaki Joseph Ibrahim</t>
  </si>
  <si>
    <t>turaki210@gmail.com</t>
  </si>
  <si>
    <t>Kelvin Michael jaja</t>
  </si>
  <si>
    <t>jajakelvin40@gmail.com</t>
  </si>
  <si>
    <t>OPOBO/ Nkoro</t>
  </si>
  <si>
    <t>Ayuba Hamidan Salihu</t>
  </si>
  <si>
    <t>Ayubahamidan@gmail.com</t>
  </si>
  <si>
    <t>Ibrahim Sadiq</t>
  </si>
  <si>
    <t>ibrahimsadiqchp@gmail.com</t>
  </si>
  <si>
    <t>Gurara local government</t>
  </si>
  <si>
    <t>Ahmadu David</t>
  </si>
  <si>
    <t>ahmaduduge795@st.futminna.edu.ng</t>
  </si>
  <si>
    <t>Sani Binta</t>
  </si>
  <si>
    <t>sanibinta759@gmail.com</t>
  </si>
  <si>
    <t>m95394509@gmail.com</t>
  </si>
  <si>
    <t>Rajiu</t>
  </si>
  <si>
    <t>Jimoh Ismail Damilare</t>
  </si>
  <si>
    <t>jimohismail694@gmail.com</t>
  </si>
  <si>
    <t>safiyatharun@gmail.com</t>
  </si>
  <si>
    <t>David Seyi</t>
  </si>
  <si>
    <t>drseyidavid@gmail.com</t>
  </si>
  <si>
    <t>Oyelade Bolutife</t>
  </si>
  <si>
    <t>oyebolu4real@gmail.com</t>
  </si>
  <si>
    <t>Musa Hadiza Safiyanu</t>
  </si>
  <si>
    <t>deejarhmusa@gmail.com</t>
  </si>
  <si>
    <t>Hassan ayuba</t>
  </si>
  <si>
    <t>ayyub4real@gmail.com</t>
  </si>
  <si>
    <t>Idris Umar</t>
  </si>
  <si>
    <t>idrismohammed36@gmail.com</t>
  </si>
  <si>
    <t>Isah AbdulRazak</t>
  </si>
  <si>
    <t>razaqojo007@gmail.com</t>
  </si>
  <si>
    <t>Ibrahim Mohammed</t>
  </si>
  <si>
    <t>ibm4real2022@gmail.com</t>
  </si>
  <si>
    <t>Shuaibu fatima</t>
  </si>
  <si>
    <t>fatimashuaibu9229@gmail.com</t>
  </si>
  <si>
    <t>Mansur Adamu Alkali</t>
  </si>
  <si>
    <t>mansiralkali@gmail.com</t>
  </si>
  <si>
    <t>Bulus Gabriel</t>
  </si>
  <si>
    <t>gabrielbulus345@gmail.com</t>
  </si>
  <si>
    <t>Agwara LG</t>
  </si>
  <si>
    <t>Valy Ouattara</t>
  </si>
  <si>
    <t>valyouattara609@gmai.com</t>
  </si>
  <si>
    <t>District of Abidjan</t>
  </si>
  <si>
    <t>Odu Derek Agbor</t>
  </si>
  <si>
    <t>derekodu@gmail.com</t>
  </si>
  <si>
    <t>Alazor ijeoma Cordelia</t>
  </si>
  <si>
    <t>alazorijeoma1995@gmail.com</t>
  </si>
  <si>
    <t>Alli Theophilus umakhe</t>
  </si>
  <si>
    <t>theophilusalli@gmail.com</t>
  </si>
  <si>
    <t>Jerry Josiah</t>
  </si>
  <si>
    <t>Jerryjosiah2015@gmail.com</t>
  </si>
  <si>
    <t>Muhammad Farhan Khan Pasha</t>
  </si>
  <si>
    <t>pashamfk007@gmail.com</t>
  </si>
  <si>
    <t>Sulaiman Abdulaziz Muhammad</t>
  </si>
  <si>
    <t>abdulmaigoro360@gmail.com</t>
  </si>
  <si>
    <t>Saidu Nurudeen</t>
  </si>
  <si>
    <t>saidunurudeen743@gmail.com</t>
  </si>
  <si>
    <t>Mohammed Idris shebe</t>
  </si>
  <si>
    <t>Mishebzee2013@gmail.com</t>
  </si>
  <si>
    <t>Obamina Mercy</t>
  </si>
  <si>
    <t>mercyqueen2050@gmail.com</t>
  </si>
  <si>
    <t>Irabor thankgod eromonsele</t>
  </si>
  <si>
    <t>iraborthankgode@gmail.com</t>
  </si>
  <si>
    <t>Egor</t>
  </si>
  <si>
    <t>Galadima Yusuf Joseph</t>
  </si>
  <si>
    <t>josephgaladima911@gmail.com</t>
  </si>
  <si>
    <t>Abubakar Tsadu Mohammed</t>
  </si>
  <si>
    <t>tmohammedabubakar@gmail.com</t>
  </si>
  <si>
    <t>Precious Oisegbai Alli</t>
  </si>
  <si>
    <t>psamuelalli@gmail.com</t>
  </si>
  <si>
    <t>Lawan aminu</t>
  </si>
  <si>
    <t>alameenringim3740@gmail.com</t>
  </si>
  <si>
    <t>Mahmud sulaiman</t>
  </si>
  <si>
    <t>mahmudsulaiman0012@gmail.com</t>
  </si>
  <si>
    <t>Mustapha Suleiman</t>
  </si>
  <si>
    <t>mustaphasuleiman656@gmail.com</t>
  </si>
  <si>
    <t>Fatimatu zarau Adamu</t>
  </si>
  <si>
    <t>fatimazarau2000@gmail.com</t>
  </si>
  <si>
    <t>SAMAILA SILAS</t>
  </si>
  <si>
    <t>silassamaila2020@gmail.com</t>
  </si>
  <si>
    <t>Mohammed, Umar Baba</t>
  </si>
  <si>
    <t>umarbaba6@gmail.com</t>
  </si>
  <si>
    <t>Hezekiah Baridakara</t>
  </si>
  <si>
    <t>hezekiah312@gmail.com</t>
  </si>
  <si>
    <t>Ibrahim Nasirudeen Yunusa</t>
  </si>
  <si>
    <t>Ibrahimnasirudeeny@gmail.com</t>
  </si>
  <si>
    <t>Alhassan Bashar</t>
  </si>
  <si>
    <t>basheeralhassangololo@gmail.com</t>
  </si>
  <si>
    <t>Mahmood Mariya</t>
  </si>
  <si>
    <t>mareeyamahmud@gmail.com</t>
  </si>
  <si>
    <t>Opukumo Ruth Wilson</t>
  </si>
  <si>
    <t>ruthopukumo@gmail.com</t>
  </si>
  <si>
    <t>Yusuf Maaruf</t>
  </si>
  <si>
    <t>yusufmaaruf2018@gmail.com</t>
  </si>
  <si>
    <t>Sunday Lydia</t>
  </si>
  <si>
    <t>lydiasunday18@gmail.com</t>
  </si>
  <si>
    <t>Abdullahi Abubakar</t>
  </si>
  <si>
    <t>aashanono004@gmail.com</t>
  </si>
  <si>
    <t>Sulaiman Aminu</t>
  </si>
  <si>
    <t>Asulyman13@gmail.com</t>
  </si>
  <si>
    <t>Mustapha A.Abubakar</t>
  </si>
  <si>
    <t>mustaphaabdulhadiabubakar@gmail.com</t>
  </si>
  <si>
    <t>Maryam Dazhi</t>
  </si>
  <si>
    <t>mosadoko1@gmail.com</t>
  </si>
  <si>
    <t>Usman kane Muhammad</t>
  </si>
  <si>
    <t>usmanmuhammadk002@gmail.com</t>
  </si>
  <si>
    <t>Augustine</t>
  </si>
  <si>
    <t>jemmykevinc@gmail.com</t>
  </si>
  <si>
    <t>Muhammad Idris</t>
  </si>
  <si>
    <t>muhdrisss@gmail.com</t>
  </si>
  <si>
    <t>Ibrahim habib</t>
  </si>
  <si>
    <t>magajinibrahim1312@gmail.com</t>
  </si>
  <si>
    <t>Ilyasu Sulaiman</t>
  </si>
  <si>
    <t>sulaimanilyasu0@gmail.com</t>
  </si>
  <si>
    <t>Akari Moseph</t>
  </si>
  <si>
    <t>akari4moseph94@gmail.com</t>
  </si>
  <si>
    <t>Ngwu Anthony adaka</t>
  </si>
  <si>
    <t>Scrypture1996@gmail.com</t>
  </si>
  <si>
    <t>Samuel Emmanuel</t>
  </si>
  <si>
    <t>samueldeinfo@gmail.com</t>
  </si>
  <si>
    <t>yybandoliyer@gmail.com</t>
  </si>
  <si>
    <t>Shuaibu Muhammad Ibrahim</t>
  </si>
  <si>
    <t>muhammadshuaibu47@gmail.com</t>
  </si>
  <si>
    <t>Umar</t>
  </si>
  <si>
    <t>umaraishat7070@gmail.com</t>
  </si>
  <si>
    <t>New Bussa</t>
  </si>
  <si>
    <t>Zainab Mohammed Hassan</t>
  </si>
  <si>
    <t>zainabmohammedhassan1111@gmail.com</t>
  </si>
  <si>
    <t>Ibrahim</t>
  </si>
  <si>
    <t>ismaely424@gmail.com</t>
  </si>
  <si>
    <t>Tsafe</t>
  </si>
  <si>
    <t>Ahmad Abdulnasir</t>
  </si>
  <si>
    <t>Aabubakar3676@gmail.com</t>
  </si>
  <si>
    <t>Markus Daniel Lucky</t>
  </si>
  <si>
    <t>markusdaniellucky@gmail.com</t>
  </si>
  <si>
    <t>Aliyu mudassir</t>
  </si>
  <si>
    <t>muddassiraliyu2015@gmail.com</t>
  </si>
  <si>
    <t>MOHAMMED ABDULLAHI TSWACHIKO</t>
  </si>
  <si>
    <t>tswachikoabdullahi@gmail.com</t>
  </si>
  <si>
    <t>EDATI</t>
  </si>
  <si>
    <t>Yusuf ABDULKABIR</t>
  </si>
  <si>
    <t>ykabiru207@gmail.com</t>
  </si>
  <si>
    <t>RABIATU MUHD INUWA</t>
  </si>
  <si>
    <t>rabiatumuhdinuwa09@gmail.com</t>
  </si>
  <si>
    <t>Alexandra Mwaka</t>
  </si>
  <si>
    <t>alexandramwaka1@gmail.com</t>
  </si>
  <si>
    <t>Southkivu</t>
  </si>
  <si>
    <t>GODWILL FAITH TESINI</t>
  </si>
  <si>
    <t>tesini25@gmail.com</t>
  </si>
  <si>
    <t>Indigenous resident, NIL</t>
  </si>
  <si>
    <t>NURA AHMAD KAYA</t>
  </si>
  <si>
    <t>nuraahmadkaya1@gmail.com</t>
  </si>
  <si>
    <t>Umar Hassan Bashir</t>
  </si>
  <si>
    <t>Hberwerne@gmail.com</t>
  </si>
  <si>
    <t>Wuna Jude</t>
  </si>
  <si>
    <t>judexwiz@gmail.com</t>
  </si>
  <si>
    <t>oladapo Taoheed olanrewaju</t>
  </si>
  <si>
    <t>oladapotaoheed89@gmail.com</t>
  </si>
  <si>
    <t>Sunday Nengi Divine</t>
  </si>
  <si>
    <t>sundaynengi12@gmail.com</t>
  </si>
  <si>
    <t>Ibrahim Gidado Baru</t>
  </si>
  <si>
    <t>gidadoalislam@gmail.com</t>
  </si>
  <si>
    <t>Halima hassan</t>
  </si>
  <si>
    <t>halimaahassan452@gmail.com</t>
  </si>
  <si>
    <t>Inuwa samaila</t>
  </si>
  <si>
    <t>samailainuwa88@gmail.com</t>
  </si>
  <si>
    <t>Muhammad Musa</t>
  </si>
  <si>
    <t>musamuhdnagaru@gmail.com</t>
  </si>
  <si>
    <t>Maryam Muhammad sani</t>
  </si>
  <si>
    <t>muhammadmaryamsani96@gmail.com</t>
  </si>
  <si>
    <t>Sukeja second gurd</t>
  </si>
  <si>
    <t>Musa Abdulkarim</t>
  </si>
  <si>
    <t>musaabdulkarim962@gmail.com</t>
  </si>
  <si>
    <t>Umar Babangida</t>
  </si>
  <si>
    <t>Umarbangida2113@gmail.com</t>
  </si>
  <si>
    <t>Rimin gata</t>
  </si>
  <si>
    <t>Sani Ahmed</t>
  </si>
  <si>
    <t>ahmedsani0212@gmail.com</t>
  </si>
  <si>
    <t>Roni</t>
  </si>
  <si>
    <t>Abba magaji</t>
  </si>
  <si>
    <t>mabba444908@gmail.com</t>
  </si>
  <si>
    <t>Funtua</t>
  </si>
  <si>
    <t>Abdulmuhaimin Abdulmumin</t>
  </si>
  <si>
    <t>abdul3125769683@gmail.com</t>
  </si>
  <si>
    <t>Zakariyyah Abdulbariu</t>
  </si>
  <si>
    <t>abdulbariu2000@gmail.com</t>
  </si>
  <si>
    <t>Alfa Mohammed</t>
  </si>
  <si>
    <t>hrmnalfaalfa@gmail.com</t>
  </si>
  <si>
    <t>Suhailu Musa Adamu</t>
  </si>
  <si>
    <t>suhailumusa73@gmail.com</t>
  </si>
  <si>
    <t>Sunusi Yazid Yahaya</t>
  </si>
  <si>
    <t>yazidsunusiyahaya@gmail.com</t>
  </si>
  <si>
    <t>Muhammad Ibrahim Musa</t>
  </si>
  <si>
    <t>ibrahimmuhammadmusa26@gmail.com</t>
  </si>
  <si>
    <t>Adoku Adavize Abdul Ganiyu</t>
  </si>
  <si>
    <t>abdulganiyuadoku48@gmail.com</t>
  </si>
  <si>
    <t>Musa Muhammad</t>
  </si>
  <si>
    <t>musamuhammad0756@gmail.com</t>
  </si>
  <si>
    <t>HUSSAINI MUHAMMAD MUSA</t>
  </si>
  <si>
    <t>moherhhussaini@gmail.com</t>
  </si>
  <si>
    <t>Umar Mubarak</t>
  </si>
  <si>
    <t>mubarakumar704@gmail.com</t>
  </si>
  <si>
    <t>Abdulkadir ndanusa</t>
  </si>
  <si>
    <t>banaabdulbana@gmail.com</t>
  </si>
  <si>
    <t>Lapai local government</t>
  </si>
  <si>
    <t>Abubakar Musa Sanusi</t>
  </si>
  <si>
    <t>abubakarmusa62@gmail.com</t>
  </si>
  <si>
    <t>Bethuel Lynn</t>
  </si>
  <si>
    <t>bethueljoda@gmail.com</t>
  </si>
  <si>
    <t>Refugee (from another country), Migrant (moved from another part of Nigeria)</t>
  </si>
  <si>
    <t>IDRIS ABDULHADI</t>
  </si>
  <si>
    <t>idrisabdulhadiscorer@gmail.com</t>
  </si>
  <si>
    <t>Yahaya Umar yaroji</t>
  </si>
  <si>
    <t>yahayayaroji4343@gmail.com</t>
  </si>
  <si>
    <t>Bali</t>
  </si>
  <si>
    <t>Aminu Bello Ahmed</t>
  </si>
  <si>
    <t>aminulambatakwas8@gmail.com</t>
  </si>
  <si>
    <t>Nassarawa local government Kano</t>
  </si>
  <si>
    <t>Albert Nizeyimana</t>
  </si>
  <si>
    <t>albertnizeyimana97@gmail.com</t>
  </si>
  <si>
    <t>Kisoro</t>
  </si>
  <si>
    <t>Sharhabilu Abubakar</t>
  </si>
  <si>
    <t>sharhabilu102@gmail.com</t>
  </si>
  <si>
    <t>UMAR LUKMAN SANYINNA</t>
  </si>
  <si>
    <t>umarlukman5@gmail.com</t>
  </si>
  <si>
    <t>Usman yusuf Abubakar</t>
  </si>
  <si>
    <t>Safiya Abdulkadir liman</t>
  </si>
  <si>
    <t>safiyaabdulkadir1999@gmail.com</t>
  </si>
  <si>
    <t>ABUBAKAR YUSUF</t>
  </si>
  <si>
    <t>yusufabubakar0816@gmail.com</t>
  </si>
  <si>
    <t>Musa kamilu Muhammad</t>
  </si>
  <si>
    <t>kamilumusa2020@gmail.com</t>
  </si>
  <si>
    <t>Balarabe</t>
  </si>
  <si>
    <t>balarabeshuaibugargai@gmail.com</t>
  </si>
  <si>
    <t>Muhammad Fatima</t>
  </si>
  <si>
    <t>zarah8384@gmail.com</t>
  </si>
  <si>
    <t>Aliyu Bilal</t>
  </si>
  <si>
    <t>elbilaal96@gmail.com</t>
  </si>
  <si>
    <t>Adamu Julius patience</t>
  </si>
  <si>
    <t>mamabdata@gmail.com</t>
  </si>
  <si>
    <t>Elisha Sunday</t>
  </si>
  <si>
    <t>yashimelisha8@gmail.com</t>
  </si>
  <si>
    <t>Musa Abdulrahman</t>
  </si>
  <si>
    <t>abdulrahmanmusa013@gmail.com</t>
  </si>
  <si>
    <t>Francisca kinyanyi</t>
  </si>
  <si>
    <t>Mbata Kelechi Emmanuel</t>
  </si>
  <si>
    <t>mbatakelechi@gmail.com</t>
  </si>
  <si>
    <t>Afipko</t>
  </si>
  <si>
    <t>HABIBA MOHAMMED</t>
  </si>
  <si>
    <t>habibam042@gmail.com</t>
  </si>
  <si>
    <t>Aliyu Mubarak</t>
  </si>
  <si>
    <t>aliyuumubarak002@gmail.com</t>
  </si>
  <si>
    <t>Kano North</t>
  </si>
  <si>
    <t>Abdulsalam Abdulmumin</t>
  </si>
  <si>
    <t>abdulmuminabdul31@gmail.com</t>
  </si>
  <si>
    <t>Yusuf Gaddafi</t>
  </si>
  <si>
    <t>elgaddafyosouf@gmail.com</t>
  </si>
  <si>
    <t>Musa Ahmad</t>
  </si>
  <si>
    <t>drahmimy@gmail.com</t>
  </si>
  <si>
    <t>Abubakar Muhammad Madugu</t>
  </si>
  <si>
    <t>muhdabubakarmadugu@gmail.com</t>
  </si>
  <si>
    <t>Ibrahim YAHAYA</t>
  </si>
  <si>
    <t>ibrahimyahayatoto2014@gmail.com</t>
  </si>
  <si>
    <t>SULEIMAN USMAN SAMINU</t>
  </si>
  <si>
    <t>usmansuleimansaminu@gmail.com</t>
  </si>
  <si>
    <t>Adam Aliyu Bello</t>
  </si>
  <si>
    <t>aliyuadambello9@gmail.com</t>
  </si>
  <si>
    <t>Jaiyeola Roseline Oluwatosin</t>
  </si>
  <si>
    <t>achiever896@gmail.com</t>
  </si>
  <si>
    <t>Joseph Okoedo</t>
  </si>
  <si>
    <t>josephokoedo95@gmail.com</t>
  </si>
  <si>
    <t>Muhammad Abubakar Musa</t>
  </si>
  <si>
    <t>mabubakarmusa850@gmail.com</t>
  </si>
  <si>
    <t>Jaafaru Hussaini Osagede</t>
  </si>
  <si>
    <t>osagedejaafaruhussaini@gmail.com</t>
  </si>
  <si>
    <t>Dokochi Mohammed</t>
  </si>
  <si>
    <t>dokochimohammed@gmail.com</t>
  </si>
  <si>
    <t>Singh Manjeet</t>
  </si>
  <si>
    <t>manjeet8839@gmail.com</t>
  </si>
  <si>
    <t>Bhartiya Janata party</t>
  </si>
  <si>
    <t>Abdulmumin Adam Raji</t>
  </si>
  <si>
    <t>abdulmuminadamraji@gmail.com</t>
  </si>
  <si>
    <t>Uzairu Faridat Umar</t>
  </si>
  <si>
    <t>fareedatuzairu@gmail.com</t>
  </si>
  <si>
    <t>GADDAFI HASSAN DANJUMMA</t>
  </si>
  <si>
    <t>gaddafihassandanjumma@gmail.com</t>
  </si>
  <si>
    <t>BORGU LOCAL GOVERNMENT</t>
  </si>
  <si>
    <t>Adedayo Oluwatunmise</t>
  </si>
  <si>
    <t>adedayooluwatunmisesamuel@gmail.com</t>
  </si>
  <si>
    <t>Mohammed Salamatu</t>
  </si>
  <si>
    <t>salamatumohammed536@gmail.com</t>
  </si>
  <si>
    <t>Yahaya Ibrahim abdullahi</t>
  </si>
  <si>
    <t>yahayaibrahimabdullahi010@gmail.com</t>
  </si>
  <si>
    <t>Gaya local government area</t>
  </si>
  <si>
    <t>Mohammed abubakar Sadiq</t>
  </si>
  <si>
    <t>abubakarsadiqdanbai@gmail.com</t>
  </si>
  <si>
    <t>Rabiu Usman</t>
  </si>
  <si>
    <t>muhammedrabiuusman409@gmail.com</t>
  </si>
  <si>
    <t>Danjuma yahaya</t>
  </si>
  <si>
    <t>Onimisi59@gmail.com</t>
  </si>
  <si>
    <t>Amuzie Kandilichukwu</t>
  </si>
  <si>
    <t>kandichisom@gmail.com</t>
  </si>
  <si>
    <t>Awka South</t>
  </si>
  <si>
    <t>Musa Abdullahi HASSAN</t>
  </si>
  <si>
    <t>musaambali9957@gmail.com</t>
  </si>
  <si>
    <t>Abubakar Aminu</t>
  </si>
  <si>
    <t>ababakar2727@gmail.com</t>
  </si>
  <si>
    <t>Olayiwola Damilola Yomi</t>
  </si>
  <si>
    <t>olayiwoladamilola777@gmail.com</t>
  </si>
  <si>
    <t>Surajo Abdulkarim Abdulkarim</t>
  </si>
  <si>
    <t>abdulkareemsuraj@gmail.com</t>
  </si>
  <si>
    <t>Usman</t>
  </si>
  <si>
    <t>rakeeyausman360@gmail.com</t>
  </si>
  <si>
    <t>paikoro</t>
  </si>
  <si>
    <t>Ibrahim Yunusa Ibrahim</t>
  </si>
  <si>
    <t>ibnyunusibrahim1@gmail.com</t>
  </si>
  <si>
    <t>Dauda Daniel</t>
  </si>
  <si>
    <t>danidaudauda131@gmail.com</t>
  </si>
  <si>
    <t>kano</t>
  </si>
  <si>
    <t>Ahmad Muntari</t>
  </si>
  <si>
    <t>muntariahmad1557@gmail.com</t>
  </si>
  <si>
    <t>MOHAMMED FATIMA</t>
  </si>
  <si>
    <t>fatigulu75@gmail.com</t>
  </si>
  <si>
    <t>Sulaiman Idris</t>
  </si>
  <si>
    <t>idrisabbasulaiman6190@gmail.com</t>
  </si>
  <si>
    <t>ISAH MAAWIYA</t>
  </si>
  <si>
    <t>realmifago@gmail.com</t>
  </si>
  <si>
    <t>Sandamu</t>
  </si>
  <si>
    <t>Okeke Emmanuel</t>
  </si>
  <si>
    <t>emmybrill10@gmail.com</t>
  </si>
  <si>
    <t>Ogui</t>
  </si>
  <si>
    <t>Kuku Dunamis Torkuma</t>
  </si>
  <si>
    <t>dunamisjames@gmail.com</t>
  </si>
  <si>
    <t>Wisdom Zideino Clarkson</t>
  </si>
  <si>
    <t>clarksonwisdom2025@gmail.com</t>
  </si>
  <si>
    <t>Aliyu Idris Sanusi</t>
  </si>
  <si>
    <t>aliyuidrissanusi50@gmail.com</t>
  </si>
  <si>
    <t>Uyanna Alexis</t>
  </si>
  <si>
    <t>uyannaalexis11@gmail.com</t>
  </si>
  <si>
    <t>Tafa LGA</t>
  </si>
  <si>
    <t>metantabara44@gmail.com</t>
  </si>
  <si>
    <t>Suleman Abdulkadir</t>
  </si>
  <si>
    <t>abdulkadirsuleman380@gmail.com</t>
  </si>
  <si>
    <t>Kunci lga</t>
  </si>
  <si>
    <t>Effiong John Michael</t>
  </si>
  <si>
    <t>effiongjohnmichael2447@gmail.com</t>
  </si>
  <si>
    <t>Nnamaga chinwendu Annastesia</t>
  </si>
  <si>
    <t>Chinweann2019@gmail.com</t>
  </si>
  <si>
    <t>Mohammed Kudu</t>
  </si>
  <si>
    <t>sadiyamohammedkudu@gmail.com</t>
  </si>
  <si>
    <t>Alhassan Ubale Rabiu</t>
  </si>
  <si>
    <t>alhassanubalerabiu377@gmail.com</t>
  </si>
  <si>
    <t>Yunana Barka sukur</t>
  </si>
  <si>
    <t>barkayunana001@gmail.com</t>
  </si>
  <si>
    <t>Jakusko</t>
  </si>
  <si>
    <t>Abdullahi Haruna</t>
  </si>
  <si>
    <t>abdullahiharuna6546@gmail.com</t>
  </si>
  <si>
    <t>Mohammed Yusra</t>
  </si>
  <si>
    <t>Yusramohammed826@gmail.com</t>
  </si>
  <si>
    <t>Abdullahi Ibrahim</t>
  </si>
  <si>
    <t>ibrahimabdullahihja2017@gmail.com</t>
  </si>
  <si>
    <t>Ibrahim Ismaila Alhaji</t>
  </si>
  <si>
    <t>ismailaalhajiibrahim07@gmail.com</t>
  </si>
  <si>
    <t>Eze Esther Chioma</t>
  </si>
  <si>
    <t>esther.eze.245777@unn.edu.ng</t>
  </si>
  <si>
    <t>Ejeh Daniel Ichaibu</t>
  </si>
  <si>
    <t>ichaibuaj@gmail.com</t>
  </si>
  <si>
    <t>Abonyi promise Nkenna</t>
  </si>
  <si>
    <t>abonyipromise12@gmail.com</t>
  </si>
  <si>
    <t>Anosike Onyekachi</t>
  </si>
  <si>
    <t>yakson2all@gmail.com</t>
  </si>
  <si>
    <t>Habila blessing</t>
  </si>
  <si>
    <t>blessinghabila357@gmail.com</t>
  </si>
  <si>
    <t>Paiko LGA</t>
  </si>
  <si>
    <t>Yusuf Adam Yusuf</t>
  </si>
  <si>
    <t>adamy2428@gmail.com</t>
  </si>
  <si>
    <t>Idu Christopher Idu</t>
  </si>
  <si>
    <t>christopheridu27@gmail.com</t>
  </si>
  <si>
    <t>Osunniyi tawakalitu olaitan</t>
  </si>
  <si>
    <t>olaitano587@gmail.com</t>
  </si>
  <si>
    <t>Okwu Susan Ngozi</t>
  </si>
  <si>
    <t>ngozisusan89@gmail.com</t>
  </si>
  <si>
    <t>West Hope Gospel</t>
  </si>
  <si>
    <t>westgos40@gmail.com</t>
  </si>
  <si>
    <t>Sani Musa</t>
  </si>
  <si>
    <t>sanimusakumokumo@gmail.com</t>
  </si>
  <si>
    <t>Abdullahi Muhammad dahiru</t>
  </si>
  <si>
    <t>abdullahimuhammaddahiru899@gmail.com</t>
  </si>
  <si>
    <t>KIRU LGA</t>
  </si>
  <si>
    <t>umartanimu908@gmail.com</t>
  </si>
  <si>
    <t>Musa Auwal Lawal</t>
  </si>
  <si>
    <t>musaauwallawal50@gmail.com</t>
  </si>
  <si>
    <t>Yakubu Sani Usman</t>
  </si>
  <si>
    <t>saniusmanyakubu1712@gmail.com</t>
  </si>
  <si>
    <t>Muhd Abdulbasi Aliyu</t>
  </si>
  <si>
    <t>muhdaliyuabdulbasi@gmail.com</t>
  </si>
  <si>
    <t>Umar Abdulrashid</t>
  </si>
  <si>
    <t>abdulrashidumar33@gmail.com</t>
  </si>
  <si>
    <t>ONOH, SOLOMON SYLVESTER</t>
  </si>
  <si>
    <t>talk2solonow@gmail.com</t>
  </si>
  <si>
    <t>Amarachi Anne Obianwa</t>
  </si>
  <si>
    <t>anne.osonwanne@yahoo.com</t>
  </si>
  <si>
    <t>Ideato south</t>
  </si>
  <si>
    <t>Kasimu Abdulkadir</t>
  </si>
  <si>
    <t>kasimuabdulkadir2@gmail.com</t>
  </si>
  <si>
    <t>EZEJIOFOR VICTOR LEONARD</t>
  </si>
  <si>
    <t>Leonardvictor2018@gmail.com</t>
  </si>
  <si>
    <t>UDI</t>
  </si>
  <si>
    <t>Usman Musa Hamza</t>
  </si>
  <si>
    <t>hamzamusausman2017@gmail.com</t>
  </si>
  <si>
    <t>Okafor Ifunanyachukwu Maria</t>
  </si>
  <si>
    <t>bennychinonso03@gmail.com</t>
  </si>
  <si>
    <t>Rukayya Yusuf Namadi</t>
  </si>
  <si>
    <t>rukayyan599@gmail.com</t>
  </si>
  <si>
    <t>Nwakpu</t>
  </si>
  <si>
    <t>chibuezenwakpu@gmail.com</t>
  </si>
  <si>
    <t>Onah Felix ikechukwu</t>
  </si>
  <si>
    <t>felynorex@gmail.com</t>
  </si>
  <si>
    <t>Eni Nneka Deborah</t>
  </si>
  <si>
    <t>enideborah356@gmail.com</t>
  </si>
  <si>
    <t>Ibrahim Saidu Galadima</t>
  </si>
  <si>
    <t>ibrahimsaidugaladima1@gmail.com</t>
  </si>
  <si>
    <t>Idris Abubakar Isyaku</t>
  </si>
  <si>
    <t>aidrisisyaku@gmail.com</t>
  </si>
  <si>
    <t>Aliyu Musa</t>
  </si>
  <si>
    <t>aliyumusatsafe880@gmail.com</t>
  </si>
  <si>
    <t>Egigba Luke</t>
  </si>
  <si>
    <t>oyibomeegigba@gmail.com</t>
  </si>
  <si>
    <t>Ado-Odo/Otta/Ifo</t>
  </si>
  <si>
    <t>Atsenokhai Josephine</t>
  </si>
  <si>
    <t>josephineatsenokhai3@gmail.com</t>
  </si>
  <si>
    <t>Moseph Ebiliah Joy</t>
  </si>
  <si>
    <t>ebimoseph@gmail.com</t>
  </si>
  <si>
    <t>Ajah Chukwudi Alex</t>
  </si>
  <si>
    <t>chukwudiajah34@gmail.com</t>
  </si>
  <si>
    <t>Sharifa Abdullahi</t>
  </si>
  <si>
    <t>abdullahisharifa1999@gmail.com</t>
  </si>
  <si>
    <t>HASHIMU JAMILU</t>
  </si>
  <si>
    <t>jamiluhashimu557@gmail.com</t>
  </si>
  <si>
    <t>Usman Alhassan Tayi</t>
  </si>
  <si>
    <t>autayi2020210002@gmail.com</t>
  </si>
  <si>
    <t>Abubakar alhassan</t>
  </si>
  <si>
    <t>abubakaralhassanzuku2019@gmail.com</t>
  </si>
  <si>
    <t>Mustapha Abdulkarim</t>
  </si>
  <si>
    <t>mustaphaabdulkarim14@gmail.com</t>
  </si>
  <si>
    <t>Yusuf Aishatu</t>
  </si>
  <si>
    <t>aishatuyusuf2025@gmail.com</t>
  </si>
  <si>
    <t>Imam Muhammad Ismail</t>
  </si>
  <si>
    <t>miimam322@gmail.com</t>
  </si>
  <si>
    <t>Iroegbu Maureen A</t>
  </si>
  <si>
    <t>queenmaureen43@gmail.com</t>
  </si>
  <si>
    <t>Hauwa Uba Idris</t>
  </si>
  <si>
    <t>jiddahtulkhaireeomarbdk@gmail.com</t>
  </si>
  <si>
    <t>Dorayi</t>
  </si>
  <si>
    <t>Omale Ukedonojo Basil</t>
  </si>
  <si>
    <t>omalebasil02@gmail.com</t>
  </si>
  <si>
    <t>Abdullahi Khalid</t>
  </si>
  <si>
    <t>khalidshalele090@gmail.com</t>
  </si>
  <si>
    <t>ABDULRAUF HUDU</t>
  </si>
  <si>
    <t>abdulraufhudu115@gmail.com</t>
  </si>
  <si>
    <t>Samaila</t>
  </si>
  <si>
    <t>Edigbe Friday</t>
  </si>
  <si>
    <t>fridayedigbe1@gmail.com</t>
  </si>
  <si>
    <t>Ibrahim Hassan</t>
  </si>
  <si>
    <t>ibrahimoc681@gmail.com</t>
  </si>
  <si>
    <t>Adamu Muhammad Fatima</t>
  </si>
  <si>
    <t>fatimamadamu13@gmail.com</t>
  </si>
  <si>
    <t>Adamu Dantata</t>
  </si>
  <si>
    <t>adamumamba240@gmail.com</t>
  </si>
  <si>
    <t>AKOH MOSES JACOB</t>
  </si>
  <si>
    <t>mozel4saic@gmail.com</t>
  </si>
  <si>
    <t>Mary Ayeri</t>
  </si>
  <si>
    <t>ayerimary45@gmail.com</t>
  </si>
  <si>
    <t>OwodeObafemi-Owode Local Government</t>
  </si>
  <si>
    <t>Ezekiel</t>
  </si>
  <si>
    <t>maureensaidu@gmail.com</t>
  </si>
  <si>
    <t>Kamaluddeen muhammad abdulladeef</t>
  </si>
  <si>
    <t>mkamaluddeenabdulladeef71@gmail.com</t>
  </si>
  <si>
    <t>Rano L.G.A</t>
  </si>
  <si>
    <t>Akachukwu Chigozie James</t>
  </si>
  <si>
    <t>Kamsoakachukwu@gmail.com</t>
  </si>
  <si>
    <t>Muazu Sailuba Yakubu</t>
  </si>
  <si>
    <t>elyakubnarnerh@gmail.com</t>
  </si>
  <si>
    <t>Adem Daniel</t>
  </si>
  <si>
    <t>danieladem784@gmail.com</t>
  </si>
  <si>
    <t>Igwe festus Nnamdi</t>
  </si>
  <si>
    <t>igwefestus540@gmail.com</t>
  </si>
  <si>
    <t>Abdullahi Fatima Yusuf</t>
  </si>
  <si>
    <t>fatimaabdullahi8910@gmail.com</t>
  </si>
  <si>
    <t>Ali John</t>
  </si>
  <si>
    <t>alijohn8827@gmail.com</t>
  </si>
  <si>
    <t>Lawal abdulrazak</t>
  </si>
  <si>
    <t>abdulrazaklawal84@gmail.com</t>
  </si>
  <si>
    <t>Shaaji Bemshima Alfred</t>
  </si>
  <si>
    <t>dev.shaaji@gmail.com</t>
  </si>
  <si>
    <t>Umar Uqbah</t>
  </si>
  <si>
    <t>uqbahuumar@gmail.com</t>
  </si>
  <si>
    <t>Auwal Fatima Ibrahim</t>
  </si>
  <si>
    <t>fatimaauwalibrahim2003@gmail.com</t>
  </si>
  <si>
    <t>Mu'azu Ibrahim Baffa</t>
  </si>
  <si>
    <t>ibrahimbaffa2011@gmail.com</t>
  </si>
  <si>
    <t>IGBO SORBARI BARIDA</t>
  </si>
  <si>
    <t>sorbariigbo22@gmail.com</t>
  </si>
  <si>
    <t>Muhammad Aishatu musa</t>
  </si>
  <si>
    <t>aishatumuhammadmusa2020@gmail.com</t>
  </si>
  <si>
    <t>Nkutson samuel</t>
  </si>
  <si>
    <t>nkutsonsamuel@gmail.com</t>
  </si>
  <si>
    <t>Hajara Auwal Ibrahim</t>
  </si>
  <si>
    <t>hajaraauwalibrahim78@gmail.com</t>
  </si>
  <si>
    <t>Ungoggo l.g</t>
  </si>
  <si>
    <t>captainjnr819@gmail.com</t>
  </si>
  <si>
    <t>Uba Ogechi Maryann</t>
  </si>
  <si>
    <t>ubaogechi2018@gmail.com</t>
  </si>
  <si>
    <t>Ahmad Mahmoud</t>
  </si>
  <si>
    <t>mahmoudwadahmad@gmail.com</t>
  </si>
  <si>
    <t>Oluduro Johnson olugbenga</t>
  </si>
  <si>
    <t>gbengaoluduro@gmail.com</t>
  </si>
  <si>
    <t>Ado do/ota</t>
  </si>
  <si>
    <t>Dosumu Ayobamigbe</t>
  </si>
  <si>
    <t>ayobamigbedosumu@gmail.com</t>
  </si>
  <si>
    <t>Mohammed kotugi ndako</t>
  </si>
  <si>
    <t>ndakomohammed163@gmail.com</t>
  </si>
  <si>
    <t>Augustine Osominomoh Christiana</t>
  </si>
  <si>
    <t>augustineosominomoh@gmail.com</t>
  </si>
  <si>
    <t>Dauda alkawali</t>
  </si>
  <si>
    <t>promisedavid676@gmail.com</t>
  </si>
  <si>
    <t>Joseph luka</t>
  </si>
  <si>
    <t>lukajoesph97@gmail.com</t>
  </si>
  <si>
    <t>Alhassan Rabbilu Umar</t>
  </si>
  <si>
    <t>rabbilualhassanumar@gmail.com</t>
  </si>
  <si>
    <t>Tudunwada</t>
  </si>
  <si>
    <t>Micah Hellen</t>
  </si>
  <si>
    <t>micahhellen@gmail.com</t>
  </si>
  <si>
    <t>Olayiwola Khalid Muhammad</t>
  </si>
  <si>
    <t>olayiwolakhalid288@gmail.com</t>
  </si>
  <si>
    <t>Ibrahim Bashir baba</t>
  </si>
  <si>
    <t>bashirbaba1982@gmail.com</t>
  </si>
  <si>
    <t>Habib sani</t>
  </si>
  <si>
    <t>habibsudainsalhsani@gmail.com</t>
  </si>
  <si>
    <t>SULAIMAN Ahmad</t>
  </si>
  <si>
    <t>suleimangandu505@gmail.com</t>
  </si>
  <si>
    <t>Abubakar Zainab</t>
  </si>
  <si>
    <t>zainaabkr@gmail.com</t>
  </si>
  <si>
    <t>Morufu Tunde</t>
  </si>
  <si>
    <t>morufutunde02@gmail.com</t>
  </si>
  <si>
    <t>Choba</t>
  </si>
  <si>
    <t>Baba Sani Ali</t>
  </si>
  <si>
    <t>alibabasani89@gmail.com</t>
  </si>
  <si>
    <t>Pius Nzubechukwu Pius</t>
  </si>
  <si>
    <t>francispius808@gmail.com</t>
  </si>
  <si>
    <t>Nelson, Edith Ime</t>
  </si>
  <si>
    <t>edithnelson44@gmail.com</t>
  </si>
  <si>
    <t>Jimoh abdulganiyu</t>
  </si>
  <si>
    <t>abdulganiyujimoh98@gmail.com</t>
  </si>
  <si>
    <t>Mashegu local gov't</t>
  </si>
  <si>
    <t>Muhammad Saidu</t>
  </si>
  <si>
    <t>smdutsanbari@gmail.com</t>
  </si>
  <si>
    <t>HASSAN NANA FIRDAUSI</t>
  </si>
  <si>
    <t>hassannanajannat@gmail.com</t>
  </si>
  <si>
    <t>Umar abdullahi</t>
  </si>
  <si>
    <t>ua0708633@gmail.com</t>
  </si>
  <si>
    <t>Gorjo</t>
  </si>
  <si>
    <t>Abdullahi Bashiru</t>
  </si>
  <si>
    <t>bashirubashiru133@gmail.com</t>
  </si>
  <si>
    <t>William Stephen</t>
  </si>
  <si>
    <t>Williamstephen@1400gmail.com</t>
  </si>
  <si>
    <t>Saidu Ruth Ezekiel</t>
  </si>
  <si>
    <t>saiduruth61@gmail.com</t>
  </si>
  <si>
    <t>Muktar salisu umar</t>
  </si>
  <si>
    <t>muktarsalisu89@gmail.com</t>
  </si>
  <si>
    <t>JONATHAN FRANCISCA</t>
  </si>
  <si>
    <t>franciscajonathan131@gmail.com</t>
  </si>
  <si>
    <t>Marriage</t>
  </si>
  <si>
    <t>Abubakar Binta</t>
  </si>
  <si>
    <t>abubakarbintazzzz@gmail.com</t>
  </si>
  <si>
    <t>Bida Efu madami</t>
  </si>
  <si>
    <t>Iheji Chidera marycynthia</t>
  </si>
  <si>
    <t>ihejichidera88@gmail.com</t>
  </si>
  <si>
    <t>Suieja</t>
  </si>
  <si>
    <t>Usman Muhammad Tayi</t>
  </si>
  <si>
    <t>usmantayimuhammad11@gmail.com</t>
  </si>
  <si>
    <t>Ekebuike Joseph Chukwuemeka</t>
  </si>
  <si>
    <t>ekejose@gmail.com</t>
  </si>
  <si>
    <t>Etche</t>
  </si>
  <si>
    <t>Ogundipe Yetunde Tawakilt</t>
  </si>
  <si>
    <t>olajumokeyetunde2@gmail.com</t>
  </si>
  <si>
    <t>Duru Chioma</t>
  </si>
  <si>
    <t>chiomaduru749@gmail.com</t>
  </si>
  <si>
    <t>Birth place</t>
  </si>
  <si>
    <t>Ibraju</t>
  </si>
  <si>
    <t>hopeibraju@gmail.com</t>
  </si>
  <si>
    <t>Ogba/egbema/ndoni local government Area</t>
  </si>
  <si>
    <t>Adewara Joses</t>
  </si>
  <si>
    <t>adewarajoses111@gmail.com</t>
  </si>
  <si>
    <t>YUSUF BAWA ADAMU</t>
  </si>
  <si>
    <t>yusufadamubawakh@gmail.com</t>
  </si>
  <si>
    <t>IBU, RICHARD OMEKA</t>
  </si>
  <si>
    <t>dr.richardibu@gmail.com</t>
  </si>
  <si>
    <t>Baba Isyaka</t>
  </si>
  <si>
    <t>babaisyaka98@gmail.com</t>
  </si>
  <si>
    <t>Abdulbasir Lawal</t>
  </si>
  <si>
    <t>danyariabdulbasir@gmail.com</t>
  </si>
  <si>
    <t>IDRIS AYUBA</t>
  </si>
  <si>
    <t>idrisayubasuleman12@gmail.com</t>
  </si>
  <si>
    <t>Nassarawa LG area</t>
  </si>
  <si>
    <t>Ogechi precious ugorji</t>
  </si>
  <si>
    <t>ugorji06precious@gmail.com</t>
  </si>
  <si>
    <t>AKPAN, AKWAOWO OKON</t>
  </si>
  <si>
    <t>akwaowoabasi@gmail.com</t>
  </si>
  <si>
    <t>Ayuba Gamba Abednego</t>
  </si>
  <si>
    <t>abednegogamba1@gmail.com</t>
  </si>
  <si>
    <t>Zulkiful Aisha Saleh</t>
  </si>
  <si>
    <t>aishazsale@gmail.com</t>
  </si>
  <si>
    <t>Aliyu Wando Suleiman</t>
  </si>
  <si>
    <t>bisallahjrwando@gmail.com</t>
  </si>
  <si>
    <t>Bassey Ebreye Adat</t>
  </si>
  <si>
    <t>ebydollars84@gmail.com</t>
  </si>
  <si>
    <t>OBIO/ AKPOR LGA</t>
  </si>
  <si>
    <t>Muhammad Kachallah</t>
  </si>
  <si>
    <t>muhdkc31@gmail.com</t>
  </si>
  <si>
    <t>Tarmuwa</t>
  </si>
  <si>
    <t>Abdullahi Mahmud</t>
  </si>
  <si>
    <t>mahmudabdullahi51@gmail.com</t>
  </si>
  <si>
    <t>Magma Local Government Niger State</t>
  </si>
  <si>
    <t>Ifegbuike</t>
  </si>
  <si>
    <t>seraphimchinyere@gmail.com</t>
  </si>
  <si>
    <t>Bilya Jibo Ahmad</t>
  </si>
  <si>
    <t>jibobilya73@gmail.com</t>
  </si>
  <si>
    <t>OKPE MARTINS</t>
  </si>
  <si>
    <t>martinsokpe772@gmail.com</t>
  </si>
  <si>
    <t>Andotan Elizabeth</t>
  </si>
  <si>
    <t>andotanelizabeth501@gmail.com</t>
  </si>
  <si>
    <t>Sulaiman Abdullahi Abdullahi</t>
  </si>
  <si>
    <t>kwajale3000@gmail.com</t>
  </si>
  <si>
    <t>Zubairu Mohammed Tauheed</t>
  </si>
  <si>
    <t>Aniagu Peace Adaeze</t>
  </si>
  <si>
    <t>aniagupeace7@gmail.com</t>
  </si>
  <si>
    <t>Nkanu West Local Government Area</t>
  </si>
  <si>
    <t>Onok Ryan Ekare</t>
  </si>
  <si>
    <t>rianekare26@gmail.com</t>
  </si>
  <si>
    <t>Madaki Abdulaziz Isa</t>
  </si>
  <si>
    <t>madakiabdul93@gmail.com</t>
  </si>
  <si>
    <t>Ifeoma Eze Nuela</t>
  </si>
  <si>
    <t>arinzefavou@gmail.com</t>
  </si>
  <si>
    <t>Muhammad Ibrahim Abdulkadir</t>
  </si>
  <si>
    <t>haneeph0023@gmail.com</t>
  </si>
  <si>
    <t>Chidobem Paul Chidindu</t>
  </si>
  <si>
    <t>paulchidobem@gmail.com</t>
  </si>
  <si>
    <t>Enyioma</t>
  </si>
  <si>
    <t>evansenyiomac@gmail.com</t>
  </si>
  <si>
    <t>Gambo Yakubu</t>
  </si>
  <si>
    <t>jiagovic@gmail.com</t>
  </si>
  <si>
    <t>Askira uba</t>
  </si>
  <si>
    <t>Saleh Ibrahim Malam</t>
  </si>
  <si>
    <t>ibrahimlozy5699@gmail.com</t>
  </si>
  <si>
    <t>FUNAKAYE</t>
  </si>
  <si>
    <t>Saleh Anas</t>
  </si>
  <si>
    <t>anasssaleh70@gmail.com</t>
  </si>
  <si>
    <t>Umar Bilal Adamu</t>
  </si>
  <si>
    <t>bilalumar010@gmail.com</t>
  </si>
  <si>
    <t>Oha Blessing Chinyere</t>
  </si>
  <si>
    <t>bchinyere67@gmail.com</t>
  </si>
  <si>
    <t>Aliyu Muhammad</t>
  </si>
  <si>
    <t>aliyumuhammad1408@gmail.com</t>
  </si>
  <si>
    <t>Joseph Sunday Olabisi</t>
  </si>
  <si>
    <t>Sunnyade243@gmail.com</t>
  </si>
  <si>
    <t>Ugwu Chizoba Ogechukwu</t>
  </si>
  <si>
    <t>chizobaugwu126@gmail.com</t>
  </si>
  <si>
    <t>Benjamin, Emmanuel C.</t>
  </si>
  <si>
    <t>megabyte2018bc@gmail.com</t>
  </si>
  <si>
    <t>Salau Yunus Olasunkanmi</t>
  </si>
  <si>
    <t>salauyunus85@gmail.com</t>
  </si>
  <si>
    <t>Uchegbulam Chidera Gloria</t>
  </si>
  <si>
    <t>excel4reality@gmail.com</t>
  </si>
  <si>
    <t>Obioakpor</t>
  </si>
  <si>
    <t>ABDULSALAM ZAKARIYAU</t>
  </si>
  <si>
    <t>abdulsalamzakariyau97@gmail.com</t>
  </si>
  <si>
    <t>Agada Gloria</t>
  </si>
  <si>
    <t>agadagloria@gmail.com</t>
  </si>
  <si>
    <t>David Kayode Junior</t>
  </si>
  <si>
    <t>davekayjnr@gmail.com</t>
  </si>
  <si>
    <t>Sanusi Abdullahi</t>
  </si>
  <si>
    <t>abbanwalid111@gmail.com</t>
  </si>
  <si>
    <t>Kware Local Government, Sokoto State</t>
  </si>
  <si>
    <t>Duru Eberechi Racheal</t>
  </si>
  <si>
    <t>annabeleberechi321@gmail.com</t>
  </si>
  <si>
    <t>Oyigbo</t>
  </si>
  <si>
    <t>Obed Kurginam Medan</t>
  </si>
  <si>
    <t>kurginamobed35@gmail.com</t>
  </si>
  <si>
    <t>Sadiya Abubakar</t>
  </si>
  <si>
    <t>sadiyaabubakar19@gmail.com</t>
  </si>
  <si>
    <t>ABDULFATAI ABDULMAJID</t>
  </si>
  <si>
    <t>abdulmajid7484@gmail.com</t>
  </si>
  <si>
    <t>Ahmed Peter oloche</t>
  </si>
  <si>
    <t>ahmedpeter1996@gmail.com</t>
  </si>
  <si>
    <t>Sulaja</t>
  </si>
  <si>
    <t>AGUNBIADE ADEBAYO DANIEL</t>
  </si>
  <si>
    <t>donoluwatowo@gmail.com</t>
  </si>
  <si>
    <t>Ukwueze, Chinweokwu O'Brien</t>
  </si>
  <si>
    <t>obrienchinwe@gmail.com</t>
  </si>
  <si>
    <t>Indigenous Resident</t>
  </si>
  <si>
    <t>OWEIFAGHAWARI PROSPER DINIPRE</t>
  </si>
  <si>
    <t>prosperoweifawari@gmail.com</t>
  </si>
  <si>
    <t>KOLOKUMA/OPOKUMA</t>
  </si>
  <si>
    <t>YAU MUHAMMAD SANI</t>
  </si>
  <si>
    <t>emwhyesbichigraphics@gmail.com</t>
  </si>
  <si>
    <t>Chinedu Chidiebere Kosi</t>
  </si>
  <si>
    <t>chineduchidiebere14@gmail.com</t>
  </si>
  <si>
    <t>Musa isah Aliyu</t>
  </si>
  <si>
    <t>isahmusadoka7@gmail.com</t>
  </si>
  <si>
    <t>Tiga</t>
  </si>
  <si>
    <t>Umar Hajara Mohammad</t>
  </si>
  <si>
    <t>hajaraumar88@gmail.com</t>
  </si>
  <si>
    <t>Edeh chukwuka Ernest</t>
  </si>
  <si>
    <t>ernestchuka8@gmail.com</t>
  </si>
  <si>
    <t>Madu Joseph Chinedu</t>
  </si>
  <si>
    <t>madujoseph.c@gmail.com</t>
  </si>
  <si>
    <t>Enugu North LGA</t>
  </si>
  <si>
    <t>ALIYU ABDULLAHI WAMBAI</t>
  </si>
  <si>
    <t>Ahmad Abdullahi</t>
  </si>
  <si>
    <t>ahmadabdullahi8542@gmail.com</t>
  </si>
  <si>
    <t>Albert jude</t>
  </si>
  <si>
    <t>judealbert1364@gmail.com</t>
  </si>
  <si>
    <t>Kaura</t>
  </si>
  <si>
    <t>Daniyan Abubakar yahaya</t>
  </si>
  <si>
    <t>abubakardaniyan0@gmail.com</t>
  </si>
  <si>
    <t>Hassan, Mian Hamza</t>
  </si>
  <si>
    <t>hafizhamza1992@gmail.com</t>
  </si>
  <si>
    <t>Punjab</t>
  </si>
  <si>
    <t>RABIU MUHAMMAD MUHAMMAD</t>
  </si>
  <si>
    <t>muhammadrm603@gmail.com</t>
  </si>
  <si>
    <t>Okafor Tochukwu Alexander</t>
  </si>
  <si>
    <t>tochukwualexokafor@gmail.com</t>
  </si>
  <si>
    <t>OLANIYAN TOSIN ELIJAH</t>
  </si>
  <si>
    <t>tabbikubbhealth@gmail.com</t>
  </si>
  <si>
    <t>SULEIMAN ALHASSAN</t>
  </si>
  <si>
    <t>asuleiman124@gmail.com</t>
  </si>
  <si>
    <t>Yakubu Nurudeen Jikuchi</t>
  </si>
  <si>
    <t>ynura98@gmail.com</t>
  </si>
  <si>
    <t>JIBRIN UMMUKULTHUM JEMAKU</t>
  </si>
  <si>
    <t>ummukulthumjemakujibrin@gmail.com</t>
  </si>
  <si>
    <t>Naziru</t>
  </si>
  <si>
    <t>mdblelema@gmail.com</t>
  </si>
  <si>
    <t>Adam abdulkadir Muhammad</t>
  </si>
  <si>
    <t>abdulkadiradammuhammad5@gmail.com</t>
  </si>
  <si>
    <t>Laki Francisca Nyalian</t>
  </si>
  <si>
    <t>franciscanyalianlaki@gmail.com</t>
  </si>
  <si>
    <t>Asadu Euphemia Chekwube</t>
  </si>
  <si>
    <t>asaspecialchek@gmail.com</t>
  </si>
  <si>
    <t>Osor Sheila</t>
  </si>
  <si>
    <t>sheilaosor@gmail.com</t>
  </si>
  <si>
    <t>Muktar Mohammed</t>
  </si>
  <si>
    <t>muktarmohammed023@gmail.com</t>
  </si>
  <si>
    <t>Wudel</t>
  </si>
  <si>
    <t>Muhammad Kobo Muhammad</t>
  </si>
  <si>
    <t>muhammadkobo476@gmail.com</t>
  </si>
  <si>
    <t>Murtala Adamu</t>
  </si>
  <si>
    <t>murtalaadamu39011@gmail.com</t>
  </si>
  <si>
    <t>Bassey Queen Iniobong</t>
  </si>
  <si>
    <t>qnbassey99@gmail.com</t>
  </si>
  <si>
    <t>Masaudu shehu</t>
  </si>
  <si>
    <t>abusurayyah08@gmail.com</t>
  </si>
  <si>
    <t>Murtala Umar Abdulhakim</t>
  </si>
  <si>
    <t>abdulhakimmurtala207@gmail.com</t>
  </si>
  <si>
    <t>Turaki Abba Aminu</t>
  </si>
  <si>
    <t>turakiaminuabba21@gmail.com</t>
  </si>
  <si>
    <t>Lawal Abdullahi</t>
  </si>
  <si>
    <t>abdullahilawalts@gmail.com</t>
  </si>
  <si>
    <t>Batagarawa</t>
  </si>
  <si>
    <t>ALIYU NAZIF</t>
  </si>
  <si>
    <t>nazeefaliyu4real@gmail.com</t>
  </si>
  <si>
    <t>Idris Muhammad Idris</t>
  </si>
  <si>
    <t>idrismuhammadidris894@gmail.com</t>
  </si>
  <si>
    <t>Abdulkadir Abubakar Nma</t>
  </si>
  <si>
    <t>nabubakar007@gmail.com</t>
  </si>
  <si>
    <t>BIDA NIGER STATE</t>
  </si>
  <si>
    <t>Clement mafeng Roseline</t>
  </si>
  <si>
    <t>mafengroseline@gmail.com</t>
  </si>
  <si>
    <t>Suleiman Ibrahim Maina</t>
  </si>
  <si>
    <t>ibrahimsuleiman885@gmail.com</t>
  </si>
  <si>
    <t>Kano metropolitan</t>
  </si>
  <si>
    <t>Amos Suleiman</t>
  </si>
  <si>
    <t>suleimanamos3@gmail.com</t>
  </si>
  <si>
    <t>Mukhtar Abdullahi Adamu</t>
  </si>
  <si>
    <t>abdolltg@gmail.com</t>
  </si>
  <si>
    <t>Ismaila Opemi Nafisah</t>
  </si>
  <si>
    <t>nusaibaibis@gmail.com</t>
  </si>
  <si>
    <t>Idris Isyaku</t>
  </si>
  <si>
    <t>isyak247@gmail.com</t>
  </si>
  <si>
    <t>Usman Suleiman Abubakar</t>
  </si>
  <si>
    <t>usuleiman674@gmail.com</t>
  </si>
  <si>
    <t>Suleiman Ahmed</t>
  </si>
  <si>
    <t>ahmed200905602@gmail.com</t>
  </si>
  <si>
    <t>Kwanboso</t>
  </si>
  <si>
    <t>Nasiru Aminu</t>
  </si>
  <si>
    <t>aminunasiru893@gmail.com</t>
  </si>
  <si>
    <t>Mudassir Aliyu Ibrahim</t>
  </si>
  <si>
    <t>mudassiraliyu50@gmail.com</t>
  </si>
  <si>
    <t>Mohammed Mohammed Bitagi</t>
  </si>
  <si>
    <t>mmohammedbitagi@gmail.com</t>
  </si>
  <si>
    <t>Yakubu Ibrahim</t>
  </si>
  <si>
    <t>daddyahmad98@gmail.com</t>
  </si>
  <si>
    <t>Isah</t>
  </si>
  <si>
    <t>abdulmalik4isah@gmail.com</t>
  </si>
  <si>
    <t>IBRAHIM UMAR</t>
  </si>
  <si>
    <t>umaribrahim769@gmail.com</t>
  </si>
  <si>
    <t>Giade</t>
  </si>
  <si>
    <t>Abdullahi Isah Hassan</t>
  </si>
  <si>
    <t>abdullahiisahhassan26@gmail.com</t>
  </si>
  <si>
    <t>Kutama Muhammad Ibrahim</t>
  </si>
  <si>
    <t>meekutama@gmail.com</t>
  </si>
  <si>
    <t>Mukaila Abdulrashid</t>
  </si>
  <si>
    <t>mukailaabdulrashid77@gmail.com</t>
  </si>
  <si>
    <t>Amir idris</t>
  </si>
  <si>
    <t>amiridriss.kafi@gmail.com</t>
  </si>
  <si>
    <t>YAHAYA SHEHU</t>
  </si>
  <si>
    <t>yshehu313@gmail.com</t>
  </si>
  <si>
    <t>anwartijjani18@gmail.com</t>
  </si>
  <si>
    <t>Yusuf Bello</t>
  </si>
  <si>
    <t>belloyusufdikko@gmail.com</t>
  </si>
  <si>
    <t>Muhammad Yusuf Nasir</t>
  </si>
  <si>
    <t>yusufnasir221@gmail.com</t>
  </si>
  <si>
    <t>mohammed07014@gmail.com</t>
  </si>
  <si>
    <t>Abubakar idris</t>
  </si>
  <si>
    <t>abubakaridrisfta@gmail.com</t>
  </si>
  <si>
    <t>Junaidu Abubakar</t>
  </si>
  <si>
    <t>abubakarjunaid426@gmail.com</t>
  </si>
  <si>
    <t>Saminu Muhammad</t>
  </si>
  <si>
    <t>msaminusabo10@gmail.com</t>
  </si>
  <si>
    <t>Ahmad Abubakar Mu'azu</t>
  </si>
  <si>
    <t>abbakarahmad086@gmail.com</t>
  </si>
  <si>
    <t>Hassan umaru</t>
  </si>
  <si>
    <t>hassanumaru1995@gmail.com</t>
  </si>
  <si>
    <t>Safiyanu Bello</t>
  </si>
  <si>
    <t>bellosafiyanu8@gmail.com</t>
  </si>
  <si>
    <t>Nuradeen Ishaq Abdulmumin</t>
  </si>
  <si>
    <t>ishaqnuradeen84@gmail.com</t>
  </si>
  <si>
    <t>GARZALI AHMAD MUSA</t>
  </si>
  <si>
    <t>ahmadgarzali@gmail.com</t>
  </si>
  <si>
    <t>Nabil Ismail Ismail</t>
  </si>
  <si>
    <t>ismailnabeel91@gmail.com</t>
  </si>
  <si>
    <t>Suleiman haruna</t>
  </si>
  <si>
    <t>hsuleimanha@gmail.com</t>
  </si>
  <si>
    <t>Kabir Sumayya</t>
  </si>
  <si>
    <t>sumayyakabir72@gmail.com</t>
  </si>
  <si>
    <t>Umoh, Abundant-grace Ime</t>
  </si>
  <si>
    <t>graceumoh1234@gmail.com</t>
  </si>
  <si>
    <t>ABDULLAHI IBRAHIM</t>
  </si>
  <si>
    <t>ibrahimabdullahi0392@gmail.com</t>
  </si>
  <si>
    <t>Majin Idris mohammed</t>
  </si>
  <si>
    <t>idrismmajin@gmail.com</t>
  </si>
  <si>
    <t>Muhammad Abdulyassar Aminu</t>
  </si>
  <si>
    <t>aminuam9718@gmail.com</t>
  </si>
  <si>
    <t>Umaru Alhaji Umaru</t>
  </si>
  <si>
    <t>umaruumaru8@gmail.com</t>
  </si>
  <si>
    <t>Alughnan Faith Nguyilan</t>
  </si>
  <si>
    <t>alughnanfaith@gmail.com</t>
  </si>
  <si>
    <t>Usman Jibrin Alhaji</t>
  </si>
  <si>
    <t>jibrilauloko90@gmail.com</t>
  </si>
  <si>
    <t>Garba Ibrahim juji</t>
  </si>
  <si>
    <t>ibrahimjujigarba@gmail.com</t>
  </si>
  <si>
    <t>murtalaabubakarh@gmail.com</t>
  </si>
  <si>
    <t>Maaji Mobki Kushi</t>
  </si>
  <si>
    <t>Mobsonmm24@gmail.com</t>
  </si>
  <si>
    <t>Bichih</t>
  </si>
  <si>
    <t>Abdul Faridat mudansir</t>
  </si>
  <si>
    <t>faridatabdulmumin98@gmail.com</t>
  </si>
  <si>
    <t>ADO ABDULMUSAWWIR ABBA</t>
  </si>
  <si>
    <t>abduadoabba6867@gmail.com</t>
  </si>
  <si>
    <t>TAFA</t>
  </si>
  <si>
    <t>Abdurrahaman salisu</t>
  </si>
  <si>
    <t>abdurrahamansalisushehu@gmail.com</t>
  </si>
  <si>
    <t>Malumfashi</t>
  </si>
  <si>
    <t>From KATSINA</t>
  </si>
  <si>
    <t>SALISU DAUDA</t>
  </si>
  <si>
    <t>salisudaudaningi@gmail.com</t>
  </si>
  <si>
    <t>Suleiman Rahinatu</t>
  </si>
  <si>
    <t>rahinasuleiman@gmail.com</t>
  </si>
  <si>
    <t>Edwin Lawrence Arinze</t>
  </si>
  <si>
    <t>arinzeledwin@gmail.com</t>
  </si>
  <si>
    <t>Aisha abubakar dangi</t>
  </si>
  <si>
    <t>aishaabubakardangi05@gmail.com</t>
  </si>
  <si>
    <t>Abdurrahman Sadam</t>
  </si>
  <si>
    <t>sadamabdurrahman120@gmail.com</t>
  </si>
  <si>
    <t>Ibrahim Etsuman Khadijat</t>
  </si>
  <si>
    <t>ibrahimetsumankhadijat@gmail.com</t>
  </si>
  <si>
    <t>Lawi ahmad mahmud</t>
  </si>
  <si>
    <t>lawiahmadmahmud386@gmail.com</t>
  </si>
  <si>
    <t>Ibrahim umar turaki</t>
  </si>
  <si>
    <t>turakiumar17@gmail.com</t>
  </si>
  <si>
    <t>Abdulsalam Maryam</t>
  </si>
  <si>
    <t>pinkishstar039@gmail.com</t>
  </si>
  <si>
    <t>Aliyu Idris</t>
  </si>
  <si>
    <t>idrisaliyu1162@gmail.com</t>
  </si>
  <si>
    <t>IDRIS SALISU</t>
  </si>
  <si>
    <t>salisuidrisbakane@gmail.com</t>
  </si>
  <si>
    <t>Nafiu Ibrahim Wakili</t>
  </si>
  <si>
    <t>nafiuibrahimwakili@gmail.com</t>
  </si>
  <si>
    <t>Suleiman Muhammed Ibrahim</t>
  </si>
  <si>
    <t>muhammedsuleimanibrahim@gmail.com</t>
  </si>
  <si>
    <t>Damaturu</t>
  </si>
  <si>
    <t>Adamu Abdullahi Babangida</t>
  </si>
  <si>
    <t>abdullahiadamukeri@gmail.com</t>
  </si>
  <si>
    <t>Ibrahim Rabiu</t>
  </si>
  <si>
    <t>ibrahimrabiuauwerlburumburum@gmail.com</t>
  </si>
  <si>
    <t>Mohammed Abdullahi iliyasu</t>
  </si>
  <si>
    <t>miliyasu87@gmail.com</t>
  </si>
  <si>
    <t>Yunusa Hamza</t>
  </si>
  <si>
    <t>yunusahamza0267@gmail.com</t>
  </si>
  <si>
    <t>Ikpeme</t>
  </si>
  <si>
    <t>okonikpeme60@gmail.com</t>
  </si>
  <si>
    <t>Salifu ojodale David</t>
  </si>
  <si>
    <t>saldav1122@gmail.com</t>
  </si>
  <si>
    <t>Shagamu local government</t>
  </si>
  <si>
    <t>Ismail Umar Alhassan</t>
  </si>
  <si>
    <t>Umaralhassan557@gmail.com</t>
  </si>
  <si>
    <t>Alhassan Musa Usman</t>
  </si>
  <si>
    <t>alhassanusmanmusa@gmail.com</t>
  </si>
  <si>
    <t>Hamza saifullahi aliyu</t>
  </si>
  <si>
    <t>Hamzasaifullahi70@gmail.com</t>
  </si>
  <si>
    <t>Abioro Olajumoke Olamide</t>
  </si>
  <si>
    <t>abioroolamide8@gmail.com</t>
  </si>
  <si>
    <t>EZIMDINMA</t>
  </si>
  <si>
    <t>supremeezimdinma@gmail.com</t>
  </si>
  <si>
    <t>ABDULLAHI SANI</t>
  </si>
  <si>
    <t>sernyte4real@gmail.com</t>
  </si>
  <si>
    <t>Muhammed kawu</t>
  </si>
  <si>
    <t>mkawu105@gmail.com</t>
  </si>
  <si>
    <t>Gombe</t>
  </si>
  <si>
    <t>Yakubu Yazid</t>
  </si>
  <si>
    <t>yazidyakubu2020@gmail.com</t>
  </si>
  <si>
    <t>ADAMU RABIU IBRAHIM</t>
  </si>
  <si>
    <t>rabiuadamuibrahim@gmail.com</t>
  </si>
  <si>
    <t>Uzuagu Abigail Ada</t>
  </si>
  <si>
    <t>talktoabby247@gmail.com</t>
  </si>
  <si>
    <t>Sa'adatu Muhammad usman</t>
  </si>
  <si>
    <t>Muhammadsaadatuusman178@gmail.com</t>
  </si>
  <si>
    <t>Al'amin saratu</t>
  </si>
  <si>
    <t>saratualamin9@gmail.com</t>
  </si>
  <si>
    <t>Saleh Ibrahim Aliyu</t>
  </si>
  <si>
    <t>salehibrahim5009@gmail.com</t>
  </si>
  <si>
    <t>Indigenous of resident of Nigeria</t>
  </si>
  <si>
    <t>Mohammed Abubakar Idris</t>
  </si>
  <si>
    <t>xclusivemo322@gmail.com</t>
  </si>
  <si>
    <t>Ahmad Umar Abubakar</t>
  </si>
  <si>
    <t>ubindawa@gmail.com</t>
  </si>
  <si>
    <t>Tsanyawa</t>
  </si>
  <si>
    <t>Umar Naziru Muhammad</t>
  </si>
  <si>
    <t>info.num4h@gmail.com</t>
  </si>
  <si>
    <t>Lauwasi Musa</t>
  </si>
  <si>
    <t>musalauwasi@gmail.com</t>
  </si>
  <si>
    <t>Maharazu Abubakar Namadi</t>
  </si>
  <si>
    <t>abubakarmaharazu12@gmail.com</t>
  </si>
  <si>
    <t>Nwachukwu Joseph</t>
  </si>
  <si>
    <t>sirjosephson24@gmail.com</t>
  </si>
  <si>
    <t>Odoh Chidinma Kendra</t>
  </si>
  <si>
    <t>kendrachidinma1@gmail.com</t>
  </si>
  <si>
    <t>Hamidu Gideon Mshelizah</t>
  </si>
  <si>
    <t>mgidex@gmail.com</t>
  </si>
  <si>
    <t>Bello Hauwau</t>
  </si>
  <si>
    <t>sahweeplus@gmail.com</t>
  </si>
  <si>
    <t>Onungwa</t>
  </si>
  <si>
    <t>julietonungwa@gmail.com</t>
  </si>
  <si>
    <t>Osisioma</t>
  </si>
  <si>
    <t>SULEMAN ADAMU</t>
  </si>
  <si>
    <t>adamusulemanone@gmail.com</t>
  </si>
  <si>
    <t>Alhassan sheshi Muhammad</t>
  </si>
  <si>
    <t>alhassansheshi774@gmail.com</t>
  </si>
  <si>
    <t>muhammadsaniabdul2597@gmail.com</t>
  </si>
  <si>
    <t>yahayaabdullahi1996@gmail.com</t>
  </si>
  <si>
    <t>Muhammad Idriss Gambo</t>
  </si>
  <si>
    <t>eedressmuhammad3531@gmail.com</t>
  </si>
  <si>
    <t>Adamu Jajere Umar</t>
  </si>
  <si>
    <t>abuahmadjajerean@gmail.com</t>
  </si>
  <si>
    <t>Muhammad Yusuf Buhari</t>
  </si>
  <si>
    <t>yusufmuhammadbuhari2000@gmail.com</t>
  </si>
  <si>
    <t>Mukhtar Rukayya aliyu</t>
  </si>
  <si>
    <t>rukayyamukhtaraliyu@gmail.com</t>
  </si>
  <si>
    <t>abuqudama508@gmail.com</t>
  </si>
  <si>
    <t>Zainab Auwal Tahir</t>
  </si>
  <si>
    <t>zgoldauwal@gmail.com</t>
  </si>
  <si>
    <t>Jamilu Garba Abdullahi</t>
  </si>
  <si>
    <t>jamilugarbaabdullahi@gmail.com</t>
  </si>
  <si>
    <t>Muhammad Aminu Tijjani</t>
  </si>
  <si>
    <t>muhammadaminutijjani992@gmail.com</t>
  </si>
  <si>
    <t>Isa Abdurrahman Auwal</t>
  </si>
  <si>
    <t>aaisa9013@gmail.com</t>
  </si>
  <si>
    <t>Ahmad yau</t>
  </si>
  <si>
    <t>yauahmad506@gmail.com</t>
  </si>
  <si>
    <t>Sheka</t>
  </si>
  <si>
    <t>Aliyu Abubakar</t>
  </si>
  <si>
    <t>abubakaraliyu6699@gmail.com</t>
  </si>
  <si>
    <t>Opara Peace</t>
  </si>
  <si>
    <t>hermosahava@gmail.com</t>
  </si>
  <si>
    <t>Non-indigenous resident</t>
  </si>
  <si>
    <t>Nuhu Muhammad Anas</t>
  </si>
  <si>
    <t>muhammadanaskano466@gmail.com</t>
  </si>
  <si>
    <t>Shehu Al-amin Bala</t>
  </si>
  <si>
    <t>alaminshehubala748@gmail.com</t>
  </si>
  <si>
    <t>Ubelmbuo Christopher Shitabale</t>
  </si>
  <si>
    <t>ubelmbuochristopher222@gmail.com</t>
  </si>
  <si>
    <t>Musa Jamilu</t>
  </si>
  <si>
    <t>musabellojamilu@gmail.com</t>
  </si>
  <si>
    <t>Usman Muhammad Mubarak</t>
  </si>
  <si>
    <t>mbizzmuhd23@gmail.com</t>
  </si>
  <si>
    <t>Seyoji Jamila Adam</t>
  </si>
  <si>
    <t>jamilaseyoji4848@gmail.com</t>
  </si>
  <si>
    <t>Dala local government</t>
  </si>
  <si>
    <t>Abdulsalam Isah</t>
  </si>
  <si>
    <t>isahabdulsalam1998@gmail.com</t>
  </si>
  <si>
    <t>Magama LGA</t>
  </si>
  <si>
    <t>Garba Rabiu</t>
  </si>
  <si>
    <t>rabiugarba089@gmail.com</t>
  </si>
  <si>
    <t>Umar Abdullahi</t>
  </si>
  <si>
    <t>basugani311@gmail.com</t>
  </si>
  <si>
    <t>Iliya</t>
  </si>
  <si>
    <t>yahayailiya1990@gmail.com</t>
  </si>
  <si>
    <t>Isyaku Hamisu</t>
  </si>
  <si>
    <t>hamisuisyaku55@gmail.com</t>
  </si>
  <si>
    <t>SAADULLAHI MUHAMMAD NURA</t>
  </si>
  <si>
    <t>saadullahnura@gmail.com</t>
  </si>
  <si>
    <t>Abubakar Salisu</t>
  </si>
  <si>
    <t>abusalis6801@gmail.com</t>
  </si>
  <si>
    <t>Musa Hauwa Aminu</t>
  </si>
  <si>
    <t>amyrahamyn@gmail.com</t>
  </si>
  <si>
    <t>Dan Adandan Habiba</t>
  </si>
  <si>
    <t>misshabiba93@gmail.com</t>
  </si>
  <si>
    <t>Muhammad Bala najibullah</t>
  </si>
  <si>
    <t>najibullahmocororo@gmail.com</t>
  </si>
  <si>
    <t>Rabiu Umar</t>
  </si>
  <si>
    <t>rabiuu767@gmail.com</t>
  </si>
  <si>
    <t>Musa Tela Isah</t>
  </si>
  <si>
    <t>musaisah786@gmail.com</t>
  </si>
  <si>
    <t>ungoggo</t>
  </si>
  <si>
    <t>Amsami kalo</t>
  </si>
  <si>
    <t>kaloamsami@gmail.com</t>
  </si>
  <si>
    <t>MUKHTAR ABDULKADIR</t>
  </si>
  <si>
    <t>abdulkadirmukhtar2000@gmail.com</t>
  </si>
  <si>
    <t>ABBAS BADAMASI</t>
  </si>
  <si>
    <t>abbasbadamasidanmarabu@gmail.com</t>
  </si>
  <si>
    <t>Kankara</t>
  </si>
  <si>
    <t>Maina bukar</t>
  </si>
  <si>
    <t>mainabukar6545@gmail.com</t>
  </si>
  <si>
    <t>Machina</t>
  </si>
  <si>
    <t>Kasali Fatai</t>
  </si>
  <si>
    <t>iamfataikasali@gmail.com</t>
  </si>
  <si>
    <t>Jibril Najaatu Nuhu</t>
  </si>
  <si>
    <t>najaatujibrilnuhu@gmail.com</t>
  </si>
  <si>
    <t>Ashiru Abubakar</t>
  </si>
  <si>
    <t>asheerabbakar@gmail.com</t>
  </si>
  <si>
    <t>ISAH MALAM ALI</t>
  </si>
  <si>
    <t>isahmali513@gmail.com</t>
  </si>
  <si>
    <t>Mustapha Ahmed koji</t>
  </si>
  <si>
    <t>ahmedwalker552@gmail.com</t>
  </si>
  <si>
    <t>Sagnarigu</t>
  </si>
  <si>
    <t>Am a Ghanaian</t>
  </si>
  <si>
    <t>Muhsina</t>
  </si>
  <si>
    <t>Muhsinaidris294@gmail.com</t>
  </si>
  <si>
    <t>Akim</t>
  </si>
  <si>
    <t>Hasan adamu idriss</t>
  </si>
  <si>
    <t>hassangeeadamu@gmail.com</t>
  </si>
  <si>
    <t>POS</t>
  </si>
  <si>
    <t>Mamman Haruna Alharun</t>
  </si>
  <si>
    <t>mammanalharunbackup@gmail.com</t>
  </si>
  <si>
    <t>Sulaiman usman</t>
  </si>
  <si>
    <t>usmansulaiman7070@gmail.com</t>
  </si>
  <si>
    <t>Nasir Fatima</t>
  </si>
  <si>
    <t>zarahfateemahnasir@gmail.com</t>
  </si>
  <si>
    <t>Ungogo, Kano State</t>
  </si>
  <si>
    <t>IGE Oluwasegun Hezekiah</t>
  </si>
  <si>
    <t>igeolasegunblessing@gmail.com</t>
  </si>
  <si>
    <t>Alhaji musa Ahmed</t>
  </si>
  <si>
    <t>ahmedmusasy001@gmail.com</t>
  </si>
  <si>
    <t>muhammadibrahim8866@gmail.com</t>
  </si>
  <si>
    <t>Salim Jibrin Haladu</t>
  </si>
  <si>
    <t>khaleedsaleemjibrin@gmail.com</t>
  </si>
  <si>
    <t>aliyuyusufhim1991@gmail.com</t>
  </si>
  <si>
    <t>Ibrahim sani gambo</t>
  </si>
  <si>
    <t>whereissani@outlook.com</t>
  </si>
  <si>
    <t>Zahraddeen Musa</t>
  </si>
  <si>
    <t>deneemusa@gmail.com</t>
  </si>
  <si>
    <t>Shonde</t>
  </si>
  <si>
    <t>shondeolufemi8@gmail.com</t>
  </si>
  <si>
    <t>Muhammad Bello Ahmad</t>
  </si>
  <si>
    <t>ahmadmbello16@gmail.com</t>
  </si>
  <si>
    <t>Nura Musa</t>
  </si>
  <si>
    <t>musanura1997@gmail.com</t>
  </si>
  <si>
    <t>Isa</t>
  </si>
  <si>
    <t>mkyusuf89@gmail.com</t>
  </si>
  <si>
    <t>ALIYU SAIFULLAHI</t>
  </si>
  <si>
    <t>aliyusaifullahi66@gmail.com</t>
  </si>
  <si>
    <t>Yusuf Adamu</t>
  </si>
  <si>
    <t>adamuyusuf258@gmail.com</t>
  </si>
  <si>
    <t>Malam Madori</t>
  </si>
  <si>
    <t>abdullahiumarshehu001@gmail.com</t>
  </si>
  <si>
    <t>Jibrin lawal</t>
  </si>
  <si>
    <t>lawaljibrin1779@gmail.com</t>
  </si>
  <si>
    <t>Idris Haruna Abdullahi</t>
  </si>
  <si>
    <t>harunaidrisabdullahi0@gmail.com</t>
  </si>
  <si>
    <t>Mustapha Abba</t>
  </si>
  <si>
    <t>mustaphababba0@gmail.com</t>
  </si>
  <si>
    <t>Muhammad Abubakar Mustapha</t>
  </si>
  <si>
    <t>alameenalbidawiy@gmail.com</t>
  </si>
  <si>
    <t>Hussaini Aliyu Abubakar</t>
  </si>
  <si>
    <t>aliyuhussainiabubakar@gmail.com</t>
  </si>
  <si>
    <t>Potiskum</t>
  </si>
  <si>
    <t>Abubakar Dogo Muhammad</t>
  </si>
  <si>
    <t>muhammadabubakardogo@gmail.com</t>
  </si>
  <si>
    <t>Bauchi State</t>
  </si>
  <si>
    <t>Adekunle Kehinde Haleemat</t>
  </si>
  <si>
    <t>adekunlehaleemat@gmail.com</t>
  </si>
  <si>
    <t>Nicholas Comfort</t>
  </si>
  <si>
    <t>ziyalen3114@gmail.com</t>
  </si>
  <si>
    <t>Ahmed madu</t>
  </si>
  <si>
    <t>ahmedmadufika@gmail.com</t>
  </si>
  <si>
    <t>Fika LGA</t>
  </si>
  <si>
    <t>Ali Mujahid Yakubu</t>
  </si>
  <si>
    <t>mujahidaliyakubu80@gmail.com</t>
  </si>
  <si>
    <t>Sani Abdulmajid Danladi</t>
  </si>
  <si>
    <t>abdulmajidsanidanladi77@gmail.com</t>
  </si>
  <si>
    <t>Yahaya Ahmad Alhassan</t>
  </si>
  <si>
    <t>yahayaah4@gmail.com</t>
  </si>
  <si>
    <t>Farida Yusuf Rabiu</t>
  </si>
  <si>
    <t>faridarabiuyusuf@gmail.com</t>
  </si>
  <si>
    <t>Muhammed Isah</t>
  </si>
  <si>
    <t>isahmuhammed120@gmail.com</t>
  </si>
  <si>
    <t>Mohammed Musa</t>
  </si>
  <si>
    <t>musaabadulmumini23@gmail.com</t>
  </si>
  <si>
    <t>Abdullahi Dauda Mukhtar</t>
  </si>
  <si>
    <t>daudakebbe@gmail.com</t>
  </si>
  <si>
    <t>Kana</t>
  </si>
  <si>
    <t>Ado Abdullahi jibril</t>
  </si>
  <si>
    <t>abdullahi.adamjibril@gmail.com</t>
  </si>
  <si>
    <t>Muhammad Sani Ahmad</t>
  </si>
  <si>
    <t>balarabeyaya2018@gmail.com</t>
  </si>
  <si>
    <t>Musa Muhammad Musa</t>
  </si>
  <si>
    <t>triplem368@gmail.com</t>
  </si>
  <si>
    <t>Ibrahim Muhammad Yusuf</t>
  </si>
  <si>
    <t>muhammadibraheemyusuf1@gmail.com</t>
  </si>
  <si>
    <t>Mohammed Alhassan</t>
  </si>
  <si>
    <t>a4alhassan@gmail.com</t>
  </si>
  <si>
    <t>musaabubakar04468@gmail.com</t>
  </si>
  <si>
    <t>Medille</t>
  </si>
  <si>
    <t>Usama Aliyu</t>
  </si>
  <si>
    <t>usamaaliyu2291@mail.com</t>
  </si>
  <si>
    <t>DIAGANA Fodié</t>
  </si>
  <si>
    <t>diaganafodie6@gmail.com</t>
  </si>
  <si>
    <t>Nouakchott</t>
  </si>
  <si>
    <t>Chana Kaltum Abali</t>
  </si>
  <si>
    <t>kaltumchana97@gmail.com</t>
  </si>
  <si>
    <t>Fika</t>
  </si>
  <si>
    <t>Nura Dahiru</t>
  </si>
  <si>
    <t>nuradahiru66@gmail.com</t>
  </si>
  <si>
    <t>Gawuna</t>
  </si>
  <si>
    <t>Okoi jesam ubi</t>
  </si>
  <si>
    <t>jesamu733@gmail.com</t>
  </si>
  <si>
    <t>Lawrence jones</t>
  </si>
  <si>
    <t>ndulive4@gmail.com</t>
  </si>
  <si>
    <t>Sylvanus Ebenezer Chibuikem</t>
  </si>
  <si>
    <t>ebenezerchibuike3@gmail.com</t>
  </si>
  <si>
    <t>IDRIS SULEIMAN</t>
  </si>
  <si>
    <t>suleimanidris212@gmail.com</t>
  </si>
  <si>
    <t>Silas Sebastine</t>
  </si>
  <si>
    <t>sebastinesilas30@gmail.com</t>
  </si>
  <si>
    <t>Amina Abubakar</t>
  </si>
  <si>
    <t>meenarhj66@gmail.com</t>
  </si>
  <si>
    <t>Abubakar Muhammad</t>
  </si>
  <si>
    <t>tabubakar982@gmail.com</t>
  </si>
  <si>
    <t>Rowland folake</t>
  </si>
  <si>
    <t>folakerowland1@gmail.com</t>
  </si>
  <si>
    <t>Sunday Deborah Akpan</t>
  </si>
  <si>
    <t>debbysunday115@gmail.com</t>
  </si>
  <si>
    <t>Michael chikaodi okoro</t>
  </si>
  <si>
    <t>chikaodimichael@yahoo.com</t>
  </si>
  <si>
    <t>Solarin, Ibukun Adewale</t>
  </si>
  <si>
    <t>ibukunsolarin247@gmail.com</t>
  </si>
  <si>
    <t>Ijebu north East</t>
  </si>
  <si>
    <t>Magaji Hameerah Oluwakemi</t>
  </si>
  <si>
    <t>magajihameerah247@gmail.com</t>
  </si>
  <si>
    <t>Yakubu Abubakar Abubakar</t>
  </si>
  <si>
    <t>binyakub001@gmail.com</t>
  </si>
  <si>
    <t>Okeke Vivian Amara</t>
  </si>
  <si>
    <t>amarafaustina33@gmail.com</t>
  </si>
  <si>
    <t>Festus, Ndamzi Prosper</t>
  </si>
  <si>
    <t>ndamziprosper@gmail.com</t>
  </si>
  <si>
    <t>Obio/ Akpor</t>
  </si>
  <si>
    <t>Haruna yakubu</t>
  </si>
  <si>
    <t>loadedplanet181@gmail.com</t>
  </si>
  <si>
    <t>Muhammad mahdi abdulsalam</t>
  </si>
  <si>
    <t>muhammadamahdi0043@gmail.com</t>
  </si>
  <si>
    <t>Usman Saleh Adamu</t>
  </si>
  <si>
    <t>usmankati@gmail.com</t>
  </si>
  <si>
    <t>Ukasha Saadu</t>
  </si>
  <si>
    <t>saaduukasha66@gmail.com</t>
  </si>
  <si>
    <t>Mukhtar aminatu aliyu</t>
  </si>
  <si>
    <t>mukhtaraminatualiyu@gmail.com</t>
  </si>
  <si>
    <t>Amos Dorcas</t>
  </si>
  <si>
    <t>dorcasamos92@gmail.com</t>
  </si>
  <si>
    <t>Wakil Suleiman Saidu</t>
  </si>
  <si>
    <t>suleimansaiduwakil@gmail.com</t>
  </si>
  <si>
    <t>Abdullahi Kafilat</t>
  </si>
  <si>
    <t>kafilatabdullahi8@gmail.com</t>
  </si>
  <si>
    <t>Aminu Usman</t>
  </si>
  <si>
    <t>mkdgent@gmail.com</t>
  </si>
  <si>
    <t>Abdullahi Abubakar Bukar</t>
  </si>
  <si>
    <t>aabdullahibukar23@gmail.com</t>
  </si>
  <si>
    <t>MUHAMMAD MUHAMMAD ISHAQ</t>
  </si>
  <si>
    <t>muhammadmuhammadi0312@gmail.com</t>
  </si>
  <si>
    <t>Gujba</t>
  </si>
  <si>
    <t>Currently living in yobe state</t>
  </si>
  <si>
    <t>aliyuusman1672@gmail.com</t>
  </si>
  <si>
    <t>saddeeqgarbba@gmail.com</t>
  </si>
  <si>
    <t>Adamu Abdulkareem</t>
  </si>
  <si>
    <t>abdulkareemadamu000@gmail.com</t>
  </si>
  <si>
    <t>Abubakar Lawal</t>
  </si>
  <si>
    <t>abubakarlawal3776@gmail.com</t>
  </si>
  <si>
    <t>Muhammad nazifi sani</t>
  </si>
  <si>
    <t>nazifimuhd63@gmail.com</t>
  </si>
  <si>
    <t>Ishaku nuhu</t>
  </si>
  <si>
    <t>ishakunuhu44@gmail.com</t>
  </si>
  <si>
    <t>Amiru Zainab Aliyu</t>
  </si>
  <si>
    <t>amiruzainab73@gmail.com</t>
  </si>
  <si>
    <t>Justina Shammah Dakmun</t>
  </si>
  <si>
    <t>justinashammah29@gmail.com</t>
  </si>
  <si>
    <t>Dalhat Ibrahim</t>
  </si>
  <si>
    <t>ibrahimdalhat232629@gmail.com</t>
  </si>
  <si>
    <t>Elbashir Muhammad</t>
  </si>
  <si>
    <t>muhdelbashir12@gmail.com</t>
  </si>
  <si>
    <t>HARIRA ABDUL-AZIZ ALHASSAN</t>
  </si>
  <si>
    <t>hariraabdulazizalhassan19@gmail.com</t>
  </si>
  <si>
    <t>Dauda Abdulhafeez Bussa</t>
  </si>
  <si>
    <t>abdulhafeezdb@gmail.com</t>
  </si>
  <si>
    <t>Hassan Suleman</t>
  </si>
  <si>
    <t>sulemanhassanshg@gmail.com</t>
  </si>
  <si>
    <t>Imayo Daniel Eyo</t>
  </si>
  <si>
    <t>danyimayo22@gmail.com</t>
  </si>
  <si>
    <t>Abubakar zubairu</t>
  </si>
  <si>
    <t>azgusau4@gmail.com</t>
  </si>
  <si>
    <t>HARVESTLINKENTER@GMAIL.COM</t>
  </si>
  <si>
    <t>Ibrahim alkitab Mohammad</t>
  </si>
  <si>
    <t>alkitabmohammad@gmail.com</t>
  </si>
  <si>
    <t>Kelvin Johnson Notani</t>
  </si>
  <si>
    <t>kelvinjakes97@gmail.com</t>
  </si>
  <si>
    <t>Marvellous Chidinma Ndudim</t>
  </si>
  <si>
    <t>marvechychy66@gmail.com</t>
  </si>
  <si>
    <t>Komboso</t>
  </si>
  <si>
    <t>Mohammed Usman Olalekan</t>
  </si>
  <si>
    <t>muhammedusman189@gmail.com</t>
  </si>
  <si>
    <t>Ekwedi Oniel Odafe</t>
  </si>
  <si>
    <t>onielekwedi@gmail.com</t>
  </si>
  <si>
    <t>minna</t>
  </si>
  <si>
    <t>Chafa Aondohenba Daniel</t>
  </si>
  <si>
    <t>danielchafa58@gmail.com</t>
  </si>
  <si>
    <t>Oyalade, Timothy Ishola</t>
  </si>
  <si>
    <t>timothyoyalade@gmail.com</t>
  </si>
  <si>
    <t>Eleme LGA</t>
  </si>
  <si>
    <t>Sadiya Kuduwa</t>
  </si>
  <si>
    <t>kuduwa20@gmail.com</t>
  </si>
  <si>
    <t>Usman abdullahi muhammad</t>
  </si>
  <si>
    <t>varaneusman@gmail.com</t>
  </si>
  <si>
    <t>Bashir Aminu Nasidi</t>
  </si>
  <si>
    <t>aminunasidi4@gmail.com</t>
  </si>
  <si>
    <t>Abubakar Haruna Abdullahi</t>
  </si>
  <si>
    <t>abubakarhindabawa1@gmail.com</t>
  </si>
  <si>
    <t>Atakan Oluwafemi Folaranmi</t>
  </si>
  <si>
    <t>olufemiatakan@yahoo.com</t>
  </si>
  <si>
    <t>Oladejo Iradat Bisola</t>
  </si>
  <si>
    <t>foodiescoop25@gmail.com</t>
  </si>
  <si>
    <t>OJIRE COLLINS CHIDIEBERE</t>
  </si>
  <si>
    <t>collinsojire@gmail.com</t>
  </si>
  <si>
    <t>Emuoha</t>
  </si>
  <si>
    <t>Muhammad Falmata</t>
  </si>
  <si>
    <t>falmatakm4@gmail.com</t>
  </si>
  <si>
    <t>Mmc</t>
  </si>
  <si>
    <t>Idris yazid</t>
  </si>
  <si>
    <t>yazididris628@gmail.com</t>
  </si>
  <si>
    <t>Idriss saleh</t>
  </si>
  <si>
    <t>a1globalesave@gmail.com</t>
  </si>
  <si>
    <t>Ibrahim Labaran Danjuma</t>
  </si>
  <si>
    <t>abumusabahmed.ibrahim541@gmail.com</t>
  </si>
  <si>
    <t>Family House</t>
  </si>
  <si>
    <t>Malami Umar</t>
  </si>
  <si>
    <t>malamiumar024@gmail.com</t>
  </si>
  <si>
    <t>Zubair Aisha Muhammad</t>
  </si>
  <si>
    <t>aishatuzubairmuhd@gmail.com</t>
  </si>
  <si>
    <t>Momoh Ajayi Emmanuel</t>
  </si>
  <si>
    <t>momohemmaajayi@gmail.com</t>
  </si>
  <si>
    <t>Haruna Umar</t>
  </si>
  <si>
    <t>umarharunaibrahim1982@gmail.com</t>
  </si>
  <si>
    <t>Joshua iloke chisom</t>
  </si>
  <si>
    <t>joshuailoke121@gmail.com</t>
  </si>
  <si>
    <t>Obio/akpor LGA</t>
  </si>
  <si>
    <t>Ajiferuke Babatunde Abdullah</t>
  </si>
  <si>
    <t>ajiferukeabdullah@gmail.com</t>
  </si>
  <si>
    <t>SUMAYYA KASIM BELLO</t>
  </si>
  <si>
    <t>sumygolden28@gmail.com</t>
  </si>
  <si>
    <t>Gwale local government area, ja'en yamma 728</t>
  </si>
  <si>
    <t>Mohammed Umaru</t>
  </si>
  <si>
    <t>umarmohammedemistu@gmail.com</t>
  </si>
  <si>
    <t>Habib Abdullahi</t>
  </si>
  <si>
    <t>abdullahihabib46@gmail.com</t>
  </si>
  <si>
    <t>Hauwa Salihu</t>
  </si>
  <si>
    <t>hauwasalihu2@gmail.com</t>
  </si>
  <si>
    <t>Ayuba Ismail</t>
  </si>
  <si>
    <t>ismailayubaabdullahi@gmail.com</t>
  </si>
  <si>
    <t>garbasadeeq550@gmail.com</t>
  </si>
  <si>
    <t>Enwemiwe Godwin</t>
  </si>
  <si>
    <t>enwemiwegodwin@gmail.com</t>
  </si>
  <si>
    <t>Citizen</t>
  </si>
  <si>
    <t>Mabel</t>
  </si>
  <si>
    <t>petermedugumabel@gmail.com</t>
  </si>
  <si>
    <t>Bursari Local government</t>
  </si>
  <si>
    <t>Atilola Ayodeji Akeem</t>
  </si>
  <si>
    <t>ayodejiatilola1234@gmail.com</t>
  </si>
  <si>
    <t>Ogbobe Vitrus Linus</t>
  </si>
  <si>
    <t>linuschigozie987@gmail.com</t>
  </si>
  <si>
    <t>Muzakkir Isah Muhammad</t>
  </si>
  <si>
    <t>elmuzaks7@gmail.com</t>
  </si>
  <si>
    <t>GAGAR ORIGHOMISAN KIN</t>
  </si>
  <si>
    <t>oriskingagar@gmail.com</t>
  </si>
  <si>
    <t>Comfort hussaini</t>
  </si>
  <si>
    <t>Wealthzonec4@gmail.com</t>
  </si>
  <si>
    <t>Badejo Joseph A</t>
  </si>
  <si>
    <t>bajoetechnology@gmail.com</t>
  </si>
  <si>
    <t>Muhammad Jummai Kudu</t>
  </si>
  <si>
    <t>jummymuhammad29@gmail.com</t>
  </si>
  <si>
    <t>Nasir Ibrahim</t>
  </si>
  <si>
    <t>ibnasir00@gmail.com</t>
  </si>
  <si>
    <t>Umar Ibrahim Dabiri</t>
  </si>
  <si>
    <t>umaribrahimdabiri@gmail.com</t>
  </si>
  <si>
    <t>Abba Surajo Abubakar</t>
  </si>
  <si>
    <t>surajoabbaabubakarfagge@gmail.com</t>
  </si>
  <si>
    <t>Mohammed Nasiru Danjuma</t>
  </si>
  <si>
    <t>bignasisi@gmail.com</t>
  </si>
  <si>
    <t>Bashirmaijamaa1@gmail.com</t>
  </si>
  <si>
    <t>Umar Abdulkadir</t>
  </si>
  <si>
    <t>Umarabdulkadir244@gmail.con</t>
  </si>
  <si>
    <t>Nwangele Jeffrey</t>
  </si>
  <si>
    <t>jeffreynwangele@gmail.com</t>
  </si>
  <si>
    <t>Yakubu kolo ismail</t>
  </si>
  <si>
    <t>ismailkolo1826@gmail.com</t>
  </si>
  <si>
    <t>Hussaini Samuel</t>
  </si>
  <si>
    <t>samuelhussaini247@gmail.com</t>
  </si>
  <si>
    <t>Aliyu Suleiman</t>
  </si>
  <si>
    <t>suleimanaliyugarko@gmail.com</t>
  </si>
  <si>
    <t>Temitayo Olufunmi Oyatoye</t>
  </si>
  <si>
    <t>oyattemitayo@gmail.com</t>
  </si>
  <si>
    <t>Abaji</t>
  </si>
  <si>
    <t>Shettima Nur Abubakar</t>
  </si>
  <si>
    <t>abubakarshettimanur@gmail.com</t>
  </si>
  <si>
    <t>Maiduguri</t>
  </si>
  <si>
    <t>Abubakar umaru</t>
  </si>
  <si>
    <t>abubakarumarvtu@gmail.com</t>
  </si>
  <si>
    <t>Udo Ekerette Sunday</t>
  </si>
  <si>
    <t>sundays824@gmail.com</t>
  </si>
  <si>
    <t>Najib kabir</t>
  </si>
  <si>
    <t>najibkabir4@gmail.com</t>
  </si>
  <si>
    <t>Káno municipal</t>
  </si>
  <si>
    <t>Hussaini Alhaji Muhammad</t>
  </si>
  <si>
    <t>hussainialhmuhammad3255@gmail.com</t>
  </si>
  <si>
    <t>Muhammad adamu muzakkir</t>
  </si>
  <si>
    <t>adamumuhammadmuzakker@gmail.com</t>
  </si>
  <si>
    <t>DAMATURU</t>
  </si>
  <si>
    <t>Yakubu isah</t>
  </si>
  <si>
    <t>yakubuisah2019@gmail.com</t>
  </si>
  <si>
    <t>Mohammed Ndagi</t>
  </si>
  <si>
    <t>hassanumaru199@gmail.com</t>
  </si>
  <si>
    <t>Balkisu shittu</t>
  </si>
  <si>
    <t>bilikisushittu800@gmail.com</t>
  </si>
  <si>
    <t>Hotoro north</t>
  </si>
  <si>
    <t>ODOFORI KEFAS</t>
  </si>
  <si>
    <t>kefasodo@gmail.com</t>
  </si>
  <si>
    <t>zainababubakarbaka@gmail.com</t>
  </si>
  <si>
    <t>Garba Suleiman</t>
  </si>
  <si>
    <t>smang363@gmail.com</t>
  </si>
  <si>
    <t>Haruna Abdulwasiyu Usman</t>
  </si>
  <si>
    <t>abdulwasiyuuthman@gmail.com</t>
  </si>
  <si>
    <t>Sakaba local government</t>
  </si>
  <si>
    <t>Abdullahi Abubakar Rabiu</t>
  </si>
  <si>
    <t>abubakarar019@gmail.com</t>
  </si>
  <si>
    <t>Nanyak Timpon</t>
  </si>
  <si>
    <t>timponladan@gmail.com</t>
  </si>
  <si>
    <t>Adeyemo Mary</t>
  </si>
  <si>
    <t>marytemidayo920@gmail.com</t>
  </si>
  <si>
    <t>Chancaga Local government</t>
  </si>
  <si>
    <t>ABDULHADI ISHAQ</t>
  </si>
  <si>
    <t>ishaqabdulhadi5@gmail.com</t>
  </si>
  <si>
    <t>Benita Okon</t>
  </si>
  <si>
    <t>bennyiyke4@gmail.com</t>
  </si>
  <si>
    <t>Samuel Dare Emmanuel</t>
  </si>
  <si>
    <t>dareemma13@gmail.com</t>
  </si>
  <si>
    <t>Ota Ado-Odo</t>
  </si>
  <si>
    <t>Ezeanyaeji immaculate chidera</t>
  </si>
  <si>
    <t>ezeachideraimmaculate@gmail.com</t>
  </si>
  <si>
    <t>Fasola</t>
  </si>
  <si>
    <t>Sunkadefasola@gmail.com</t>
  </si>
  <si>
    <t>Samuel Bakare</t>
  </si>
  <si>
    <t>majorsammy65@gmail.com</t>
  </si>
  <si>
    <t>Egid Anthony oche</t>
  </si>
  <si>
    <t>ebomusa812@gmail.com</t>
  </si>
  <si>
    <t>Kigbu, Tsaku Godsave</t>
  </si>
  <si>
    <t>kt.godsave@gmail.com</t>
  </si>
  <si>
    <t>IBRAHIM AMINU YUSUF</t>
  </si>
  <si>
    <t>aminuibrahimyusf@gmail.com</t>
  </si>
  <si>
    <t>UNGOGO</t>
  </si>
  <si>
    <t>Idris abdullahi</t>
  </si>
  <si>
    <t>idrisabdullahibch01@gmail.com</t>
  </si>
  <si>
    <t>Mahmud Yusuf</t>
  </si>
  <si>
    <t>yusufmahmud1747@gmail.com</t>
  </si>
  <si>
    <t>Bashir musa bello</t>
  </si>
  <si>
    <t>musabashirbello8@gmail.com</t>
  </si>
  <si>
    <t>DIMKPA THANKGOD EKGWENIKE</t>
  </si>
  <si>
    <t>ekgwenike1@gmail.com</t>
  </si>
  <si>
    <t>Muhammad Khadeejah Babayaro</t>
  </si>
  <si>
    <t>kmuhammadbabayaro@hmail.com</t>
  </si>
  <si>
    <t>Emmanuel Peace</t>
  </si>
  <si>
    <t>peacefulgirl2025@gmail.com</t>
  </si>
  <si>
    <t>Ahmad Aliyu Ahmad</t>
  </si>
  <si>
    <t>aliyuahmadnalado2@gmail.com</t>
  </si>
  <si>
    <t>Usungedo Emem</t>
  </si>
  <si>
    <t>eusungedo@gmail.com</t>
  </si>
  <si>
    <t>Saidu Musa Auna</t>
  </si>
  <si>
    <t>get2auna@gmail.com</t>
  </si>
  <si>
    <t>ABUBAKAR USMAN</t>
  </si>
  <si>
    <t>abubakarus3040@gmil.com</t>
  </si>
  <si>
    <t>Bamisebi Olawale Azeez</t>
  </si>
  <si>
    <t>olawalebamiseb@gmail.com</t>
  </si>
  <si>
    <t>Adam Umar Mahmud</t>
  </si>
  <si>
    <t>adamumarmahmud842@gmail.com</t>
  </si>
  <si>
    <t>Jos North</t>
  </si>
  <si>
    <t>Haruna Suleiman</t>
  </si>
  <si>
    <t>harunasuleiman9090@gmail.com</t>
  </si>
  <si>
    <t>Ahmad Ibrahim Ibrahim</t>
  </si>
  <si>
    <t>Ibrahimibrahimahmad228@gmail.com</t>
  </si>
  <si>
    <t>Emmanuel Uyinane Yusuf</t>
  </si>
  <si>
    <t>uyinaneemmanuel@gmail.com</t>
  </si>
  <si>
    <t>Omorinoye, Temitope Noah</t>
  </si>
  <si>
    <t>tomorinoye@gmail.com</t>
  </si>
  <si>
    <t>Ogomosho</t>
  </si>
  <si>
    <t>Sani Basiru Abdullahi</t>
  </si>
  <si>
    <t>danwanzan2@gmail.com</t>
  </si>
  <si>
    <t>Mohammed Ndako Usman</t>
  </si>
  <si>
    <t>mohammedndako909@gmail.com</t>
  </si>
  <si>
    <t>Dahiru Sadiq</t>
  </si>
  <si>
    <t>seniorsadiq99@gmail.com</t>
  </si>
  <si>
    <t>Aminu Mustapha Habibu</t>
  </si>
  <si>
    <t>habibuaminumustapha@gmail.com</t>
  </si>
  <si>
    <t>KHALID MUSA AHMAD</t>
  </si>
  <si>
    <t>khalidlazuru@gmail.com</t>
  </si>
  <si>
    <t>Okoi Richard Owuna</t>
  </si>
  <si>
    <t>richardokoi88@gmail.com</t>
  </si>
  <si>
    <t>Mohammed Dayyabu</t>
  </si>
  <si>
    <t>dayyabum9@gmail.com</t>
  </si>
  <si>
    <t>Chia Favour</t>
  </si>
  <si>
    <t>chiafavour2019@gmail.com</t>
  </si>
  <si>
    <t>Abdullahi Idriss</t>
  </si>
  <si>
    <t>idrissabdull@gmail.com</t>
  </si>
  <si>
    <t>Salisu Baffah</t>
  </si>
  <si>
    <t>baffahsalisu713@gmail.com</t>
  </si>
  <si>
    <t>Abdulmunaf Mustapha</t>
  </si>
  <si>
    <t>abdulmunafmsabalari@gmail.com</t>
  </si>
  <si>
    <t>Dutse</t>
  </si>
  <si>
    <t>Abba yakubu</t>
  </si>
  <si>
    <t>abbayakubumaikota@gmail.com</t>
  </si>
  <si>
    <t>Lamba kunci</t>
  </si>
  <si>
    <t>Abdullahi Adamu Kudu</t>
  </si>
  <si>
    <t>adamuabdullahikudu17@gmail.com</t>
  </si>
  <si>
    <t>Ojeleye kazeem oyewole</t>
  </si>
  <si>
    <t>ojeleyekazeem2016@gmail.com</t>
  </si>
  <si>
    <t>Idi Mohammed Ali</t>
  </si>
  <si>
    <t>abuikhwan001@gmail.com</t>
  </si>
  <si>
    <t>Odetunde-Israel</t>
  </si>
  <si>
    <t>bukolaodetundeisrael@gmail.com</t>
  </si>
  <si>
    <t>Maryam Suleiman</t>
  </si>
  <si>
    <t>maryamsuleiman1216@gmail.com</t>
  </si>
  <si>
    <t>Bunu Adamu chulla</t>
  </si>
  <si>
    <t>bunuadamuchulla@gmail.com</t>
  </si>
  <si>
    <t>Rano local government</t>
  </si>
  <si>
    <t>Abdullahi Umar Auwal</t>
  </si>
  <si>
    <t>favouriteone777@gmail.com</t>
  </si>
  <si>
    <t>Hamza Abdullahi Harun</t>
  </si>
  <si>
    <t>hamzadabi07@gmail.com</t>
  </si>
  <si>
    <t>aishaabubakar10a@gmail.com</t>
  </si>
  <si>
    <t>Aminu Fadimatu</t>
  </si>
  <si>
    <t>fadimauaminu@gmail.com</t>
  </si>
  <si>
    <t>Unguwan rimi</t>
  </si>
  <si>
    <t>Ahnad Abdulkadir Ghazali</t>
  </si>
  <si>
    <t>ahmadabdulkadirghazali@gmail.com</t>
  </si>
  <si>
    <t>Saidu Sadiq</t>
  </si>
  <si>
    <t>saidusadiq2525@gmail.com</t>
  </si>
  <si>
    <t>Mustapha Ahmed</t>
  </si>
  <si>
    <t>ahmed.mustapha44@gmail.com</t>
  </si>
  <si>
    <t>Suleja LGA</t>
  </si>
  <si>
    <t>Muhammad Hassnat</t>
  </si>
  <si>
    <t>hasnatkhan0343@gmail.com</t>
  </si>
  <si>
    <t>Nigar</t>
  </si>
  <si>
    <t>AHMAD RAYYAN MUHAMMAD</t>
  </si>
  <si>
    <t>muhdahmad2300@gmail.com</t>
  </si>
  <si>
    <t>KARAYE</t>
  </si>
  <si>
    <t>Adeleke modinat Adebola</t>
  </si>
  <si>
    <t>adelekemodinat1@gmail.com</t>
  </si>
  <si>
    <t>Dauda Mansur</t>
  </si>
  <si>
    <t>mansurdauda42@gmail.com</t>
  </si>
  <si>
    <t>MOHAMMED MOHAMMED USMAN</t>
  </si>
  <si>
    <t>Princeahmedmomoh@gmail.com</t>
  </si>
  <si>
    <t>Shuaib Suaburat</t>
  </si>
  <si>
    <t>patientsabr@gmail.com</t>
  </si>
  <si>
    <t>Hussaini Garba Karaye</t>
  </si>
  <si>
    <t>karaye0086@gmail.com</t>
  </si>
  <si>
    <t>AMINU JAAFAR</t>
  </si>
  <si>
    <t>jaafaraminuchull@gmail.com</t>
  </si>
  <si>
    <t>Dr Muhammad Yahaya</t>
  </si>
  <si>
    <t>myahaya1994@gmail.com</t>
  </si>
  <si>
    <t>Khadija Lawan Yakubu</t>
  </si>
  <si>
    <t>khadijalawankabo2023@gmail.com</t>
  </si>
  <si>
    <t>Ibrahim Sulaiman</t>
  </si>
  <si>
    <t>ibrahimsulaiman2301@gmail.com</t>
  </si>
  <si>
    <t>OKWARA CHIBUZO MMA</t>
  </si>
  <si>
    <t>okwarachibuzomma@gmail.com</t>
  </si>
  <si>
    <t>Adamu Suleiman Umar</t>
  </si>
  <si>
    <t>adamusulaiman272@gmail.com</t>
  </si>
  <si>
    <t>Muhammad Lauwali</t>
  </si>
  <si>
    <t>Lauwalim009@gmail.com</t>
  </si>
  <si>
    <t>HUSSAINI ABUBAKAR ASSIDIQ</t>
  </si>
  <si>
    <t>alhajhabu@gmail.com</t>
  </si>
  <si>
    <t>Anyacho Boniface</t>
  </si>
  <si>
    <t>bonifaceanyacho@yahoo.com</t>
  </si>
  <si>
    <t>Itoka</t>
  </si>
  <si>
    <t>Adamu idriss hussaini</t>
  </si>
  <si>
    <t>adamuidrisshassan@gmail.com</t>
  </si>
  <si>
    <t>Sharada</t>
  </si>
  <si>
    <t>Kabiru Ibrahim</t>
  </si>
  <si>
    <t>kabiruibrahim723@gmail.com</t>
  </si>
  <si>
    <t>ALIMAM ABDULHAQQ OLAIDE</t>
  </si>
  <si>
    <t>abdulhaqalimamolaide@gmail.com</t>
  </si>
  <si>
    <t>OKWARA CAMILLUS CHISIMDIRI</t>
  </si>
  <si>
    <t>camillusokwara@gmail.com</t>
  </si>
  <si>
    <t>Suleiman Hadiza shagwa</t>
  </si>
  <si>
    <t>hadizashagwa@gmail.com</t>
  </si>
  <si>
    <t>Adoum Mahamad Tihami</t>
  </si>
  <si>
    <t>mahamadtihamiadoum@gmail.com</t>
  </si>
  <si>
    <t>Visitor</t>
  </si>
  <si>
    <t>Musa Rakiya</t>
  </si>
  <si>
    <t>rakiyamusa82@gmail.com</t>
  </si>
  <si>
    <t>Abdullahi Mohammed Saba</t>
  </si>
  <si>
    <t>sabamohammed011@gmail.com</t>
  </si>
  <si>
    <t>Yusuf Shehu</t>
  </si>
  <si>
    <t>itxyusufshehu@gmail.com</t>
  </si>
  <si>
    <t>Kabiru usman bala</t>
  </si>
  <si>
    <t>usmankabiru143@gmail.com</t>
  </si>
  <si>
    <t>usmanrabiu53@gmail.com</t>
  </si>
  <si>
    <t>OKWARA CHINELO CYNTHIA</t>
  </si>
  <si>
    <t>okwarachinelo90@yahoo.com</t>
  </si>
  <si>
    <t>Haruna Alhamdu</t>
  </si>
  <si>
    <t>alhamduharuna0@gmail.com</t>
  </si>
  <si>
    <t>Chikun</t>
  </si>
  <si>
    <t>TULEE BARIMENE WISDOM</t>
  </si>
  <si>
    <t>barimenet1@gmail.com</t>
  </si>
  <si>
    <t>SARATU IDRIS YANUSA</t>
  </si>
  <si>
    <t>saratuidrisyunusa83@gmail.com</t>
  </si>
  <si>
    <t>Kunchi local government</t>
  </si>
  <si>
    <t>Muhammad maryam rabiu</t>
  </si>
  <si>
    <t>maryammuhdrabiu322@gmail.com</t>
  </si>
  <si>
    <t>AHMED ALI LAWAN</t>
  </si>
  <si>
    <t>aliahmedlawan@gmail.com</t>
  </si>
  <si>
    <t>Amakoromo Esther Seimekumo</t>
  </si>
  <si>
    <t>amaksesther15@gmail.com</t>
  </si>
  <si>
    <t>ibrahimmohaamed23@gmail.com</t>
  </si>
  <si>
    <t>Abdullahi sakina bawa</t>
  </si>
  <si>
    <t>sakinaabdullahibawa@gmail.com</t>
  </si>
  <si>
    <t>Agu Chinenye Charity</t>
  </si>
  <si>
    <t>aguchinenye49@gmail.com</t>
  </si>
  <si>
    <t>Abba Iliya</t>
  </si>
  <si>
    <t>rsalihu361@gmail.com</t>
  </si>
  <si>
    <t>Uchenna Onovo</t>
  </si>
  <si>
    <t>uchesman2@gmail.com</t>
  </si>
  <si>
    <t>ABDULMALMALIK ALIYU</t>
  </si>
  <si>
    <t>abdulmalikremilekun247@gmail.com</t>
  </si>
  <si>
    <t>borgu</t>
  </si>
  <si>
    <t>Umar aminu</t>
  </si>
  <si>
    <t>umaraminumuhammad@gmail.com</t>
  </si>
  <si>
    <t>Onwunaemelu Maryjane</t>
  </si>
  <si>
    <t>maryjaneonwunaemelu@gmail.com</t>
  </si>
  <si>
    <t>Usman Ado Muhammad</t>
  </si>
  <si>
    <t>muhdusmanado@gmail.com</t>
  </si>
  <si>
    <t>ISAH ABDULLAHI</t>
  </si>
  <si>
    <t>abdullahiisahmuhd9@gmail.com</t>
  </si>
  <si>
    <t>Ikebudu Rapheal Okwudili</t>
  </si>
  <si>
    <t>raphealikebudu@gmail.com</t>
  </si>
  <si>
    <t>ABUBAKAR YAKUBU ALHASSAN</t>
  </si>
  <si>
    <t>abubakaralhassanyakubu@gmail.com</t>
  </si>
  <si>
    <t>Atusaye Mwalwanda</t>
  </si>
  <si>
    <t>atusayemwalwanda82@gmail.com</t>
  </si>
  <si>
    <t>Lilongwe council of Malawi</t>
  </si>
  <si>
    <t>Umar hafsat muazu</t>
  </si>
  <si>
    <t>hafsatumar04401@gmail.com</t>
  </si>
  <si>
    <t>Ibrahim Tasiu Natarah</t>
  </si>
  <si>
    <t>natarahsheepgoatsfarms@gmail.com</t>
  </si>
  <si>
    <t>Muhammedsaddiq lawal</t>
  </si>
  <si>
    <t>muhammedsaddiq@gmail.com</t>
  </si>
  <si>
    <t>Olagoke Olatunji</t>
  </si>
  <si>
    <t>ganiyuolagoke@gmail.com</t>
  </si>
  <si>
    <t>Engonanabo Simon Ebiabowei</t>
  </si>
  <si>
    <t>engosto@gmail.com</t>
  </si>
  <si>
    <t>Aliyu Mubarak Mohammed</t>
  </si>
  <si>
    <t>mubarakmohammmedaliyu@gmail.com</t>
  </si>
  <si>
    <t>IBRAHIM MUSA ABDULLAHI</t>
  </si>
  <si>
    <t>Majemamagajinbaba@gmail.com</t>
  </si>
  <si>
    <t>HADEJIA</t>
  </si>
  <si>
    <t>SULEIMAN HAUWA</t>
  </si>
  <si>
    <t>hauwashagwa357@gmail.com</t>
  </si>
  <si>
    <t>Salihu Usman Mamba</t>
  </si>
  <si>
    <t>Salihumambausman@gmail.com</t>
  </si>
  <si>
    <t>Abubakar Halimatu Sa'adiya</t>
  </si>
  <si>
    <t>nnahalimamann@gmail.com</t>
  </si>
  <si>
    <t>Sobamowo Samuel Abimbola</t>
  </si>
  <si>
    <t>sobamowosamuel@gmail.com</t>
  </si>
  <si>
    <t>Odogbolu Local Government area</t>
  </si>
  <si>
    <t>Yahaya abubakar</t>
  </si>
  <si>
    <t>yasprince200@gmail.com</t>
  </si>
  <si>
    <t>Ibrahim Adam Usman</t>
  </si>
  <si>
    <t>ibrahimadamusman1@gmail.com</t>
  </si>
  <si>
    <t>Razina Kabir</t>
  </si>
  <si>
    <t>Kabirramila1162@gmail.com</t>
  </si>
  <si>
    <t>Sadiq</t>
  </si>
  <si>
    <t>sadiqibrahimabdullahi41@gmail.com</t>
  </si>
  <si>
    <t>Lasisi Olaoluwa</t>
  </si>
  <si>
    <t>lasisiolaoluwadocument@gmail.com</t>
  </si>
  <si>
    <t>Jimoh</t>
  </si>
  <si>
    <t>oluwatobimhuzah@gmail.com</t>
  </si>
  <si>
    <t>Mohammed Usman Baba</t>
  </si>
  <si>
    <t>usmanbabamohammedkotugi@gmail.co</t>
  </si>
  <si>
    <t>Haruna Tahir</t>
  </si>
  <si>
    <t>tahirharuna20019@gmail.com</t>
  </si>
  <si>
    <t>Adedayomercy111@gmail.com</t>
  </si>
  <si>
    <t>Sulyman Ibrahim</t>
  </si>
  <si>
    <t>i_sulyman@yahoo.com</t>
  </si>
  <si>
    <t>Megida Fatima Ahuoyiza-Root</t>
  </si>
  <si>
    <t>fatimamegida@gmail.com</t>
  </si>
  <si>
    <t>Alabi Zainab Ajoke</t>
  </si>
  <si>
    <t>zainabopeyemi577@gmail.com</t>
  </si>
  <si>
    <t>Ado-odo ota</t>
  </si>
  <si>
    <t>Gbadamosi Musiliudeen Oluwatosin</t>
  </si>
  <si>
    <t>oluwatosin4islam@gmail.com</t>
  </si>
  <si>
    <t>Bashir Umar Sulaiman</t>
  </si>
  <si>
    <t>umar.bashir.50596@gmail.com</t>
  </si>
  <si>
    <t>Fage</t>
  </si>
  <si>
    <t>Mubarak Musa Yunus</t>
  </si>
  <si>
    <t>vareek05@gmail.com</t>
  </si>
  <si>
    <t>Usman Asmau Nana</t>
  </si>
  <si>
    <t>asmauusman303@gmail.com</t>
  </si>
  <si>
    <t>Williams Ajentekea Idonibo</t>
  </si>
  <si>
    <t>ajentekeawilliams559@gmail.com</t>
  </si>
  <si>
    <t>Prince Ebiegberi cosmos Gbaran-ama</t>
  </si>
  <si>
    <t>pcosmospcosmos@gmail.com</t>
  </si>
  <si>
    <t>Sinclair Emmanuel George</t>
  </si>
  <si>
    <t>emmany4real1@gmail.com</t>
  </si>
  <si>
    <t>Bamigbose Ayomide Idris</t>
  </si>
  <si>
    <t>idrisayomide780@gmail.com</t>
  </si>
  <si>
    <t>Sanusi zakariyau</t>
  </si>
  <si>
    <t>sanusiimanauna313@gmail.com</t>
  </si>
  <si>
    <t>Dennis Okereke</t>
  </si>
  <si>
    <t>denisokereke9@gmail.com</t>
  </si>
  <si>
    <t>PortHacourt</t>
  </si>
  <si>
    <t>Opuene Ebitimikondei</t>
  </si>
  <si>
    <t>opueneebitimi@gmail.com</t>
  </si>
  <si>
    <t>Fauziya Yusuf</t>
  </si>
  <si>
    <t>fauziyayusufbala@gmail.com</t>
  </si>
  <si>
    <t>MODU MOHAMMED</t>
  </si>
  <si>
    <t>mohammedmodu31@gmail.com</t>
  </si>
  <si>
    <t>Kukawa</t>
  </si>
  <si>
    <t>Ashoko Temitope patience</t>
  </si>
  <si>
    <t>patiencetemitope743@gmail.com</t>
  </si>
  <si>
    <t>Obia Akporo</t>
  </si>
  <si>
    <t>Abubakar Fahimat Aliyu</t>
  </si>
  <si>
    <t>fahimat1010@gmail.com</t>
  </si>
  <si>
    <t>ALIYU IMAM GAZZALI</t>
  </si>
  <si>
    <t>imamgaliyu@gmail.com</t>
  </si>
  <si>
    <t>GWALE L.G.A</t>
  </si>
  <si>
    <t>Adewuyi Oluwafunmilayo Adekemi</t>
  </si>
  <si>
    <t>oluwafunmilayoadekemi14@gmail.com</t>
  </si>
  <si>
    <t>Ido local Government</t>
  </si>
  <si>
    <t>Ibraheem Aliyu Abdullahi</t>
  </si>
  <si>
    <t>aliyuibraheemabdullahi@gmail.com</t>
  </si>
  <si>
    <t>Abia Uchechukwu James</t>
  </si>
  <si>
    <t>uchejames020@gmail.com</t>
  </si>
  <si>
    <t>Aliyu Abubakar Aji</t>
  </si>
  <si>
    <t>aliyuabubakaraji67411@gmail.com</t>
  </si>
  <si>
    <t>ONIYIDE Marvellous Esther</t>
  </si>
  <si>
    <t>fikayomarvellous@gmail.com</t>
  </si>
  <si>
    <t>Iwara sarah sam</t>
  </si>
  <si>
    <t>sarahiwara16@gmail.com</t>
  </si>
  <si>
    <t>Ezonfade Samuel Tamarau-akpo</t>
  </si>
  <si>
    <t>samosureboi@gmail.com</t>
  </si>
  <si>
    <t>Muhammad Muhammad Alkali</t>
  </si>
  <si>
    <t>muhammadalkali622@gmail.com</t>
  </si>
  <si>
    <t>Abdulazeez, Abubakar Sadiq</t>
  </si>
  <si>
    <t>abubakarsadiqa653@gmail.com</t>
  </si>
  <si>
    <t>Shanono Local Government.</t>
  </si>
  <si>
    <t>Abubakar Abubakar Zuruk</t>
  </si>
  <si>
    <t>abubakarzuruk@gmail.com</t>
  </si>
  <si>
    <t>ALIYU SALIHI YAHUZA</t>
  </si>
  <si>
    <t>aliyysaleeh@gmail.com</t>
  </si>
  <si>
    <t>SANI SAIFULLAHI</t>
  </si>
  <si>
    <t>saifullahisanidtf@gmail.com</t>
  </si>
  <si>
    <t>DAWAKIN TOFA</t>
  </si>
  <si>
    <t>USMAN IBRAHIM</t>
  </si>
  <si>
    <t>amimeeee1@gmail.com</t>
  </si>
  <si>
    <t>NUSAIBA SANI</t>
  </si>
  <si>
    <t>nusaibasani11@gmail.com</t>
  </si>
  <si>
    <t>Ahmad muhammad Sulaiman</t>
  </si>
  <si>
    <t>engineermas150@gmail.com</t>
  </si>
  <si>
    <t>Abdulhamid Abubakar Sadik</t>
  </si>
  <si>
    <t>abubakarabdulhamid95@gmail.com</t>
  </si>
  <si>
    <t>Jibrin Toroko</t>
  </si>
  <si>
    <t>jibrintoroko@gmail.com</t>
  </si>
  <si>
    <t>Salisu Anas Muhammad</t>
  </si>
  <si>
    <t>anassalisu70@gmail.com</t>
  </si>
  <si>
    <t>Akinbani Rodiat</t>
  </si>
  <si>
    <t>Mohammed Barakat</t>
  </si>
  <si>
    <t>barakatoyin10@gmail.com</t>
  </si>
  <si>
    <t>Garko local government</t>
  </si>
  <si>
    <t>Abdullahi abdulrazak</t>
  </si>
  <si>
    <t>abdulcommunication2020@gmail.com</t>
  </si>
  <si>
    <t>Ugwu Ernest Chidera</t>
  </si>
  <si>
    <t>ernestchukwuemeka4@gmail.com</t>
  </si>
  <si>
    <t>Sunday caleb</t>
  </si>
  <si>
    <t>Sundaycaleb98@gmail.com</t>
  </si>
  <si>
    <t>Aniamalu Otitodilichukwu Martin</t>
  </si>
  <si>
    <t>aniamaluotitodilichukwu@gmail.com</t>
  </si>
  <si>
    <t>Umar Isah</t>
  </si>
  <si>
    <t>isahumar5656@gmail.com</t>
  </si>
  <si>
    <t>muhammadabubakar576@gmail.com</t>
  </si>
  <si>
    <t>Asaaju Folake Beatrice</t>
  </si>
  <si>
    <t>Folakemiasaaju@gmail.com</t>
  </si>
  <si>
    <t>Shaphiu Mahmud</t>
  </si>
  <si>
    <t>Shaphium@gmail.com</t>
  </si>
  <si>
    <t>Ibrahim Ibrahim Yahaya</t>
  </si>
  <si>
    <t>ibrahimyahayaibrahim65@gmail.com</t>
  </si>
  <si>
    <t>AMINU ADAM</t>
  </si>
  <si>
    <t>adamameenu287@gmail.com</t>
  </si>
  <si>
    <t>ABUBAKAR YAHAYA SULAIMAN</t>
  </si>
  <si>
    <t>abbakar437@gmail.com</t>
  </si>
  <si>
    <t>Kunbotso LGA</t>
  </si>
  <si>
    <t>Olawore Semiu</t>
  </si>
  <si>
    <t>o_semiu@yahoo.com</t>
  </si>
  <si>
    <t>Ado-odo/Ota</t>
  </si>
  <si>
    <t>Isah Mahmud Muhammad</t>
  </si>
  <si>
    <t>mahmudisah3400@gmail.com</t>
  </si>
  <si>
    <t>Agaie LG</t>
  </si>
  <si>
    <t>Mikhail Adeyimika</t>
  </si>
  <si>
    <t>mikhail.adeyimika@gmail.com</t>
  </si>
  <si>
    <t>Kusse Gemede Sango</t>
  </si>
  <si>
    <t>kussegemedesango@gmail.com</t>
  </si>
  <si>
    <t>Arba Mich university of Ethiopian</t>
  </si>
  <si>
    <t>Ethiopian citizens</t>
  </si>
  <si>
    <t>Umar Ibrahim Khalil</t>
  </si>
  <si>
    <t>Ibkumar363@gmail.com</t>
  </si>
  <si>
    <t>Gwale L.G.A</t>
  </si>
  <si>
    <t>Jonathan Adams</t>
  </si>
  <si>
    <t>adamsjonathan84@gmail.com</t>
  </si>
  <si>
    <t>Kareem Semiu</t>
  </si>
  <si>
    <t>semiukareemcpc@gmail.com</t>
  </si>
  <si>
    <t>Ojo Shina Gideon</t>
  </si>
  <si>
    <t>1shina.ojo@gmail.com</t>
  </si>
  <si>
    <t>Obaje Musa Ali</t>
  </si>
  <si>
    <t>obajemusa82@gmail.com</t>
  </si>
  <si>
    <t>Isuma</t>
  </si>
  <si>
    <t>makopollo22@gmail.com</t>
  </si>
  <si>
    <t>Igah Lily Ijeoma</t>
  </si>
  <si>
    <t>lilyigah41@gmail.com</t>
  </si>
  <si>
    <t>Anidozie kosarachi</t>
  </si>
  <si>
    <t>Kosarachianidozie@gmail.com</t>
  </si>
  <si>
    <t>Enugu South local government area</t>
  </si>
  <si>
    <t>Solomon Kolade Olamide</t>
  </si>
  <si>
    <t>jehiel-crad@outlook.com</t>
  </si>
  <si>
    <t>Chinagolu Promise Oluoma</t>
  </si>
  <si>
    <t>promisechinagolu33@gmail.com</t>
  </si>
  <si>
    <t>Peter Wejinya</t>
  </si>
  <si>
    <t>wejinyachimezulem@yahoo.com</t>
  </si>
  <si>
    <t>Alhaji bala usman</t>
  </si>
  <si>
    <t>usmanalhajibala@gmail.com</t>
  </si>
  <si>
    <t>SHEHU UMAR NAZIRU</t>
  </si>
  <si>
    <t>umarnazeershehu63@yahoo.com</t>
  </si>
  <si>
    <t>Samuel Ben-David Chukwudi</t>
  </si>
  <si>
    <t>samuelbendavid01@gmail.com</t>
  </si>
  <si>
    <t>Aminu Muhammad Gaddafi</t>
  </si>
  <si>
    <t>muhammadgaddafi1992@gmail.com</t>
  </si>
  <si>
    <t>SUNDAY GODFREY ISHAKU</t>
  </si>
  <si>
    <t>godfreyishakusunday@gmail.com</t>
  </si>
  <si>
    <t>Musa Salamatu</t>
  </si>
  <si>
    <t>adamssalma053@gmail.com</t>
  </si>
  <si>
    <t>Asemudara Mabel Adeolu</t>
  </si>
  <si>
    <t>mabelfunki4real@gmail.com</t>
  </si>
  <si>
    <t>STEPHEN DANA AYUBA</t>
  </si>
  <si>
    <t>stephenayubaay@gmail.com</t>
  </si>
  <si>
    <t>Suleiman hashim ajibike</t>
  </si>
  <si>
    <t>ajibikesuleiman7@gmail.com</t>
  </si>
  <si>
    <t>Harisu Imam Salisu</t>
  </si>
  <si>
    <t>dantama885@gmail.com</t>
  </si>
  <si>
    <t>Abdulkadir Ahmad</t>
  </si>
  <si>
    <t>ubanjuko@gmail.com</t>
  </si>
  <si>
    <t>Hamza Ahmad</t>
  </si>
  <si>
    <t>maryamality585@gmail.com</t>
  </si>
  <si>
    <t>Zakarai Munkaila</t>
  </si>
  <si>
    <t>zakariabdullahadam@gmail.com</t>
  </si>
  <si>
    <t>Benedict Onyebuchi Unagwu</t>
  </si>
  <si>
    <t>benedictunagwu@unn.edu.ng</t>
  </si>
  <si>
    <t>Garba Hamza Muhammad</t>
  </si>
  <si>
    <t>23hamzamg890@gmail.com</t>
  </si>
  <si>
    <t>JAMILU SHITU SAIDU</t>
  </si>
  <si>
    <t>jamilushitu54@gmail.com</t>
  </si>
  <si>
    <t>Bello Ahmed</t>
  </si>
  <si>
    <t>Belloahmadgrm00@gmail.com</t>
  </si>
  <si>
    <t>Atiku Abubakar</t>
  </si>
  <si>
    <t>atiku21@gmail.com</t>
  </si>
  <si>
    <t>Alli Ezekiel jesuseme</t>
  </si>
  <si>
    <t>ezekielallijesuseme@gmail.com</t>
  </si>
  <si>
    <t>Ekere Ofonime Sunday</t>
  </si>
  <si>
    <t>ofonimeekere1@gmail.com</t>
  </si>
  <si>
    <t>Mkpat Enin</t>
  </si>
  <si>
    <t>Enilolobo Promise Oluwafemi</t>
  </si>
  <si>
    <t>enilolobopromise@gmail.com</t>
  </si>
  <si>
    <t>Aminu Ismail</t>
  </si>
  <si>
    <t>ismailaminu8968@gmail.com</t>
  </si>
  <si>
    <t>Igwebuike Happiness</t>
  </si>
  <si>
    <t>onyinyechih45@gmail.com</t>
  </si>
  <si>
    <t>Ibrahim Ahmad</t>
  </si>
  <si>
    <t>ahmadeebraheem311@gmail.com</t>
  </si>
  <si>
    <t>Kalibbala peter</t>
  </si>
  <si>
    <t>pitakalibbala2020@gmail.com</t>
  </si>
  <si>
    <t>Wakiso</t>
  </si>
  <si>
    <t>Sayyadi Umar Muhammad</t>
  </si>
  <si>
    <t>umarsayyadimuhd@gmail.com</t>
  </si>
  <si>
    <t>Nnaji</t>
  </si>
  <si>
    <t>mchinasa27@gmail.com</t>
  </si>
  <si>
    <t>MUHAMMED MUHAMMED ALHAJI</t>
  </si>
  <si>
    <t>muhammedtswa@gmail.com</t>
  </si>
  <si>
    <t>EDATI LOCAL GOVERNMENT</t>
  </si>
  <si>
    <t>Muhammad Nma Musa</t>
  </si>
  <si>
    <t>musanma41231@gmail.com</t>
  </si>
  <si>
    <t>Ogbeche Pius Ushie</t>
  </si>
  <si>
    <t>ogbeche.piusushie@gmail.com</t>
  </si>
  <si>
    <t>Khamis Aisha Abdussamad</t>
  </si>
  <si>
    <t>aishakhamisaka@gmail.com</t>
  </si>
  <si>
    <t>Andre Joseph</t>
  </si>
  <si>
    <t>josephandre0211@gmail.com</t>
  </si>
  <si>
    <t>Loca</t>
  </si>
  <si>
    <t>PEACE UMUKORO</t>
  </si>
  <si>
    <t>anthonypeace2018@gmail.com</t>
  </si>
  <si>
    <t>Umar Sufyanu</t>
  </si>
  <si>
    <t>sufyaumar888@gmail.com</t>
  </si>
  <si>
    <t>Bebeji LGA</t>
  </si>
  <si>
    <t>Keyede</t>
  </si>
  <si>
    <t>eshrrde@gmail.com</t>
  </si>
  <si>
    <t>Adey Ben Mabehn</t>
  </si>
  <si>
    <t>adeyben@gmail.com</t>
  </si>
  <si>
    <t>Adeyemo Peace Oluwadarasimi</t>
  </si>
  <si>
    <t>peaceoreofe654@gmail.com</t>
  </si>
  <si>
    <t>Joe</t>
  </si>
  <si>
    <t>goldendistiny@gmail.com</t>
  </si>
  <si>
    <t>A Non indigent in Rivers State</t>
  </si>
  <si>
    <t>Muazu Muhammad Muhammad</t>
  </si>
  <si>
    <t>maiboto00@gmail.com</t>
  </si>
  <si>
    <t>INIWO ANTHONY OREVAOGENE</t>
  </si>
  <si>
    <t>orevainiwo@gmail.com</t>
  </si>
  <si>
    <t>ABUBAKAR ABDULHAFEEZ ABDULAZEEZ</t>
  </si>
  <si>
    <t>iamabdulhafeez1@gmail.com</t>
  </si>
  <si>
    <t>Tsoaela Tshepang</t>
  </si>
  <si>
    <t>tsoaelatshepang6@gmail.com</t>
  </si>
  <si>
    <t>Matjhabeng</t>
  </si>
  <si>
    <t>Ibrahim Mallam Grema</t>
  </si>
  <si>
    <t>ibrahimmgrema06@gmail.com</t>
  </si>
  <si>
    <t>Kamanzi Zamanga Honore</t>
  </si>
  <si>
    <t>hkamanzi23@gmail.com</t>
  </si>
  <si>
    <t>Kicukiro</t>
  </si>
  <si>
    <t>Philip Chidumayo Phiri</t>
  </si>
  <si>
    <t>pchidumayo@gmail.com</t>
  </si>
  <si>
    <t>Nwakunna Innocentia Chidinma</t>
  </si>
  <si>
    <t>queeninniee@gmail.com</t>
  </si>
  <si>
    <t>Visual impairment (partial or full), I have an eye defect.....but I do try to see regardless</t>
  </si>
  <si>
    <t>Indigenous resident, Migrant (moved from another part of Nigeria), I was born in Rivers state. I feel like an indigene.</t>
  </si>
  <si>
    <t>MAIGARI</t>
  </si>
  <si>
    <t>megason426@gmail.com</t>
  </si>
  <si>
    <t>Okpara Chidinma</t>
  </si>
  <si>
    <t>okparachidinmae@gmail.com</t>
  </si>
  <si>
    <t>Ibrahim Umar Faruq</t>
  </si>
  <si>
    <t>umarfarukibrahim30@gmail.com</t>
  </si>
  <si>
    <t>Ibrahim Dahiru</t>
  </si>
  <si>
    <t>attateeribraheem@gmail.com</t>
  </si>
  <si>
    <t>Abubakar Abbas</t>
  </si>
  <si>
    <t>abbastwd7@gmail.com</t>
  </si>
  <si>
    <t>Tudun Wada LGA</t>
  </si>
  <si>
    <t>Apeh Paulinus Chimeremeze</t>
  </si>
  <si>
    <t>chimepaulinus@gmail.com</t>
  </si>
  <si>
    <t>Oyigbo Local government</t>
  </si>
  <si>
    <t>Lawal Ibrahim</t>
  </si>
  <si>
    <t>ibraheemlawal005@gmail.com</t>
  </si>
  <si>
    <t>Bakenne</t>
  </si>
  <si>
    <t>ffbclothingsanddesigns@gmail.com</t>
  </si>
  <si>
    <t>Titi Florence Okpaefi</t>
  </si>
  <si>
    <t>titiflorence01@gmail.com</t>
  </si>
  <si>
    <t>Labo Murphy</t>
  </si>
  <si>
    <t>labomurphy@gmail.com</t>
  </si>
  <si>
    <t>Abdulraheem Muminat Opeyemi</t>
  </si>
  <si>
    <t>abdulmuminat2020@gmail.com</t>
  </si>
  <si>
    <t>Ahmad abubakar Buhari</t>
  </si>
  <si>
    <t>youngahmadeen@gmail.com</t>
  </si>
  <si>
    <t>Haruna Abdulrazak Musa</t>
  </si>
  <si>
    <t>ahrugojee527@gmail.com</t>
  </si>
  <si>
    <t>Ekeh Emmanuel Ikechukwu</t>
  </si>
  <si>
    <t>emmanuelekeh9@gmail.com</t>
  </si>
  <si>
    <t>MKPOIDET, UBONG IME</t>
  </si>
  <si>
    <t>ubongmkpoidet2016@gmail.com</t>
  </si>
  <si>
    <t>Alasan Shuaibu Alkassim</t>
  </si>
  <si>
    <t>shuaibualasan2018@gmail.com</t>
  </si>
  <si>
    <t>Ibrahim Bala Danmagaji</t>
  </si>
  <si>
    <t>baladanmagaji@gmail.com</t>
  </si>
  <si>
    <t>Takai LGA</t>
  </si>
  <si>
    <t>Ekeh Esther Iheoma</t>
  </si>
  <si>
    <t>estherekeh02@gmail.com</t>
  </si>
  <si>
    <t>Atteh Timilehin</t>
  </si>
  <si>
    <t>timilehing386@gmail.com</t>
  </si>
  <si>
    <t>Caleb Ahmadu</t>
  </si>
  <si>
    <t>kally4all@gmail.com</t>
  </si>
  <si>
    <t>Adam Abdulmalik Khamis</t>
  </si>
  <si>
    <t>abdulmalikreaction@gmail.com</t>
  </si>
  <si>
    <t>Dawakin kudu LGA</t>
  </si>
  <si>
    <t>usmanedebo@gmail.com</t>
  </si>
  <si>
    <t>Sagamu local government</t>
  </si>
  <si>
    <t>Moga Emmanuel Upah</t>
  </si>
  <si>
    <t>moga73541@gmail.com</t>
  </si>
  <si>
    <t>Simon Oji Ndukwe</t>
  </si>
  <si>
    <t>simonndukwe20@gmail.com</t>
  </si>
  <si>
    <t>AGBEDJINOU Kossivi Hyacinthe</t>
  </si>
  <si>
    <t>kagbedjinou@yahoo.com</t>
  </si>
  <si>
    <t>Morocco</t>
  </si>
  <si>
    <t>Orphan</t>
  </si>
  <si>
    <t>Ahmed Abdurrahman</t>
  </si>
  <si>
    <t>abdurrahamanahmad20@gmail.com</t>
  </si>
  <si>
    <t>Business resident</t>
  </si>
  <si>
    <t>Adeigba Kehinde James</t>
  </si>
  <si>
    <t>jameskehindeadeigba@gmail.com</t>
  </si>
  <si>
    <t>Otiki Oyindoubra Godswill</t>
  </si>
  <si>
    <t>oyindoubraotiki@gmail.com</t>
  </si>
  <si>
    <t>Yenagoa local government</t>
  </si>
  <si>
    <t>Wobo Chimenem Deborah</t>
  </si>
  <si>
    <t>debiv26@yahoo.com</t>
  </si>
  <si>
    <t>Port Harcourt City</t>
  </si>
  <si>
    <t>Abubakar Bamallum</t>
  </si>
  <si>
    <t>abubakarbamallum60@gmail.com</t>
  </si>
  <si>
    <t>Bamidele Emmanuel Agbebi</t>
  </si>
  <si>
    <t>bamideleemmanuelagbebi@gmail.com</t>
  </si>
  <si>
    <t>Raymond, Miracle Adaeze</t>
  </si>
  <si>
    <t>raymondmiracle708@gmail.com</t>
  </si>
  <si>
    <t>Erum</t>
  </si>
  <si>
    <t>Kawu Ibrahim Yakasai</t>
  </si>
  <si>
    <t>ibrahimyakasai01@gmail.com</t>
  </si>
  <si>
    <t>Franclin chimpesa</t>
  </si>
  <si>
    <t>franclinchimpesajr@gmail.com</t>
  </si>
  <si>
    <t>Area 3</t>
  </si>
  <si>
    <t>Cross nation</t>
  </si>
  <si>
    <t>Zakariyya Alawiyya Umar</t>
  </si>
  <si>
    <t>alawiyyaumar2020@gmail.com</t>
  </si>
  <si>
    <t>Abdullahi Anas</t>
  </si>
  <si>
    <t>anasnasko.an@gmail.com</t>
  </si>
  <si>
    <t>Rabiu Abdulmajeed Abdullahi</t>
  </si>
  <si>
    <t>herdderdymerjeed@gmail.com</t>
  </si>
  <si>
    <t>Sylvester</t>
  </si>
  <si>
    <t>gazoidi@gmail.com</t>
  </si>
  <si>
    <t>Edu Eval Nicholas</t>
  </si>
  <si>
    <t>mails4evaledu@gmail.com</t>
  </si>
  <si>
    <t>Okoro Wilfred Obinna</t>
  </si>
  <si>
    <t>okoro116@gmail.com</t>
  </si>
  <si>
    <t>Aminat Abdulkareem</t>
  </si>
  <si>
    <t>abdulkareemaminat93@gmail.com</t>
  </si>
  <si>
    <t>Onwuma Lawrence onyebuchi</t>
  </si>
  <si>
    <t>onwuma20@gmail.com</t>
  </si>
  <si>
    <t>SULAIMON UTHMAN ABIODUN</t>
  </si>
  <si>
    <t>merakiincubator68@gmail.com</t>
  </si>
  <si>
    <t>Obafemi-owode</t>
  </si>
  <si>
    <t>Udoh David Joses</t>
  </si>
  <si>
    <t>josesdavid77@gmail.com</t>
  </si>
  <si>
    <t>OLANIYAN GBOLAHAN OLAOLUWA</t>
  </si>
  <si>
    <t>olaniyango@funaab.edu.ng</t>
  </si>
  <si>
    <t>Rahma usman gule</t>
  </si>
  <si>
    <t>rahmagule@gmail.com</t>
  </si>
  <si>
    <t>LAWAN ABBA KAKA</t>
  </si>
  <si>
    <t>rhufailawan@gmail.com</t>
  </si>
  <si>
    <t>Okonkwo Chijioke E</t>
  </si>
  <si>
    <t>mackoliverize@gmail.com</t>
  </si>
  <si>
    <t>Enugu north</t>
  </si>
  <si>
    <t>visitor from anambra to enugu</t>
  </si>
  <si>
    <t>Grema kachallah</t>
  </si>
  <si>
    <t>gremakachallah3@gmail.com</t>
  </si>
  <si>
    <t>Alhassan Fatimah Hajiya</t>
  </si>
  <si>
    <t>alhassanfatimahajiya@yahoo.com</t>
  </si>
  <si>
    <t>KANTSI SALISU MUHAMMAD</t>
  </si>
  <si>
    <t>salisumuhammadkantsi@gmail.com</t>
  </si>
  <si>
    <t>Atuswe Greg</t>
  </si>
  <si>
    <t>aniezemarket@gmail.com</t>
  </si>
  <si>
    <t>Unagwu Amara Gloria</t>
  </si>
  <si>
    <t>epuekepamela@gmail.com</t>
  </si>
  <si>
    <t>Onah Caleb Chukwuebuka</t>
  </si>
  <si>
    <t>onahcaleb17@gmail.com</t>
  </si>
  <si>
    <t>abdulsalam isah</t>
  </si>
  <si>
    <t>abdulsalamisah2663@gmail.com</t>
  </si>
  <si>
    <t>magama LGA</t>
  </si>
  <si>
    <t>Aliyu Abdulkabir</t>
  </si>
  <si>
    <t>vankaybee@gmail.com</t>
  </si>
  <si>
    <t>Najib Iliyasu</t>
  </si>
  <si>
    <t>najibiliyasu92@gmail.com</t>
  </si>
  <si>
    <t>LIU NURUDEEN</t>
  </si>
  <si>
    <t>nurudeenliu654@gmail.com</t>
  </si>
  <si>
    <t>Joshua Bitrus</t>
  </si>
  <si>
    <t>joshuabitrus0003@gmail.com</t>
  </si>
  <si>
    <t>Habibu yahaya umar</t>
  </si>
  <si>
    <t>yahayahabibuu@gmail.com</t>
  </si>
  <si>
    <t>Mamuda Abubakar</t>
  </si>
  <si>
    <t>amamuda348@gmail.com</t>
  </si>
  <si>
    <t>Owoeye Tolulope Rebecca</t>
  </si>
  <si>
    <t>Tholuowoeye@gmail.com</t>
  </si>
  <si>
    <t>Auwal Muhammad</t>
  </si>
  <si>
    <t>muhammadauwal179@gmail.com</t>
  </si>
  <si>
    <t>Omowaye Ruthlee Modupeoluwa</t>
  </si>
  <si>
    <t>Ruthlee4u4real@gmail.com</t>
  </si>
  <si>
    <t>Chanchagan</t>
  </si>
  <si>
    <t>OBAYI ANAYO FRANCIS</t>
  </si>
  <si>
    <t>Anayoanalyst@gmail.com</t>
  </si>
  <si>
    <t>Ahmad Usman Habib</t>
  </si>
  <si>
    <t>usmanhabibahmad8@gmail.com</t>
  </si>
  <si>
    <t>Abbas Ya'u Abdullahi</t>
  </si>
  <si>
    <t>yauabbas014@gmail.com</t>
  </si>
  <si>
    <t>UMAR JAMILA ADAM</t>
  </si>
  <si>
    <t>Umarjamilaadam@gmail.com</t>
  </si>
  <si>
    <t>Nnaji Emmanuel Chukwuemeka</t>
  </si>
  <si>
    <t>nnajiemmanuelchukwuemeka78@gmail.com</t>
  </si>
  <si>
    <t>Somoye Moshood</t>
  </si>
  <si>
    <t>moshoodolasunkanmi9@gmail.com</t>
  </si>
  <si>
    <t>Obafemi Owode local government</t>
  </si>
  <si>
    <t>Babatunde Opeyemi Yusuf</t>
  </si>
  <si>
    <t>yusmusbabs@gmail.com</t>
  </si>
  <si>
    <t>Chima Innocent</t>
  </si>
  <si>
    <t>cibolarine@gmail.com</t>
  </si>
  <si>
    <t>Obia-Akpo</t>
  </si>
  <si>
    <t>Muhammad Haruna</t>
  </si>
  <si>
    <t>harunasco3@gmail.com</t>
  </si>
  <si>
    <t>Umoru Rose</t>
  </si>
  <si>
    <t>umorurose45@gmail.com</t>
  </si>
  <si>
    <t>Eze Tochukwu Theophilus</t>
  </si>
  <si>
    <t>tochukwutheophiluseze@gmail.com</t>
  </si>
  <si>
    <t>Muhammad Hawawu</t>
  </si>
  <si>
    <t>muhammedhawawu60@gmail.com</t>
  </si>
  <si>
    <t>Suleiman mustapha mudi</t>
  </si>
  <si>
    <t>mustaphasmudi@gmail.com</t>
  </si>
  <si>
    <t>UNGOGGO</t>
  </si>
  <si>
    <t>Bello Abubakar Ibrahim</t>
  </si>
  <si>
    <t>abubakarbelloibrahim002@gmail.com</t>
  </si>
  <si>
    <t>Sokoto south</t>
  </si>
  <si>
    <t>Danjuma Maryam Shaffa</t>
  </si>
  <si>
    <t>mdshaffa1@gmail.com</t>
  </si>
  <si>
    <t>Kabiru Abdullahi Abdullahi</t>
  </si>
  <si>
    <t>Abdullahikabiruabdullahi535@gmail.com</t>
  </si>
  <si>
    <t>Sokoto North</t>
  </si>
  <si>
    <t>Musa Yunusa Musa</t>
  </si>
  <si>
    <t>musayunusamusa1111@gmail.com</t>
  </si>
  <si>
    <t>Kumbutso Local Government</t>
  </si>
  <si>
    <t>Adonu Jude Odinakachukwu</t>
  </si>
  <si>
    <t>judeodinakachukwu92@gmail.com</t>
  </si>
  <si>
    <t>Igbo Eze North</t>
  </si>
  <si>
    <t>Udoh George</t>
  </si>
  <si>
    <t>udohgeorge11@gmail.com</t>
  </si>
  <si>
    <t>Ado-Odo Ota Local Government</t>
  </si>
  <si>
    <t>Arinze Alexander</t>
  </si>
  <si>
    <t>alexanderarinze52@gmail.com</t>
  </si>
  <si>
    <t>Obolanle Oluwadahunsi joshua</t>
  </si>
  <si>
    <t>joshuaobolanle@yahoo.com</t>
  </si>
  <si>
    <t>Ado-odo/ota</t>
  </si>
  <si>
    <t>Ibrahim Suleiman Mudi</t>
  </si>
  <si>
    <t>ibrahimsuleimanmudi@gmail.com</t>
  </si>
  <si>
    <t>Shehu Usman Kabir</t>
  </si>
  <si>
    <t>usmankabirshehu@gmail.com</t>
  </si>
  <si>
    <t>Somoye Abdusalam Olamilekan</t>
  </si>
  <si>
    <t>abdulsalamsomoye4@gmail.com</t>
  </si>
  <si>
    <t>Alimosho Local Govt</t>
  </si>
  <si>
    <t>ONIFADE OLUWASEGUN EMMANUEL</t>
  </si>
  <si>
    <t>onifadesegun226@gmail.com</t>
  </si>
  <si>
    <t>ORJI Ezihe Victoria</t>
  </si>
  <si>
    <t>eziheu@gmail.com</t>
  </si>
  <si>
    <t>Aliyu abdullahi</t>
  </si>
  <si>
    <t>Abdullahialiyugami@gmail.com</t>
  </si>
  <si>
    <t>Aliyu Aliyu</t>
  </si>
  <si>
    <t>aliyualiyub35@gmail.com</t>
  </si>
  <si>
    <t>Abdulkadir Sambo</t>
  </si>
  <si>
    <t>samboabdulkadir96@gmail.com</t>
  </si>
  <si>
    <t>uches3312@gmail.com</t>
  </si>
  <si>
    <t>Oyeniyi Adeniyi oluwaseun</t>
  </si>
  <si>
    <t>oyeniyiadeniyi5@gmail.com</t>
  </si>
  <si>
    <t>Osogori 'Oriame Anita</t>
  </si>
  <si>
    <t>aoris1799@gmail.com</t>
  </si>
  <si>
    <t>Ibrahim Yakubu sani</t>
  </si>
  <si>
    <t>ibrahimyakubu2897@gmail.com</t>
  </si>
  <si>
    <t>Dudun wada</t>
  </si>
  <si>
    <t>VINCENT-AKPU UDOCHI V</t>
  </si>
  <si>
    <t>udochivincent11@gmail.com</t>
  </si>
  <si>
    <t>Emohua Local Government Area</t>
  </si>
  <si>
    <t>Liwhundebe kevinjoe abubelye</t>
  </si>
  <si>
    <t>kevinjoeliwhundebe@gmail.com</t>
  </si>
  <si>
    <t>RABIU</t>
  </si>
  <si>
    <t>mubarakrabiu80@gmail.com</t>
  </si>
  <si>
    <t>Ibrahim yakubu Luda</t>
  </si>
  <si>
    <t>yakubuibrahimluda@gmail.com</t>
  </si>
  <si>
    <t>Nwogu</t>
  </si>
  <si>
    <t>ikechiabrahamnwogu@gmail.com</t>
  </si>
  <si>
    <t>Muhammad Jamiu Abdullahi</t>
  </si>
  <si>
    <t>muhammadjamiuabdullahi001@gmail.com</t>
  </si>
  <si>
    <t>Liwhundebe precious awhobiwom</t>
  </si>
  <si>
    <t>preciouskevin16@gmail.com</t>
  </si>
  <si>
    <t>Iliya Dakwai Ishaya</t>
  </si>
  <si>
    <t>iliyadakwai@gmail.com</t>
  </si>
  <si>
    <t>Incomplete fingers</t>
  </si>
  <si>
    <t>Nwafor Favour Obioma</t>
  </si>
  <si>
    <t>favesnwafor001@gmail.com</t>
  </si>
  <si>
    <t>Salisu Umar</t>
  </si>
  <si>
    <t>umarmalumfashi190@gmail.com</t>
  </si>
  <si>
    <t>Braimoh Temidayo David</t>
  </si>
  <si>
    <t>braimohtemidayodavid11@gmail.com</t>
  </si>
  <si>
    <t>Yusuf Jibril Abubakar</t>
  </si>
  <si>
    <t>jibrilyusufabubakar@gmail.com</t>
  </si>
  <si>
    <t>Abubakar salihu</t>
  </si>
  <si>
    <t>salihuabubakar8965@gmail.com</t>
  </si>
  <si>
    <t>Danjuma Ahmed</t>
  </si>
  <si>
    <t>danjumaahmed2014@gmail.com</t>
  </si>
  <si>
    <t>Ollornwi Emmanuel Kikaah-Tobiah</t>
  </si>
  <si>
    <t>ollornwiemmanuel@gmail.com</t>
  </si>
  <si>
    <t>Anngu Aondohemba Michael</t>
  </si>
  <si>
    <t>anngumichaelanngu@gmail.com</t>
  </si>
  <si>
    <t>Myrrh-Idowu Michael</t>
  </si>
  <si>
    <t>moluwatobiloba@gmail.com</t>
  </si>
  <si>
    <t>Tyoson Ayangaor Emmanuel</t>
  </si>
  <si>
    <t>tyosonayangaor@gmail.com</t>
  </si>
  <si>
    <t>TEREFE BELAY ZELEKE</t>
  </si>
  <si>
    <t>bzeleke12@gmail.com</t>
  </si>
  <si>
    <t>Amhara region</t>
  </si>
  <si>
    <t>mjyussuff08@gmail.com</t>
  </si>
  <si>
    <t>Auwal Inuwa</t>
  </si>
  <si>
    <t>mackzee98@gmail.com</t>
  </si>
  <si>
    <t>Akpan Christopher Aniekan</t>
  </si>
  <si>
    <t>aniekanabasimi@gmail.com</t>
  </si>
  <si>
    <t>NSUKA</t>
  </si>
  <si>
    <t>Sani Idris</t>
  </si>
  <si>
    <t>idrisgarbasani@gmail.com</t>
  </si>
  <si>
    <t>Abdulmumin Saratu</t>
  </si>
  <si>
    <t>saratzaks25@gmail.com</t>
  </si>
  <si>
    <t>Ede Emmanuel Chukwuebuka</t>
  </si>
  <si>
    <t>chukwuebukaemmanuel586@gmail.com</t>
  </si>
  <si>
    <t>Isi uzo local government Enugu state Nigeria</t>
  </si>
  <si>
    <t>Sulaiman Yahuza Buhari</t>
  </si>
  <si>
    <t>isaha5373@gmail.com</t>
  </si>
  <si>
    <t>Kanomunicipal</t>
  </si>
  <si>
    <t>Alfa Aminu Shuaibu</t>
  </si>
  <si>
    <t>aminualfa13@gmail.com</t>
  </si>
  <si>
    <t>Abubakar Yusuf Audu</t>
  </si>
  <si>
    <t>yusufabubakaraudu1@gmail.com</t>
  </si>
  <si>
    <t>Migrant (moved from another part of Nigeria), Gashua Yobe State</t>
  </si>
  <si>
    <t>Garba Kamal Indabawa</t>
  </si>
  <si>
    <t>kamalgarba122@gmail.com</t>
  </si>
  <si>
    <t>Omoseni Rachael Inaingo</t>
  </si>
  <si>
    <t>inaingoomoseni@yahoo.com</t>
  </si>
  <si>
    <t>Muazu Umar</t>
  </si>
  <si>
    <t>umbtafiyau@yahoo.com</t>
  </si>
  <si>
    <t>Kaduna, Zaeia</t>
  </si>
  <si>
    <t>OGAH JAMES ENEJI</t>
  </si>
  <si>
    <t>ogahjames100@gmail.com</t>
  </si>
  <si>
    <t>Ibrahim mohammed sani</t>
  </si>
  <si>
    <t>ibrahimmohammedsanizamare@gmail.com</t>
  </si>
  <si>
    <t>Berenegi Blessing</t>
  </si>
  <si>
    <t>bberenegi@gmail.com</t>
  </si>
  <si>
    <t>Rabi Abdullahi</t>
  </si>
  <si>
    <t>abdullahirabi526@gmail.com</t>
  </si>
  <si>
    <t>Wilson-Won Biiwura Gold</t>
  </si>
  <si>
    <t>wilsonbiiwura123@gmail.com</t>
  </si>
  <si>
    <t>Staying for family reasons for a while</t>
  </si>
  <si>
    <t>Abubakar adamu</t>
  </si>
  <si>
    <t>Mujahidadam1216@gmail.com</t>
  </si>
  <si>
    <t>Ahmad Abdullahi Sani</t>
  </si>
  <si>
    <t>abdullahisaniahmad20@gmail.com</t>
  </si>
  <si>
    <t>Suleiman Muhammad</t>
  </si>
  <si>
    <t>muhammadsuleima19@gmail.com</t>
  </si>
  <si>
    <t>Nafisat danjumma</t>
  </si>
  <si>
    <t>dnafisat75@gmail.com</t>
  </si>
  <si>
    <t>Ewidoye Theophilus Oluwaponmile</t>
  </si>
  <si>
    <t>etheoplex@gmail.com</t>
  </si>
  <si>
    <t>Rukayya dahiru bashir</t>
  </si>
  <si>
    <t>rukayyadahirbashir@gmail.com</t>
  </si>
  <si>
    <t>Ahmad Muhammad Dayyab</t>
  </si>
  <si>
    <t>muhammaahmad540@gmail.com</t>
  </si>
  <si>
    <t>Bukar</t>
  </si>
  <si>
    <t>kallimainabukarr@gmail.com</t>
  </si>
  <si>
    <t>Ishaq Mohammed Rukayyat</t>
  </si>
  <si>
    <t>ishaqrukayyat758@gmail.com</t>
  </si>
  <si>
    <t>Imojara Raphael Ebeshe</t>
  </si>
  <si>
    <t>imojararapheal@gmail.com</t>
  </si>
  <si>
    <t>Adamu Auna Umar</t>
  </si>
  <si>
    <t>aumarauna@gmail.com</t>
  </si>
  <si>
    <t>Shuaibu Abubakar</t>
  </si>
  <si>
    <t>Abubakarshuaeb143@gmail.com</t>
  </si>
  <si>
    <t>Oghogho Francis Ogheneochuko</t>
  </si>
  <si>
    <t>francisoghogho@gmail.com</t>
  </si>
  <si>
    <t>Okechukwu Victor</t>
  </si>
  <si>
    <t>victorokechukwu0@gmail.com</t>
  </si>
  <si>
    <t>Muhammad Salisu Ayuba</t>
  </si>
  <si>
    <t>mayuba66@gmail.com</t>
  </si>
  <si>
    <t>osilike miracle</t>
  </si>
  <si>
    <t>miracleosilike111@gmail.com</t>
  </si>
  <si>
    <t>Ali Muhammad</t>
  </si>
  <si>
    <t>Muhammadaligumna13@gmail.com</t>
  </si>
  <si>
    <t>Jere local government maiduguri Borno state Nigeria</t>
  </si>
  <si>
    <t>Sulaiman Saffa Idris</t>
  </si>
  <si>
    <t>saffahidris@gmail.com</t>
  </si>
  <si>
    <t>Happiness Sylvester Enwereji</t>
  </si>
  <si>
    <t>kjjoe14@gmail.com</t>
  </si>
  <si>
    <t>Ikwerre LGA</t>
  </si>
  <si>
    <t>Gana Adam Mallam</t>
  </si>
  <si>
    <t>adamjjmj@gmail.com</t>
  </si>
  <si>
    <t>Adamu Yusuf</t>
  </si>
  <si>
    <t>adamuyusuf338@gmail.com</t>
  </si>
  <si>
    <t>Babarinde Opeyemi Adeola</t>
  </si>
  <si>
    <t>adebayod923@gmail.com</t>
  </si>
  <si>
    <t>MUHAMMAD UMAR</t>
  </si>
  <si>
    <t>danfulani001@gmail.com</t>
  </si>
  <si>
    <t>Uloh Kingsley Chidiebere</t>
  </si>
  <si>
    <t>kingsleyuloh22@gmail.com</t>
  </si>
  <si>
    <t>Lawan Ali</t>
  </si>
  <si>
    <t>lawislim8@gmail.com</t>
  </si>
  <si>
    <t>Halimatu Mohammed</t>
  </si>
  <si>
    <t>halimamuhammad117797@gmail.com</t>
  </si>
  <si>
    <t>Rafi LGA</t>
  </si>
  <si>
    <t>Pardon D Mawomberere</t>
  </si>
  <si>
    <t>pardonmawomberere@gmail.com</t>
  </si>
  <si>
    <t>Migrant to another country</t>
  </si>
  <si>
    <t>Tenisha Samuel</t>
  </si>
  <si>
    <t>tanishasamuel06@gmail.com</t>
  </si>
  <si>
    <t>Balanga Local Government Of Gombe State</t>
  </si>
  <si>
    <t>Usman Hassan Ali</t>
  </si>
  <si>
    <t>hassanusmanali4@gmail.com</t>
  </si>
  <si>
    <t>Usman Umar Zannuwa</t>
  </si>
  <si>
    <t>umarusmanzanna@gmail.com</t>
  </si>
  <si>
    <t>ANIKORI GODDEY ISAAC</t>
  </si>
  <si>
    <t>anikorigisaac@gmail.com</t>
  </si>
  <si>
    <t>Taiwo Grace Ibukunoluwa</t>
  </si>
  <si>
    <t>graceytee4@gmail.com</t>
  </si>
  <si>
    <t>Aprije Philip Bulem</t>
  </si>
  <si>
    <t>philipbulem1980@gmail.com</t>
  </si>
  <si>
    <t>Ogoja local government</t>
  </si>
  <si>
    <t>Aliyu bashir musa</t>
  </si>
  <si>
    <t>bashfavu@gmail.com</t>
  </si>
  <si>
    <t>Anjikwi Dauda</t>
  </si>
  <si>
    <t>anjikwijamb2019@gmail.com</t>
  </si>
  <si>
    <t>Mohammed Salimat Mamma</t>
  </si>
  <si>
    <t>hellosalima07@gmail.com</t>
  </si>
  <si>
    <t>Adiga Christiana Amina</t>
  </si>
  <si>
    <t>aminachristy9@gmail.com</t>
  </si>
  <si>
    <t>Ahmad muazu ahmad</t>
  </si>
  <si>
    <t>ahmadmuazuahmad32@gmail.com</t>
  </si>
  <si>
    <t>Meshack Christiana</t>
  </si>
  <si>
    <t>meshackchristiana@gmail.com</t>
  </si>
  <si>
    <t>Nwankwor Nonye Chibuoyim</t>
  </si>
  <si>
    <t>nonyechibuoyim@gmail.com</t>
  </si>
  <si>
    <t>Fakeye Odunayo Opeyemi</t>
  </si>
  <si>
    <t>odunayofakeye303@gmail.com</t>
  </si>
  <si>
    <t>Ado/Odo Ota</t>
  </si>
  <si>
    <t>Magaji Abbas Aliyu</t>
  </si>
  <si>
    <t>abbasbch@gmail.com</t>
  </si>
  <si>
    <t>Okeke, Onyinyechukwu</t>
  </si>
  <si>
    <t>lifewithonyi@gmail.com</t>
  </si>
  <si>
    <t>Ijebu</t>
  </si>
  <si>
    <t>Muhammad musa</t>
  </si>
  <si>
    <t>Kawo</t>
  </si>
  <si>
    <t>Muhd s bello</t>
  </si>
  <si>
    <t>muhammadsbello54@gmail.com</t>
  </si>
  <si>
    <t>Kuku Alesam majub</t>
  </si>
  <si>
    <t>alesammajubkuku@gmail.com</t>
  </si>
  <si>
    <t>Turkana</t>
  </si>
  <si>
    <t>Freeder Francis</t>
  </si>
  <si>
    <t>francisfreeder8@gmail.com</t>
  </si>
  <si>
    <t>hellomuslimat001@gmail.com</t>
  </si>
  <si>
    <t>Faruk, Usman Abubakar</t>
  </si>
  <si>
    <t>kirijo22@gmail.com</t>
  </si>
  <si>
    <t>Yusuf idris oluwatobi</t>
  </si>
  <si>
    <t>yusuffidris97@gmail.com</t>
  </si>
  <si>
    <t>Nafiu Musa Jibrin</t>
  </si>
  <si>
    <t>nafiumusajibrin001@gmail.com</t>
  </si>
  <si>
    <t>Sarki Abubakar Sani</t>
  </si>
  <si>
    <t>abbahamaz@gmail.com</t>
  </si>
  <si>
    <t>Chinwe Chiedozie Emmanuel</t>
  </si>
  <si>
    <t>edoziechinwe70@gmail.com</t>
  </si>
  <si>
    <t>Alvin Chinasa Chukwuemeka</t>
  </si>
  <si>
    <t>alvinchinasa@gmail.com</t>
  </si>
  <si>
    <t>Oji River</t>
  </si>
  <si>
    <t>Jimoh Abdulraheem Ozovehe</t>
  </si>
  <si>
    <t>jimohabdulraheemzaid@gmail.com</t>
  </si>
  <si>
    <t>Ibrahim Kazeem Adetunji</t>
  </si>
  <si>
    <t>ibrolink400@gmail.com</t>
  </si>
  <si>
    <t>Ijebu -Ode</t>
  </si>
  <si>
    <t>Edeh Obekpa Gabriel</t>
  </si>
  <si>
    <t>edeh3098@gmail.com</t>
  </si>
  <si>
    <t>Stephen grace ngodoo</t>
  </si>
  <si>
    <t>stephengracefavor@gmail.com</t>
  </si>
  <si>
    <t>Oboh Sandra ogechi</t>
  </si>
  <si>
    <t>sandraoboh34@gmail.com</t>
  </si>
  <si>
    <t>Kaun south</t>
  </si>
  <si>
    <t>Returnee, From ebonyi state</t>
  </si>
  <si>
    <t>Sampson Godspower Onuoha</t>
  </si>
  <si>
    <t>kingsunny26@gmail.com</t>
  </si>
  <si>
    <t>Sulaimon Sikirat Adenike</t>
  </si>
  <si>
    <t>sulaimon.sikirat@gmail.com</t>
  </si>
  <si>
    <t>Sango Ifo, local government Area</t>
  </si>
  <si>
    <t>Ola-Badmus Ridwanullahi</t>
  </si>
  <si>
    <t>badmusridwan15@gmail.com</t>
  </si>
  <si>
    <t>Abdu Abubakar</t>
  </si>
  <si>
    <t>abubakarabdumakole@gmail.com</t>
  </si>
  <si>
    <t>Dawakin kudu Local Government</t>
  </si>
  <si>
    <t>Akinwumi-Adedeji Olawumi</t>
  </si>
  <si>
    <t>abpreizcouture@gmail.com</t>
  </si>
  <si>
    <t>Jacob Daniel Oboma</t>
  </si>
  <si>
    <t>danielobomajacob@gmail.com</t>
  </si>
  <si>
    <t>Thomas ogah</t>
  </si>
  <si>
    <t>thomasogah3@gmail.com</t>
  </si>
  <si>
    <t>Musa, Victor Abu</t>
  </si>
  <si>
    <t>musavictor80@gmail.com</t>
  </si>
  <si>
    <t>Ogunsola Olusola</t>
  </si>
  <si>
    <t>tscazh@gmail.com</t>
  </si>
  <si>
    <t>Chukwukelu Maryann Chiamaka</t>
  </si>
  <si>
    <t>annlily771@gmail.com</t>
  </si>
  <si>
    <t>Abubakar Muhammad Ahmad</t>
  </si>
  <si>
    <t>saddeeqsas@gmail.com</t>
  </si>
  <si>
    <t>Chibuike</t>
  </si>
  <si>
    <t>onyinyechichibuike975@gmail.com</t>
  </si>
  <si>
    <t>Mubarak haruna Ahmad</t>
  </si>
  <si>
    <t>almubarakhahmad@gmail.com</t>
  </si>
  <si>
    <t>DAHIRU MURTADA ABUBAKAR</t>
  </si>
  <si>
    <t>murtadadahiruabubakar@gmail.com</t>
  </si>
  <si>
    <t>Nte Kingsley Onwe</t>
  </si>
  <si>
    <t>kingsleyharmless@gmail.com</t>
  </si>
  <si>
    <t>Igboeze North</t>
  </si>
  <si>
    <t>Philip Lydia Nkechi</t>
  </si>
  <si>
    <t>lydiaphilip788@gmail.com</t>
  </si>
  <si>
    <t>Audu Timothy Bamaiyi</t>
  </si>
  <si>
    <t>audubamaiyi02@gmail.com</t>
  </si>
  <si>
    <t>Muhsin Aliyu</t>
  </si>
  <si>
    <t>muhsinaliyu266@gmail.com</t>
  </si>
  <si>
    <t>Ikaka Beconson Fredrick</t>
  </si>
  <si>
    <t>beconsonfredrick@gmail.com</t>
  </si>
  <si>
    <t>Zubairu Abdullahi</t>
  </si>
  <si>
    <t>abdullahirajab18@gmail.com</t>
  </si>
  <si>
    <t>Aminu Abdullahi</t>
  </si>
  <si>
    <t>ibnuameen1148@gmail.com</t>
  </si>
  <si>
    <t>Aishat Raji</t>
  </si>
  <si>
    <t>rajiaishatolabisi@gmail.com</t>
  </si>
  <si>
    <t>ADEOYE ADEKUNLE</t>
  </si>
  <si>
    <t>herdexkay@gmail.com</t>
  </si>
  <si>
    <t>Efut Ernest Egor</t>
  </si>
  <si>
    <t>ernestefut19@gmail.com</t>
  </si>
  <si>
    <t>Yusuf Ibrahim Muhammad</t>
  </si>
  <si>
    <t>myusufdaddymajor2325@gmail.com</t>
  </si>
  <si>
    <t>Falade Favour A.</t>
  </si>
  <si>
    <t>faladefavour@gmail.com</t>
  </si>
  <si>
    <t>Ado odo LGA</t>
  </si>
  <si>
    <t>Adam Muhammad Alameen</t>
  </si>
  <si>
    <t>muhammadalameenadam1@gmail.com</t>
  </si>
  <si>
    <t>Goni Gabib Alamin</t>
  </si>
  <si>
    <t>alamingonihabib@gmail.com</t>
  </si>
  <si>
    <t>tarune</t>
  </si>
  <si>
    <t>Deborah</t>
  </si>
  <si>
    <t>debbyokechukwu2@gmail.com</t>
  </si>
  <si>
    <t>Ayinde</t>
  </si>
  <si>
    <t>feeqohola@gmail.com</t>
  </si>
  <si>
    <t>Awa Raymond Akongfe</t>
  </si>
  <si>
    <t>awaraymond24@gmail.com</t>
  </si>
  <si>
    <t>Jimoh Ahmed</t>
  </si>
  <si>
    <t>ahmedjimyy@gmail.com</t>
  </si>
  <si>
    <t>Gamage symbol Michael</t>
  </si>
  <si>
    <t>symbolmic@gmail.com</t>
  </si>
  <si>
    <t>Olorunfunmi Halimat Abimbola</t>
  </si>
  <si>
    <t>olorunfunmi199177@gmail.con</t>
  </si>
  <si>
    <t>Orji</t>
  </si>
  <si>
    <t>orjigloria46@gmail.com</t>
  </si>
  <si>
    <t>OLAWEMO PHILIPS OL</t>
  </si>
  <si>
    <t>olawemooluwaleye@gmail.com</t>
  </si>
  <si>
    <t>Vihishima Sylvester Terlumun</t>
  </si>
  <si>
    <t>sylvalumun@gmail.com</t>
  </si>
  <si>
    <t>Odina</t>
  </si>
  <si>
    <t>odinaangela48@gmail.com</t>
  </si>
  <si>
    <t>Emene</t>
  </si>
  <si>
    <t>Iyaji grace bose</t>
  </si>
  <si>
    <t>iyajigracebose@gmail.com</t>
  </si>
  <si>
    <t>Ephraim, Edima Johnson</t>
  </si>
  <si>
    <t>edisplendid1@gmail.com</t>
  </si>
  <si>
    <t>Abak</t>
  </si>
  <si>
    <t>Adeyemi Elizabeth Jesutomi</t>
  </si>
  <si>
    <t>adeyemielizabeth277@gmail.com</t>
  </si>
  <si>
    <t>OKORIE GIFT</t>
  </si>
  <si>
    <t>onyinye7417@gmail.com</t>
  </si>
  <si>
    <t>Port Harcourt city local government</t>
  </si>
  <si>
    <t>Francis Eddy obia</t>
  </si>
  <si>
    <t>smalllondon194@gmail.com</t>
  </si>
  <si>
    <t>saniemirdanmusa@gmail.com</t>
  </si>
  <si>
    <t>Egbugo Ciracus Chukwuebuka</t>
  </si>
  <si>
    <t>chukwuebukaegbugo2018@gmail.com</t>
  </si>
  <si>
    <t>Sule Najib Umar</t>
  </si>
  <si>
    <t>Najibsule77@gmail.com</t>
  </si>
  <si>
    <t>Khalid Muzanbilu</t>
  </si>
  <si>
    <t>Abubakarsani804@gmail.com</t>
  </si>
  <si>
    <t>Nomhwange Isaac Msoo</t>
  </si>
  <si>
    <t>nomhwangemsoo@gmail.com</t>
  </si>
  <si>
    <t>Mubarak Suraj</t>
  </si>
  <si>
    <t>ahmadpdp97@gmail.com</t>
  </si>
  <si>
    <t>Mukhtar Suleiman Adhama</t>
  </si>
  <si>
    <t>suleimanadh2001@gmail.com</t>
  </si>
  <si>
    <t>Muhumuza onan</t>
  </si>
  <si>
    <t>onanmuhumuza14@gmail.com</t>
  </si>
  <si>
    <t>Na</t>
  </si>
  <si>
    <t>Dike Ihechukwu miracle</t>
  </si>
  <si>
    <t>miracleihechukwu2@gmail.com</t>
  </si>
  <si>
    <t>Rumuokoro</t>
  </si>
  <si>
    <t>Edidiong Sunday Akpan</t>
  </si>
  <si>
    <t>perky770@gmail.com</t>
  </si>
  <si>
    <t>Obafime owode</t>
  </si>
  <si>
    <t>Odule Adams odule</t>
  </si>
  <si>
    <t>obuleadams@gmail.com</t>
  </si>
  <si>
    <t>Ossai Joshua Ifeanyi</t>
  </si>
  <si>
    <t>joshuaifeanyi89@gmail.com</t>
  </si>
  <si>
    <t>Igbo-eze North</t>
  </si>
  <si>
    <t>Sunday Yusuf</t>
  </si>
  <si>
    <t>sundayyusuf301@gmail.com</t>
  </si>
  <si>
    <t>Meliga Anyaja Joan</t>
  </si>
  <si>
    <t>joanmeliga@gmail.com</t>
  </si>
  <si>
    <t>Muhammad Ibrahim Adamu</t>
  </si>
  <si>
    <t>ibrahimadamu392@gmail.com</t>
  </si>
  <si>
    <t>Charity Joseph</t>
  </si>
  <si>
    <t>chajoe.ent@gmail.com</t>
  </si>
  <si>
    <t>Ogunsanmi Adeola Susan</t>
  </si>
  <si>
    <t>ogunsanmiadeola@gmail.com</t>
  </si>
  <si>
    <t>Shuaibu Najib Ibrahim</t>
  </si>
  <si>
    <t>najeeblemo@gmail.com</t>
  </si>
  <si>
    <t>ANULE VERONICA NGUKEGHEN</t>
  </si>
  <si>
    <t>anulengukeghen@gmail.com</t>
  </si>
  <si>
    <t>KANO</t>
  </si>
  <si>
    <t>Obiene Godbless olu</t>
  </si>
  <si>
    <t>godblessoluobiene@gmail.com</t>
  </si>
  <si>
    <t>Obga</t>
  </si>
  <si>
    <t>Salman Adam Munirat</t>
  </si>
  <si>
    <t>muneesalman@gmail.com</t>
  </si>
  <si>
    <t>Ogunsola Taiwo Elizabeth</t>
  </si>
  <si>
    <t>ogunsolataiwo31@gmail.com</t>
  </si>
  <si>
    <t>Indigenous resident, ogun state as state of origin but currently a resident of ile-ife osun state</t>
  </si>
  <si>
    <t>Omotosho Ridhwanulahi Adekunle</t>
  </si>
  <si>
    <t>adekunlejnr163@gmail.com</t>
  </si>
  <si>
    <t>Obafemi-Owode local government area</t>
  </si>
  <si>
    <t>Esewe-Paul Ayibakareowei Clergy</t>
  </si>
  <si>
    <t>esewepaulclergy@gmail.com</t>
  </si>
  <si>
    <t>Samson joseph</t>
  </si>
  <si>
    <t>samlome555@gmail.com</t>
  </si>
  <si>
    <t>Bulama yarima</t>
  </si>
  <si>
    <t>yarimabulama@gmail.com</t>
  </si>
  <si>
    <t>Yahaya Ahmad Naibi</t>
  </si>
  <si>
    <t>saiff212@gmail.com</t>
  </si>
  <si>
    <t>Agbo Favour</t>
  </si>
  <si>
    <t>favour.agbo.c@gmail.com</t>
  </si>
  <si>
    <t>Onuoha Collins osita</t>
  </si>
  <si>
    <t>onuohacollinsosita@gmail.com</t>
  </si>
  <si>
    <t>Ezekiel Bartholomew Saidu</t>
  </si>
  <si>
    <t>ezekielbartholomew01@gmail.com</t>
  </si>
  <si>
    <t>Ofoha Lovelyn Chinyeaka</t>
  </si>
  <si>
    <t>lovelynchinyeaka325@gmail.com</t>
  </si>
  <si>
    <t>Nwibo chinonso miracle</t>
  </si>
  <si>
    <t>miraclechinonso2000@gmail.com</t>
  </si>
  <si>
    <t>Modey Sylvanus ukputu</t>
  </si>
  <si>
    <t>sylvanusmodey5@gmail.com</t>
  </si>
  <si>
    <t>Yahaya Fatima</t>
  </si>
  <si>
    <t>fatimayahaya6089@gmail.com</t>
  </si>
  <si>
    <t>Yahaya Fahad Naibi</t>
  </si>
  <si>
    <t>fynaibi007@gmail.com</t>
  </si>
  <si>
    <t>Ugwu Nelson Peter C.</t>
  </si>
  <si>
    <t>nelsonpete73@gmail.com</t>
  </si>
  <si>
    <t>AZUNWONE PRINCE IKECHI</t>
  </si>
  <si>
    <t>victorymirap1@gmail.com</t>
  </si>
  <si>
    <t>David Susanna Ebunoluwa</t>
  </si>
  <si>
    <t>annahdavid123@gmail.com</t>
  </si>
  <si>
    <t>Ifo LGA</t>
  </si>
  <si>
    <t>Muhammad Khadija Nasir</t>
  </si>
  <si>
    <t>khadijamuhammadnasir@gmail.com</t>
  </si>
  <si>
    <t>OLAGODO VINCENT DAMILOLA</t>
  </si>
  <si>
    <t>vincentscholar5@gmail.com</t>
  </si>
  <si>
    <t>Lanfewa</t>
  </si>
  <si>
    <t>Ezugwu somtochukwu perpetua</t>
  </si>
  <si>
    <t>somtoezugwu26@gmail.com</t>
  </si>
  <si>
    <t>Igbo-etiti</t>
  </si>
  <si>
    <t>Isah Abdulrasheed Onimisi</t>
  </si>
  <si>
    <t>ibnisah12345@gmail.com</t>
  </si>
  <si>
    <t>Okohwoake Sarah</t>
  </si>
  <si>
    <t>okohwoakesaraha@gmail.com</t>
  </si>
  <si>
    <t>Muhammad Shirjeel Ijaz</t>
  </si>
  <si>
    <t>shirjeeel@gmail.com</t>
  </si>
  <si>
    <t>Baysela</t>
  </si>
  <si>
    <t>.</t>
  </si>
  <si>
    <t>Imhontuniye Precious</t>
  </si>
  <si>
    <t>okiemhoyap@gmail.com</t>
  </si>
  <si>
    <t>Magazura Mariam</t>
  </si>
  <si>
    <t>mariammagazura15@gmail.com</t>
  </si>
  <si>
    <t>Nwikwu Anulika Oluchukwu</t>
  </si>
  <si>
    <t>anulikanwikwu26@gmail.com</t>
  </si>
  <si>
    <t>Evans Joy</t>
  </si>
  <si>
    <t>evansjoy12601@gmail.com</t>
  </si>
  <si>
    <t>MUKTAR IBRAHIM UMAR</t>
  </si>
  <si>
    <t>muktarraheem@gmail.com</t>
  </si>
  <si>
    <t>Saleh Aisha Musa</t>
  </si>
  <si>
    <t>ayshasalehmusa@gmail.com</t>
  </si>
  <si>
    <t>Ahmad Mahmud Idris</t>
  </si>
  <si>
    <t>mahmudalgoni0@gmail.com</t>
  </si>
  <si>
    <t>Alamin Kabir Nagoggo</t>
  </si>
  <si>
    <t>alaminnagoggo@gmail.com</t>
  </si>
  <si>
    <t>Bakre Oluwatobi Idris</t>
  </si>
  <si>
    <t>zaman4godstime@gmail.com</t>
  </si>
  <si>
    <t>Ijebu - ode local government</t>
  </si>
  <si>
    <t>Sodiq</t>
  </si>
  <si>
    <t>confirmsodiqhassan@gmail.com</t>
  </si>
  <si>
    <t>Onini Ondotimi Warri</t>
  </si>
  <si>
    <t>susancorbon@gmail.com</t>
  </si>
  <si>
    <t>ABUTU OGBENE MARY</t>
  </si>
  <si>
    <t>abutumary1998@gmail.com</t>
  </si>
  <si>
    <t>Ezuzu prosper Matthew</t>
  </si>
  <si>
    <t>prosperezuzu07@gmail.com</t>
  </si>
  <si>
    <t>Godbless Megan Dorgu</t>
  </si>
  <si>
    <t>Megangodbless28@gmail.com</t>
  </si>
  <si>
    <t>Obule Kingsley Emeka</t>
  </si>
  <si>
    <t>obulekingsley9@gmail.com</t>
  </si>
  <si>
    <t>Changchanhe</t>
  </si>
  <si>
    <t>Ajayi Oludayo</t>
  </si>
  <si>
    <t>ajayioludayo@gmail.com</t>
  </si>
  <si>
    <t>alomajasundayjohn@gmail.com</t>
  </si>
  <si>
    <t>Olakpe Oluwatoye Solomon</t>
  </si>
  <si>
    <t>Oluwaolakpe@gmail.com</t>
  </si>
  <si>
    <t>Evans Palima Edoghotu</t>
  </si>
  <si>
    <t>palimaevans1@gmail.com</t>
  </si>
  <si>
    <t>Isaac Jephthah</t>
  </si>
  <si>
    <t>ijephthah68@gmail.com</t>
  </si>
  <si>
    <t>SULAIMAN IBRAHIM SANI</t>
  </si>
  <si>
    <t>ebraheemsahne@gmail.com</t>
  </si>
  <si>
    <t>Bidda</t>
  </si>
  <si>
    <t>Victor Arins</t>
  </si>
  <si>
    <t>victorarins@yahoo.com</t>
  </si>
  <si>
    <t>Melvin Godstime Omitonie</t>
  </si>
  <si>
    <t>melvingodstime45@gmail.com</t>
  </si>
  <si>
    <t>Korubo Nimikongha Dokubo</t>
  </si>
  <si>
    <t>teimonimi@gmail.com</t>
  </si>
  <si>
    <t>Saidu</t>
  </si>
  <si>
    <t>Fauziyasaeed89@gmail.com</t>
  </si>
  <si>
    <t>Ameeraabubakarsadiq@gmail.com</t>
  </si>
  <si>
    <t>Emeka Lawrence Chijindu</t>
  </si>
  <si>
    <t>lawrenceemeka017@gmail.com</t>
  </si>
  <si>
    <t>YENAGOA/OGBIA</t>
  </si>
  <si>
    <t>Okoro Arua Dickson</t>
  </si>
  <si>
    <t>jamesaruad1@gmail.com</t>
  </si>
  <si>
    <t>Obafemi- Owode</t>
  </si>
  <si>
    <t>Ogunboye Vincent Ayomide</t>
  </si>
  <si>
    <t>tayokimogunboye@gmail.com</t>
  </si>
  <si>
    <t>Ado- odo</t>
  </si>
  <si>
    <t>Agunbiade-Sulaimon Hamed</t>
  </si>
  <si>
    <t>sulaimonthefirst@gmail.com</t>
  </si>
  <si>
    <t>Ifo local government area</t>
  </si>
  <si>
    <t>Adeyinka Taiwo Bolaji</t>
  </si>
  <si>
    <t>Adeyeanqarh@gmail.com</t>
  </si>
  <si>
    <t>Okotori Tarilayefa Jenifa</t>
  </si>
  <si>
    <t>okotoritarilayefa2021@gmail.com</t>
  </si>
  <si>
    <t>Ekeh Gloria Chiemena</t>
  </si>
  <si>
    <t>gchiemena326@gmail.com</t>
  </si>
  <si>
    <t>Non indigenous Resident</t>
  </si>
  <si>
    <t>Zainab shehu</t>
  </si>
  <si>
    <t>ummizaynabshehu@gmail.com</t>
  </si>
  <si>
    <t>Obi Philippa Kori</t>
  </si>
  <si>
    <t>philippaobi@gmail.com</t>
  </si>
  <si>
    <t>successsharon6@gmail.com</t>
  </si>
  <si>
    <t>Lanyo Dominic Mawuenyegah Yaw</t>
  </si>
  <si>
    <t>dominiclm.icarecollege@gmail.com</t>
  </si>
  <si>
    <t>Ghana Greater Accra</t>
  </si>
  <si>
    <t>Aliyu Abdulhamid Yaya</t>
  </si>
  <si>
    <t>yaliyu3393@gmail.com</t>
  </si>
  <si>
    <t>Bob Oduma Oshodin</t>
  </si>
  <si>
    <t>boboduma24@gmail.com</t>
  </si>
  <si>
    <t>Ibeju lekki, lagos</t>
  </si>
  <si>
    <t>Ugboma Chijioke Joshua</t>
  </si>
  <si>
    <t>chijiokeugboma689@gmail.com</t>
  </si>
  <si>
    <t>Evans Harmony</t>
  </si>
  <si>
    <t>harmonyevans62@gmail.com</t>
  </si>
  <si>
    <t>Mumba Clement</t>
  </si>
  <si>
    <t>Clementmumba550@gmail.com</t>
  </si>
  <si>
    <t>Karonga</t>
  </si>
  <si>
    <t>Anike chinecherem</t>
  </si>
  <si>
    <t>chinecheremabalu392@gmail.com</t>
  </si>
  <si>
    <t>Ejeh happiness ufedo</t>
  </si>
  <si>
    <t>ejehhappiness408@gmail.com</t>
  </si>
  <si>
    <t>ISAAC BARILEDUM MONDAY</t>
  </si>
  <si>
    <t>isaacbarry2050@gmail.com</t>
  </si>
  <si>
    <t>KHANA</t>
  </si>
  <si>
    <t>Anthony irungu muita</t>
  </si>
  <si>
    <t>muitacondultancy@gmail.com</t>
  </si>
  <si>
    <t>Crossriver</t>
  </si>
  <si>
    <t>Am a visiting student</t>
  </si>
  <si>
    <t>EYIKELEBO AYIBAEMI</t>
  </si>
  <si>
    <t>eayibaemi6@gmail.com</t>
  </si>
  <si>
    <t>Musa Ahmed</t>
  </si>
  <si>
    <t>ahmedmusa3649@gmail.com</t>
  </si>
  <si>
    <t>ASOGWA goodness chimezirim</t>
  </si>
  <si>
    <t>goodiebliss@gmail.com</t>
  </si>
  <si>
    <t>Enugu-north</t>
  </si>
  <si>
    <t>Abdullahi Muhammad</t>
  </si>
  <si>
    <t>abdullahiahmad593@gmail.com</t>
  </si>
  <si>
    <t>Effiong Eunice Etim</t>
  </si>
  <si>
    <t>ee.effiong9@gmail.com</t>
  </si>
  <si>
    <t>BRUCE-AGBOGIDI</t>
  </si>
  <si>
    <t>agbogidijonathan@gmail.com</t>
  </si>
  <si>
    <t>Olowolayemo Latifat Kehinde</t>
  </si>
  <si>
    <t>latifatolowolayemo@gmail.com</t>
  </si>
  <si>
    <t>Hadiza Ibrahim</t>
  </si>
  <si>
    <t>hadizaibrahim3497@gmail.com</t>
  </si>
  <si>
    <t>Ichaibu onyimowo Cecilia</t>
  </si>
  <si>
    <t>cichaibu@gmail.com</t>
  </si>
  <si>
    <t>Soetan Emmanuel Oluwatobiloba</t>
  </si>
  <si>
    <t>crossjordanemma@gmail.com</t>
  </si>
  <si>
    <t>Williams Alhassan Mariam</t>
  </si>
  <si>
    <t>mariamwilliams095@gmail.com</t>
  </si>
  <si>
    <t>Isah Ibrahim khalil</t>
  </si>
  <si>
    <t>khalilisahi@gmail.com</t>
  </si>
  <si>
    <t>Shittu Precious Olaoluwa</t>
  </si>
  <si>
    <t>shittuprecious17@gmail.com</t>
  </si>
  <si>
    <t>Maikudi Garba Mohammed</t>
  </si>
  <si>
    <t>maikudidamaturu@gamil.com</t>
  </si>
  <si>
    <t>Damatruru</t>
  </si>
  <si>
    <t>Igbo larson udoka</t>
  </si>
  <si>
    <t>larsonlino8@gmail.com</t>
  </si>
  <si>
    <t>BANJO OLANIYI</t>
  </si>
  <si>
    <t>niyibanjomoses@gmail.com</t>
  </si>
  <si>
    <t>Promise Michael Eberechi</t>
  </si>
  <si>
    <t>ask2lance.mp@gmail.com</t>
  </si>
  <si>
    <t>OGBAJI EMMANUEL OKACHE</t>
  </si>
  <si>
    <t>vickemmy30@gmail.com</t>
  </si>
  <si>
    <t>Oha clinton ekene</t>
  </si>
  <si>
    <t>clintextechnology@gmail.com</t>
  </si>
  <si>
    <t>Obip akpo</t>
  </si>
  <si>
    <t>Uche Ruth Adaeze</t>
  </si>
  <si>
    <t>uruth9313@gmail.com</t>
  </si>
  <si>
    <t>Sanusi</t>
  </si>
  <si>
    <t>abdulbnhays@gmail.com</t>
  </si>
  <si>
    <t>Abdulrahman Abubakar Abdullahi</t>
  </si>
  <si>
    <t>sadaukiabdallah@gmail.com</t>
  </si>
  <si>
    <t>Tarauni Local government</t>
  </si>
  <si>
    <t>Johnson, Odinaka Johnson</t>
  </si>
  <si>
    <t>jprosper7012@gmail.com</t>
  </si>
  <si>
    <t>Amadi Daniel Ogbondah</t>
  </si>
  <si>
    <t>dannyblack492@gmail.com</t>
  </si>
  <si>
    <t>Igweh Doris</t>
  </si>
  <si>
    <t>igwehd@gmail.com</t>
  </si>
  <si>
    <t>Phalga</t>
  </si>
  <si>
    <t>Nwulu</t>
  </si>
  <si>
    <t>giftnwulu2019@gmail.com</t>
  </si>
  <si>
    <t>Adelakun Kolawole Felix</t>
  </si>
  <si>
    <t>adelakunfelix@gmail.com</t>
  </si>
  <si>
    <t>Ayitu oghenovo</t>
  </si>
  <si>
    <t>ayitumelvin4@gmail.com</t>
  </si>
  <si>
    <t>obio akpor</t>
  </si>
  <si>
    <t>Sanusi Rasheedat Omolola</t>
  </si>
  <si>
    <t>rasheedat.sanusi@outlook.com</t>
  </si>
  <si>
    <t>Abubakar Nurudeen</t>
  </si>
  <si>
    <t>talkabubakar00@gmail.com</t>
  </si>
  <si>
    <t>Asa</t>
  </si>
  <si>
    <t>Kenneth-Ichendu Choice</t>
  </si>
  <si>
    <t>choixme19@gmail.com</t>
  </si>
  <si>
    <t>Lawrence Evergreen</t>
  </si>
  <si>
    <t>greatmangreenfield@gmail.com</t>
  </si>
  <si>
    <t>Abua/odual</t>
  </si>
  <si>
    <t>Odo Anthony Izuchukwu</t>
  </si>
  <si>
    <t>tonyizuchukwu3@gmail.com</t>
  </si>
  <si>
    <t>Okeke Esther Okeke</t>
  </si>
  <si>
    <t>sparx1est@gmail.com</t>
  </si>
  <si>
    <t>KINGSLEY ENECHUKWU</t>
  </si>
  <si>
    <t>ekingsley85@gmail.com</t>
  </si>
  <si>
    <t>OBIEZEMADUBOM EBUBECHUKWU PERPETUA</t>
  </si>
  <si>
    <t>mikemikky762@gmail.com</t>
  </si>
  <si>
    <t>Port Harcourt local government area</t>
  </si>
  <si>
    <t>Agboola Deborah Bisola</t>
  </si>
  <si>
    <t>dbisola8@gmail.com</t>
  </si>
  <si>
    <t>Imeko-Afon Local Government</t>
  </si>
  <si>
    <t>Olubamigbe Japheth Oluwagbogo</t>
  </si>
  <si>
    <t>olubamigbejapheth@gmail.com</t>
  </si>
  <si>
    <t>Akono Ayebaemi</t>
  </si>
  <si>
    <t>Akonoayebaemi@gmail.com</t>
  </si>
  <si>
    <t>Achieng Otieno Lucy</t>
  </si>
  <si>
    <t>lmcotieno@gmail.com</t>
  </si>
  <si>
    <t>Masaudu Tanko</t>
  </si>
  <si>
    <t>masaudutanko@gmail.com</t>
  </si>
  <si>
    <t>Ado Abubakar Yusuf</t>
  </si>
  <si>
    <t>sadhafarm68@gmail.com</t>
  </si>
  <si>
    <t>Zainab Ibrahim Yakubu</t>
  </si>
  <si>
    <t>zaymed2016@gmail.com</t>
  </si>
  <si>
    <t>Sani Abdullahi</t>
  </si>
  <si>
    <t>abdullahisani01616@gmail.com</t>
  </si>
  <si>
    <t>AKWUYIA VERONICA UTIANBESHIE</t>
  </si>
  <si>
    <t>akwuyiavera22@gmail.com</t>
  </si>
  <si>
    <t>Igwe Miracle Chimbroma</t>
  </si>
  <si>
    <t>Miracleigwe750@gmail.com</t>
  </si>
  <si>
    <t>Paul Nzala</t>
  </si>
  <si>
    <t>paulnzaladcc@gmail.com</t>
  </si>
  <si>
    <t>Omuhia</t>
  </si>
  <si>
    <t>ADEOTI AYOWOLE BUKOLA</t>
  </si>
  <si>
    <t>ayobukolaadeoti@gmail.com</t>
  </si>
  <si>
    <t>OBAFEMI OWODE</t>
  </si>
  <si>
    <t>Olaniyan Paul</t>
  </si>
  <si>
    <t>Olaniyanpaulrossy@gmail.com</t>
  </si>
  <si>
    <t>sooltanndatsu@gmail.com</t>
  </si>
  <si>
    <t>Ekpedeme, Peculiar Francis</t>
  </si>
  <si>
    <t>peculiarekpedeme76@gmail.com</t>
  </si>
  <si>
    <t>ADEYEYE TOMILAYO RACHEAL</t>
  </si>
  <si>
    <t>tomilayoadeyeye7@gmail.com</t>
  </si>
  <si>
    <t>Xamdi shariif xasan</t>
  </si>
  <si>
    <t>Xamdishariif932@gmail.com</t>
  </si>
  <si>
    <t>Somali moqdisho</t>
  </si>
  <si>
    <t>Anyaeji Ada Mary</t>
  </si>
  <si>
    <t>irobiada55@gmail.com</t>
  </si>
  <si>
    <t>Ibrahim Maryam Dankaka</t>
  </si>
  <si>
    <t>maryamdankaka1381@gmail.com</t>
  </si>
  <si>
    <t>Bunkure LGA</t>
  </si>
  <si>
    <t>Kano municipal, city.</t>
  </si>
  <si>
    <t>Nyenke Miracle Nhechika</t>
  </si>
  <si>
    <t>dnyenkemiracle@gmail.com</t>
  </si>
  <si>
    <t>ILESANMI Ayokunle Isaac</t>
  </si>
  <si>
    <t>kunsaac@gmail.com</t>
  </si>
  <si>
    <t>Oziri Prince Chibuikem</t>
  </si>
  <si>
    <t>oziriprince@gmail.com</t>
  </si>
  <si>
    <t>Abioye Tomilola Joel</t>
  </si>
  <si>
    <t>tomilolajoel@gmail.com</t>
  </si>
  <si>
    <t>Ruth Godpower Ihechi</t>
  </si>
  <si>
    <t>lindaihechi@gmail.com</t>
  </si>
  <si>
    <t>Erhikevwe oghenetega Nora</t>
  </si>
  <si>
    <t>teganora@gmail.com</t>
  </si>
  <si>
    <t>Godspower israel</t>
  </si>
  <si>
    <t>godspowerisrael140@gmail.com</t>
  </si>
  <si>
    <t>Sagbama local government</t>
  </si>
  <si>
    <t>Odoh Precious</t>
  </si>
  <si>
    <t>odohprecious103@gmail.com</t>
  </si>
  <si>
    <t>Mustapha Khadija Isa</t>
  </si>
  <si>
    <t>khadijamustaphaisa@gmail.com</t>
  </si>
  <si>
    <t>Adamu Moses Ateboh</t>
  </si>
  <si>
    <t>adamuatebohmoses58@gmail.com</t>
  </si>
  <si>
    <t>Chukwugozie Chiwuzie Obinwa</t>
  </si>
  <si>
    <t>wuziegeneralenterprise@gmail.com</t>
  </si>
  <si>
    <t>Musa Nasai yakub</t>
  </si>
  <si>
    <t>nasaimusa22@gmail.com</t>
  </si>
  <si>
    <t>Okunade Adegoke Michael</t>
  </si>
  <si>
    <t>okunadeadegoke615@gmail.com</t>
  </si>
  <si>
    <t>Eboseremen God'swork Anagbode</t>
  </si>
  <si>
    <t>godsworkeboseremen@gmail.com</t>
  </si>
  <si>
    <t>Staying in Lagos</t>
  </si>
  <si>
    <t>Ahmed Hassanatu</t>
  </si>
  <si>
    <t>hassanatsule2000@gmail.com</t>
  </si>
  <si>
    <t>Makurdi</t>
  </si>
  <si>
    <t>Udo Abraham Sunday</t>
  </si>
  <si>
    <t>udoabraham4sure@gmail.com</t>
  </si>
  <si>
    <t>Obio Akor</t>
  </si>
  <si>
    <t>Ibrahim Abdurrahman Ibrahim</t>
  </si>
  <si>
    <t>ibrahimibrahim8863@gmail.com</t>
  </si>
  <si>
    <t>Kolo Jesse</t>
  </si>
  <si>
    <t>kolojesse10@gmail.com</t>
  </si>
  <si>
    <t>Williams folake joy Williams</t>
  </si>
  <si>
    <t>Williams.folake@yahoo.com</t>
  </si>
  <si>
    <t>Nathaniel, Tambari Miracle</t>
  </si>
  <si>
    <t>nmiracle3@gmail.com</t>
  </si>
  <si>
    <t>Eyo Ekpo Ekpenyong</t>
  </si>
  <si>
    <t>eyoekpo047@gmail.com</t>
  </si>
  <si>
    <t>Wachiko salamatu wachiko</t>
  </si>
  <si>
    <t>smuhammadwachiko@gmail.com</t>
  </si>
  <si>
    <t>First Favour Ipakiribo Emi</t>
  </si>
  <si>
    <t>favourfirst1234@gmail.com</t>
  </si>
  <si>
    <t>ASALGA</t>
  </si>
  <si>
    <t>Bashir Abdulhadi Nasir</t>
  </si>
  <si>
    <t>abdulhadiny@gmail.com</t>
  </si>
  <si>
    <t>Sabo Abdurrazaq Ahmad</t>
  </si>
  <si>
    <t>abdulrazaks477@gmail.com</t>
  </si>
  <si>
    <t>Bello omobolaji</t>
  </si>
  <si>
    <t>kivabj123@gmail.com</t>
  </si>
  <si>
    <t>Ikenne remo</t>
  </si>
  <si>
    <t>DUKORI BARIVULE LILLIAN</t>
  </si>
  <si>
    <t>lillybab88@gmail.com</t>
  </si>
  <si>
    <t>igbobaridasorbari@yahoo.com</t>
  </si>
  <si>
    <t>EKATA COLLINS</t>
  </si>
  <si>
    <t>collinsekata748@gmail.com</t>
  </si>
  <si>
    <t>Itele-ota</t>
  </si>
  <si>
    <t>Bertha David</t>
  </si>
  <si>
    <t>Bmkingdavid01@gmail.com</t>
  </si>
  <si>
    <t>Grace Adikwu</t>
  </si>
  <si>
    <t>Graceadikwue@gmail.com</t>
  </si>
  <si>
    <t>SULEIMAN</t>
  </si>
  <si>
    <t>herjarasuleiman@gmail.com</t>
  </si>
  <si>
    <t>Emeka W Onyenanu</t>
  </si>
  <si>
    <t>emekawilliams2k12@gmail.com</t>
  </si>
  <si>
    <t>Hussaini turaku Abubakar</t>
  </si>
  <si>
    <t>turakuhussaini@gmail.com</t>
  </si>
  <si>
    <t>Magana local govt</t>
  </si>
  <si>
    <t>Enime, Caleb Uke</t>
  </si>
  <si>
    <t>enimecaleb@gmail.com</t>
  </si>
  <si>
    <t>Emmanuel Ngbede Moses</t>
  </si>
  <si>
    <t>emmanuelngbedemoses@gmail.com</t>
  </si>
  <si>
    <t>Ekaye Ayibaebi Happiness</t>
  </si>
  <si>
    <t>ayibaebiekaye@gmail.com</t>
  </si>
  <si>
    <t>Gideon Saviour</t>
  </si>
  <si>
    <t>savegideon@gmail.com</t>
  </si>
  <si>
    <t>ASOORE OLAWALE S.</t>
  </si>
  <si>
    <t>asooresimeon@gmail.com</t>
  </si>
  <si>
    <t>Sogbesan Opeyemi</t>
  </si>
  <si>
    <t>opeyemisogbesan184@gmail.com</t>
  </si>
  <si>
    <t>Effiong, Emmanuel Okon</t>
  </si>
  <si>
    <t>emmanueleffiong1096@gmail.com</t>
  </si>
  <si>
    <t>Akinlolu Timilehin</t>
  </si>
  <si>
    <t>Isah Sunusi Bala</t>
  </si>
  <si>
    <t>sunusibala1122@gmail.com</t>
  </si>
  <si>
    <t>Rashida Ashiru isah</t>
  </si>
  <si>
    <t>rashidahashiru@icloud.com</t>
  </si>
  <si>
    <t>Umar saminu yunusa</t>
  </si>
  <si>
    <t>umarusy1000@gmail.com</t>
  </si>
  <si>
    <t>Umar Mustapha</t>
  </si>
  <si>
    <t>Umarmustapha609@gmail.com</t>
  </si>
  <si>
    <t>Kusada</t>
  </si>
  <si>
    <t>Daniel Ojochide</t>
  </si>
  <si>
    <t>danielojochide1@gmail.com</t>
  </si>
  <si>
    <t>Jos South</t>
  </si>
  <si>
    <t>Ile Fortune</t>
  </si>
  <si>
    <t>fortuneile160@gmail.com</t>
  </si>
  <si>
    <t>Aisha Asheer isah</t>
  </si>
  <si>
    <t>ayshaasheer00@gmail.com</t>
  </si>
  <si>
    <t>Fedobowa kingdom</t>
  </si>
  <si>
    <t>fedobowakingdom@gmail.com</t>
  </si>
  <si>
    <t>Joel Justina lonami</t>
  </si>
  <si>
    <t>allenataman4@gmail.com</t>
  </si>
  <si>
    <t>Ogbia local government</t>
  </si>
  <si>
    <t>Bashir Bulama</t>
  </si>
  <si>
    <t>bashirbulama8044@gmail.com</t>
  </si>
  <si>
    <t>Indigenous of yobe state</t>
  </si>
  <si>
    <t>AGBA CHIDIMMA UKAMAKA</t>
  </si>
  <si>
    <t>hisroyalhighness890@gmail.com</t>
  </si>
  <si>
    <t>MARRIED</t>
  </si>
  <si>
    <t>Amadu mamman</t>
  </si>
  <si>
    <t>amadumamman51@gmail.com</t>
  </si>
  <si>
    <t>Johnson janeth</t>
  </si>
  <si>
    <t>johnsonjaneth22@gmail.com</t>
  </si>
  <si>
    <t>Emmanuel eze</t>
  </si>
  <si>
    <t>eeze8738@gmail.com</t>
  </si>
  <si>
    <t>Bossso</t>
  </si>
  <si>
    <t>Haruna Audu</t>
  </si>
  <si>
    <t>harunaaudu55@gmail.com</t>
  </si>
  <si>
    <t>Isip</t>
  </si>
  <si>
    <t>Vickyiisip@gmail.com</t>
  </si>
  <si>
    <t>Modu umar</t>
  </si>
  <si>
    <t>moduumar41@gmail.com</t>
  </si>
  <si>
    <t>Saidu Usman Yusuf</t>
  </si>
  <si>
    <t>saiduusmanyusuf6@gmail.com</t>
  </si>
  <si>
    <t>isaebribassey@gmail.com</t>
  </si>
  <si>
    <t>Ugwu Ugochukwu</t>
  </si>
  <si>
    <t>judexlawson@gmail.com</t>
  </si>
  <si>
    <t>Olungweonwi obaribenju</t>
  </si>
  <si>
    <t>olungweonwiobaribenjuolungweonwi1@gmail.com</t>
  </si>
  <si>
    <t>Edobor</t>
  </si>
  <si>
    <t>frankedobor131@gmail.com</t>
  </si>
  <si>
    <t>Ohio Akpor</t>
  </si>
  <si>
    <t>Filima Nyimabari Master</t>
  </si>
  <si>
    <t>nyimabari@gmail.com</t>
  </si>
  <si>
    <t>sulaimon Olanshile Khabirat</t>
  </si>
  <si>
    <t>olanshile160@gmail.com</t>
  </si>
  <si>
    <t>Ekpe Charles</t>
  </si>
  <si>
    <t>agrotechserv95@gmail.com</t>
  </si>
  <si>
    <t>Salami Abdullahi</t>
  </si>
  <si>
    <t>salamiabdullahi257@gmail.com</t>
  </si>
  <si>
    <t>Dakwa</t>
  </si>
  <si>
    <t>Ezema Kosisochukwu Samuel</t>
  </si>
  <si>
    <t>ezemasamuelk@gmail.com</t>
  </si>
  <si>
    <t>Ogbonda</t>
  </si>
  <si>
    <t>fogbonda@yahoo.com</t>
  </si>
  <si>
    <t>Obio/Apkor</t>
  </si>
  <si>
    <t>Oladebo Joseph Opeyemi</t>
  </si>
  <si>
    <t>oladebojoseph@gmail.com</t>
  </si>
  <si>
    <t>Oyo State, Olorunsogo</t>
  </si>
  <si>
    <t>Olasupo Timileyin</t>
  </si>
  <si>
    <t>olasupotimileyin23@gmail.com</t>
  </si>
  <si>
    <t>Abdulrasheed Ahmad</t>
  </si>
  <si>
    <t>ahmadabdulrashid111@gmail.com</t>
  </si>
  <si>
    <t>Egberanmwen Eloghosa</t>
  </si>
  <si>
    <t>egberanmweneloghosa2@gmail.com</t>
  </si>
  <si>
    <t>Akanni Ibukun Rasheedat</t>
  </si>
  <si>
    <t>ibukunakanni07@gmail.com</t>
  </si>
  <si>
    <t>Surulere</t>
  </si>
  <si>
    <t>MANZO MBIMI MOSES</t>
  </si>
  <si>
    <t>mbimimoses@gmail.com</t>
  </si>
  <si>
    <t>Oniyidr Adeyinka</t>
  </si>
  <si>
    <t>adeoluadeyinka100@gmail.com</t>
  </si>
  <si>
    <t>mrbash32@gmail.com</t>
  </si>
  <si>
    <t>Mukolu Blessing Uzorchukwu</t>
  </si>
  <si>
    <t>blessingmukolu@gmail.com</t>
  </si>
  <si>
    <t>John Precious</t>
  </si>
  <si>
    <t>prebby50@gmail.com</t>
  </si>
  <si>
    <t>OBI CHIOMA REBECCA</t>
  </si>
  <si>
    <t>DAWNSTARBABE5050@GMAIL.COM</t>
  </si>
  <si>
    <t>AGBARA</t>
  </si>
  <si>
    <t>Tasiu Abdullahi</t>
  </si>
  <si>
    <t>abdullahitasiu2019@gmail.com</t>
  </si>
  <si>
    <t>Adegbenro Felicia Adekemi</t>
  </si>
  <si>
    <t>phelyshia23@gmail.com</t>
  </si>
  <si>
    <t>Umaru Ahmodu Fatima</t>
  </si>
  <si>
    <t>umarufatimaahmodu@gmail.com</t>
  </si>
  <si>
    <t>Mathew Olatunji Abayomi</t>
  </si>
  <si>
    <t>broilabfarms23@gmail.com</t>
  </si>
  <si>
    <t>Odeda Local Government Area</t>
  </si>
  <si>
    <t>Nanaopiri undutimi Joseph</t>
  </si>
  <si>
    <t>nanaopiriundutimijoseph@gmail.com</t>
  </si>
  <si>
    <t>Ajiroba Adedayo Emmanuel</t>
  </si>
  <si>
    <t>hadedhayour@gmail.com</t>
  </si>
  <si>
    <t>Agbara/Lusada</t>
  </si>
  <si>
    <t>Alpheaus ebimoboere</t>
  </si>
  <si>
    <t>alpheausebimoboere5@gmail.com</t>
  </si>
  <si>
    <t>Gowon Deborah Tamaraumienmene</t>
  </si>
  <si>
    <t>deborahgowon88@gmail.com</t>
  </si>
  <si>
    <t>Ojelede Emmanuella Isibhakhomen</t>
  </si>
  <si>
    <t>eojelede@gmail.com</t>
  </si>
  <si>
    <t>Tijjani Umar Faruq</t>
  </si>
  <si>
    <t>umarfaruqtj99@gmail.com</t>
  </si>
  <si>
    <t>Babalola Kehinde Rukayat</t>
  </si>
  <si>
    <t>kehinderbabalola@gmail.com</t>
  </si>
  <si>
    <t>Ajie Joy Ada</t>
  </si>
  <si>
    <t>ajiejoytrina@gmail.com</t>
  </si>
  <si>
    <t>Obia-kpor</t>
  </si>
  <si>
    <t>Yusuf Aliyu Muhammad</t>
  </si>
  <si>
    <t>eeealiyumuhdyusuf@gmail.com</t>
  </si>
  <si>
    <t>Oladepo Michael Olamide</t>
  </si>
  <si>
    <t>oladepomichael15@gmail.com</t>
  </si>
  <si>
    <t>Alpheaus ebipatei</t>
  </si>
  <si>
    <t>nanaundu2@gmail.com</t>
  </si>
  <si>
    <t>Ikpeogu kelechi Samuel</t>
  </si>
  <si>
    <t>ikpeogukelechisamuel@gmail.com</t>
  </si>
  <si>
    <t>Otegwu rex ochim</t>
  </si>
  <si>
    <t>rexotegwu88@gmail.com</t>
  </si>
  <si>
    <t>Julius alpheaus</t>
  </si>
  <si>
    <t>alpheausjulius52@gmail.com</t>
  </si>
  <si>
    <t>Iorember Kwaghmon Kelvin</t>
  </si>
  <si>
    <t>kelvinhungul@gmail.com</t>
  </si>
  <si>
    <t>Enugu Central</t>
  </si>
  <si>
    <t>safeeyaimawa@gmail.com</t>
  </si>
  <si>
    <t>Ugwu Vanessa Kosisochukwu</t>
  </si>
  <si>
    <t>ugwuvanessa999@gmail.com</t>
  </si>
  <si>
    <t>Ismail Muhammad Gambo</t>
  </si>
  <si>
    <t>mmubi2001@gmail.com</t>
  </si>
  <si>
    <t>Raimi Bukola funmilayo</t>
  </si>
  <si>
    <t>bukolajolayemi341@gmail.com</t>
  </si>
  <si>
    <t>No 34 opposite new sabo market odigbo ore Ondo state</t>
  </si>
  <si>
    <t>MUHAMMAD ABUBAKAR GARBA</t>
  </si>
  <si>
    <t>auwal4020@gmail.com</t>
  </si>
  <si>
    <t>MUHAMMAD GWANDU AISHA</t>
  </si>
  <si>
    <t>ayshermyusuf@gmail.com</t>
  </si>
  <si>
    <t>Archibong Inimma Eyo</t>
  </si>
  <si>
    <t>inimmaarchibong2@gmail.com</t>
  </si>
  <si>
    <t>JIBRIL HAMZA</t>
  </si>
  <si>
    <t>jibrilhamza80@gmail.com</t>
  </si>
  <si>
    <t>Dramani Mary Teema</t>
  </si>
  <si>
    <t>dramanimaryteema@gmail.com</t>
  </si>
  <si>
    <t>Currently in Ghana</t>
  </si>
  <si>
    <t>Adeoye Taiwo Ayinla</t>
  </si>
  <si>
    <t>temitopeadeoye78@gmail.com</t>
  </si>
  <si>
    <t>Olusanya</t>
  </si>
  <si>
    <t>olusanyajesubori@gmail.com</t>
  </si>
  <si>
    <t>Olalekan Olansile Folawiyo</t>
  </si>
  <si>
    <t>olalekan_olansile@yahoo.com</t>
  </si>
  <si>
    <t>Shagamu Local government</t>
  </si>
  <si>
    <t>Okolo Faith Ogochukwu</t>
  </si>
  <si>
    <t>okolofaith4@gmail.com</t>
  </si>
  <si>
    <t>Etowa Michael Michael</t>
  </si>
  <si>
    <t>mikolo1.ban@gmail.com</t>
  </si>
  <si>
    <t>Yakurr LGA</t>
  </si>
  <si>
    <t>Anozie Jennifer Eberechukwu</t>
  </si>
  <si>
    <t>Anoziejennifer22@gmail.com</t>
  </si>
  <si>
    <t>Ogijo</t>
  </si>
  <si>
    <t>Osinaya</t>
  </si>
  <si>
    <t>osinayatemitayo99@gmail.com</t>
  </si>
  <si>
    <t>Amamchukwu Chinedu John</t>
  </si>
  <si>
    <t>amamchukwuchinedujohn53@gmail.com</t>
  </si>
  <si>
    <t>ADAMU KABIRU Musa</t>
  </si>
  <si>
    <t>kabiruadamumusa024@gmail.com</t>
  </si>
  <si>
    <t>Tomori Ibrahim Bolaji</t>
  </si>
  <si>
    <t>tomoribolaji27@gmail.com</t>
  </si>
  <si>
    <t>Ushie Simon Nkpung</t>
  </si>
  <si>
    <t>zillionsword.ok@gmail.com</t>
  </si>
  <si>
    <t>Sumbiri Peaceful</t>
  </si>
  <si>
    <t>peacefulwitty@gmail.com</t>
  </si>
  <si>
    <t>Obi Arabella Maria</t>
  </si>
  <si>
    <t>arabellaobi@gmail.com</t>
  </si>
  <si>
    <t>Ibitayo Adeyemi Ayomide</t>
  </si>
  <si>
    <t>ibitayoadeyemi1234@gmail.com</t>
  </si>
  <si>
    <t>Ugwu Emmanuel Chukwueloka</t>
  </si>
  <si>
    <t>ugwuemmanuel377@gmail.com</t>
  </si>
  <si>
    <t>Ahmad Abdulrahman Jibril</t>
  </si>
  <si>
    <t>ahmadjibrin332@gmail.com</t>
  </si>
  <si>
    <t>Sumaila Local Government</t>
  </si>
  <si>
    <t>Idowu</t>
  </si>
  <si>
    <t>idowupamilerin75@gmail.com</t>
  </si>
  <si>
    <t>Ugwoke Amaobichukwu Louis</t>
  </si>
  <si>
    <t>louisugwoke@gmail.com</t>
  </si>
  <si>
    <t>Stephen Monday Oluwatobi</t>
  </si>
  <si>
    <t>stephenmondayoluwatobi225@gmail.com</t>
  </si>
  <si>
    <t>OBAFEMI OWODE LG</t>
  </si>
  <si>
    <t>Munezero Ange Belise</t>
  </si>
  <si>
    <t>angebelise08@gmail.com</t>
  </si>
  <si>
    <t>bayesla</t>
  </si>
  <si>
    <t>Ekemba George Izuchukwu</t>
  </si>
  <si>
    <t>ekembageorge@gmail.com</t>
  </si>
  <si>
    <t>Nduka Gift Chinyere</t>
  </si>
  <si>
    <t>ndukachinyere2@gmail.com</t>
  </si>
  <si>
    <t>Trans Ekulu</t>
  </si>
  <si>
    <t>Ganiu Ridwan Ayinde</t>
  </si>
  <si>
    <t>ganiuridwan120@gmail.com</t>
  </si>
  <si>
    <t>Uthman Mukhtar temitope</t>
  </si>
  <si>
    <t>Mukhtartemmy@gmail.com</t>
  </si>
  <si>
    <t>Kahsay Bruk Fruy</t>
  </si>
  <si>
    <t>fruybiruk@gmail.com</t>
  </si>
  <si>
    <t>MONDAY DIVINE LEADU</t>
  </si>
  <si>
    <t>deeliverermonday@gmail.com</t>
  </si>
  <si>
    <t>Adam Nura Abdullahi</t>
  </si>
  <si>
    <t>nurayarima01@gmail.com</t>
  </si>
  <si>
    <t>Victor Chibueze Okoro</t>
  </si>
  <si>
    <t>victorbueze300@gmail.com</t>
  </si>
  <si>
    <t>MOHAMMED AJI</t>
  </si>
  <si>
    <t>mohammedmaji908@gmail.com</t>
  </si>
  <si>
    <t>Taroni</t>
  </si>
  <si>
    <t>Aigberadion Christopher Igen</t>
  </si>
  <si>
    <t>aigbechristopher@gmail.com</t>
  </si>
  <si>
    <t>Olawale Emmanuel Oluwatobi</t>
  </si>
  <si>
    <t>olawaleemmanueltobi99@gmail.com</t>
  </si>
  <si>
    <t>Jumart Mojoyinoluwa Joanna</t>
  </si>
  <si>
    <t>mojoyinoluwajoanna@gmail.com</t>
  </si>
  <si>
    <t>Abolude mujeeb Gbolahan</t>
  </si>
  <si>
    <t>aboludemujeeb@gmail.com</t>
  </si>
  <si>
    <t>Tanke beside bubu primary school</t>
  </si>
  <si>
    <t>Sadiq Maiwada Lawali</t>
  </si>
  <si>
    <t>smaiwada347@gmail.com</t>
  </si>
  <si>
    <t>Akinwale</t>
  </si>
  <si>
    <t>akinwale200945@gmail.com</t>
  </si>
  <si>
    <t>Chika Happiness</t>
  </si>
  <si>
    <t>happinesschika206@gmail.com</t>
  </si>
  <si>
    <t>Akpo</t>
  </si>
  <si>
    <t>Alhaji adamu hussini</t>
  </si>
  <si>
    <t>alhajiadamuhussini8815@gmail.com</t>
  </si>
  <si>
    <t>David Barka</t>
  </si>
  <si>
    <t>barkadavid04@gmail.com</t>
  </si>
  <si>
    <t>Chiwuzie Chukwugozie Obinwa</t>
  </si>
  <si>
    <t>fastsalesmarketingandtrading@gmail.com</t>
  </si>
  <si>
    <t>Babayemi Oluwaseyi</t>
  </si>
  <si>
    <t>babayemiseyi7@gmail.com</t>
  </si>
  <si>
    <t>James Datong</t>
  </si>
  <si>
    <t>datongjames5@gmail.com</t>
  </si>
  <si>
    <t>Ishaq Fatima Nnagiworo</t>
  </si>
  <si>
    <t>fatimaishaq2019@gmail.com</t>
  </si>
  <si>
    <t>Bamitola Olawumi Islamiyat</t>
  </si>
  <si>
    <t>olawunmislamiyat@gmail.com</t>
  </si>
  <si>
    <t>Relocated resident</t>
  </si>
  <si>
    <t>IKPASEH EMMANUEL EMEKA</t>
  </si>
  <si>
    <t>Ikpasehemmanuel1@gmail.com</t>
  </si>
  <si>
    <t>Uche Joshua Ayota</t>
  </si>
  <si>
    <t>joshuauche800@gmail.com</t>
  </si>
  <si>
    <t>Ayodele Olatunji Charles</t>
  </si>
  <si>
    <t>olatunjicharlesayodele@gmail.com</t>
  </si>
  <si>
    <t>Abeokuta west</t>
  </si>
  <si>
    <t>Antoinette N. YAVOEDJI</t>
  </si>
  <si>
    <t>yavoedji@yahoo.fr</t>
  </si>
  <si>
    <t>Benin</t>
  </si>
  <si>
    <t>I'm from benin</t>
  </si>
  <si>
    <t>Bekee Belleebari Fredrick</t>
  </si>
  <si>
    <t>bekeefredrick@gmail.com</t>
  </si>
  <si>
    <t>Gokana Local government area</t>
  </si>
  <si>
    <t>Sarah Joshua Lawson</t>
  </si>
  <si>
    <t>sarahjoshua21@gmail.com</t>
  </si>
  <si>
    <t>IREKEOLA IDRIS</t>
  </si>
  <si>
    <t>hirekson@gmail.com</t>
  </si>
  <si>
    <t>UMAR LUKMAN ATAKO</t>
  </si>
  <si>
    <t>lukmanumaratako@gmail.com</t>
  </si>
  <si>
    <t>Amoo Deborah Oluwatimilehin</t>
  </si>
  <si>
    <t>amoodeborah269@gmail.com</t>
  </si>
  <si>
    <t>Ado/odo ota</t>
  </si>
  <si>
    <t>Hamzat olamilekan Samuel</t>
  </si>
  <si>
    <t>yjvictorious12@gmail.com</t>
  </si>
  <si>
    <t>Oti Ekpenyong Bassey</t>
  </si>
  <si>
    <t>ekpeyoungb@gmail.com</t>
  </si>
  <si>
    <t>Adaji Ichado Zuweratu</t>
  </si>
  <si>
    <t>adajizuweratu@gmail.com</t>
  </si>
  <si>
    <t>Ibrahim abdullahi mahmud</t>
  </si>
  <si>
    <t>ibrahimabdullahimahmud9@gmail.com</t>
  </si>
  <si>
    <t>Ali isa Mohammed</t>
  </si>
  <si>
    <t>aim36195724@gmail.com</t>
  </si>
  <si>
    <t>Bamikole Kebeeroh Arowona</t>
  </si>
  <si>
    <t>bamikolekebeeraharowona@gmail.com</t>
  </si>
  <si>
    <t>Ifelodun</t>
  </si>
  <si>
    <t>Asthma</t>
  </si>
  <si>
    <t>NYIEDAH NORNUBARI DAVID</t>
  </si>
  <si>
    <t>davidnornubari93@gmail.com</t>
  </si>
  <si>
    <t>Azeez Mariam Adeola</t>
  </si>
  <si>
    <t>maryamadeola27@gmail.com</t>
  </si>
  <si>
    <t>Bamisaye Fiyinfoluwa Emmanuel</t>
  </si>
  <si>
    <t>fiyinfoluwabamisaye@gmail.com</t>
  </si>
  <si>
    <t>Obogo, Janet oshama</t>
  </si>
  <si>
    <t>obogojanet26@gmail.com</t>
  </si>
  <si>
    <t>Silas chidera confidence</t>
  </si>
  <si>
    <t>silasconfi085@gmail.com</t>
  </si>
  <si>
    <t>Oyibo LGA</t>
  </si>
  <si>
    <t>Ovuru Victoria</t>
  </si>
  <si>
    <t>victoriaovuru2020@gmail.com</t>
  </si>
  <si>
    <t>Stay in Abuja which is close to Zuba</t>
  </si>
  <si>
    <t>Ojeyemi Jumoke Aanu</t>
  </si>
  <si>
    <t>jumokeojeyemi955@gmail.com</t>
  </si>
  <si>
    <t>Amadi Kingsley Adindu</t>
  </si>
  <si>
    <t>kingsleyadindu11@gmail.com</t>
  </si>
  <si>
    <t>Nwaimo Mabel oluchi</t>
  </si>
  <si>
    <t>nwaimomabel38@gmail.com</t>
  </si>
  <si>
    <t>Miller Ibama Awagibotei</t>
  </si>
  <si>
    <t>awagibama@gmail.com</t>
  </si>
  <si>
    <t>Ugodu Chima Martins</t>
  </si>
  <si>
    <t>chimamartins3@gmail.com</t>
  </si>
  <si>
    <t>Igbo-etiti Local government</t>
  </si>
  <si>
    <t>Alausa Lateefah Temitope</t>
  </si>
  <si>
    <t>alausalatifah1999@gmail.com</t>
  </si>
  <si>
    <t>Moses, Festus Elisha</t>
  </si>
  <si>
    <t>festusmosesdegr8t@gmail.com</t>
  </si>
  <si>
    <t>Eruotor Blessing Goddey</t>
  </si>
  <si>
    <t>rukheblessing@gmail.com</t>
  </si>
  <si>
    <t>Owerri West</t>
  </si>
  <si>
    <t>Ebuka Promise Ebisi</t>
  </si>
  <si>
    <t>ebisipromise2015@gmail.com</t>
  </si>
  <si>
    <t>Orok, Emmanuel Emmanuel</t>
  </si>
  <si>
    <t>farmfusiontechltd@gmail.com</t>
  </si>
  <si>
    <t>Bassey, Racheal Effiong</t>
  </si>
  <si>
    <t>rachealbassey90@gmail.com</t>
  </si>
  <si>
    <t>Abdulhafiz Mustapha</t>
  </si>
  <si>
    <t>mustaphahafeez10@gmail.com</t>
  </si>
  <si>
    <t>Nwalali Chinonso Emmanuella</t>
  </si>
  <si>
    <t>emmany879@gmail.com</t>
  </si>
  <si>
    <t>Afam indoki</t>
  </si>
  <si>
    <t>Joseph Elvis Douglas</t>
  </si>
  <si>
    <t>elvisdouglasjoseph@gmail.com</t>
  </si>
  <si>
    <t>Eze Chidera Stella</t>
  </si>
  <si>
    <t>deragabriella01@gmail.com</t>
  </si>
  <si>
    <t>Obizue Blessing Mmesoma</t>
  </si>
  <si>
    <t>obizueblessing@gmail.com</t>
  </si>
  <si>
    <t>Etche LGA</t>
  </si>
  <si>
    <t>Elendu chizurum Deborah</t>
  </si>
  <si>
    <t>chizurumelendu@gmail.com</t>
  </si>
  <si>
    <t>Ikwuano</t>
  </si>
  <si>
    <t>ALEXANDER ADEGBOYE</t>
  </si>
  <si>
    <t>alex.adegboye@yahoo.com</t>
  </si>
  <si>
    <t>Oru partner mansion</t>
  </si>
  <si>
    <t>orumansionpartner@gmail.com</t>
  </si>
  <si>
    <t>Okoro , Uduak Samuel</t>
  </si>
  <si>
    <t>udyokoro2022@gmail.com</t>
  </si>
  <si>
    <t>Okopi Aladi Mary</t>
  </si>
  <si>
    <t>ladiokopi@gmail.com</t>
  </si>
  <si>
    <t>Abuja</t>
  </si>
  <si>
    <t>Offiong Joseph Archibong</t>
  </si>
  <si>
    <t>josephoffiong@gmail.com</t>
  </si>
  <si>
    <t>Thomas Elijah Gabriel</t>
  </si>
  <si>
    <t>Thomaselijahgabriel@gmail.com</t>
  </si>
  <si>
    <t>Muhammad Hussain Musa</t>
  </si>
  <si>
    <t>husmuhmad30@gmail.com</t>
  </si>
  <si>
    <t>Monjol Hycent M</t>
  </si>
  <si>
    <t>monjolhycentmoshe@gmail.com</t>
  </si>
  <si>
    <t>Ugochukwu Sarah</t>
  </si>
  <si>
    <t>cl5956092@gmail.com</t>
  </si>
  <si>
    <t>Mbaitolu</t>
  </si>
  <si>
    <t>Abdullahi Yusuf</t>
  </si>
  <si>
    <t>yusufabdullahi6160@gmail.com</t>
  </si>
  <si>
    <t>Adeyanju Damilola Janet</t>
  </si>
  <si>
    <t>damilolaadeyanju89@gmail.com</t>
  </si>
  <si>
    <t>Ayodele Prayer Ayonitemi</t>
  </si>
  <si>
    <t>ayodeleprayer@gmail.com</t>
  </si>
  <si>
    <t>Afolabi Oluwadamilola Abigael</t>
  </si>
  <si>
    <t>afolabisophie2021@gmail.com</t>
  </si>
  <si>
    <t>Benson Emmanuel uzonna</t>
  </si>
  <si>
    <t>bensonemmanuel070@gmail.com</t>
  </si>
  <si>
    <t>Mushin</t>
  </si>
  <si>
    <t>Ugboji Peter M</t>
  </si>
  <si>
    <t>ugbojipetermorah@gmail.com</t>
  </si>
  <si>
    <t>Abdulganiyu Abdullahi Akorede</t>
  </si>
  <si>
    <t>abduabdulganiy3@gmail.com</t>
  </si>
  <si>
    <t>GIMBA Abdullahi</t>
  </si>
  <si>
    <t>abdullahigimba94@gmail.com</t>
  </si>
  <si>
    <t>Ismail Hassan</t>
  </si>
  <si>
    <t>hassanismailhja887@gmail.com</t>
  </si>
  <si>
    <t>Jigawa Hadejia Local Government</t>
  </si>
  <si>
    <t>Michael Sylvia Mgbo</t>
  </si>
  <si>
    <t>mikelcelia68@gmail.com</t>
  </si>
  <si>
    <t>KALU OLUCHI MARVELOUS</t>
  </si>
  <si>
    <t>kaluoluchimarvelous@gmail.com</t>
  </si>
  <si>
    <t>Eyehorua Kingsley</t>
  </si>
  <si>
    <t>kingorezi3690@gmail.com</t>
  </si>
  <si>
    <t>Emeka Godsportion Ezemsinachi</t>
  </si>
  <si>
    <t>sirwyt09065055519@gmail.com</t>
  </si>
  <si>
    <t>Saka Suleman</t>
  </si>
  <si>
    <t>sakasuleman4@gmail.com</t>
  </si>
  <si>
    <t>Obafemi Owode Local Government Area</t>
  </si>
  <si>
    <t>Valentina Zuaima Joshua</t>
  </si>
  <si>
    <t>zuaima13@gmail.com</t>
  </si>
  <si>
    <t>MacDonald Blessing Felix</t>
  </si>
  <si>
    <t>fmac0033@gmail.com</t>
  </si>
  <si>
    <t>SILGA</t>
  </si>
  <si>
    <t>Adu Boluwatife B</t>
  </si>
  <si>
    <t>aduboluwatife3@gmail.com</t>
  </si>
  <si>
    <t>Abidoye Jumoke Janet</t>
  </si>
  <si>
    <t>jabidoye1@gmail.com</t>
  </si>
  <si>
    <t>Ifeeast local government</t>
  </si>
  <si>
    <t>Yinusa Munirudeen</t>
  </si>
  <si>
    <t>yinusamunir@gmail.com</t>
  </si>
  <si>
    <t>Oyatabu Chinaza Johnpaul</t>
  </si>
  <si>
    <t>oyatabuchinaza09060060431@gmail.com</t>
  </si>
  <si>
    <t>Etche Local Government Area (LGA)</t>
  </si>
  <si>
    <t>Utibe</t>
  </si>
  <si>
    <t>Milkyfwesh@gmail.com</t>
  </si>
  <si>
    <t>Ibrahim Hafsat Saminu</t>
  </si>
  <si>
    <t>hafsatibrahimsaminu@gmail.com</t>
  </si>
  <si>
    <t>SALIM UMAR</t>
  </si>
  <si>
    <t>salimumar116@gmail.com</t>
  </si>
  <si>
    <t>Kano Central</t>
  </si>
  <si>
    <t>Alao Oluwaseunnla Samuel</t>
  </si>
  <si>
    <t>oluwaseunnlaalao95@gmail.com</t>
  </si>
  <si>
    <t>Orfega Benard Terkula</t>
  </si>
  <si>
    <t>orfegabenard@gmail.com</t>
  </si>
  <si>
    <t>ADAMU</t>
  </si>
  <si>
    <t>Ya'u Salisu</t>
  </si>
  <si>
    <t>yausalisu125@gmail.com</t>
  </si>
  <si>
    <t>Kibiya Local Government</t>
  </si>
  <si>
    <t>Aboluwarin Deborah Oluwapelumi</t>
  </si>
  <si>
    <t>oluwadebby51@gmail.com</t>
  </si>
  <si>
    <t>Ogbomoso South</t>
  </si>
  <si>
    <t>SANI SHEHU</t>
  </si>
  <si>
    <t>sanishehu2022@gmail.com</t>
  </si>
  <si>
    <t>Ingiabuna, Ebimunu Kurotimi</t>
  </si>
  <si>
    <t>ebimunu18@gmail.com</t>
  </si>
  <si>
    <t>Silga</t>
  </si>
  <si>
    <t>Oduyale Micheal Olumide</t>
  </si>
  <si>
    <t>oduyalemicheal@gmail.com</t>
  </si>
  <si>
    <t>Ado odo local government</t>
  </si>
  <si>
    <t>Odewale Hammed Olalekan</t>
  </si>
  <si>
    <t>hammedolalekan60@gmail.com</t>
  </si>
  <si>
    <t>Sobowale Opeyemi</t>
  </si>
  <si>
    <t>opeyemisobowale4@gmail.com</t>
  </si>
  <si>
    <t>Ogodo James Azubuike</t>
  </si>
  <si>
    <t>ogodojames@gmail.com</t>
  </si>
  <si>
    <t>Gwaza Tertsea Thomas</t>
  </si>
  <si>
    <t>gwazatertseathomas@gmail.com</t>
  </si>
  <si>
    <t>Christian Erumwuse uhunamure</t>
  </si>
  <si>
    <t>chermcity@gmail.com</t>
  </si>
  <si>
    <t>Adebisi kehinde Nafisat</t>
  </si>
  <si>
    <t>adebiskehinde@gmail.com</t>
  </si>
  <si>
    <t>Yusuf abdulfatah Ahmad</t>
  </si>
  <si>
    <t>yusufahmadabdulfatah@gmail.com</t>
  </si>
  <si>
    <t>ungogo local government</t>
  </si>
  <si>
    <t>Onah Emmanuel Ebube</t>
  </si>
  <si>
    <t>onahebube5@gmail.com</t>
  </si>
  <si>
    <t>Mgbonta Ogenna Benedict</t>
  </si>
  <si>
    <t>Agenyi Emmanuella-Mary edo-eje</t>
  </si>
  <si>
    <t>emmanuellamary2003@gmail.com</t>
  </si>
  <si>
    <t>Majasan David Miracle</t>
  </si>
  <si>
    <t>Davidmiracle99@gmail.com</t>
  </si>
  <si>
    <t>Umejuru David Chukwuemeka</t>
  </si>
  <si>
    <t>dvdchucks@gmail.com</t>
  </si>
  <si>
    <t>Ofem Gift Clement</t>
  </si>
  <si>
    <t>gift.ofem15@gmail.com</t>
  </si>
  <si>
    <t>Lawal Kafilat Oyenike</t>
  </si>
  <si>
    <t>lawalkafilat95@gmail.com</t>
  </si>
  <si>
    <t>Kolawole Salawu</t>
  </si>
  <si>
    <t>kolawolesalawu3@gmail.com</t>
  </si>
  <si>
    <t>Toka faith ziganubari</t>
  </si>
  <si>
    <t>faithtoka253@gmail.com</t>
  </si>
  <si>
    <t>Taofeek Dewale Lawal</t>
  </si>
  <si>
    <t>muhammadtaofeek1@gmail.com</t>
  </si>
  <si>
    <t>Omotayo Adebayo Peter</t>
  </si>
  <si>
    <t>petmot2004@gmail.com</t>
  </si>
  <si>
    <t>Ugwuegbu Eric Paschal Arinze</t>
  </si>
  <si>
    <t>4ericxx@gmail.com</t>
  </si>
  <si>
    <t>PH</t>
  </si>
  <si>
    <t>Azeez awaw mojisola</t>
  </si>
  <si>
    <t>Hawahuazeez@gmail.com</t>
  </si>
  <si>
    <t>Okolie Ogechi Favour</t>
  </si>
  <si>
    <t>dfavourokolie@gmail.com</t>
  </si>
  <si>
    <t>Odeka Oghenevoke</t>
  </si>
  <si>
    <t>voke91571@gmail.com</t>
  </si>
  <si>
    <t>Ifako ijaiye</t>
  </si>
  <si>
    <t>Umeonwuka</t>
  </si>
  <si>
    <t>umeonwukauu16184@gmail.com</t>
  </si>
  <si>
    <t>Nnewi North</t>
  </si>
  <si>
    <t>Okoye Jeffery</t>
  </si>
  <si>
    <t>jeffuche2205@gmail.com</t>
  </si>
  <si>
    <t>FORSON EMMANUEL</t>
  </si>
  <si>
    <t>emmanuelforson347@gmail.com</t>
  </si>
  <si>
    <t>GHANAIAN LIVING NIGERIA</t>
  </si>
  <si>
    <t>Asogwa Precious Chidalu</t>
  </si>
  <si>
    <t>asogwaprecious27@gmail.com</t>
  </si>
  <si>
    <t>Chime Chukwuka David</t>
  </si>
  <si>
    <t>dchime988@gmail.com</t>
  </si>
  <si>
    <t>Elusehinde Kazeem Elubowale</t>
  </si>
  <si>
    <t>elusehindeelubowalekazeem@gmail.com</t>
  </si>
  <si>
    <t>Yewa</t>
  </si>
  <si>
    <t>Eli, Omiteobalabhon Horsfall</t>
  </si>
  <si>
    <t>eliomiteobal@gmail.com</t>
  </si>
  <si>
    <t>Onunekwu Charles</t>
  </si>
  <si>
    <t>onunekwucharles@gmail.com</t>
  </si>
  <si>
    <t>Abdullahi Muhammad Sani</t>
  </si>
  <si>
    <t>muhds8709@gmail.com</t>
  </si>
  <si>
    <t>Walter Christian Joel</t>
  </si>
  <si>
    <t>christianwalter110@gmail.com</t>
  </si>
  <si>
    <t>Oboi Akpor</t>
  </si>
  <si>
    <t>Igbo Amarachi Jane</t>
  </si>
  <si>
    <t>igboamarachijane@gmail.com</t>
  </si>
  <si>
    <t>NWACHUKWU JOYCE</t>
  </si>
  <si>
    <t>nwachukwujoyce48@gmail.com</t>
  </si>
  <si>
    <t>Amakiri Atedi Leela</t>
  </si>
  <si>
    <t>atedileela4@gmail.com</t>
  </si>
  <si>
    <t>Abdullahi Atiku</t>
  </si>
  <si>
    <t>atikuabdullahi123@gmail.com</t>
  </si>
  <si>
    <t>Bida, Niger state</t>
  </si>
  <si>
    <t>Yusuf Umar Faruk</t>
  </si>
  <si>
    <t>umarfaruk6932@gmail.com</t>
  </si>
  <si>
    <t>Francis Ukpevie</t>
  </si>
  <si>
    <t>ukpeviegoody@gmail.com</t>
  </si>
  <si>
    <t>Okeh Chidera Margaret</t>
  </si>
  <si>
    <t>chideraokeh5@gmail.com</t>
  </si>
  <si>
    <t>KUNTI KHALIFA MUKHTAR</t>
  </si>
  <si>
    <t>khaliphamukhtar555@gmail.com</t>
  </si>
  <si>
    <t>Odeke</t>
  </si>
  <si>
    <t>eart4all@gmail.com</t>
  </si>
  <si>
    <t>Ishola isaac ojo</t>
  </si>
  <si>
    <t>isaacishola47@gmail.com</t>
  </si>
  <si>
    <t>Alike Godfrey Ojonumi</t>
  </si>
  <si>
    <t>godfreyjohnpaul8@gmail.com</t>
  </si>
  <si>
    <t>Okpo Blessing Daniel</t>
  </si>
  <si>
    <t>bheedan2001@gmail.com</t>
  </si>
  <si>
    <t>Akinwumi Olawumi</t>
  </si>
  <si>
    <t>abpreizglobalventures@gmail.com</t>
  </si>
  <si>
    <t>Abiodun Adeyemi</t>
  </si>
  <si>
    <t>adeboyolaboy@gmail.com</t>
  </si>
  <si>
    <t>TARIMOBOWEI AGAIGO</t>
  </si>
  <si>
    <t>tariagaigo@gmail.com</t>
  </si>
  <si>
    <t>Mebine</t>
  </si>
  <si>
    <t>woyin60@gmail.com</t>
  </si>
  <si>
    <t>Doyeni Moyinoluwa Toluwanimi</t>
  </si>
  <si>
    <t>realdoyeni@gmail.com</t>
  </si>
  <si>
    <t>Anieze Chinedu valentine</t>
  </si>
  <si>
    <t>aniezeval@gmail.com</t>
  </si>
  <si>
    <t>Ijebuode</t>
  </si>
  <si>
    <t>Aaka Mark</t>
  </si>
  <si>
    <t>markaaka1@gmail.com</t>
  </si>
  <si>
    <t>Zaiki woyengipreye daniel</t>
  </si>
  <si>
    <t>dannyeaz8@gmail.com</t>
  </si>
  <si>
    <t>Agosa favour</t>
  </si>
  <si>
    <t>agosafavour588@gmail.com</t>
  </si>
  <si>
    <t>OGUNTUNJI BABATUNDE</t>
  </si>
  <si>
    <t>oguntunjibabatunde@gmail.com</t>
  </si>
  <si>
    <t>Yenagoa local govt area</t>
  </si>
  <si>
    <t>Tonkiri Susan Ebiere</t>
  </si>
  <si>
    <t>ebieretonkiri8@gmail.com</t>
  </si>
  <si>
    <t>Alabi Victor Chilimeadhu</t>
  </si>
  <si>
    <t>victoralabi04@gmail.com</t>
  </si>
  <si>
    <t>Koroyin Oyibrakemi-Iboro Nathan</t>
  </si>
  <si>
    <t>natiboro14@gmail.com</t>
  </si>
  <si>
    <t>Jairus Peter Onawo</t>
  </si>
  <si>
    <t>jairuspeter22@gmail.com</t>
  </si>
  <si>
    <t>Isiaq Waliyah Idowu</t>
  </si>
  <si>
    <t>isiaqwaleeyah@gmail.com</t>
  </si>
  <si>
    <t>Ngene Ifeoma Maryann</t>
  </si>
  <si>
    <t>omangene91@gmail.com</t>
  </si>
  <si>
    <t>Nnabuihe Oluchi Blessing</t>
  </si>
  <si>
    <t>oluchiblessing69@gmail.com</t>
  </si>
  <si>
    <t>Ewuzie Stephanie Chinenye</t>
  </si>
  <si>
    <t>sewuzie5@gmail.com</t>
  </si>
  <si>
    <t>Moses Benjamin Udo</t>
  </si>
  <si>
    <t>blazepaskal1010@gmail.com</t>
  </si>
  <si>
    <t>Ibrahim inuwa bawaji</t>
  </si>
  <si>
    <t>iinuwa700@gmail.com</t>
  </si>
  <si>
    <t>Adewara Francis adebisi</t>
  </si>
  <si>
    <t>merchant6and9@gmail.com</t>
  </si>
  <si>
    <t>Okeh Chukwuebuka Emmanuel</t>
  </si>
  <si>
    <t>emmanuelokeh350@gmail.com</t>
  </si>
  <si>
    <t>Umar Musa Tahir</t>
  </si>
  <si>
    <t>musaumarbichi1440@gmail.com</t>
  </si>
  <si>
    <t>Hussain Aisha Adam</t>
  </si>
  <si>
    <t>Aisha.a.hussain365@gmail.com</t>
  </si>
  <si>
    <t>IDRIS ACHILE SUMAILA</t>
  </si>
  <si>
    <t>idrissumailaachile@gmail.com</t>
  </si>
  <si>
    <t>Belepeigha Joy</t>
  </si>
  <si>
    <t>joybelepeigha90@gmail.com</t>
  </si>
  <si>
    <t>Animashaun Rukayat Titilayo</t>
  </si>
  <si>
    <t>atitilayor@gmail.com</t>
  </si>
  <si>
    <t>Sango-Ota</t>
  </si>
  <si>
    <t>Effiong Mbuotidem Ime</t>
  </si>
  <si>
    <t>larryeffiong416@gmail.com</t>
  </si>
  <si>
    <t>Olalere Daniel Ayooluwa</t>
  </si>
  <si>
    <t>olaleredanielayooluwa@gmail.com</t>
  </si>
  <si>
    <t>Kajola</t>
  </si>
  <si>
    <t>Odey Marcus Odey</t>
  </si>
  <si>
    <t>Marcusodey4@gmail.com</t>
  </si>
  <si>
    <t>Eneji Michael Iripia</t>
  </si>
  <si>
    <t>enejipraise@gmail.com</t>
  </si>
  <si>
    <t>ANTHONY Emmanuel</t>
  </si>
  <si>
    <t>talk2emmanuelanthony2019@gmail.com</t>
  </si>
  <si>
    <t>Obichukwu Chidubem Chrstian</t>
  </si>
  <si>
    <t>obichukwuv20@gmail.com</t>
  </si>
  <si>
    <t>Musa Ali Ibrahim</t>
  </si>
  <si>
    <t>musai7409@gmail.com</t>
  </si>
  <si>
    <t>Alpheaus glory ebitari</t>
  </si>
  <si>
    <t>ebimoboeredaiel5@gmail.com</t>
  </si>
  <si>
    <t>Agboiyi Obed Osalumhense</t>
  </si>
  <si>
    <t>obedehis@gmail.com</t>
  </si>
  <si>
    <t>Port harcourt city lga</t>
  </si>
  <si>
    <t>Amgbare Enekiokore</t>
  </si>
  <si>
    <t>amgbareenekiokore@gmail.com</t>
  </si>
  <si>
    <t>Aminu Maryam</t>
  </si>
  <si>
    <t>makoguna1@gmail.com</t>
  </si>
  <si>
    <t>Katsina</t>
  </si>
  <si>
    <t>Aruah Ikechukwu Israel</t>
  </si>
  <si>
    <t>dotsevn7@gmail.com</t>
  </si>
  <si>
    <t>Shittu Fatimoh</t>
  </si>
  <si>
    <t>shittufatimoh14@gmail.com</t>
  </si>
  <si>
    <t>Adeyanju Folarin Simon</t>
  </si>
  <si>
    <t>folarinadeyanjusimon@gmail.com</t>
  </si>
  <si>
    <t>Sarah Omowunmi Jeje</t>
  </si>
  <si>
    <t>sarahjeje1406@gmail.com</t>
  </si>
  <si>
    <t>Muhammed Opoola</t>
  </si>
  <si>
    <t>opoolamuhammed@gmail.com</t>
  </si>
  <si>
    <t>Ajao Busayo Emmanuel</t>
  </si>
  <si>
    <t>ajaokingsley@gmail.com</t>
  </si>
  <si>
    <t>Adebisi Tolulope</t>
  </si>
  <si>
    <t>adebisitolulope5@gmail.com</t>
  </si>
  <si>
    <t>Ijebu east</t>
  </si>
  <si>
    <t>Ohulonu Kelechi</t>
  </si>
  <si>
    <t>ohulonuk@gmail.com</t>
  </si>
  <si>
    <t>Isuikwuato</t>
  </si>
  <si>
    <t>Badmus Abdullateef</t>
  </si>
  <si>
    <t>geekybalo@gmail.com</t>
  </si>
  <si>
    <t>Olaniyi Barakat</t>
  </si>
  <si>
    <t>barakatolaniyi37@gmail.com</t>
  </si>
  <si>
    <t>Okonkwo chioma joy</t>
  </si>
  <si>
    <t>chiomajoy9331@gmail.com</t>
  </si>
  <si>
    <t>Otta</t>
  </si>
  <si>
    <t>MAIGARI HATIMU</t>
  </si>
  <si>
    <t>hatimumaigari@gmail.com</t>
  </si>
  <si>
    <t>Julius Deborah Brura</t>
  </si>
  <si>
    <t>juliusdeborahbrura10@gmail.com</t>
  </si>
  <si>
    <t>Adah Destiny Akongwubel</t>
  </si>
  <si>
    <t>adahakongwubel@gmail.com</t>
  </si>
  <si>
    <t>UDOFIA UDUAK MICHAEL</t>
  </si>
  <si>
    <t>uduakudofia125@gmail.com</t>
  </si>
  <si>
    <t>Ruth Ngozi Timipere</t>
  </si>
  <si>
    <t>ruthtimipere1@gmail.com</t>
  </si>
  <si>
    <t>Muntari Ali Isah</t>
  </si>
  <si>
    <t>aliyumuntariisah@gmail.com</t>
  </si>
  <si>
    <t>EE-EE, Dinebari Peniel</t>
  </si>
  <si>
    <t>dinebari3@gmail.com</t>
  </si>
  <si>
    <t>Oginni Victor Olaitan</t>
  </si>
  <si>
    <t>oginnivictor9@gmail.com</t>
  </si>
  <si>
    <t>Ovre Ogaga</t>
  </si>
  <si>
    <t>ovreogaga@gmail.com</t>
  </si>
  <si>
    <t>Emmanuel Boniface</t>
  </si>
  <si>
    <t>emmanuelbface@gmail.com</t>
  </si>
  <si>
    <t>GODSPOWER Godsgrace Izuchukwu</t>
  </si>
  <si>
    <t>godsgracegodspower@gmail.com</t>
  </si>
  <si>
    <t>Chikere Tochukwu Emmanuel</t>
  </si>
  <si>
    <t>tochukwuchikere4@gmail.com</t>
  </si>
  <si>
    <t>ABDULLAHI MUHAMMAD</t>
  </si>
  <si>
    <t>abdullahimuhd692@gmail.com</t>
  </si>
  <si>
    <t>Omipidan</t>
  </si>
  <si>
    <t>omiwonder@gmail.com</t>
  </si>
  <si>
    <t>Adams Abubakr Siddique</t>
  </si>
  <si>
    <t>adamsabubakrsiddique@gmail.com</t>
  </si>
  <si>
    <t>Jerry Martin kanjo</t>
  </si>
  <si>
    <t>jerryokadim@gmail.com</t>
  </si>
  <si>
    <t>Jalingo</t>
  </si>
  <si>
    <t>Iorbee ushahemba</t>
  </si>
  <si>
    <t>ushahembai05@gmail.com</t>
  </si>
  <si>
    <t>Chidi Godswill Chibuikem</t>
  </si>
  <si>
    <t>chidichibuikem14@gmail.com</t>
  </si>
  <si>
    <t>Adeyemi Faith</t>
  </si>
  <si>
    <t>adeyemichioma077@gmail.com</t>
  </si>
  <si>
    <t>Awoderu</t>
  </si>
  <si>
    <t>awoderuisrael@gmail.com</t>
  </si>
  <si>
    <t>IKENNE</t>
  </si>
  <si>
    <t>Usman S. Samuel</t>
  </si>
  <si>
    <t>jesuschrist080851@gmail.com</t>
  </si>
  <si>
    <t>Edward prince ogbonna</t>
  </si>
  <si>
    <t>edwardprince1234@gmail.com</t>
  </si>
  <si>
    <t>Aniri local government area</t>
  </si>
  <si>
    <t>Ayangbesan Samson Ayodele</t>
  </si>
  <si>
    <t>alobasamson94@gmail.com</t>
  </si>
  <si>
    <t>Oyedepo David Toba</t>
  </si>
  <si>
    <t>oyedepodavidtoba@gmail.com</t>
  </si>
  <si>
    <t>Ifako-Ijaiye</t>
  </si>
  <si>
    <t>Inuwa Muhammad Aliyu</t>
  </si>
  <si>
    <t>aliyumuhmdinuwa@gmail.com</t>
  </si>
  <si>
    <t>Babatunde Mary Odunayo</t>
  </si>
  <si>
    <t>odunayom510@gmail.com</t>
  </si>
  <si>
    <t>Ayetoro</t>
  </si>
  <si>
    <t>AMAKIRI IBIFURO FAVOUR</t>
  </si>
  <si>
    <t>ibifuro10@gmail.com</t>
  </si>
  <si>
    <t>OKRIKA</t>
  </si>
  <si>
    <t>Isah Saratu Asabe</t>
  </si>
  <si>
    <t>isahsaratu03@gmail.com</t>
  </si>
  <si>
    <t>Kombotso LGA</t>
  </si>
  <si>
    <t>Ola-Aluko Eyitayo</t>
  </si>
  <si>
    <t>eyitayolaluko@gmail.com</t>
  </si>
  <si>
    <t>Sabo kasimu</t>
  </si>
  <si>
    <t>kasimusabo041@gmail.com</t>
  </si>
  <si>
    <t>Bitchi</t>
  </si>
  <si>
    <t>TAJUDEEN SHUAIB</t>
  </si>
  <si>
    <t>tajshuaib2514@gmail.com</t>
  </si>
  <si>
    <t>Baridoo Bariledum Bright</t>
  </si>
  <si>
    <t>baridoobb@gmail.com</t>
  </si>
  <si>
    <t>Ukuere, Promise</t>
  </si>
  <si>
    <t>promiseukuere@gmail.com</t>
  </si>
  <si>
    <t>Asoki Toru</t>
  </si>
  <si>
    <t>toruasoki@gmail.com</t>
  </si>
  <si>
    <t>Adega Aondofa Thomas</t>
  </si>
  <si>
    <t>thomasaondofa32@gmail.com</t>
  </si>
  <si>
    <t>Shehu Hassan</t>
  </si>
  <si>
    <t>ismatsuleja536@gmail.com</t>
  </si>
  <si>
    <t>Ekezie Prosper</t>
  </si>
  <si>
    <t>prosperekezie@gmail.com</t>
  </si>
  <si>
    <t>obia/akpor lga</t>
  </si>
  <si>
    <t>ADE-OJO, TAYE MOTUNRAYO</t>
  </si>
  <si>
    <t>tayetruth844@gmail.com</t>
  </si>
  <si>
    <t>Ahmad Muhammad Ahmad</t>
  </si>
  <si>
    <t>ahmadmuhammad442@gmail.com</t>
  </si>
  <si>
    <t>David Bright</t>
  </si>
  <si>
    <t>davieszoe777@gmail.com</t>
  </si>
  <si>
    <t>Ibilaye Gloria Oluwademilade</t>
  </si>
  <si>
    <t>ibilayegloria12@gmail.com</t>
  </si>
  <si>
    <t>GOYA PRINCE</t>
  </si>
  <si>
    <t>ngorgoya@gmail.com</t>
  </si>
  <si>
    <t>Nweke Rachael ifeyinwa</t>
  </si>
  <si>
    <t>rachaelumeokye@gmail.com</t>
  </si>
  <si>
    <t>Rumola</t>
  </si>
  <si>
    <t>Okonji Samuel</t>
  </si>
  <si>
    <t>samuelokonji8@gmail.com</t>
  </si>
  <si>
    <t>Itori Ewekoro</t>
  </si>
  <si>
    <t>Abaukaka Jerome Barnabas</t>
  </si>
  <si>
    <t>abaukakajerry@gmail.com</t>
  </si>
  <si>
    <t>Hassan Bello Bashir</t>
  </si>
  <si>
    <t>hassanbellobashir@gmail.com</t>
  </si>
  <si>
    <t>Lawal Ridwan Olalekan</t>
  </si>
  <si>
    <t>lawalridwan5257@gmail.com</t>
  </si>
  <si>
    <t>Agbir Bridget Agini</t>
  </si>
  <si>
    <t>imohbridget2323@gmail.com</t>
  </si>
  <si>
    <t>Obasola Oluwaseun</t>
  </si>
  <si>
    <t>obasolaseun10@gmail.com</t>
  </si>
  <si>
    <t>Garrison</t>
  </si>
  <si>
    <t>Timai Nimo Vera</t>
  </si>
  <si>
    <t>veratimai28@gmail.com</t>
  </si>
  <si>
    <t>Olaosebikan Victor</t>
  </si>
  <si>
    <t>vkferanmi@gmail.com</t>
  </si>
  <si>
    <t>Obafemi- owode local government</t>
  </si>
  <si>
    <t>OGUNDEJI SUNDAY OPEYEMI</t>
  </si>
  <si>
    <t>ogundejisundayopeyemi@gmail.com</t>
  </si>
  <si>
    <t>Ad Odo</t>
  </si>
  <si>
    <t>Aremu kamaldeen</t>
  </si>
  <si>
    <t>aremukamaldeen2019@gmail.com</t>
  </si>
  <si>
    <t>Odeda loca government</t>
  </si>
  <si>
    <t>Johnson, John Michael</t>
  </si>
  <si>
    <t>johnsonjreal72@gmail.com</t>
  </si>
  <si>
    <t>Hauwa auwal adam</t>
  </si>
  <si>
    <t>hauwaauwalu00010@gmail.com</t>
  </si>
  <si>
    <t>Peter, Namnyene Effiong</t>
  </si>
  <si>
    <t>namnyeneemmanuel23@gmail.com</t>
  </si>
  <si>
    <t>Uyo</t>
  </si>
  <si>
    <t>Ibrahim Aisha Chado</t>
  </si>
  <si>
    <t>icaisha1@gmail.com</t>
  </si>
  <si>
    <t>Michael Lifted</t>
  </si>
  <si>
    <t>liftedmichaelisr@gmail.com</t>
  </si>
  <si>
    <t>Ajibola femi Andrew</t>
  </si>
  <si>
    <t>jibolafemi1111@gmail.com</t>
  </si>
  <si>
    <t>Abdulkareem Mustapha</t>
  </si>
  <si>
    <t>mustazzy@gmail.com</t>
  </si>
  <si>
    <t>Chukwuma Kingsley Cephas</t>
  </si>
  <si>
    <t>kingsleycephaschukwuma@gmail.com</t>
  </si>
  <si>
    <t>Anya Blessing</t>
  </si>
  <si>
    <t>blessingamadianya@gmail.com</t>
  </si>
  <si>
    <t>Welson Pereladei Eteimor</t>
  </si>
  <si>
    <t>welsonpereladei@gmail.com</t>
  </si>
  <si>
    <t>Osewa Anthony oluwapelumi</t>
  </si>
  <si>
    <t>anthonyoluwapelumi2@gmail.com</t>
  </si>
  <si>
    <t>Makun</t>
  </si>
  <si>
    <t>Muhammad Anas Abdullahi</t>
  </si>
  <si>
    <t>anasmuhammadabdullahi1223@gmail.com</t>
  </si>
  <si>
    <t>Aderibigbe Latifat Adeyinka</t>
  </si>
  <si>
    <t>aderibigbeadeyinka22@gmail.com</t>
  </si>
  <si>
    <t>Abdulquadri Basirat Olamide</t>
  </si>
  <si>
    <t>abdulquadriolamide@gmail.com</t>
  </si>
  <si>
    <t>Shittu Adedoyin Abisola</t>
  </si>
  <si>
    <t>shittudooyin@gmail.com</t>
  </si>
  <si>
    <t>Osikomaiya Gbenga Victor</t>
  </si>
  <si>
    <t>osikoveky@gmail.com</t>
  </si>
  <si>
    <t>Eze Martha chinecherem</t>
  </si>
  <si>
    <t>marthaeze1999@gmail.com</t>
  </si>
  <si>
    <t>Igbo eze south local government area</t>
  </si>
  <si>
    <t>Yusuf jemilat</t>
  </si>
  <si>
    <t>oyinkansolayusuf033@gmail.com</t>
  </si>
  <si>
    <t>Adeniran Adesoji Clement</t>
  </si>
  <si>
    <t>adeniranadesoji10@gmail.com</t>
  </si>
  <si>
    <t>Sasa LG</t>
  </si>
  <si>
    <t>Asimiyu Tosin Abdullah</t>
  </si>
  <si>
    <t>abbayxy@gmail.com</t>
  </si>
  <si>
    <t>Indigen but Stay in another state</t>
  </si>
  <si>
    <t>Jared Bright Owuzebuchi</t>
  </si>
  <si>
    <t>brightowuzebuchijared@gmail.com</t>
  </si>
  <si>
    <t>Asmau Usman</t>
  </si>
  <si>
    <t>asmauusman26@gmail.com</t>
  </si>
  <si>
    <t>Babaje</t>
  </si>
  <si>
    <t>Ogunkeyede Damilola Elizabeth</t>
  </si>
  <si>
    <t>oluwadamilolaogunkeyede@gmail.com</t>
  </si>
  <si>
    <t>Ikilighi Caleb</t>
  </si>
  <si>
    <t>ikilighi.caleb5@gmail.com</t>
  </si>
  <si>
    <t>Abua/ odual</t>
  </si>
  <si>
    <t>Ebisemiju Victor Omotayo</t>
  </si>
  <si>
    <t>omotayovict@gmail.com</t>
  </si>
  <si>
    <t>Lawal fatimo amoke</t>
  </si>
  <si>
    <t>lawalfatimo1000@gmail.com</t>
  </si>
  <si>
    <t>Ado/odo/ota</t>
  </si>
  <si>
    <t>Adekoya Abdulateef</t>
  </si>
  <si>
    <t>adesinaa95@gmail.com</t>
  </si>
  <si>
    <t>ISAH SANI MUHAMMAD</t>
  </si>
  <si>
    <t>Isahsanimuhammad0001@gmail.com</t>
  </si>
  <si>
    <t>Giokabari barigiasi Kenneth</t>
  </si>
  <si>
    <t>giokaken@gmail.com</t>
  </si>
  <si>
    <t>Adeoye Ayomide Joy</t>
  </si>
  <si>
    <t>Adeoyeayomide203@gmail.com</t>
  </si>
  <si>
    <t>kosofe</t>
  </si>
  <si>
    <t>Wasiu</t>
  </si>
  <si>
    <t>adigunwashad@gmail.com</t>
  </si>
  <si>
    <t>Oviahon Jeffrey</t>
  </si>
  <si>
    <t>efosajef2000@gmail.com</t>
  </si>
  <si>
    <t>Sampson Abraham Nateh</t>
  </si>
  <si>
    <t>sampsonnateh@gmail.com</t>
  </si>
  <si>
    <t>Onyebuchi Bright Chibuike</t>
  </si>
  <si>
    <t>chibright7@gmail.com</t>
  </si>
  <si>
    <t>Nsuka</t>
  </si>
  <si>
    <t>David Comfort</t>
  </si>
  <si>
    <t>davidcomfortd@gmail.com</t>
  </si>
  <si>
    <t>Ijebu East</t>
  </si>
  <si>
    <t>ALIYU AMINU</t>
  </si>
  <si>
    <t>aminualiyugadau@gmail.com</t>
  </si>
  <si>
    <t>Ferguson Ehis</t>
  </si>
  <si>
    <t>fergusonehis@gmail.com</t>
  </si>
  <si>
    <t>Obafemi Owode LGA</t>
  </si>
  <si>
    <t>Saliu Oluwaseunrere Deborah</t>
  </si>
  <si>
    <t>Seunreresaliu@gmail.com</t>
  </si>
  <si>
    <t>Balogun Olabomi Joseph</t>
  </si>
  <si>
    <t>balogunolabomijoseph@gmail.com</t>
  </si>
  <si>
    <t>Hassan Adam Babatunde</t>
  </si>
  <si>
    <t>hassanadam1992@gmail.com</t>
  </si>
  <si>
    <t>Samuel Daniel Ayebatari</t>
  </si>
  <si>
    <t>alexdaniel468500@gmail.com</t>
  </si>
  <si>
    <t>Okere Chialuka Mirian</t>
  </si>
  <si>
    <t>chialukamirian6@gmail.com</t>
  </si>
  <si>
    <t>Obio/Akpor LGA</t>
  </si>
  <si>
    <t>Akinpelu Emmanuel</t>
  </si>
  <si>
    <t>emmanuelakinpelu17@gmail.com</t>
  </si>
  <si>
    <t>Alabi Mercy Ifeoluwa</t>
  </si>
  <si>
    <t>alabiifeoluwa170@gmail.com</t>
  </si>
  <si>
    <t>Benjamin Utibeabasi</t>
  </si>
  <si>
    <t>benjaminutibeabasi@gmail.com</t>
  </si>
  <si>
    <t>Inyang Samuel Patrick</t>
  </si>
  <si>
    <t>samuelpat906@gmail.com</t>
  </si>
  <si>
    <t>Elendu,Joy Ishioma</t>
  </si>
  <si>
    <t>elendujoy888@gmail.com</t>
  </si>
  <si>
    <t>Atolagbe</t>
  </si>
  <si>
    <t>Kayodesamuel582@gmail.com</t>
  </si>
  <si>
    <t>Chisom Christopher</t>
  </si>
  <si>
    <t>adaezechisomdmc@gmail.com</t>
  </si>
  <si>
    <t>MAKUN CITY</t>
  </si>
  <si>
    <t>Nkemodi Joy</t>
  </si>
  <si>
    <t>enjhouz@gmail.com</t>
  </si>
  <si>
    <t>ohaji</t>
  </si>
  <si>
    <t>Alobo Sunday Paul</t>
  </si>
  <si>
    <t>sundayalobo12@gmail.com</t>
  </si>
  <si>
    <t>Abdulkadir Hauwa</t>
  </si>
  <si>
    <t>hauwaabdulkadir163@gmail.com</t>
  </si>
  <si>
    <t>NAMADI HABIBU SANI</t>
  </si>
  <si>
    <t>habibunamadi@gmail.com</t>
  </si>
  <si>
    <t>kura</t>
  </si>
  <si>
    <t>Martins Michael Oluwatimilehin</t>
  </si>
  <si>
    <t>mykelxyhot@gmail.com</t>
  </si>
  <si>
    <t>Eneobong Helen</t>
  </si>
  <si>
    <t>success4helen@gmail.com</t>
  </si>
  <si>
    <t>Okeibunor Happiness</t>
  </si>
  <si>
    <t>happyifyokeibunor@gmail.com</t>
  </si>
  <si>
    <t>SALAWU RUFAI ADAVIRUKU</t>
  </si>
  <si>
    <t>salawurufai@gmail.com</t>
  </si>
  <si>
    <t>ARIBASIRI FAITH SUNDAY</t>
  </si>
  <si>
    <t>aribasirifaith@gmail.com</t>
  </si>
  <si>
    <t>Akure North</t>
  </si>
  <si>
    <t>SIMON SUNDAY UGWU</t>
  </si>
  <si>
    <t>Andrew Onyeintonefie Ebi</t>
  </si>
  <si>
    <t>drewwfarms001@gmail.com</t>
  </si>
  <si>
    <t>TOYE Christopher Oladipupo</t>
  </si>
  <si>
    <t>oladipupochristopher@gmail.com</t>
  </si>
  <si>
    <t>ASA LGA, Kwara State</t>
  </si>
  <si>
    <t>Haruna Saigi</t>
  </si>
  <si>
    <t>saigiharuna50@gmail.com</t>
  </si>
  <si>
    <t>Kufan Sarki</t>
  </si>
  <si>
    <t>Ali Remigius NkemjikA</t>
  </si>
  <si>
    <t>remigiusali4u@gmail.com</t>
  </si>
  <si>
    <t>Igbo-Eze North</t>
  </si>
  <si>
    <t>7/1/0026</t>
  </si>
  <si>
    <t>Idowu Ayobami Oluwatimilehin</t>
  </si>
  <si>
    <t>paparazetimi@gmail.com</t>
  </si>
  <si>
    <t>Ado/Odo</t>
  </si>
  <si>
    <t>Perpetual Nneka Akpelu</t>
  </si>
  <si>
    <t>akpeluperpetualnne@gmail.com</t>
  </si>
  <si>
    <t>Nwodom Friday Franklin</t>
  </si>
  <si>
    <t>franklinfriday123@gmail.com</t>
  </si>
  <si>
    <t>Hyelnasinyi Horace</t>
  </si>
  <si>
    <t>hyelnasinyihorace@gmail.com</t>
  </si>
  <si>
    <t>IKAM JOSEPHINE UNGIEBEKPE</t>
  </si>
  <si>
    <t>ikamjosephine@gmail.com</t>
  </si>
  <si>
    <t>Salaudeen Noah Rotimi</t>
  </si>
  <si>
    <t>salaudeennoah1@gmail.com</t>
  </si>
  <si>
    <t>Imeko</t>
  </si>
  <si>
    <t>Ndata Ikechi Gin-iyke,</t>
  </si>
  <si>
    <t>pgcndata@gmail.com</t>
  </si>
  <si>
    <t>Oji Benedict Chukwuebuka</t>
  </si>
  <si>
    <t>southgate7626@gmail.com</t>
  </si>
  <si>
    <t>Kenneth Idirisu</t>
  </si>
  <si>
    <t>kidirisu2014@gmail.com</t>
  </si>
  <si>
    <t>Okagu, Innocent Amuche</t>
  </si>
  <si>
    <t>amauchechukwu26@gmail.com</t>
  </si>
  <si>
    <t>Igbo-Etiti local government</t>
  </si>
  <si>
    <t>Yahya</t>
  </si>
  <si>
    <t>oluwapelumiwed2@gmail.com</t>
  </si>
  <si>
    <t>Akomolafe Oluwatosin</t>
  </si>
  <si>
    <t>akomolafeoluwatosin90@gmail.com</t>
  </si>
  <si>
    <t>Ukuna Timothy Tavershima</t>
  </si>
  <si>
    <t>ukunatimothy@gmail.com</t>
  </si>
  <si>
    <t>NASIRU MARY EBUNOLUWA</t>
  </si>
  <si>
    <t>marynasiru2025@gmail.com</t>
  </si>
  <si>
    <t>Habila Christopher Salama</t>
  </si>
  <si>
    <t>sarchriztopher@gmail.com</t>
  </si>
  <si>
    <t>KORU</t>
  </si>
  <si>
    <t>timiprekoru@yahoo.com</t>
  </si>
  <si>
    <t>NEMBE</t>
  </si>
  <si>
    <t>OLUSHOLA JOSHUA OLADIMEJI</t>
  </si>
  <si>
    <t>joshuaolushola00@gmail.com</t>
  </si>
  <si>
    <t>Madubueze Chidera Henry</t>
  </si>
  <si>
    <t>chideramadubueze1@gmail.com</t>
  </si>
  <si>
    <t>Udo Francis Eseme</t>
  </si>
  <si>
    <t>udofrancis200@gmail.com</t>
  </si>
  <si>
    <t>Oyekunle Abdullahi</t>
  </si>
  <si>
    <t>abdullahioyekunle57@gmail.com</t>
  </si>
  <si>
    <t>Ray-Ejike Blossom Mmachukwu</t>
  </si>
  <si>
    <t>mmachukwublossom@gmail.com</t>
  </si>
  <si>
    <t>Isiala Mbano</t>
  </si>
  <si>
    <t>Opayemi Olawale</t>
  </si>
  <si>
    <t>opayemiolawale@gmail.com</t>
  </si>
  <si>
    <t>Ijeoma</t>
  </si>
  <si>
    <t>amaraijeoma23@gmail.com</t>
  </si>
  <si>
    <t>Oko Favour Okorie</t>
  </si>
  <si>
    <t>okofavour3@gmail.com</t>
  </si>
  <si>
    <t>Vurekoo Jonathan Nennaador</t>
  </si>
  <si>
    <t>jonathanlolo609@gmail.com</t>
  </si>
  <si>
    <t>Adeyemi Damilola praise</t>
  </si>
  <si>
    <t>damilolapraisefarm@gmail.com</t>
  </si>
  <si>
    <t>Ifonlaja Oluwaseun Barakat</t>
  </si>
  <si>
    <t>oluwaseunifonlaja@gmail.com</t>
  </si>
  <si>
    <t>Popoola Emmanuel</t>
  </si>
  <si>
    <t>popson.emmanuel@gmail.com</t>
  </si>
  <si>
    <t>Abeoukuta south</t>
  </si>
  <si>
    <t>Musa Jonathan</t>
  </si>
  <si>
    <t>ogajonah2015@gmail.com</t>
  </si>
  <si>
    <t>Shango local government</t>
  </si>
  <si>
    <t>Dornwin Kpoonanyie Abrahams</t>
  </si>
  <si>
    <t>geodornwin@gmail.com</t>
  </si>
  <si>
    <t>Janido Joseph</t>
  </si>
  <si>
    <t>janidojoseph1999@gmail.com</t>
  </si>
  <si>
    <t>Adeyi Olamide</t>
  </si>
  <si>
    <t>adeyiolamide@gmail.com</t>
  </si>
  <si>
    <t>BASSOLE DIBAZIN LUCAS MARIE</t>
  </si>
  <si>
    <t>lucasdibazin@gmail.com</t>
  </si>
  <si>
    <t>000</t>
  </si>
  <si>
    <t>Nwafor Chibuike Samuel</t>
  </si>
  <si>
    <t>nwaforchibuike120@gmail.com</t>
  </si>
  <si>
    <t>Clemence INGABIRE</t>
  </si>
  <si>
    <t>clemmy1in2@gmail.com</t>
  </si>
  <si>
    <t>Ebube Victory Kenechi</t>
  </si>
  <si>
    <t>kelvinkenechi247@gmail.com</t>
  </si>
  <si>
    <t>Suleija</t>
  </si>
  <si>
    <t>Ibrahim sagiru muazu</t>
  </si>
  <si>
    <t>sagiruibrahim27@gmail.com</t>
  </si>
  <si>
    <t>Sotunde Amidat Gbemisola</t>
  </si>
  <si>
    <t>sotundeamidat10@gmail.com</t>
  </si>
  <si>
    <t>GODDAY PATIENCE</t>
  </si>
  <si>
    <t>patiencegodday8@gmail.com</t>
  </si>
  <si>
    <t>Hashim farida</t>
  </si>
  <si>
    <t>hashimfarida200@gmail.com</t>
  </si>
  <si>
    <t>Tamunomiebaka Simepiriye</t>
  </si>
  <si>
    <t>piriyetamunomiebaka@gmail.com</t>
  </si>
  <si>
    <t>Okirika</t>
  </si>
  <si>
    <t>Daniel, Godswill Edet</t>
  </si>
  <si>
    <t>Godswilldaniel21@gmail.com</t>
  </si>
  <si>
    <t>UCHELLA CHIZURUM CHINEMEREM</t>
  </si>
  <si>
    <t>uchellachizzy@gmail.com</t>
  </si>
  <si>
    <t>Ojewumi Adebisi Victor</t>
  </si>
  <si>
    <t>ojewumiadebisi05@gmail.com</t>
  </si>
  <si>
    <t>Migrant (moved from another part of Nigeria), Student learning and will to build in Niger state</t>
  </si>
  <si>
    <t>Murtala nuhu</t>
  </si>
  <si>
    <t>mursaf70@gmail.com</t>
  </si>
  <si>
    <t>Sugh Maanenge Florence</t>
  </si>
  <si>
    <t>sughmaanenge@gmail.com</t>
  </si>
  <si>
    <t>Malgwi Arhyel Amos</t>
  </si>
  <si>
    <t>arhyelamosmalgwi@gmail.com</t>
  </si>
  <si>
    <t>Ojo Success</t>
  </si>
  <si>
    <t>successolayinka25@gmail.com</t>
  </si>
  <si>
    <t>Emmanuel Anietie Etuk</t>
  </si>
  <si>
    <t>etuk20351@gmail.com</t>
  </si>
  <si>
    <t>Idirhevwe, Adutomare Mathias</t>
  </si>
  <si>
    <t>inks15091@gmail.com</t>
  </si>
  <si>
    <t>Efeke Abel Blessing</t>
  </si>
  <si>
    <t>blessingabel15@gmail.com</t>
  </si>
  <si>
    <t>DIDI BURABARI</t>
  </si>
  <si>
    <t>didiburabari37@gmail.com</t>
  </si>
  <si>
    <t>Orupabo reuben</t>
  </si>
  <si>
    <t>orupaboreuben@gmail.com</t>
  </si>
  <si>
    <t>Walga</t>
  </si>
  <si>
    <t>ISAH ABDULKADIR</t>
  </si>
  <si>
    <t>abdulisah4030@gmail.com</t>
  </si>
  <si>
    <t>USORO, ISAAC JONES</t>
  </si>
  <si>
    <t>isaacjones090@gmail.com</t>
  </si>
  <si>
    <t>Goodnews Ebifuro</t>
  </si>
  <si>
    <t>goodnewsevans7@gmail.com</t>
  </si>
  <si>
    <t>Ogumo Suoyo Agama, Agamaism</t>
  </si>
  <si>
    <t>suoyoagamao@gmail.com</t>
  </si>
  <si>
    <t>ANASI HAPPINESS ADANNAYA</t>
  </si>
  <si>
    <t>anasihappiness@gmail.com</t>
  </si>
  <si>
    <t>Agbani Rd</t>
  </si>
  <si>
    <t>Ademoyegun Victoria Damilola</t>
  </si>
  <si>
    <t>ademoyegunvictoria70@gmail.com</t>
  </si>
  <si>
    <t>Ado/Odo-Ota</t>
  </si>
  <si>
    <t>IDOWU TEMIDAYO</t>
  </si>
  <si>
    <t>idowutemidayo680@gmail.com</t>
  </si>
  <si>
    <t>Muhammad Khalid Kabir</t>
  </si>
  <si>
    <t>khalidmuhammadabir@gmail.com</t>
  </si>
  <si>
    <t>Udeh chekwube Victoria</t>
  </si>
  <si>
    <t>chekwubeudeh23@gmail.com</t>
  </si>
  <si>
    <t>Naatula Richard</t>
  </si>
  <si>
    <t>naatularichard@gmail.com</t>
  </si>
  <si>
    <t>Otazi Daniel John</t>
  </si>
  <si>
    <t>danielotazi1993@gmail.com</t>
  </si>
  <si>
    <t>Afula Thomas Iyieukanne</t>
  </si>
  <si>
    <t>afulaiyieukanne@gmail.com</t>
  </si>
  <si>
    <t>IBIKUNLE TEMITOPE MOSES</t>
  </si>
  <si>
    <t>ibktopmost85@gmail.com</t>
  </si>
  <si>
    <t>Kosofe Lagos</t>
  </si>
  <si>
    <t>NIGERIA citizen</t>
  </si>
  <si>
    <t>Kalu ikenna Uda</t>
  </si>
  <si>
    <t>kalumicheal96@gmail.com</t>
  </si>
  <si>
    <t>Yunusa Aliyu</t>
  </si>
  <si>
    <t>aliyuinusa673@gmail.com</t>
  </si>
  <si>
    <t>Eze Victor Chukwuebka</t>
  </si>
  <si>
    <t>chukwuebukavictor73@gmail.com</t>
  </si>
  <si>
    <t>Bello Ummulkhairi Usman</t>
  </si>
  <si>
    <t>ummukharibello2005@gmail.com</t>
  </si>
  <si>
    <t>WAWO, Yahaya Idris</t>
  </si>
  <si>
    <t>yahayawawo2@gmail.com</t>
  </si>
  <si>
    <t>Horsfall</t>
  </si>
  <si>
    <t>ibiyedawohorsfall@gmail.com</t>
  </si>
  <si>
    <t>Ekechukwu Clement Kelechi</t>
  </si>
  <si>
    <t>centttplaza@gmail.com</t>
  </si>
  <si>
    <t>Chukwuemeka Jeremiah Daniel</t>
  </si>
  <si>
    <t>chukwuemekajeremiah8@gmail.com</t>
  </si>
  <si>
    <t>Kasim Salihu</t>
  </si>
  <si>
    <t>qasimsalihu6@gmail.com</t>
  </si>
  <si>
    <t>Tete</t>
  </si>
  <si>
    <t>tete20054real@gmail.com</t>
  </si>
  <si>
    <t>Peterside Tepiko Nwachukwu</t>
  </si>
  <si>
    <t>petersidenwachukwu8@gmail.com</t>
  </si>
  <si>
    <t>Opobo-Nkoro</t>
  </si>
  <si>
    <t>Johnny, Treasure Sunday</t>
  </si>
  <si>
    <t>treasurejohnny0@gmail.com</t>
  </si>
  <si>
    <t>ORU BENJAMIN MANSION</t>
  </si>
  <si>
    <t>benjaminoru261@gmail.com</t>
  </si>
  <si>
    <t>Ajie Ruth Uzuchukwu</t>
  </si>
  <si>
    <t>ruthuzuchukwu@gmail.com</t>
  </si>
  <si>
    <t>Abdulrauf Aminat</t>
  </si>
  <si>
    <t>abdulraufaminat61@gmail.com</t>
  </si>
  <si>
    <t>Kuto</t>
  </si>
  <si>
    <t>Airhunmwunde Eugenia onyinyechi</t>
  </si>
  <si>
    <t>ugochukwueugenia19@gmail.com</t>
  </si>
  <si>
    <t>Onwuka</t>
  </si>
  <si>
    <t>kingslryonwuka9@gmail.com</t>
  </si>
  <si>
    <t>Sobowale Monsurat Olamide</t>
  </si>
  <si>
    <t>olamidetwenty@gmail.com</t>
  </si>
  <si>
    <t>Ojeleye Damilare Nathaniel</t>
  </si>
  <si>
    <t>ojeleyedamilare25@gmail.com</t>
  </si>
  <si>
    <t>Ìfẹ East Area Office, I choose Ogun state because I couldn't find Osun state there</t>
  </si>
  <si>
    <t>Peter Victory Chinazhikeshim</t>
  </si>
  <si>
    <t>umedavictory1@gmail.com</t>
  </si>
  <si>
    <t>Diwa Maria Njuare</t>
  </si>
  <si>
    <t>stormrex005@gmail.com</t>
  </si>
  <si>
    <t>Oladayo Ife Meshach</t>
  </si>
  <si>
    <t>ifeoladayo2@gmail.com</t>
  </si>
  <si>
    <t>Arigu Stephen Joseph</t>
  </si>
  <si>
    <t>arigujoe1129@gmail.com</t>
  </si>
  <si>
    <t>Blessing Felix ETOP</t>
  </si>
  <si>
    <t>b22610530@gmail.com</t>
  </si>
  <si>
    <t>Akwa ibom</t>
  </si>
  <si>
    <t>Salihu Abubakar Sadiq</t>
  </si>
  <si>
    <t>iamsirdic@gmail.com</t>
  </si>
  <si>
    <t>Indigenous resident, Indigene of another State</t>
  </si>
  <si>
    <t>Auma Eunice Owiti</t>
  </si>
  <si>
    <t>owitieunice232@gmail.com</t>
  </si>
  <si>
    <t>I'm a Kenyan I don't live in Nigeria</t>
  </si>
  <si>
    <t>Ogure</t>
  </si>
  <si>
    <t>ogurefavour@gmail.com</t>
  </si>
  <si>
    <t>Big qua</t>
  </si>
  <si>
    <t>Indigenous resident, Bye</t>
  </si>
  <si>
    <t>Ogunuku precious Ebi</t>
  </si>
  <si>
    <t>preciousebi39@gmail.com</t>
  </si>
  <si>
    <t>Afula Glory Iripia</t>
  </si>
  <si>
    <t>agloryiripia@gmail.com</t>
  </si>
  <si>
    <t>Otudor Mary-peace Essien</t>
  </si>
  <si>
    <t>otudormarypeace@gmail.com</t>
  </si>
  <si>
    <t>Mishael Bulus Nuhu</t>
  </si>
  <si>
    <t>bulusmishael7@gmail.com</t>
  </si>
  <si>
    <t>Jumbo oyeinbunugha brasuru</t>
  </si>
  <si>
    <t>oyeinbunughajumbo@gmail.com</t>
  </si>
  <si>
    <t>EKEREMOR</t>
  </si>
  <si>
    <t>Adamu Aisha Muhammad</t>
  </si>
  <si>
    <t>ayshaadam74@gmail.com</t>
  </si>
  <si>
    <t>Non indigene</t>
  </si>
  <si>
    <t>Mohammed Ummi Selimat</t>
  </si>
  <si>
    <t>mohammedummiselimat@gmail.com</t>
  </si>
  <si>
    <t>Baiyee</t>
  </si>
  <si>
    <t>kabandushalom@gmail.com</t>
  </si>
  <si>
    <t>Edie Eden</t>
  </si>
  <si>
    <t>Edenedie100@gmail.com</t>
  </si>
  <si>
    <t>Ogbia Local Government</t>
  </si>
  <si>
    <t>Charles Dennis</t>
  </si>
  <si>
    <t>charlesin5585@gmail.com</t>
  </si>
  <si>
    <t>Bello. Mus'ab Muhammad</t>
  </si>
  <si>
    <t>musabu40@gmail.com</t>
  </si>
  <si>
    <t>Odion Marcus Omokhuale</t>
  </si>
  <si>
    <t>omokhualeronald@gmail.com</t>
  </si>
  <si>
    <t>ONYEABOR Favour Chinyere</t>
  </si>
  <si>
    <t>okwyfaveur@gmail.com</t>
  </si>
  <si>
    <t>Agwu jonah ikenna</t>
  </si>
  <si>
    <t>agwujonahikenna411@gmail.com</t>
  </si>
  <si>
    <t>Akpan Rose Jumbo</t>
  </si>
  <si>
    <t>rosejumbo360@gmail.com</t>
  </si>
  <si>
    <t>Otum Michael Ashibang</t>
  </si>
  <si>
    <t>otummiki@gmail.com</t>
  </si>
  <si>
    <t>Moses Oyeinbrakemi Amos</t>
  </si>
  <si>
    <t>mosesoyein2019@gmail.com</t>
  </si>
  <si>
    <t>South Ijaw</t>
  </si>
  <si>
    <t>Nwinka Letombari Victoria</t>
  </si>
  <si>
    <t>vnwinka@gmail.com</t>
  </si>
  <si>
    <t>Obeitor Zuleihat Ananeyi</t>
  </si>
  <si>
    <t>zuleikhashuaibu@gmail.com</t>
  </si>
  <si>
    <t>Chinwuko Chukwuma John</t>
  </si>
  <si>
    <t>chuksmalaky655@gmail.com</t>
  </si>
  <si>
    <t>Abubakar Bello</t>
  </si>
  <si>
    <t>belloabubakar0001@gmail.com</t>
  </si>
  <si>
    <t>Kiru LG</t>
  </si>
  <si>
    <t>Odewale Abdulazeez</t>
  </si>
  <si>
    <t>odewaleazeez321@gmail.com</t>
  </si>
  <si>
    <t>Peter</t>
  </si>
  <si>
    <t>debrapeters2011@gmail.com</t>
  </si>
  <si>
    <t>Just moved in</t>
  </si>
  <si>
    <t>Nsofor Oluchi Lynda</t>
  </si>
  <si>
    <t>oluchilynda2017@gmail.com</t>
  </si>
  <si>
    <t>Ayoola Racheal Oluwasola</t>
  </si>
  <si>
    <t>Ayoolaght2018@gmail.com</t>
  </si>
  <si>
    <t>Oluyole</t>
  </si>
  <si>
    <t>Mangabo Bright Headman</t>
  </si>
  <si>
    <t>brightmangabo@gmail.com</t>
  </si>
  <si>
    <t>Abiala Aishat Opeayo</t>
  </si>
  <si>
    <t>abialaaishat@gmail.com</t>
  </si>
  <si>
    <t>Thompson inemotimi pere</t>
  </si>
  <si>
    <t>thompsoninemotimi5@gmail.com</t>
  </si>
  <si>
    <t>Kolokuma opokuma</t>
  </si>
  <si>
    <t>onawomatthew040@gmail.com</t>
  </si>
  <si>
    <t>Ekam Wisdom</t>
  </si>
  <si>
    <t>ekamwizo@gmail.com</t>
  </si>
  <si>
    <t>JOEL WARIEBI NAPOLEON</t>
  </si>
  <si>
    <t>wariebijoel@gmail.com</t>
  </si>
  <si>
    <t>Southern Ijaw local government area</t>
  </si>
  <si>
    <t>Iwani George Giedigha</t>
  </si>
  <si>
    <t>iwanigeorge17@gmail.com</t>
  </si>
  <si>
    <t>Easterday Charity Tarilatei</t>
  </si>
  <si>
    <t>tarilateieasterday@gmail.com</t>
  </si>
  <si>
    <t>Akpelu Solomon</t>
  </si>
  <si>
    <t>chiswase@gmail.com</t>
  </si>
  <si>
    <t>Amodu Ganiyu Bamidele</t>
  </si>
  <si>
    <t>ganiyubamideleamodu@gmail.com</t>
  </si>
  <si>
    <t>Ado odo ota local government</t>
  </si>
  <si>
    <t>Kabiru Sani Auwalu</t>
  </si>
  <si>
    <t>docelkabs88@gmail.com</t>
  </si>
  <si>
    <t>Garba Mutiat Abidemi</t>
  </si>
  <si>
    <t>garbamutiat2019@gmail.com</t>
  </si>
  <si>
    <t>Okereke Chinenye</t>
  </si>
  <si>
    <t>okerekechinenye33@gmail.com</t>
  </si>
  <si>
    <t>Obiakpo Local Government Area</t>
  </si>
  <si>
    <t>Ekpoh</t>
  </si>
  <si>
    <t>ekpohbright@gmail.com</t>
  </si>
  <si>
    <t>Oyeyemi Oluwamayowa James</t>
  </si>
  <si>
    <t>oyeoluwamayowa2020@gmail.com</t>
  </si>
  <si>
    <t>Essien Esther</t>
  </si>
  <si>
    <t>essienestheruwem@gmail.com</t>
  </si>
  <si>
    <t>Akinola Emmanuel</t>
  </si>
  <si>
    <t>emmanuelennytarn@gmail.com</t>
  </si>
  <si>
    <t>ABDULQUADRI NURAIN</t>
  </si>
  <si>
    <t>abdulquadrinurain@gmail.com</t>
  </si>
  <si>
    <t>Ismail Isah</t>
  </si>
  <si>
    <t>isahismail4286@gmail.com</t>
  </si>
  <si>
    <t>Olajide Nofisat</t>
  </si>
  <si>
    <t>nafeesaholajide@gmail.com</t>
  </si>
  <si>
    <t>GANGNINON Abraham</t>
  </si>
  <si>
    <t>abrahamgangninon@gmail.com</t>
  </si>
  <si>
    <t>Atlantique</t>
  </si>
  <si>
    <t>Bashir Hudu</t>
  </si>
  <si>
    <t>bhudu2020@gmail.com</t>
  </si>
  <si>
    <t>Fatima Aliyu Zubair</t>
  </si>
  <si>
    <t>zfatimaaliyu@gmail.com</t>
  </si>
  <si>
    <t>AGWOR ELOHOR</t>
  </si>
  <si>
    <t>elosky95@gmail.com</t>
  </si>
  <si>
    <t>Haruna Zakariya</t>
  </si>
  <si>
    <t>zkkarkarna@gmail.com</t>
  </si>
  <si>
    <t>Bashir Abdulbasid</t>
  </si>
  <si>
    <t>abaasidopportunities@gmail.com</t>
  </si>
  <si>
    <t>Akpan Evelyn Chris-Ben</t>
  </si>
  <si>
    <t>evelynakpan338@gmail.com</t>
  </si>
  <si>
    <t>Kajang Grace Jonathan</t>
  </si>
  <si>
    <t>gracykajang@gmail.com</t>
  </si>
  <si>
    <t>Chukwuneke Jonathan Chinaza</t>
  </si>
  <si>
    <t>Chinazajonathan44@gmail.com</t>
  </si>
  <si>
    <t>Simeon Kalakemefa</t>
  </si>
  <si>
    <t>kalasimeon55@gmail.com</t>
  </si>
  <si>
    <t>Micheal Victoria Promise</t>
  </si>
  <si>
    <t>victoriamic70@gmail.com</t>
  </si>
  <si>
    <t>Adebiyi Ganiyat Titilope</t>
  </si>
  <si>
    <t>titilopeadebiyi27@gmail.com</t>
  </si>
  <si>
    <t>Odewale Rosheedat Olajumoke</t>
  </si>
  <si>
    <t>Rosheedah199@gmail.com</t>
  </si>
  <si>
    <t>Ekwueme Henry</t>
  </si>
  <si>
    <t>ekwuemeh@gmail.com</t>
  </si>
  <si>
    <t>Ogba/Ndoni/Egbema</t>
  </si>
  <si>
    <t>Chukwuneke Divine kosisochukwu</t>
  </si>
  <si>
    <t>divinechukwuneke110@gmail.com</t>
  </si>
  <si>
    <t>Adekoya Damilola</t>
  </si>
  <si>
    <t>damilolaa772@gmail.com</t>
  </si>
  <si>
    <t>Umar Ishaaku</t>
  </si>
  <si>
    <t>umarishaaku03@gmail.com</t>
  </si>
  <si>
    <t>Daniel Godsglory Enidienimovu</t>
  </si>
  <si>
    <t>gloryd483@gmail.com</t>
  </si>
  <si>
    <t>Sheu Abduljelil omotara</t>
  </si>
  <si>
    <t>sheuabduljelil@gmail.com</t>
  </si>
  <si>
    <t>Obia/Akpor</t>
  </si>
  <si>
    <t>Olanrewaju Olaide Nafisat</t>
  </si>
  <si>
    <t>olanrewajuolaide044@gmail.com</t>
  </si>
  <si>
    <t>Indigenous resident, Migrant (moved from another part of Nigeria),</t>
  </si>
  <si>
    <t>Eyika Blessing Isosibina</t>
  </si>
  <si>
    <t>blessingeyika2004@gmail.com</t>
  </si>
  <si>
    <t>Ogori Magongo</t>
  </si>
  <si>
    <t>Miediakumo George Ayebaikio</t>
  </si>
  <si>
    <t>ayebaikiogeorge200k@gmail.com</t>
  </si>
  <si>
    <t>OVIE, Eloho Great</t>
  </si>
  <si>
    <t>oviegreat07@gmail.com</t>
  </si>
  <si>
    <t>Obio-Akpor LGA</t>
  </si>
  <si>
    <t>Adunoye Bose Susan</t>
  </si>
  <si>
    <t>adunoyesusan170@gmail.com</t>
  </si>
  <si>
    <t>Egbeda</t>
  </si>
  <si>
    <t>Okoh Roseline Enne</t>
  </si>
  <si>
    <t>rossyene.daniel@gmail.com</t>
  </si>
  <si>
    <t>Boyi Ogheneruemu Dennis</t>
  </si>
  <si>
    <t>boyidennis94@gmail.com</t>
  </si>
  <si>
    <t>Ajie Faith</t>
  </si>
  <si>
    <t>ajie.faith@gmail.com</t>
  </si>
  <si>
    <t>RUTH OBIEGERI BENARD</t>
  </si>
  <si>
    <t>benardruth72@gmail.com</t>
  </si>
  <si>
    <t>DANJUMA ABDU</t>
  </si>
  <si>
    <t>danjumaabdu54@gmail.com</t>
  </si>
  <si>
    <t>Song local government</t>
  </si>
  <si>
    <t>Echenwune</t>
  </si>
  <si>
    <t>blessingechenwune@gmail.com</t>
  </si>
  <si>
    <t>Oboikpor</t>
  </si>
  <si>
    <t>A visitor from another state decide to live and work here</t>
  </si>
  <si>
    <t>ADENIRAN DAVID OLUWAFEMI</t>
  </si>
  <si>
    <t>adenirandavidoluwafemi@gmail.com</t>
  </si>
  <si>
    <t>Festus ebusalome marvellous</t>
  </si>
  <si>
    <t>festusmarvelous34@gmail.com</t>
  </si>
  <si>
    <t>Imoyen Tobore Felix</t>
  </si>
  <si>
    <t>goldmega042@gmail.com</t>
  </si>
  <si>
    <t>Suleiman Abdulrahman</t>
  </si>
  <si>
    <t>abdulrahamans.muhammad@gmail.com</t>
  </si>
  <si>
    <t>Hammed Oseni Adewumi</t>
  </si>
  <si>
    <t>adewumihammed1@gmail.com</t>
  </si>
  <si>
    <t>Kankimes Waliyuddeen Mohammed</t>
  </si>
  <si>
    <t>Kankimesm80@gmail.com</t>
  </si>
  <si>
    <t>Raji Malik Olafimihan</t>
  </si>
  <si>
    <t>rajimalikolafimihan@gmail.com</t>
  </si>
  <si>
    <t>Hayatu Babangida Dakare</t>
  </si>
  <si>
    <t>babangidahayatu99@gmail.com</t>
  </si>
  <si>
    <t>Doma Sarah Musa</t>
  </si>
  <si>
    <t>Musasarah606@gmail.com</t>
  </si>
  <si>
    <t>Tejumola Samson Ifeoluwa</t>
  </si>
  <si>
    <t>ifeoluwasamsonpeace@gmail.com</t>
  </si>
  <si>
    <t>SAMAILA MICAH</t>
  </si>
  <si>
    <t>samailamicah@yahoo.com</t>
  </si>
  <si>
    <t>Victor Inyang Obot</t>
  </si>
  <si>
    <t>victorinyang1960@gmail.com</t>
  </si>
  <si>
    <t>Ibanga Ibanga Emmanuel</t>
  </si>
  <si>
    <t>ibangaemmanuel32@gmail.com</t>
  </si>
  <si>
    <t>Bello Afeez Oluwatimileyin</t>
  </si>
  <si>
    <t>Godwin Teide Samuel</t>
  </si>
  <si>
    <t>godwinsamuelteide@gmail.com</t>
  </si>
  <si>
    <t>Kano Municipal Local Government Area</t>
  </si>
  <si>
    <t>Obiora</t>
  </si>
  <si>
    <t>cynthiachiamakaobiora@gmail.com</t>
  </si>
  <si>
    <t>John Sunday Edet</t>
  </si>
  <si>
    <t>sundayedetjohn@gmail.com</t>
  </si>
  <si>
    <t>Adamu Ahmad Ardo</t>
  </si>
  <si>
    <t>ahmadadamuardo2020@gmail.com</t>
  </si>
  <si>
    <t>Samira Abdulhamid</t>
  </si>
  <si>
    <t>samiraabdulhamid1998@gmail.com</t>
  </si>
  <si>
    <t>MAARUF HAMZA</t>
  </si>
  <si>
    <t>maarufhamza960@gmail.com</t>
  </si>
  <si>
    <t>Aliyu Muhammad Awal</t>
  </si>
  <si>
    <t>muhammadaliyu636@gmail.com</t>
  </si>
  <si>
    <t>FATADE BOLANLE CAROLINE</t>
  </si>
  <si>
    <t>wisdombolly@gmail.com</t>
  </si>
  <si>
    <t>Ojeleye Oluwasola Idowu</t>
  </si>
  <si>
    <t>brainboxaesthetics@gmail.com</t>
  </si>
  <si>
    <t>Ibrahim Abdulmalik</t>
  </si>
  <si>
    <t>abdulmalikibrahim779@gmail.com</t>
  </si>
  <si>
    <t>Adedokun Adeyeye Habeeb</t>
  </si>
  <si>
    <t>adedokunbabs@gmail.com</t>
  </si>
  <si>
    <t>Obada</t>
  </si>
  <si>
    <t>Mamman kpotun</t>
  </si>
  <si>
    <t>kpotunmamman17@gmail.com</t>
  </si>
  <si>
    <t>Sowande Toluwani Eunice</t>
  </si>
  <si>
    <t>roxzyshow@gmail.com</t>
  </si>
  <si>
    <t>IBOR</t>
  </si>
  <si>
    <t>talk2itsvictor@gmail.com</t>
  </si>
  <si>
    <t>Benjamin</t>
  </si>
  <si>
    <t>bekpenyong7@gmail.com</t>
  </si>
  <si>
    <t>Ogundipe Adegoke Hezekiah</t>
  </si>
  <si>
    <t>ogundipzcrown8@gmail.com</t>
  </si>
  <si>
    <t>Kalasa Chibwe Sydney</t>
  </si>
  <si>
    <t>sydneykalasa097@gmail.com</t>
  </si>
  <si>
    <t>Lusaka</t>
  </si>
  <si>
    <t>Iwu</t>
  </si>
  <si>
    <t>iwuann43@gmail.com</t>
  </si>
  <si>
    <t>Obioapkor</t>
  </si>
  <si>
    <t>Abubakar Ibrahim</t>
  </si>
  <si>
    <t>ibrahimjafar1964@gmail.com</t>
  </si>
  <si>
    <t>Taliat Habeeb Damilare</t>
  </si>
  <si>
    <t>taliathabeeb@gmail.com</t>
  </si>
  <si>
    <t>Adebayo Sofiyat Omolara</t>
  </si>
  <si>
    <t>sofiyatomolara9@gmail.com</t>
  </si>
  <si>
    <t>Ibrahim Muhammad Muntaka</t>
  </si>
  <si>
    <t>muhammadmuntakaibrahim01@gmail.com</t>
  </si>
  <si>
    <t>Ikpeama Anita</t>
  </si>
  <si>
    <t>anitaikpeama50@gmail.com</t>
  </si>
  <si>
    <t>Saad Nuaimu</t>
  </si>
  <si>
    <t>nuaimusaad@gmail.com</t>
  </si>
  <si>
    <t>Hotoro LG</t>
  </si>
  <si>
    <t>Ebenyi Kingsley Okpoto</t>
  </si>
  <si>
    <t>kingsleyokpotoebenyi@gmail.com</t>
  </si>
  <si>
    <t>Aniri</t>
  </si>
  <si>
    <t>Mohammed yunusa</t>
  </si>
  <si>
    <t>ymyarima@gmail.com</t>
  </si>
  <si>
    <t>Uwannah Peculiar</t>
  </si>
  <si>
    <t>uwannahpeculiar@gmail.com</t>
  </si>
  <si>
    <t>Uzoeto Betty Chidera</t>
  </si>
  <si>
    <t>uzoetobettychidera@gmail.com</t>
  </si>
  <si>
    <t>Okon, Dati Etim</t>
  </si>
  <si>
    <t>datiokon@gmail.com</t>
  </si>
  <si>
    <t>Silas Sabatu Kurmi</t>
  </si>
  <si>
    <t>nikktama@gmail.com</t>
  </si>
  <si>
    <t>Bature Nafiu</t>
  </si>
  <si>
    <t>baturematazu@gmail.com</t>
  </si>
  <si>
    <t>Allagh Sewuese Anenge</t>
  </si>
  <si>
    <t>joanzakky.22@gmail.com</t>
  </si>
  <si>
    <t>Mahir Abdulkadir</t>
  </si>
  <si>
    <t>abdulkadirmahir7@gmail.com</t>
  </si>
  <si>
    <t>Dauda Maryam yau</t>
  </si>
  <si>
    <t>daudamaryamyau@gmail.com</t>
  </si>
  <si>
    <t>Aminu Abdullahi Nuhu</t>
  </si>
  <si>
    <t>aminuabdullahinuhu@gmail.com</t>
  </si>
  <si>
    <t>Nwanosike</t>
  </si>
  <si>
    <t>augustineleads@gmail.com</t>
  </si>
  <si>
    <t>Tigiri Matthew</t>
  </si>
  <si>
    <t>matthewtigiri4all@gmail.com</t>
  </si>
  <si>
    <t>Rabiu Hameedat Kehinde</t>
  </si>
  <si>
    <t>rhkagroconcept@gmail.com</t>
  </si>
  <si>
    <t>Lagos Island</t>
  </si>
  <si>
    <t>Egenonu Adaeze Dorathy</t>
  </si>
  <si>
    <t>Adaezedorathy4@gmail.com</t>
  </si>
  <si>
    <t>Anietie Goodnews king</t>
  </si>
  <si>
    <t>aunyime88@gmail.com</t>
  </si>
  <si>
    <t>Mannir Umar Ubayi</t>
  </si>
  <si>
    <t>umarmannir2020@gmail.com</t>
  </si>
  <si>
    <t>Ringim</t>
  </si>
  <si>
    <t>OLOKO OLUWASEGUN AYODEJI</t>
  </si>
  <si>
    <t>olokosegun12@gmail.com</t>
  </si>
  <si>
    <t>Muhammad Ibrahim Sambo</t>
  </si>
  <si>
    <t>ibrahimmsambo4777@gmail.com</t>
  </si>
  <si>
    <t>AJODO WILLIAMS OJOTULE</t>
  </si>
  <si>
    <t>wilsonajodo@gmail.com</t>
  </si>
  <si>
    <t>AdoOdo/Ota</t>
  </si>
  <si>
    <t>Shodolamu Oluwadamilare Jeremiah</t>
  </si>
  <si>
    <t>shodolamuoluwadamilare@gmail.com</t>
  </si>
  <si>
    <t>Ikorodu</t>
  </si>
  <si>
    <t>Eleta Richard Osikpemi</t>
  </si>
  <si>
    <t>eletarichard@gmail.com</t>
  </si>
  <si>
    <t>Oluleye Victor Oluwatobi</t>
  </si>
  <si>
    <t>oluwatobilobaempire@gmail.com</t>
  </si>
  <si>
    <t>Staying there</t>
  </si>
  <si>
    <t>Abu Ayodele</t>
  </si>
  <si>
    <t>abuanuayodels2@gmail.com</t>
  </si>
  <si>
    <t>Ado odo Ota local government area</t>
  </si>
  <si>
    <t>Pindar Lukman Yusuf</t>
  </si>
  <si>
    <t>lypindar002@gmail.com</t>
  </si>
  <si>
    <t>Jibrin Muhammad</t>
  </si>
  <si>
    <t>jibrinm144@gmail.com</t>
  </si>
  <si>
    <t>Muraina Bazeet Akanji</t>
  </si>
  <si>
    <t>olamilekanabiodun707@gmail.com</t>
  </si>
  <si>
    <t>Yahaya Hussaini</t>
  </si>
  <si>
    <t>yyahaya1985@gmail.com</t>
  </si>
  <si>
    <t>Rogo local government</t>
  </si>
  <si>
    <t>Nwoke chidiebube Christian</t>
  </si>
  <si>
    <t>nwokechidiebube@gmail.com</t>
  </si>
  <si>
    <t>SAGIR IBRAHIM MUHAMMAD</t>
  </si>
  <si>
    <t>www.sagirimuhammad05@gmail.com</t>
  </si>
  <si>
    <t>Omolola Oluwasakinju</t>
  </si>
  <si>
    <t>loladey44@gmail.com</t>
  </si>
  <si>
    <t>ijebu north</t>
  </si>
  <si>
    <t>Abdullahi Ahmed Al-Amin</t>
  </si>
  <si>
    <t>ahmedabdullahi12345678@gmail.com</t>
  </si>
  <si>
    <t>Junaid Nimotallahi Kofoworola</t>
  </si>
  <si>
    <t>nimotallahigafar@gmail.com</t>
  </si>
  <si>
    <t>Sorinola Olubiyi Ebenezer</t>
  </si>
  <si>
    <t>bheeyor1@gmail.com</t>
  </si>
  <si>
    <t>Oladipupo Victoria</t>
  </si>
  <si>
    <t>vickytopzy@gmail.com</t>
  </si>
  <si>
    <t>Emeana Daniel Prince</t>
  </si>
  <si>
    <t>emeanadaniel@gmail.com</t>
  </si>
  <si>
    <t>Aderogba Abdulmuiz</t>
  </si>
  <si>
    <t>adulmuizaderogba@gmail.com</t>
  </si>
  <si>
    <t>OBI SOLOMON KANENECHI</t>
  </si>
  <si>
    <t>Obislmn@gmail.com</t>
  </si>
  <si>
    <t>Musa Yahuza</t>
  </si>
  <si>
    <t>yahuzam403@gmail.com</t>
  </si>
  <si>
    <t>Olatunde Abayomi Olajide</t>
  </si>
  <si>
    <t>olatundeabayomi91@gmail.com</t>
  </si>
  <si>
    <t>Akpan Mercy Okon</t>
  </si>
  <si>
    <t>mesislove3@gmail.com</t>
  </si>
  <si>
    <t>MONDAY NGOZI BLESSING</t>
  </si>
  <si>
    <t>ngozimonday263@gmail.com</t>
  </si>
  <si>
    <t>IMRAN SAAD ADAMU</t>
  </si>
  <si>
    <t>siamma2020@gmail.com</t>
  </si>
  <si>
    <t>Udofia Nsima Andrew</t>
  </si>
  <si>
    <t>udofiansima4@gmail.com</t>
  </si>
  <si>
    <t>Obafemi awode</t>
  </si>
  <si>
    <t>ALADESURU ADESHINA EMMANUEL</t>
  </si>
  <si>
    <t>brightemmy10@gmail.com</t>
  </si>
  <si>
    <t>Irepodun/Ifelodun</t>
  </si>
  <si>
    <t>Omanchi Miracle Aboh</t>
  </si>
  <si>
    <t>omanchimiracleaboh@gmail.com</t>
  </si>
  <si>
    <t>Taiwo Omowunmi kemi</t>
  </si>
  <si>
    <t>brighterkem@gmail.com</t>
  </si>
  <si>
    <t>Ekpenyong Bima Benjamin</t>
  </si>
  <si>
    <t>bimaibor2020@gmail.com</t>
  </si>
  <si>
    <t>Iwu Chidinma D.</t>
  </si>
  <si>
    <t>kechimonye@gmail.com</t>
  </si>
  <si>
    <t>ABUTU BLESSING</t>
  </si>
  <si>
    <t>abutublessing353@gmail.com</t>
  </si>
  <si>
    <t>Tasibo Victor Tari</t>
  </si>
  <si>
    <t>tasibovictor123@gmail.com</t>
  </si>
  <si>
    <t>Williams</t>
  </si>
  <si>
    <t>williamsdzarma79@gmail.com</t>
  </si>
  <si>
    <t>abubakaraliyu015320@gmail.com</t>
  </si>
  <si>
    <t>Toro</t>
  </si>
  <si>
    <t>Nwuju Samuel chika</t>
  </si>
  <si>
    <t>samuelnwuju@gmail.com</t>
  </si>
  <si>
    <t>Omuma</t>
  </si>
  <si>
    <t>Esther Nbechikwere John-Zukbee</t>
  </si>
  <si>
    <t>estherjohnzukbee38@gmail.com</t>
  </si>
  <si>
    <t>Ojo Jacob kehinde</t>
  </si>
  <si>
    <t>geckenny2021@gmail.com</t>
  </si>
  <si>
    <t>Enugu State</t>
  </si>
  <si>
    <t>Gambo Ahmad rufai</t>
  </si>
  <si>
    <t>ahmadrufaigambo@gmail.com</t>
  </si>
  <si>
    <t>Etim Ima-Obong</t>
  </si>
  <si>
    <t>imaetim959@gmail.com</t>
  </si>
  <si>
    <t>OLADELE WASIU OPEYEMI</t>
  </si>
  <si>
    <t>Oladeleopeyemi7900@gmail.com</t>
  </si>
  <si>
    <t>Egbado south</t>
  </si>
  <si>
    <t>Ejikeme Robinson</t>
  </si>
  <si>
    <t>ejikemerobinson@gmail.com</t>
  </si>
  <si>
    <t>Ahoada West</t>
  </si>
  <si>
    <t>Georgewill Ibiakalu</t>
  </si>
  <si>
    <t>ibiascolism190@gmail.com</t>
  </si>
  <si>
    <t>Akuku Toru</t>
  </si>
  <si>
    <t>LAWAL MUHAMMED SANI</t>
  </si>
  <si>
    <t>muhammedlawalsani@gmail.com</t>
  </si>
  <si>
    <t>MUAWIYA UZAIRU</t>
  </si>
  <si>
    <t>uzairmuawiya@gmail.com</t>
  </si>
  <si>
    <t>abdullahimaryam13@gmail.com</t>
  </si>
  <si>
    <t>Usang Mercy Enya</t>
  </si>
  <si>
    <t>mercyenya46@gmail.com</t>
  </si>
  <si>
    <t>Ake Chinem Eze</t>
  </si>
  <si>
    <t>cakujuru.fine@gmail.com</t>
  </si>
  <si>
    <t>Adebayo Adebangbe Sunday</t>
  </si>
  <si>
    <t>ayomidebangbe4@gmail.com</t>
  </si>
  <si>
    <t>Paul Emmanuel Etim</t>
  </si>
  <si>
    <t>paulemmanuel0001@gmail.com</t>
  </si>
  <si>
    <t>Joshua Nnamdi Ukasoanya</t>
  </si>
  <si>
    <t>Joshuannamdi347@gmail.com</t>
  </si>
  <si>
    <t>Iwok, Lawrence John</t>
  </si>
  <si>
    <t>lawrencejohniwok@gmail.com</t>
  </si>
  <si>
    <t>Abak, Akwa Ibom State</t>
  </si>
  <si>
    <t>Okesanjo</t>
  </si>
  <si>
    <t>davysanj15@gmail.com</t>
  </si>
  <si>
    <t>Maryam Ismail Hussaini</t>
  </si>
  <si>
    <t>maryamismail20200@gmail.com</t>
  </si>
  <si>
    <t>Rimi</t>
  </si>
  <si>
    <t>Abiodun-Solanke Jedidiah</t>
  </si>
  <si>
    <t>jedidiahabiodunsolanke@gmail.com</t>
  </si>
  <si>
    <t>A student</t>
  </si>
  <si>
    <t>Oyewale Abdulwahab Kolawole</t>
  </si>
  <si>
    <t>Oyewaleadeshina007@gmail.com</t>
  </si>
  <si>
    <t>paiko</t>
  </si>
  <si>
    <t>RICHARD CHIBUIHE OKENE</t>
  </si>
  <si>
    <t>richardchibuihe@gmail.com</t>
  </si>
  <si>
    <t>Ogar ochengwu sunny</t>
  </si>
  <si>
    <t>ochicontrols@gmail.com</t>
  </si>
  <si>
    <t>ABUBAKAR ABDULLAHI HUSSAIN</t>
  </si>
  <si>
    <t>abubakarsadiqabdullahi09@gmail.com</t>
  </si>
  <si>
    <t>Alexander Ndianaobong Peter</t>
  </si>
  <si>
    <t>alexanderndianaobong@gmail.com</t>
  </si>
  <si>
    <t>Oruk Anam</t>
  </si>
  <si>
    <t>Ogungbure Bidemi Shedrack</t>
  </si>
  <si>
    <t>bidemibenny@gmail.com</t>
  </si>
  <si>
    <t>Alopu Emmanuel Ibagu</t>
  </si>
  <si>
    <t>emmyhenry111@gmail.com</t>
  </si>
  <si>
    <t>MOSES ODEY OKO</t>
  </si>
  <si>
    <t>mosesoko94@gmail.com</t>
  </si>
  <si>
    <t>Muhammad Ibrahim Halilu</t>
  </si>
  <si>
    <t>imhalil001@gmail.com</t>
  </si>
  <si>
    <t>Aliyu Muazu Ibrahim</t>
  </si>
  <si>
    <t>muazualiyuibrahim4@gmail.com</t>
  </si>
  <si>
    <t>Zuwaira abubakar</t>
  </si>
  <si>
    <t>zawairaabubakar4@gmail.com</t>
  </si>
  <si>
    <t>Ibobo Fredaline Ejuorulim</t>
  </si>
  <si>
    <t>fredbobdon2020@gmail.com</t>
  </si>
  <si>
    <t>Usman Muhammad Sagir</t>
  </si>
  <si>
    <t>sagirmuhd934@gmail.com</t>
  </si>
  <si>
    <t>STANLEY ATUP MASHOK</t>
  </si>
  <si>
    <t>stanleymashok@gmail.com</t>
  </si>
  <si>
    <t>Godwin favour adaku</t>
  </si>
  <si>
    <t>favourgodwin80000@gmail.com</t>
  </si>
  <si>
    <t>Hardy Chisom Junior</t>
  </si>
  <si>
    <t>hardyjunior36@gmail.com</t>
  </si>
  <si>
    <t>Oto Joseph Odey</t>
  </si>
  <si>
    <t>joeoto18@gmail.com</t>
  </si>
  <si>
    <t>Adepoju Abdus-Somad Olawole</t>
  </si>
  <si>
    <t>adepojuabdussomad@gmail.com</t>
  </si>
  <si>
    <t>Jacob Tamunonengiyeofori</t>
  </si>
  <si>
    <t>jacobtamunonengiyeofori@gmail.com</t>
  </si>
  <si>
    <t>Okrika Local Government Area</t>
  </si>
  <si>
    <t>Paul Rhoda Sati</t>
  </si>
  <si>
    <t>dalyopdanielpam@gmail.com</t>
  </si>
  <si>
    <t>Animasahun Baliqees Opeyemi</t>
  </si>
  <si>
    <t>animasaunbaliqees@gmail.com</t>
  </si>
  <si>
    <t>AkAAHAN TERESE PATRICK</t>
  </si>
  <si>
    <t>akaahan99@gmail.com</t>
  </si>
  <si>
    <t>Muhammad Aliyu</t>
  </si>
  <si>
    <t>aliyumuhd67@gmail.com</t>
  </si>
  <si>
    <t>Usman Ismael</t>
  </si>
  <si>
    <t>uismael542@gmail.com</t>
  </si>
  <si>
    <t>Borgu local gov't area</t>
  </si>
  <si>
    <t>shamsudeen musa</t>
  </si>
  <si>
    <t>shamsudeenmusa39@gmail.com</t>
  </si>
  <si>
    <t>Sado Veronica Akwunabuoye</t>
  </si>
  <si>
    <t>vsado88@gmail.com</t>
  </si>
  <si>
    <t>Ogunleke Stephen Ibukun</t>
  </si>
  <si>
    <t>ogunlekestephen7@gmail.com</t>
  </si>
  <si>
    <t>Obafemi-Owode Local Government</t>
  </si>
  <si>
    <t>Olaleye Yusuf Olatunji</t>
  </si>
  <si>
    <t>olaleyeyusuf3@gmail.com</t>
  </si>
  <si>
    <t>ADEKANMBI GAFAR ADENIYI</t>
  </si>
  <si>
    <t>adeniyigeeman13@gmail.com</t>
  </si>
  <si>
    <t>Udeh Innocent Chekwube</t>
  </si>
  <si>
    <t>innocentchekwube04@gmail.com</t>
  </si>
  <si>
    <t>Onyekwere Victory</t>
  </si>
  <si>
    <t>onyekwerevictory201@gmail.com</t>
  </si>
  <si>
    <t>Samuel Eremi Etoma</t>
  </si>
  <si>
    <t>samueletoma26@gmail.com</t>
  </si>
  <si>
    <t>phalga</t>
  </si>
  <si>
    <t>Ibrahim Hassana Chado</t>
  </si>
  <si>
    <t>hassanaibrahimchado@gmail.com</t>
  </si>
  <si>
    <t>Nuhu Aliyu Sarki</t>
  </si>
  <si>
    <t>hydarsn@gmail.com</t>
  </si>
  <si>
    <t>Patrick U. Agioh</t>
  </si>
  <si>
    <t>agiohpatrick@gmail.com</t>
  </si>
  <si>
    <t>Anthony ngaji Ekaji</t>
  </si>
  <si>
    <t>ngajitonydan@gmail.com</t>
  </si>
  <si>
    <t>Ashibekong Paul Ashinor</t>
  </si>
  <si>
    <t>ashibekongpaul2017@gmail.com</t>
  </si>
  <si>
    <t>Muhammed Aminu</t>
  </si>
  <si>
    <t>bulangu97@gmail.com</t>
  </si>
  <si>
    <t>Uwadiae Osarugue Ruth</t>
  </si>
  <si>
    <t>uwadiruth1@gmail.com</t>
  </si>
  <si>
    <t>Ibrahim Aminu Gama</t>
  </si>
  <si>
    <t>aminuibrahimgama65@gmail.com</t>
  </si>
  <si>
    <t>Keshose Pius K</t>
  </si>
  <si>
    <t>ADEOSUN Oluwatobiloba Ezekiel</t>
  </si>
  <si>
    <t>adeosunoluwatobiloba27@gmail.com</t>
  </si>
  <si>
    <t>ZUBAIR Ibrahim Akorede</t>
  </si>
  <si>
    <t>ibrahimzubair858@gmail.com</t>
  </si>
  <si>
    <t>Idris Umar Evuti</t>
  </si>
  <si>
    <t>evuti2010@gmail.com</t>
  </si>
  <si>
    <t>Aliyu Muhammad Alhaji</t>
  </si>
  <si>
    <t>aliyumuhammadalhaji2067@gmail.com</t>
  </si>
  <si>
    <t>Ma'aruf Siddiqah Bello</t>
  </si>
  <si>
    <t>Bellosiddiqah@gmail.com</t>
  </si>
  <si>
    <t>Mustapha Anwar Sagir</t>
  </si>
  <si>
    <t>anwarsagirmustapha1@gmail.com</t>
  </si>
  <si>
    <t>Gbeneneh Blessing Aniabari</t>
  </si>
  <si>
    <t>blessingania29@gmail.com</t>
  </si>
  <si>
    <t>Khana LGA</t>
  </si>
  <si>
    <t>Adeola Mansur Oreoluwa</t>
  </si>
  <si>
    <t>mansuradeola@gmail.com</t>
  </si>
  <si>
    <t>ibrahimbello448@gmail.com</t>
  </si>
  <si>
    <t>Friday Goodluck Life</t>
  </si>
  <si>
    <t>goodlucklifefriday@gmail.com</t>
  </si>
  <si>
    <t>Yakubu Shehu Yakubu</t>
  </si>
  <si>
    <t>elyaqub.ys.ys@gmail.com</t>
  </si>
  <si>
    <t>Amao,Oluwafemi Opeyemi</t>
  </si>
  <si>
    <t>femmyamao98@gmail.com</t>
  </si>
  <si>
    <t>Linus Alex Ameh</t>
  </si>
  <si>
    <t>linusalexameh@gmail.com</t>
  </si>
  <si>
    <t>Michael Olawunmi Love</t>
  </si>
  <si>
    <t>olawunmilove002@gmail.com</t>
  </si>
  <si>
    <t>Adom Boniface Ayim</t>
  </si>
  <si>
    <t>markbonny9@gmail.com</t>
  </si>
  <si>
    <t>Oduola Israel Oladimeji</t>
  </si>
  <si>
    <t>oladimeji899@gmail.com</t>
  </si>
  <si>
    <t>Ahmad Muhammad Dogo</t>
  </si>
  <si>
    <t>ahmadxdogo@gmail.com</t>
  </si>
  <si>
    <t>Agabi Raymond Abobi</t>
  </si>
  <si>
    <t>abobiagabi@gmail.com</t>
  </si>
  <si>
    <t>Usman abdullahi</t>
  </si>
  <si>
    <t>usmanabdullahihussain71@gmail.com</t>
  </si>
  <si>
    <t>Abubakar Ismail Saidu</t>
  </si>
  <si>
    <t>ismailsaidu11@gmail.com</t>
  </si>
  <si>
    <t>Osineye Oluwapelumi Morenikeji</t>
  </si>
  <si>
    <t>osineyemorenikeji@gmail.com</t>
  </si>
  <si>
    <t>Enyia Benefit Obioma</t>
  </si>
  <si>
    <t>amalahabenefit@gmail.com</t>
  </si>
  <si>
    <t>Joseph Blessing Anyida</t>
  </si>
  <si>
    <t>josephblessin285@gmail.com</t>
  </si>
  <si>
    <t>Amac</t>
  </si>
  <si>
    <t>Yakubu Abdulbasit</t>
  </si>
  <si>
    <t>yabdulbasit200@gmail.com</t>
  </si>
  <si>
    <t>Magama local government area</t>
  </si>
  <si>
    <t>Adesina Abdulahi</t>
  </si>
  <si>
    <t>Lokomighty@gmail.com</t>
  </si>
  <si>
    <t>Ankit kar</t>
  </si>
  <si>
    <t>Raniganj</t>
  </si>
  <si>
    <t>Salami Sherifat Oiza</t>
  </si>
  <si>
    <t>sherifatsalami151@gmail.com</t>
  </si>
  <si>
    <t>Ogunwale Femi</t>
  </si>
  <si>
    <t>festusfemi12@gmail.com</t>
  </si>
  <si>
    <t>Ado/odo</t>
  </si>
  <si>
    <t>Adeleke Bidemi Ibilola</t>
  </si>
  <si>
    <t>adelekeibilola@gmail.com</t>
  </si>
  <si>
    <t>Bello-Oniyo Sultandeen Akorede</t>
  </si>
  <si>
    <t>sultan.oniyo.bs@gmail.com</t>
  </si>
  <si>
    <t>Isah Aminu</t>
  </si>
  <si>
    <t>aminuisah66@gmail.com</t>
  </si>
  <si>
    <t>Gumel</t>
  </si>
  <si>
    <t>Yati Samuel</t>
  </si>
  <si>
    <t>samuelyati155@gmail.com</t>
  </si>
  <si>
    <t>Evans Seiyefaa</t>
  </si>
  <si>
    <t>evansseiye12@gmail.com</t>
  </si>
  <si>
    <t>Ibideji Olanike Mary</t>
  </si>
  <si>
    <t>ibidejiolanike2699@gmail.com</t>
  </si>
  <si>
    <t>Hassan Yusuf</t>
  </si>
  <si>
    <t>Khaleehpherh@gmail.com</t>
  </si>
  <si>
    <t>ABDULLAHI UMAR TARMISU</t>
  </si>
  <si>
    <t>umaratarmisu@gmail.com</t>
  </si>
  <si>
    <t>Abdul Wasiu Ayodeji</t>
  </si>
  <si>
    <t>ayodejikings@gmail.com</t>
  </si>
  <si>
    <t>Akinola Muhammed olalekan</t>
  </si>
  <si>
    <t>akinoladamilare555@gmail.com</t>
  </si>
  <si>
    <t>Gidan kwano</t>
  </si>
  <si>
    <t>Fasoyin David</t>
  </si>
  <si>
    <t>dofasfg@gmail.com</t>
  </si>
  <si>
    <t>Odeda Local government</t>
  </si>
  <si>
    <t>MUSA AMIDU MUSA</t>
  </si>
  <si>
    <t>musaamidu54@gmail.com</t>
  </si>
  <si>
    <t>Usang Paul Ekwok</t>
  </si>
  <si>
    <t>usangpual247@gmail.com</t>
  </si>
  <si>
    <t>Abdulkareem</t>
  </si>
  <si>
    <t>alyittawy@gmail.com</t>
  </si>
  <si>
    <t>East</t>
  </si>
  <si>
    <t>YAKUB ABDULQOYUM OLANSHILE</t>
  </si>
  <si>
    <t>abdulqoyumolanshile@gmail.com</t>
  </si>
  <si>
    <t>Emmanuel olamide (Awodibu)</t>
  </si>
  <si>
    <t>olaire2024@gmail.com</t>
  </si>
  <si>
    <t>Musunomi</t>
  </si>
  <si>
    <t>glorymusunomi@gmail.Com</t>
  </si>
  <si>
    <t>Okobo</t>
  </si>
  <si>
    <t>GABRIEL Chidiadi Olayinka.</t>
  </si>
  <si>
    <t>gabrielchidiadi114@gmail.com</t>
  </si>
  <si>
    <t>Ogbia LGA.</t>
  </si>
  <si>
    <t>Essienudo, Nsinke okon</t>
  </si>
  <si>
    <t>nsinkemy@gmail.com</t>
  </si>
  <si>
    <t>Agogo Nicholas Angioshuye</t>
  </si>
  <si>
    <t>nicholasagogo2019@gmail.com</t>
  </si>
  <si>
    <t>Aminu Abdullah olarewaju</t>
  </si>
  <si>
    <t>abdullahaminu005@gmail.com</t>
  </si>
  <si>
    <t>Ogun west</t>
  </si>
  <si>
    <t>GBADAMOSI Roseline Damilola</t>
  </si>
  <si>
    <t>gbadamosidamilolala94@gmail.com</t>
  </si>
  <si>
    <t>Olayemi Ariyo</t>
  </si>
  <si>
    <t>olayemiariyo42@gmail.com</t>
  </si>
  <si>
    <t>Ilorin south</t>
  </si>
  <si>
    <t>Al-hassan Isyaku Bala</t>
  </si>
  <si>
    <t>isyakubala240@gmail.com</t>
  </si>
  <si>
    <t>Agbarakwe Joel Daberechi</t>
  </si>
  <si>
    <t>joeldabs@gmail.com</t>
  </si>
  <si>
    <t>Edrah Daniel</t>
  </si>
  <si>
    <t>danielledrah036@gmail.com</t>
  </si>
  <si>
    <t>Adogun Tolulope Giselle</t>
  </si>
  <si>
    <t>adoguntolulope@gmail.com</t>
  </si>
  <si>
    <t>Opoola Amina Medinat</t>
  </si>
  <si>
    <t>opoolaaminamedinat@gmail.com</t>
  </si>
  <si>
    <t>Utumbe Angela okowoko</t>
  </si>
  <si>
    <t>angelaokowoko2021@gmail.com</t>
  </si>
  <si>
    <t>Saidu Mahmud Dabban</t>
  </si>
  <si>
    <t>saidumahmud220@gmail.com</t>
  </si>
  <si>
    <t>abubsagir@gmail.com</t>
  </si>
  <si>
    <t>Opara Joy Ndidi</t>
  </si>
  <si>
    <t>joyschik40@gmail.com</t>
  </si>
  <si>
    <t>Kareem Rukayat Morenikeji</t>
  </si>
  <si>
    <t>kareemmorenikeji0@gmail.com</t>
  </si>
  <si>
    <t>henry.joseph1213@gmail.com</t>
  </si>
  <si>
    <t>Tijani Labeeb Adekilekun</t>
  </si>
  <si>
    <t>labibianposisky@gmail.com</t>
  </si>
  <si>
    <t>OWUNA</t>
  </si>
  <si>
    <t>echoowuna1@gmail.com</t>
  </si>
  <si>
    <t>Abdulakeem</t>
  </si>
  <si>
    <t>abdulakeemayobami443@gmail.com</t>
  </si>
  <si>
    <t>Mba Precious Ngozika</t>
  </si>
  <si>
    <t>preciousmba67@gmail.com</t>
  </si>
  <si>
    <t>Nwielua Dumbari Dumnamene</t>
  </si>
  <si>
    <t>kelvinn44@gmail.com</t>
  </si>
  <si>
    <t>Abdullahi ndako</t>
  </si>
  <si>
    <t>ndakolaga6995@gmail.com</t>
  </si>
  <si>
    <t>Gbako local government</t>
  </si>
  <si>
    <t>Katun Abdul-Qadir Muhammad</t>
  </si>
  <si>
    <t>abdulqadirkatun2@gmail.com</t>
  </si>
  <si>
    <t>Allen pagaebinyo moses</t>
  </si>
  <si>
    <t>pagaebinyoallen@gmail.com</t>
  </si>
  <si>
    <t>OKWU Amarachi Beatrice</t>
  </si>
  <si>
    <t>okwuamarachibeatrice@gmail.com</t>
  </si>
  <si>
    <t>Ibrahim jamila dosara</t>
  </si>
  <si>
    <t>jamiladosara@gmail.com</t>
  </si>
  <si>
    <t>Kanyone Ruth Tomabari</t>
  </si>
  <si>
    <t>kanyoneruth@gmail.com</t>
  </si>
  <si>
    <t>Abdul Rahmon mariam olayinka</t>
  </si>
  <si>
    <t>abdulrahmanmariam597@gmail.com</t>
  </si>
  <si>
    <t>Bello Safiyat Saheed</t>
  </si>
  <si>
    <t>safiyatbello90@gmail.com</t>
  </si>
  <si>
    <t>HYELADI SHALOM</t>
  </si>
  <si>
    <t>shallomhyeladi4@gmail.com</t>
  </si>
  <si>
    <t>Kuyunghu Peace Nshokabe</t>
  </si>
  <si>
    <t>peacebenny021@gmail.com</t>
  </si>
  <si>
    <t>Usman murtala</t>
  </si>
  <si>
    <t>muriusman31@gmail.com</t>
  </si>
  <si>
    <t>Metro polis</t>
  </si>
  <si>
    <t>SHUAIB ZULUQORNAIN</t>
  </si>
  <si>
    <t>omobolajizuluqornain@gmail.com</t>
  </si>
  <si>
    <t>Ahmad Umar Salisu</t>
  </si>
  <si>
    <t>usahmed04@gmail.com</t>
  </si>
  <si>
    <t>Adenle Adetoke Favour</t>
  </si>
  <si>
    <t>adenleadetoke336@gmail.com</t>
  </si>
  <si>
    <t>alimosho</t>
  </si>
  <si>
    <t>in Nigeria</t>
  </si>
  <si>
    <t>Adebisi Isaiah Adewale</t>
  </si>
  <si>
    <t>wayx23401@gmail.com</t>
  </si>
  <si>
    <t>Tom, Eno-Mfon Godwin</t>
  </si>
  <si>
    <t>umohe133@yahoo.com</t>
  </si>
  <si>
    <t>ahmady6897@gmail.com</t>
  </si>
  <si>
    <t>Ibrahim Umar</t>
  </si>
  <si>
    <t>umaribrahim6g@gmail.com</t>
  </si>
  <si>
    <t>Gombe local government</t>
  </si>
  <si>
    <t>Danboyi Cletus edither</t>
  </si>
  <si>
    <t>edithercletus3@gmail.com</t>
  </si>
  <si>
    <t>elrasheed.2050@gmail.com</t>
  </si>
  <si>
    <t>Odeyemi Banke Esther</t>
  </si>
  <si>
    <t>Odeyemiesther07@gmail.com</t>
  </si>
  <si>
    <t>Olobade Gideon</t>
  </si>
  <si>
    <t>gideonolobade1@gmail.com</t>
  </si>
  <si>
    <t>Ilesanmi Oluwatoyin Sarah</t>
  </si>
  <si>
    <t>toyinsarah43@gmail.com</t>
  </si>
  <si>
    <t>HASSAN MUHAMMAD SULAIMAN</t>
  </si>
  <si>
    <t>Akinwunmi Toluwani Adebayo</t>
  </si>
  <si>
    <t>toluwaniakin2020@gmail.com</t>
  </si>
  <si>
    <t>Yawale Hauwa Nguji</t>
  </si>
  <si>
    <t>yawalehauwa0@gmail.com</t>
  </si>
  <si>
    <t>Kolapo Olawumi Akimat</t>
  </si>
  <si>
    <t>olawumiakimat@gmail.com</t>
  </si>
  <si>
    <t>Almkdad Akthem Mostafa</t>
  </si>
  <si>
    <t>vitoes_830@yahoo.com</t>
  </si>
  <si>
    <t>Nwanne</t>
  </si>
  <si>
    <t>nwannejudith724@gmail.com</t>
  </si>
  <si>
    <t>Abayomi Oyinkansola Stephanie</t>
  </si>
  <si>
    <t>abayomioyinkansola2@gmail.com</t>
  </si>
  <si>
    <t>Tsav Barry</t>
  </si>
  <si>
    <t>francisbarry44@gmail.com</t>
  </si>
  <si>
    <t>Odewusi Olawale Ayomikun</t>
  </si>
  <si>
    <t>ayoodewusi@gmail.com</t>
  </si>
  <si>
    <t>Basheer Zahrau Garba</t>
  </si>
  <si>
    <t>zahraubasheersani@gmail.com</t>
  </si>
  <si>
    <t>Harira sani mas'ud</t>
  </si>
  <si>
    <t>harirasanimasud@gmail.com</t>
  </si>
  <si>
    <t>Abimiku Seth Monday</t>
  </si>
  <si>
    <t>sethmonday11@gmail.com</t>
  </si>
  <si>
    <t>Balda John Madaki</t>
  </si>
  <si>
    <t>johnbalda2018@gmail.com</t>
  </si>
  <si>
    <t>Owolabi Ridwan Folorunsho</t>
  </si>
  <si>
    <t>owolabiridwan500@gmail.com</t>
  </si>
  <si>
    <t>Minna Godspower Oghenetega</t>
  </si>
  <si>
    <t>godspowerminna15@gmail.com</t>
  </si>
  <si>
    <t>Makinde Victor Temitope</t>
  </si>
  <si>
    <t>makindevictor5314@gmail.com</t>
  </si>
  <si>
    <t>Oladipupo Ismael Olatunde</t>
  </si>
  <si>
    <t>oladipupoolatunde59@yahoo.com</t>
  </si>
  <si>
    <t>Akinyele</t>
  </si>
  <si>
    <t>Anyalebechi Chikwado</t>
  </si>
  <si>
    <t>chikwadoanyalebechi@gmail.com</t>
  </si>
  <si>
    <t>Monthe Fidelity D.D.</t>
  </si>
  <si>
    <t>kepaletswe@gmail.com</t>
  </si>
  <si>
    <t>Amupitan Oluwayomi Dapo</t>
  </si>
  <si>
    <t>amupitan.yomi@gmail.com</t>
  </si>
  <si>
    <t>Akinwunmi Samuel</t>
  </si>
  <si>
    <t>akinwunmi99@gmail.com</t>
  </si>
  <si>
    <t>Okeke Victor</t>
  </si>
  <si>
    <t>victor.okeke1907@outlook.com</t>
  </si>
  <si>
    <t>usmanabdullahihussain7@gmail.com</t>
  </si>
  <si>
    <t>ONYESOM ESTHER CHIOMA</t>
  </si>
  <si>
    <t>Bensonesther06@gmail.com</t>
  </si>
  <si>
    <t>Obio Apkor</t>
  </si>
  <si>
    <t>Vidorbu Promise</t>
  </si>
  <si>
    <t>Nwadialor Pius Ashikordi</t>
  </si>
  <si>
    <t>nwadialorpius@gmail.com</t>
  </si>
  <si>
    <t>Ichie</t>
  </si>
  <si>
    <t>EZOKUOYE EMMANUEL</t>
  </si>
  <si>
    <t>emmanuelezokuoye34@gmail.com</t>
  </si>
  <si>
    <t>ABUA/ODUAL</t>
  </si>
  <si>
    <t>Victor Shadrach Kapi</t>
  </si>
  <si>
    <t>victorkapi970@gmail.com</t>
  </si>
  <si>
    <t>DURUNWA OBED</t>
  </si>
  <si>
    <t>febrexbed12@gmail.com</t>
  </si>
  <si>
    <t>SAGAMU LGA</t>
  </si>
  <si>
    <t>abubakarshuaibu68@gmail.com</t>
  </si>
  <si>
    <t>Nwoha Chinoeyerm Godswill</t>
  </si>
  <si>
    <t>godswillnwoha@gmail.com</t>
  </si>
  <si>
    <t>Ikeere hope Dumale</t>
  </si>
  <si>
    <t>hopeikeere10@gmail.com</t>
  </si>
  <si>
    <t>Benson Precious ijeoma</t>
  </si>
  <si>
    <t>preciousbenson47@gmail.com</t>
  </si>
  <si>
    <t>Jacob ojochegbe winner</t>
  </si>
  <si>
    <t>winnerjacob450@gmail.com</t>
  </si>
  <si>
    <t>EDEDET JOSEPH REX</t>
  </si>
  <si>
    <t>colemanrex0@gmail.com</t>
  </si>
  <si>
    <t>Musa Mustapha</t>
  </si>
  <si>
    <t>musamustapha212@gmail.com</t>
  </si>
  <si>
    <t>Ugwuanyi Emmanuel Chidubem</t>
  </si>
  <si>
    <t>emmasolidrock@gmail.com</t>
  </si>
  <si>
    <t>Igbo-eze South</t>
  </si>
  <si>
    <t>Zipiribofa Denyefa Sampson</t>
  </si>
  <si>
    <t>dzipiribofa@gmail.com</t>
  </si>
  <si>
    <t>Agbo Peace Chidera</t>
  </si>
  <si>
    <t>Peacechidera.009@gmail.com</t>
  </si>
  <si>
    <t>Nafiu Abdullahi Aliyu</t>
  </si>
  <si>
    <t>nafiuabdullahialiyu@gmail.com</t>
  </si>
  <si>
    <t>Umezinne, Rita Ginika</t>
  </si>
  <si>
    <t>umezinneritaginika@gmail.com</t>
  </si>
  <si>
    <t>Abdulhamid Mudansir</t>
  </si>
  <si>
    <t>abdulhamidmudansir187@gmail.com</t>
  </si>
  <si>
    <t>Omotoso Nofisat Omotayo</t>
  </si>
  <si>
    <t>omosquare7@gmail.com</t>
  </si>
  <si>
    <t>Yewa South local government</t>
  </si>
  <si>
    <t>Anomah Ugobueze Light</t>
  </si>
  <si>
    <t>anomahugobueze2016@gmail.com</t>
  </si>
  <si>
    <t>Isah Mahadi</t>
  </si>
  <si>
    <t>mahdiisah519@gmail.com</t>
  </si>
  <si>
    <t>Chinedu-Nelson</t>
  </si>
  <si>
    <t>onyekemary44@gmail.com</t>
  </si>
  <si>
    <t>John thankgod ibor</t>
  </si>
  <si>
    <t>jthankgod92@gmail.com</t>
  </si>
  <si>
    <t>Nwafor Nkechi Blessing</t>
  </si>
  <si>
    <t>nwafornkechiblessing@gmail.com</t>
  </si>
  <si>
    <t>Visual impairment (partial or full), Hearing impairment</t>
  </si>
  <si>
    <t>Chinanu kindness</t>
  </si>
  <si>
    <t>kindnesschinanu20@gmail.com</t>
  </si>
  <si>
    <t>Idris maryam sambo</t>
  </si>
  <si>
    <t>maryamidrissambo2005@gmail.com</t>
  </si>
  <si>
    <t>SAGBO SAKA Juste Jérémie</t>
  </si>
  <si>
    <t>sagbosakajuste49@gmail.com</t>
  </si>
  <si>
    <t>Abomey-calavi</t>
  </si>
  <si>
    <t>Raphael Godiya Augustine</t>
  </si>
  <si>
    <t>raphaelaugustine7@gmail.com</t>
  </si>
  <si>
    <t>Esau Ebitimi</t>
  </si>
  <si>
    <t>bobbyesey@gmail.com</t>
  </si>
  <si>
    <t>Agogo Uye Emmanuel</t>
  </si>
  <si>
    <t>emmanago1@gmail.com</t>
  </si>
  <si>
    <t>Ayankanmi Israel Niyi</t>
  </si>
  <si>
    <t>ayankanmiisrael@gmail.com</t>
  </si>
  <si>
    <t>Adeleke Oluwabukola Olamide</t>
  </si>
  <si>
    <t>bukola1114@gmail.com</t>
  </si>
  <si>
    <t>Ladan Babagana</t>
  </si>
  <si>
    <t>officialbgladan@gmail.com</t>
  </si>
  <si>
    <t>Abioye Oluwakemi Yetunde</t>
  </si>
  <si>
    <t>chemybest28@gmail.com</t>
  </si>
  <si>
    <t>Akanni David Adegoke</t>
  </si>
  <si>
    <t>akannidavid04@gmail.com</t>
  </si>
  <si>
    <t>Okoronkwo Favour Chibuzor</t>
  </si>
  <si>
    <t>okoronkwofavourchibuzor@gmail.com</t>
  </si>
  <si>
    <t>Akande elijah oladiran</t>
  </si>
  <si>
    <t>akandeelijah274@gmail.com</t>
  </si>
  <si>
    <t>Atteh Godwin Effiong</t>
  </si>
  <si>
    <t>Geeciatteh@gmail.com</t>
  </si>
  <si>
    <t>Akpaboyo</t>
  </si>
  <si>
    <t>AHMED ABUBAKAR</t>
  </si>
  <si>
    <t>abubakarahmed051@gmail.com</t>
  </si>
  <si>
    <t>Sunday Olisaeloka Great</t>
  </si>
  <si>
    <t>elokaevangel12@gmail.com</t>
  </si>
  <si>
    <t>EDAH FORTUNATA OSUNE</t>
  </si>
  <si>
    <t>edahfortune870@gmail.com</t>
  </si>
  <si>
    <t>ibrahimbashir07@yahoo.com</t>
  </si>
  <si>
    <t>Johnson Juboye</t>
  </si>
  <si>
    <t>johnsonjuboye@gmail.com</t>
  </si>
  <si>
    <t>Ogu-Bolo</t>
  </si>
  <si>
    <t>Daniel Ahiakwo Nwadiogor</t>
  </si>
  <si>
    <t>ahiakwodaniel5@gmail.com</t>
  </si>
  <si>
    <t>Ogba/ Egbama/ Ndoni</t>
  </si>
  <si>
    <t>Ezeka, Gbriel Ignatius</t>
  </si>
  <si>
    <t>gabrielignatiusezeka@yahoo.com</t>
  </si>
  <si>
    <t>Rosemary favour lsibor</t>
  </si>
  <si>
    <t>rosefavour2001@yahoo.com</t>
  </si>
  <si>
    <t>AMUKA EUCHARIA NWANASO</t>
  </si>
  <si>
    <t>amukaeu@gmail.com</t>
  </si>
  <si>
    <t>IGBO-ETITI</t>
  </si>
  <si>
    <t>Hamisu Abdussamad Sani</t>
  </si>
  <si>
    <t>ashamisu2019@gmail.com</t>
  </si>
  <si>
    <t>Halliru Aminu Ibrahim</t>
  </si>
  <si>
    <t>aminuhalliruibrahim@gmail.com</t>
  </si>
  <si>
    <t>Basiru Abdullahi Adam</t>
  </si>
  <si>
    <t>abdb26111@gmail.com</t>
  </si>
  <si>
    <t>Aliyu Nura Hamisu</t>
  </si>
  <si>
    <t>engrqeeruu@gmail.com</t>
  </si>
  <si>
    <t>Surajo Umar</t>
  </si>
  <si>
    <t>Ahmad Nura Abdullahi</t>
  </si>
  <si>
    <t>nuraabdullahiahmad2015@gmail.com</t>
  </si>
  <si>
    <t>Echeweodor Sixtus Onyekachi</t>
  </si>
  <si>
    <t>sixtusonyekachi4949@gmail.com</t>
  </si>
  <si>
    <t>Obi-akpor</t>
  </si>
  <si>
    <t>Ntamzor dum precious</t>
  </si>
  <si>
    <t>pntamzor12@gmail.com</t>
  </si>
  <si>
    <t>Udoh, Moses Augustine</t>
  </si>
  <si>
    <t>Maxzima011@gmail.com</t>
  </si>
  <si>
    <t>Blessing Unoka</t>
  </si>
  <si>
    <t>blessingunoka234@gmail.com</t>
  </si>
  <si>
    <t>4, vision street, sango ota, Ogun state</t>
  </si>
  <si>
    <t>Joshua Oladipupo Oloye</t>
  </si>
  <si>
    <t>jossyt4christ@yahoo.co.uk</t>
  </si>
  <si>
    <t>SHEHU HARUNA</t>
  </si>
  <si>
    <t>haruna8832@gmail.com</t>
  </si>
  <si>
    <t>Igbe Ihunaya Chiwendu</t>
  </si>
  <si>
    <t>chilovemichael5@gmail.com</t>
  </si>
  <si>
    <t>Tom Sunday Ntem</t>
  </si>
  <si>
    <t>ntemsundaytom1999@gmail.com</t>
  </si>
  <si>
    <t>Aborode Tawakalit Adebola</t>
  </si>
  <si>
    <t>tawakalitadebola790@gmail.com</t>
  </si>
  <si>
    <t>Khamis yusif Tahir</t>
  </si>
  <si>
    <t>khamisyusifdahir74@gmail.com</t>
  </si>
  <si>
    <t>Nassarawa LG</t>
  </si>
  <si>
    <t>Ogbuewu</t>
  </si>
  <si>
    <t>greysonbenince@gmail.com</t>
  </si>
  <si>
    <t>Israel Daniel Ekerete</t>
  </si>
  <si>
    <t>israellydan@gmail.com</t>
  </si>
  <si>
    <t>Ibiono Ibom</t>
  </si>
  <si>
    <t>sani isyaku</t>
  </si>
  <si>
    <t>ishaqsani367@Gmail.com</t>
  </si>
  <si>
    <t>kumbotso</t>
  </si>
  <si>
    <t>Yunusa Nura</t>
  </si>
  <si>
    <t>nyunusa35@gmail.com</t>
  </si>
  <si>
    <t>Dodo Amos</t>
  </si>
  <si>
    <t>jufresh4@gmail.com</t>
  </si>
  <si>
    <t>Bako Rimamchika Sam</t>
  </si>
  <si>
    <t>bakosamr@gmail.com</t>
  </si>
  <si>
    <t>Ibraheem Kazeem</t>
  </si>
  <si>
    <t>ikazeem12y@gmail.com</t>
  </si>
  <si>
    <t>UGWU, KINGSLEY TOOCHUKWU</t>
  </si>
  <si>
    <t>kingsley.ugwu.242284@unn.edu.ng</t>
  </si>
  <si>
    <t>Anyanwu Anastesia Akaraka</t>
  </si>
  <si>
    <t>akalakaanna@gmail.com</t>
  </si>
  <si>
    <t>Uzo-Uwani</t>
  </si>
  <si>
    <t>Abdulganiyu Habeebat Omowumi</t>
  </si>
  <si>
    <t>abdulganiyuhabeebat5@gmail.com</t>
  </si>
  <si>
    <t>OLADIPUPO AYORINDE OLUWAFEMI</t>
  </si>
  <si>
    <t>spik2ayo@gmail.com</t>
  </si>
  <si>
    <t>Ogun waterside</t>
  </si>
  <si>
    <t>Ndiodimma, Priscilla Chinecherem</t>
  </si>
  <si>
    <t>priscillandiodimma8@gmail.com</t>
  </si>
  <si>
    <t>Ugwu Joy Anezichukwuife</t>
  </si>
  <si>
    <t>joyanezichukwuife@gmail.com</t>
  </si>
  <si>
    <t>Abuato Blessing Afebanye</t>
  </si>
  <si>
    <t>abuatoblessingaface@gmail.com</t>
  </si>
  <si>
    <t>Nnaduaka Chiamaka Vivian</t>
  </si>
  <si>
    <t>nnaduakav@gmail.com</t>
  </si>
  <si>
    <t>Obidiegwu Johnbosco Necherem</t>
  </si>
  <si>
    <t>chukwunecheremjohnbosco@gmail.com</t>
  </si>
  <si>
    <t>Anyanwu Christiana Chinwe</t>
  </si>
  <si>
    <t>christianachinwe1@gmail.com</t>
  </si>
  <si>
    <t>Hussaini amina</t>
  </si>
  <si>
    <t>aminababanna4028@gmail.com</t>
  </si>
  <si>
    <t>Adesida Oluwatosin Sandra</t>
  </si>
  <si>
    <t>adesidasandra97@gmail.com</t>
  </si>
  <si>
    <t>Nafisa Ismail Ssdiq</t>
  </si>
  <si>
    <t>nafisaismail908@gmail.com</t>
  </si>
  <si>
    <t>Taruani</t>
  </si>
  <si>
    <t>Okonkwo Ukamaka Regina</t>
  </si>
  <si>
    <t>ginacynthiao@gmail.com</t>
  </si>
  <si>
    <t>Nsukka Local Government Area</t>
  </si>
  <si>
    <t>Ali James Yedna</t>
  </si>
  <si>
    <t>alijamesyedna081@gmail.com</t>
  </si>
  <si>
    <t>Bosso Local Government</t>
  </si>
  <si>
    <t>Firstman iniebiyo Sunshine</t>
  </si>
  <si>
    <t>ameiniebiyofirstman@gmail.com</t>
  </si>
  <si>
    <t>YOKU TARIMOBOERE VICTORIA</t>
  </si>
  <si>
    <t>selekeyetarimoboere@gmail.com</t>
  </si>
  <si>
    <t>Akande Akintomiwa</t>
  </si>
  <si>
    <t>Akandeakintomiwa17@gmail.com</t>
  </si>
  <si>
    <t>Egwu Victor</t>
  </si>
  <si>
    <t>egwuvictor10@gmail.com</t>
  </si>
  <si>
    <t>Nassarwa</t>
  </si>
  <si>
    <t>Abiola</t>
  </si>
  <si>
    <t>Abiolaquadri0342@gmail.com</t>
  </si>
  <si>
    <t>Ona ara</t>
  </si>
  <si>
    <t>Etefia Emmanuel Mfon</t>
  </si>
  <si>
    <t>emmanueletefia10@gmail.com</t>
  </si>
  <si>
    <t>Dickson Ebitimi Augustine</t>
  </si>
  <si>
    <t>ebitimiaustine@gmail.com</t>
  </si>
  <si>
    <t>Uche Calister Chisom</t>
  </si>
  <si>
    <t>calisterchisom10@gmail.com</t>
  </si>
  <si>
    <t>Albinism</t>
  </si>
  <si>
    <t>ABRAHAM ISHAKU OVEY</t>
  </si>
  <si>
    <t>abrahamovey2000@gmail.com</t>
  </si>
  <si>
    <t>Eze Blessing Ijeoma</t>
  </si>
  <si>
    <t>eze.blessingij2021@gmail.com</t>
  </si>
  <si>
    <t>Igbo Eze south LGA</t>
  </si>
  <si>
    <t>Atemgweye Jennifer</t>
  </si>
  <si>
    <t>jenniferatemgweye@gmail.com</t>
  </si>
  <si>
    <t>Ector, Joy</t>
  </si>
  <si>
    <t>ectorjoy90@gmail.com</t>
  </si>
  <si>
    <t>musabashir737@gmail.com</t>
  </si>
  <si>
    <t>Saliu</t>
  </si>
  <si>
    <t>victoriasaliu08@gmail.com</t>
  </si>
  <si>
    <t>Uche Joel Chukwuebuka</t>
  </si>
  <si>
    <t>joelunconquerable@gmail.com</t>
  </si>
  <si>
    <t>Uramah Faith Ezinne</t>
  </si>
  <si>
    <t>kingstochi6@gmail.com</t>
  </si>
  <si>
    <t>Nwode Okechukwu Nwankwo</t>
  </si>
  <si>
    <t>okechukwu.nwode@gmail.com</t>
  </si>
  <si>
    <t>Bright Barinordum Queen</t>
  </si>
  <si>
    <t>brightbarinordum@gmail.com</t>
  </si>
  <si>
    <t>Barnabas</t>
  </si>
  <si>
    <t>emmanuelchukwuemerie1@gmail.com</t>
  </si>
  <si>
    <t>Ezeji cecilia chiamaka</t>
  </si>
  <si>
    <t>ceciliaezeji@gmail.com</t>
  </si>
  <si>
    <t>Came for schooling but done now</t>
  </si>
  <si>
    <t>JIYA PAUL SALLAH</t>
  </si>
  <si>
    <t>sallahjiya@gmail.com</t>
  </si>
  <si>
    <t>Akintola Taiwo Daniel</t>
  </si>
  <si>
    <t>akintoladanieltaiwo@gmail.com</t>
  </si>
  <si>
    <t>Muhammad Maryam mahmud</t>
  </si>
  <si>
    <t>maryammuhammadmahmud0@gmail.com</t>
  </si>
  <si>
    <t>Akindemowo seyifunmi Victor</t>
  </si>
  <si>
    <t>akindemowovictor@gmail.com</t>
  </si>
  <si>
    <t>Albert 6</t>
  </si>
  <si>
    <t>albertgideon188@gmail.com</t>
  </si>
  <si>
    <t>Oko patience Odima</t>
  </si>
  <si>
    <t>patienceoko029@gmail.com</t>
  </si>
  <si>
    <t>Okonkwo ifeanyi Faustinus</t>
  </si>
  <si>
    <t>ifeanyiokonkwof@gmail.com</t>
  </si>
  <si>
    <t>Ikpi Kelvin Oghenechokwo</t>
  </si>
  <si>
    <t>ikpikelvin50@gmail.com</t>
  </si>
  <si>
    <t>Rabiu bello inuwa</t>
  </si>
  <si>
    <t>bellorabiuinuwa@gmail.com</t>
  </si>
  <si>
    <t>ODIFE SANDRA EBERECHUKWU</t>
  </si>
  <si>
    <t>biancachristian307@gmail.com</t>
  </si>
  <si>
    <t>Dada Oluwalonimi</t>
  </si>
  <si>
    <t>dadaoluwalonimi@gmail.com</t>
  </si>
  <si>
    <t>ADEYEMI Bada Noah</t>
  </si>
  <si>
    <t>adeyeminoah2015@gmail.com</t>
  </si>
  <si>
    <t>Ogbowu Bright Chigozie</t>
  </si>
  <si>
    <t>brightogbowu@gmail.com</t>
  </si>
  <si>
    <t>Ogba/Egbema/Ndoni LGA</t>
  </si>
  <si>
    <t>Lebe</t>
  </si>
  <si>
    <t>faithlebe@gmail.com</t>
  </si>
  <si>
    <t>Khana Local Government Area</t>
  </si>
  <si>
    <t>Atseye Glory Amokeunimye</t>
  </si>
  <si>
    <t>atseyeglory2001@gmail.com</t>
  </si>
  <si>
    <t>Ugbe Felix Adie</t>
  </si>
  <si>
    <t>ugbefelix1614@gmail.com</t>
  </si>
  <si>
    <t>CHIBENEME</t>
  </si>
  <si>
    <t>Chizobaonyiye.eze@gmail.com</t>
  </si>
  <si>
    <t>Emodo Ndidi Jessica</t>
  </si>
  <si>
    <t>ndidijessica02@gmail.com</t>
  </si>
  <si>
    <t>Ukwuani</t>
  </si>
  <si>
    <t>Ambali muftahu popoola</t>
  </si>
  <si>
    <t>popoolamuftahudeen@gmail.com</t>
  </si>
  <si>
    <t>Bamai Zanna</t>
  </si>
  <si>
    <t>bzanna8@gmail.com</t>
  </si>
  <si>
    <t>Anene Stephanie uzodibechi</t>
  </si>
  <si>
    <t>stephanieanene29@gmail.com</t>
  </si>
  <si>
    <t>Mohammed Tajudeen Fatima</t>
  </si>
  <si>
    <t>oluwasheyi429@gmail.com</t>
  </si>
  <si>
    <t>David Aniekeme</t>
  </si>
  <si>
    <t>aniekemeenobongdavid@gmail.com</t>
  </si>
  <si>
    <t>Owolabi Abdulmujeeb Adekunle</t>
  </si>
  <si>
    <t>abdulmujeebowolabi@gmail.com</t>
  </si>
  <si>
    <t>Imorame Jennifer Omonoh</t>
  </si>
  <si>
    <t>imorameo@gmail.com</t>
  </si>
  <si>
    <t>Nigerian citizen</t>
  </si>
  <si>
    <t>Alalewa Julia sydow</t>
  </si>
  <si>
    <t>olukajulia1@gmail.com</t>
  </si>
  <si>
    <t>Ohakwe Oluchi Blessing</t>
  </si>
  <si>
    <t>ohakweoluchi95@gmail.com</t>
  </si>
  <si>
    <t>SANI PHILIP</t>
  </si>
  <si>
    <t>philipsani302@gmail.com</t>
  </si>
  <si>
    <t>Makanjuola Michael</t>
  </si>
  <si>
    <t>makaay2g@gmail.com</t>
  </si>
  <si>
    <t>IBRAHIM IDRIS</t>
  </si>
  <si>
    <t>idrisibrahimura2@gmail.com</t>
  </si>
  <si>
    <t>Ishiwu Ikechukwu Emmanuel</t>
  </si>
  <si>
    <t>ikechukwuishiwue@gmail.com</t>
  </si>
  <si>
    <t>Shamsu surajo</t>
  </si>
  <si>
    <t>shamsusurajo37@gmail.com</t>
  </si>
  <si>
    <t>Faleti Adekunle</t>
  </si>
  <si>
    <t>faletiadekunle09@gmail.com</t>
  </si>
  <si>
    <t>Mustapha Sheriff Adetunji</t>
  </si>
  <si>
    <t>bodmaspay@gmail.com</t>
  </si>
  <si>
    <t>Zinabari</t>
  </si>
  <si>
    <t>confidencezinabari@gmail.com</t>
  </si>
  <si>
    <t>BASHIR MUHAMMAD ISA</t>
  </si>
  <si>
    <t>bmidoko@gmail.com</t>
  </si>
  <si>
    <t>Mazi Lugard Ernest</t>
  </si>
  <si>
    <t>lugardmazi92@gmail.com</t>
  </si>
  <si>
    <t>Stanley</t>
  </si>
  <si>
    <t>isadoresteph@gmail.com</t>
  </si>
  <si>
    <t>Samba Sunday Jack</t>
  </si>
  <si>
    <t>checksamba20@gmail.com</t>
  </si>
  <si>
    <t>Akuku- Toru</t>
  </si>
  <si>
    <t>Ahmad Rabiu Abubakar</t>
  </si>
  <si>
    <t>rabiuabubakar01755@gmail.com</t>
  </si>
  <si>
    <t>Adasho Emmanuel David</t>
  </si>
  <si>
    <t>Adashos416@gmail.com</t>
  </si>
  <si>
    <t>Joseph oluwashogo</t>
  </si>
  <si>
    <t>josentoe@gmail.com</t>
  </si>
  <si>
    <t>Kano south</t>
  </si>
  <si>
    <t>Tiamiyu</t>
  </si>
  <si>
    <t>mayowat007@gmail.com</t>
  </si>
  <si>
    <t>Obot Joshua Friday</t>
  </si>
  <si>
    <t>iamjoshuaobot@yahoo.com</t>
  </si>
  <si>
    <t>Abigaba Angelina</t>
  </si>
  <si>
    <t>abigabaangelina1@gmail.com</t>
  </si>
  <si>
    <t>Tijani Afusat Boluwatife</t>
  </si>
  <si>
    <t>afusattijani170@gmail.com</t>
  </si>
  <si>
    <t>Muahmmmad Musa Ibrahim</t>
  </si>
  <si>
    <t>muserhne@gmail.com</t>
  </si>
  <si>
    <t>Adesiyan Paul</t>
  </si>
  <si>
    <t>pauloadesiyan@gmail.com</t>
  </si>
  <si>
    <t>Obi-Agbor Barry buwyia</t>
  </si>
  <si>
    <t>barryobiagbor94@gmail.com</t>
  </si>
  <si>
    <t>EDIOMO UDOM OKOKO</t>
  </si>
  <si>
    <t>okokoediomo628@gmail.com</t>
  </si>
  <si>
    <t>ONATUNDE JOSHUA TOBI</t>
  </si>
  <si>
    <t>joshtobyy1@gmail.com</t>
  </si>
  <si>
    <t>Abeokuta south LG</t>
  </si>
  <si>
    <t>Other state</t>
  </si>
  <si>
    <t>Abdurrahim Ibrahim</t>
  </si>
  <si>
    <t>abdurrahimibrahim171@gmail.com</t>
  </si>
  <si>
    <t>Moneme Onyeka</t>
  </si>
  <si>
    <t>monemeonyeka3@gmail.com</t>
  </si>
  <si>
    <t>Chikun in kaduna</t>
  </si>
  <si>
    <t>Ogunyomi Samson Bukola</t>
  </si>
  <si>
    <t>awokil2012@gmail.com</t>
  </si>
  <si>
    <t>Ojelabi Elizabeth Abosede</t>
  </si>
  <si>
    <t>elizabethojelabi42@gmail.com</t>
  </si>
  <si>
    <t>Galadima Abdullahi</t>
  </si>
  <si>
    <t>galadimaabdulgur@gmail.com</t>
  </si>
  <si>
    <t>Akanni Toheeb Olayode</t>
  </si>
  <si>
    <t>Takanni129@gmail.com</t>
  </si>
  <si>
    <t>Arowojobe Adetunji Sunday</t>
  </si>
  <si>
    <t>tjayztunnapa@gmail.com</t>
  </si>
  <si>
    <t>Olodude Kehinde Goodness</t>
  </si>
  <si>
    <t>kehindeolodude01@gmail.com</t>
  </si>
  <si>
    <t>ObaFemi owode</t>
  </si>
  <si>
    <t>Abbati umar</t>
  </si>
  <si>
    <t>abbatiumaryakubu79@gmail.com</t>
  </si>
  <si>
    <t>Sahalu Umar Yusuf</t>
  </si>
  <si>
    <t>sahaludogua@gmail.com</t>
  </si>
  <si>
    <t>Doguwa LGA</t>
  </si>
  <si>
    <t>Sani Hauwa Idris</t>
  </si>
  <si>
    <t>hauwasaniidris1701@gmail.com</t>
  </si>
  <si>
    <t>Zakari Ahmad</t>
  </si>
  <si>
    <t>zakariahmad732@gmail.com</t>
  </si>
  <si>
    <t>Ajopo Emmanuel O.</t>
  </si>
  <si>
    <t>Emmanuel.ajopo@yahoo.com</t>
  </si>
  <si>
    <t>Umar Nma Ibrahim</t>
  </si>
  <si>
    <t>umarib418@gmail.com</t>
  </si>
  <si>
    <t>Abdullahi Abduljalil</t>
  </si>
  <si>
    <t>abdulsafana@gmail.com</t>
  </si>
  <si>
    <t>Usman Abdulmajid</t>
  </si>
  <si>
    <t>Abdulmajidusman606@gmail.com</t>
  </si>
  <si>
    <t>Khalil Abdullahi Muhammad</t>
  </si>
  <si>
    <t>abdullahimuhammadkhalil5@gmail.com</t>
  </si>
  <si>
    <t>ADELEKE SAHEED</t>
  </si>
  <si>
    <t>saheed.adelekes@yahoo.com</t>
  </si>
  <si>
    <t>ISMAIL TOYYIB</t>
  </si>
  <si>
    <t>ismailtoheeb80@gmail.com</t>
  </si>
  <si>
    <t>Umar Muhammad Almustapha</t>
  </si>
  <si>
    <t>almustapherb@gmail.com</t>
  </si>
  <si>
    <t>Musa Muhammad T</t>
  </si>
  <si>
    <t>muhammadtmusa779@gmail.com</t>
  </si>
  <si>
    <t>Danladi Hassan Dabai</t>
  </si>
  <si>
    <t>abcoad2019@gmail.com</t>
  </si>
  <si>
    <t>Jegede Marvellous Modupe</t>
  </si>
  <si>
    <t>yemijegede505@gmail.com</t>
  </si>
  <si>
    <t>Jafar Umar Aliyu</t>
  </si>
  <si>
    <t>umarjafaraliyu@gmail.com</t>
  </si>
  <si>
    <t>SULEIMAN DANMALIKI IBRAHIM</t>
  </si>
  <si>
    <t>Ezidinwa Esther Oluchi</t>
  </si>
  <si>
    <t>ezidinwaesther2022@gmail.com</t>
  </si>
  <si>
    <t>Musbahu Dalha Ibrahim</t>
  </si>
  <si>
    <t>musbahu403@gmail.com</t>
  </si>
  <si>
    <t>Urama Lawrence Ejike</t>
  </si>
  <si>
    <t>ejikelawrence551@gmail.com</t>
  </si>
  <si>
    <t>Muhammad Aminu Yahaya</t>
  </si>
  <si>
    <t>aminuyahaya383@gmail.com</t>
  </si>
  <si>
    <t>Rano LGA</t>
  </si>
  <si>
    <t>Haruna Ismail hashim</t>
  </si>
  <si>
    <t>Ihharuna98@gmail.com</t>
  </si>
  <si>
    <t>Abdulmalik Amina</t>
  </si>
  <si>
    <t>aminaabdulmalik227@gmail.com</t>
  </si>
  <si>
    <t>Ibrahim musbahu</t>
  </si>
  <si>
    <t>marmus0003@yahoo.com</t>
  </si>
  <si>
    <t>Daniel Geofrey</t>
  </si>
  <si>
    <t>sparomanjaro@gmail.com</t>
  </si>
  <si>
    <t>Ugongo</t>
  </si>
  <si>
    <t>Mohammed Abdullahi Hassan</t>
  </si>
  <si>
    <t>mohammedabdullahi20171@gmail.com</t>
  </si>
  <si>
    <t>Abubakar Abdulaziz</t>
  </si>
  <si>
    <t>Abzeegml@gmail.com</t>
  </si>
  <si>
    <t>Mikailu Sani</t>
  </si>
  <si>
    <t>mssalisg2@gmail.com</t>
  </si>
  <si>
    <t>Lawan Nana Garba</t>
  </si>
  <si>
    <t>nanalawangarba@gmail.com</t>
  </si>
  <si>
    <t>Abdulsalam Lurwanu Dalhatu</t>
  </si>
  <si>
    <t>ridwandalhatuabd@gmail.com</t>
  </si>
  <si>
    <t>Ibrahim Bala Yusuf</t>
  </si>
  <si>
    <t>yusufbalaibrahim@gmail.com</t>
  </si>
  <si>
    <t>Tijani Hassan</t>
  </si>
  <si>
    <t>tee4u7270@gmail.com</t>
  </si>
  <si>
    <t>Umar lado</t>
  </si>
  <si>
    <t>Umarlado420@gmail.com</t>
  </si>
  <si>
    <t>Dala, gwauron dutse</t>
  </si>
  <si>
    <t>FALALU MUSBAHU</t>
  </si>
  <si>
    <t>fadlu70@gmail.com</t>
  </si>
  <si>
    <t>Adawo Aniedi</t>
  </si>
  <si>
    <t>aniediadawo@yahoo.com</t>
  </si>
  <si>
    <t>Bacci</t>
  </si>
  <si>
    <t>Purplehabach46@gmail.com</t>
  </si>
  <si>
    <t>Otah Onuoha</t>
  </si>
  <si>
    <t>Onuohaotahjr@gmail.com</t>
  </si>
  <si>
    <t>Obio/Apko</t>
  </si>
  <si>
    <t>Bashir Aliyu</t>
  </si>
  <si>
    <t>aliyubashir4real@gmail.com</t>
  </si>
  <si>
    <t>Sadiya Aminu Gambo</t>
  </si>
  <si>
    <t>sadiyaameenu@gmail.com</t>
  </si>
  <si>
    <t>Pelumi Obatayo</t>
  </si>
  <si>
    <t>pelumichristiana24@gmail.com</t>
  </si>
  <si>
    <t>Abeokuta South Local Government Area.</t>
  </si>
  <si>
    <t>Non indigene non resident</t>
  </si>
  <si>
    <t>baffasakata@gmail.com</t>
  </si>
  <si>
    <t>Imeko-Afon</t>
  </si>
  <si>
    <t>ISMAIL Mustapha</t>
  </si>
  <si>
    <t>ismailmustapha810@gmail.com</t>
  </si>
  <si>
    <t>Nasarawa Local Government</t>
  </si>
  <si>
    <t>IBRAHIM SAIFULLAHI GARBA</t>
  </si>
  <si>
    <t>sibrahimgarba07@gmail.com</t>
  </si>
  <si>
    <t>Abdullahi Salisu</t>
  </si>
  <si>
    <t>salisuabdullahisalisu@gmail.com</t>
  </si>
  <si>
    <t>Suraja Abubakar</t>
  </si>
  <si>
    <t>babasadeeqbk@gmail.com</t>
  </si>
  <si>
    <t>Adeyanju Kehinde</t>
  </si>
  <si>
    <t>kennygloryrealm@gmail.com</t>
  </si>
  <si>
    <t>Sabo</t>
  </si>
  <si>
    <t>Bala Aliyu Ibrahim</t>
  </si>
  <si>
    <t>aliyubalaibrahim.2001@gmail.com</t>
  </si>
  <si>
    <t>Otene Ojoajogwu Theresa</t>
  </si>
  <si>
    <t>ojoajogwuotene98@gmail.com</t>
  </si>
  <si>
    <t>Mojeed Taiwo Akinkunmi</t>
  </si>
  <si>
    <t>taiwoakinkunmi2001@gmail.com</t>
  </si>
  <si>
    <t>Amienoho Godsgift</t>
  </si>
  <si>
    <t>aimienohogodsgift06@gmail.com</t>
  </si>
  <si>
    <t>Isah Aliyu Ishaq</t>
  </si>
  <si>
    <t>aliyuisahishaq7@gmail.com</t>
  </si>
  <si>
    <t>Karaye local government</t>
  </si>
  <si>
    <t>Assi Bridget Akonjor</t>
  </si>
  <si>
    <t>assibridget2017@gmail.com</t>
  </si>
  <si>
    <t>Mudathir Waliyat Bolaji</t>
  </si>
  <si>
    <t>mudathirwaliyatbolaji@gmail.com</t>
  </si>
  <si>
    <t>Johnson Akachukwu Udo</t>
  </si>
  <si>
    <t>johnsonakachukwu31@gmail.com</t>
  </si>
  <si>
    <t>Port hacourt</t>
  </si>
  <si>
    <t>Nasiru Aliyu</t>
  </si>
  <si>
    <t>nasirualiyusuru2004@gmail.com</t>
  </si>
  <si>
    <t>Suru</t>
  </si>
  <si>
    <t>ISAH ASIYA MUHAMMAD</t>
  </si>
  <si>
    <t>Emmanuel Bongnwi</t>
  </si>
  <si>
    <t>bongnwiemmanuel2@gmail.com</t>
  </si>
  <si>
    <t>Malachy Nsisong Peter</t>
  </si>
  <si>
    <t>beatricemalachy393@gmail.com</t>
  </si>
  <si>
    <t>Port Harcourt Local Government Area (PHALGA).</t>
  </si>
  <si>
    <t>Lawal Muttaka</t>
  </si>
  <si>
    <t>lawalmuntaqa@gmail.com</t>
  </si>
  <si>
    <t>Adamu Shago Muneer</t>
  </si>
  <si>
    <t>shagomuneer01@gmail.com</t>
  </si>
  <si>
    <t>Jamila Badamasi Yarima</t>
  </si>
  <si>
    <t>jamilabadamasiyarima38@gmail.com</t>
  </si>
  <si>
    <t>Gaya LGA</t>
  </si>
  <si>
    <t>Uba Abdullahi</t>
  </si>
  <si>
    <t>aucolinks@gmail.com</t>
  </si>
  <si>
    <t>Abubakar Adamu</t>
  </si>
  <si>
    <t>abubakarad12@gmail.com</t>
  </si>
  <si>
    <t>OBIORA FRANCISCA OLUEBUBECHUKWU</t>
  </si>
  <si>
    <t>Obiora2023@gmail.com</t>
  </si>
  <si>
    <t>Balogun Oreoluwa Rebecca</t>
  </si>
  <si>
    <t>oreoluwapearl09@gmail.com</t>
  </si>
  <si>
    <t>Peter Gift Obona</t>
  </si>
  <si>
    <t>petergiftobona3235@gmail.com</t>
  </si>
  <si>
    <t>bellonafisat5@gmail.com</t>
  </si>
  <si>
    <t>Onwuzu Somtochukwu Miracle</t>
  </si>
  <si>
    <t>marvinaonwuzu10@gmail.com</t>
  </si>
  <si>
    <t>Saleh Nauwas</t>
  </si>
  <si>
    <t>nauwassalehmusatafa@gmail.com</t>
  </si>
  <si>
    <t>Saka Musa Olabisi</t>
  </si>
  <si>
    <t>olabisimusa22222@gmail.com</t>
  </si>
  <si>
    <t>DAGO, Solomon Fred</t>
  </si>
  <si>
    <t>dagosolomon25@gmail.com</t>
  </si>
  <si>
    <t>Abdullahi Nazifi</t>
  </si>
  <si>
    <t>nazifiabdu46@gmail.com</t>
  </si>
  <si>
    <t>Abdullahi Afolabi Akanni</t>
  </si>
  <si>
    <t>afolabiwonderolawale@gmail.com</t>
  </si>
  <si>
    <t>Okpe Shedrack Ede</t>
  </si>
  <si>
    <t>shedrachokpe1@gmail.com</t>
  </si>
  <si>
    <t>Ezeagu Local Government</t>
  </si>
  <si>
    <t>Ekwueme Florence Ogechi</t>
  </si>
  <si>
    <t>ekwuemeflorence@gmail.com</t>
  </si>
  <si>
    <t>Sanusi Imam Jalaluddeen</t>
  </si>
  <si>
    <t>deeny1982@gmail.com</t>
  </si>
  <si>
    <t>Nwokolo Onyedika Michael</t>
  </si>
  <si>
    <t>nwokolomichael3301@gmail.com</t>
  </si>
  <si>
    <t>NNAMANI, UZOAMAKA CALISTA</t>
  </si>
  <si>
    <t>nnamanicalista111@gmsil.com</t>
  </si>
  <si>
    <t>Uka Sussan</t>
  </si>
  <si>
    <t>ukasussan@gmail.com</t>
  </si>
  <si>
    <t>Ohafia</t>
  </si>
  <si>
    <t>Mansur Umma Sani</t>
  </si>
  <si>
    <t>ummamansursani1000@gmail.com</t>
  </si>
  <si>
    <t>Chukwundah Amarachi Jessica</t>
  </si>
  <si>
    <t>amyuche2@gmail.com</t>
  </si>
  <si>
    <t>Jackson Jennifer</t>
  </si>
  <si>
    <t>jenniferyackson@gmail.com</t>
  </si>
  <si>
    <t>ibrahimkkr6060@gmail.com</t>
  </si>
  <si>
    <t>MAAJI ABUBAKAR</t>
  </si>
  <si>
    <t>abubakarmaaji2@gmail.com</t>
  </si>
  <si>
    <t>Abdulfattah Amina</t>
  </si>
  <si>
    <t>aminaabdulfattah0@gmail.com</t>
  </si>
  <si>
    <t>Haha Godswill Mietamuno</t>
  </si>
  <si>
    <t>tam4gee@gmail.com</t>
  </si>
  <si>
    <t>Bonny</t>
  </si>
  <si>
    <t>Abdullahi Abdullahi kuchita</t>
  </si>
  <si>
    <t>ab.kuchita@gmail.com</t>
  </si>
  <si>
    <t>abubakarmuazu1992@gmail.com</t>
  </si>
  <si>
    <t>Garun Malam local government</t>
  </si>
  <si>
    <t>Onyinye Cassandra Ezedibia</t>
  </si>
  <si>
    <t>onyinyeezedibia197@gmail.com</t>
  </si>
  <si>
    <t>Ibrahim Abdulrauf Akorede</t>
  </si>
  <si>
    <t>abdulrauf.ibrahim494@gmail.com</t>
  </si>
  <si>
    <t>Dominion Marvellous Ibatou</t>
  </si>
  <si>
    <t>marvellous.dominion@gmail.com</t>
  </si>
  <si>
    <t>Mathew Johanas Micah</t>
  </si>
  <si>
    <t>johannesmathew72@gmail.com</t>
  </si>
  <si>
    <t>Hamzat Abdulrahman</t>
  </si>
  <si>
    <t>hamzatabdulrahman5@gmail.com</t>
  </si>
  <si>
    <t>OFUTET ELEAZAR SAMSON</t>
  </si>
  <si>
    <t>eleazarnoni@gmail.com</t>
  </si>
  <si>
    <t>Owiti Geophry Griffin</t>
  </si>
  <si>
    <t>griffingeophry@gmail.com</t>
  </si>
  <si>
    <t>Oladipupo Oladele Emmanuel</t>
  </si>
  <si>
    <t>oladeleemma101@gmail.com</t>
  </si>
  <si>
    <t>BASSEY OKON ETIM</t>
  </si>
  <si>
    <t>ernestdesaint89@gmail.com</t>
  </si>
  <si>
    <t>Obia- Okpo LGA</t>
  </si>
  <si>
    <t>UFOMBA CHIEMELA CELESTINE</t>
  </si>
  <si>
    <t>chinemeremmuna6@gmail.com</t>
  </si>
  <si>
    <t>Omuma LGA</t>
  </si>
  <si>
    <t>Ugwuja Anthony Ifeanyi</t>
  </si>
  <si>
    <t>anthonyugwuja12@gmail.com</t>
  </si>
  <si>
    <t>OLABODE RUQOYAH OLAMIDE</t>
  </si>
  <si>
    <t>olaboderuqoyah1709@gmail.com</t>
  </si>
  <si>
    <t>SANI ALHAJI ABDULSALAM</t>
  </si>
  <si>
    <t>abdulsalamasani7@gmail.com</t>
  </si>
  <si>
    <t>GWALE LOCAL GOVERNMENT</t>
  </si>
  <si>
    <t>Noah siaka</t>
  </si>
  <si>
    <t>siakanoah742@gmail.com</t>
  </si>
  <si>
    <t>Ofu kogi</t>
  </si>
  <si>
    <t>Umar Nasiru</t>
  </si>
  <si>
    <t>nasssumar@gmail.com</t>
  </si>
  <si>
    <t>Tukur Aisha Bashir</t>
  </si>
  <si>
    <t>aishabt2016@gmail.com</t>
  </si>
  <si>
    <t>Lawal Hamza Abiodun</t>
  </si>
  <si>
    <t>Princehameeznah96@gmail.com</t>
  </si>
  <si>
    <t>Kabiru Alhassan Ado</t>
  </si>
  <si>
    <t>alhassankabiruado091@gmail.com</t>
  </si>
  <si>
    <t>sirgeniusshugaba@gmail.com</t>
  </si>
  <si>
    <t>Ibrahim Sabitu</t>
  </si>
  <si>
    <t>ibrahimsabitu33@gmail.com</t>
  </si>
  <si>
    <t>Iwuji David</t>
  </si>
  <si>
    <t>sme.david82@gmail.com</t>
  </si>
  <si>
    <t>Robinson Ebimiere Iyanuoluwa</t>
  </si>
  <si>
    <t>robinsonebimiere@gmail.com</t>
  </si>
  <si>
    <t>ABRAHAM GODGIFT ODEMASEPH</t>
  </si>
  <si>
    <t>abrahamodemaseph@gmail.com</t>
  </si>
  <si>
    <t>Osuji</t>
  </si>
  <si>
    <t>benwfd@gmail.com</t>
  </si>
  <si>
    <t>Okonkwo Chidimma Perpetual</t>
  </si>
  <si>
    <t>sophiafrance2014@gmail.com</t>
  </si>
  <si>
    <t>Balarabe Yunusa</t>
  </si>
  <si>
    <t>yunusabalarabe101@gmail.com</t>
  </si>
  <si>
    <t>Adaji Gideon Ojimaojo</t>
  </si>
  <si>
    <t>gideonadaji44@gmail.com</t>
  </si>
  <si>
    <t>Attah thomas ocholi</t>
  </si>
  <si>
    <t>noblethomas4400@gmail.com</t>
  </si>
  <si>
    <t>Samuel Gideon</t>
  </si>
  <si>
    <t>gideonsamuel54321@gmail.com</t>
  </si>
  <si>
    <t>Kalu Ikechukwu Emetu</t>
  </si>
  <si>
    <t>kaluikechukwu729@gmail.com</t>
  </si>
  <si>
    <t>Oyibo</t>
  </si>
  <si>
    <t>Alegbemi John</t>
  </si>
  <si>
    <t>Johnalegbemi@outlook.com</t>
  </si>
  <si>
    <t>Ahmad Adamu Abdullahi</t>
  </si>
  <si>
    <t>aljabbari09@gmail.com</t>
  </si>
  <si>
    <t>Ofutet Grace Sampson</t>
  </si>
  <si>
    <t>gracedarlinton4@gmail.com</t>
  </si>
  <si>
    <t>Kikibo Florence Nimi</t>
  </si>
  <si>
    <t>nimiflorence45@gmail.com</t>
  </si>
  <si>
    <t>Oghieasor</t>
  </si>
  <si>
    <t>basseyesther625@gmail.com</t>
  </si>
  <si>
    <t>Ovat iwowo Emmanuel</t>
  </si>
  <si>
    <t>iwowoovat1@gmail.com</t>
  </si>
  <si>
    <t>Christian Ugwu</t>
  </si>
  <si>
    <t>chrisbrite4@gmail.com</t>
  </si>
  <si>
    <t>Adebowale Lukman Adeola</t>
  </si>
  <si>
    <t>adeola542@gmail.com</t>
  </si>
  <si>
    <t>Eze Precious Oluebube</t>
  </si>
  <si>
    <t>imeldaprecious2@gmail.com</t>
  </si>
  <si>
    <t>Kurmin sarki</t>
  </si>
  <si>
    <t>Febabor</t>
  </si>
  <si>
    <t>giftjoann1@gmail.com</t>
  </si>
  <si>
    <t>Ayobola Ayodele</t>
  </si>
  <si>
    <t>ayobolaayodele@gmail.com</t>
  </si>
  <si>
    <t>Akpoyibo Ebipamowei prosper</t>
  </si>
  <si>
    <t>renewedventure7@gmail.com</t>
  </si>
  <si>
    <t>Yahaya Gideon</t>
  </si>
  <si>
    <t>gyahaya50@gmail.com</t>
  </si>
  <si>
    <t>Ota LGA</t>
  </si>
  <si>
    <t>Sagir Ahmed Shehu</t>
  </si>
  <si>
    <t>ahmedsagirshehu@gmail.com</t>
  </si>
  <si>
    <t>Muhammed Makoji Alhassan</t>
  </si>
  <si>
    <t>alhassanmuhammed1043@gmail.com</t>
  </si>
  <si>
    <t>AHMAD MUHAMMAD</t>
  </si>
  <si>
    <t>ahmadmuhammad1041@gmail.com</t>
  </si>
  <si>
    <t>USMAN UFEDO CALEB</t>
  </si>
  <si>
    <t>ufedojolove@gmail.com</t>
  </si>
  <si>
    <t>NYSC member</t>
  </si>
  <si>
    <t>Abdus-Salam</t>
  </si>
  <si>
    <t>abdussalamkhalidahololade@gmail.com</t>
  </si>
  <si>
    <t>Iwuji Sharon Chidera</t>
  </si>
  <si>
    <t>iwujisharon23@gmail.com</t>
  </si>
  <si>
    <t>Fagge LGA, Kano State.</t>
  </si>
  <si>
    <t>Onuoha</t>
  </si>
  <si>
    <t>onuohavictorc@gmail.com</t>
  </si>
  <si>
    <t>James Joy</t>
  </si>
  <si>
    <t>joy322041@gmail.com</t>
  </si>
  <si>
    <t>Ajibona Abdul Qhuddus Abolaji</t>
  </si>
  <si>
    <t>abdulqhuddusajibona@gmail.com</t>
  </si>
  <si>
    <t>Usman Mubarak</t>
  </si>
  <si>
    <t>usmanmubarak97@gmail.com</t>
  </si>
  <si>
    <t>Umar Musa Saidu</t>
  </si>
  <si>
    <t>umarmusasaidu75@gmail.com</t>
  </si>
  <si>
    <t>Zucule Gilberto Raimundo</t>
  </si>
  <si>
    <t>gilzucule123@gmail.com</t>
  </si>
  <si>
    <t>Beira</t>
  </si>
  <si>
    <t>Umar Magaji</t>
  </si>
  <si>
    <t>magajiumar71@gmail.com</t>
  </si>
  <si>
    <t>Anoh</t>
  </si>
  <si>
    <t>anohfaith71@gmail.com</t>
  </si>
  <si>
    <t>Ahmad umar Kamfut</t>
  </si>
  <si>
    <t>ahmadkamfut1@gmail.com</t>
  </si>
  <si>
    <t>UBa Ibrahim</t>
  </si>
  <si>
    <t>ibrahimuba29@gmail.com</t>
  </si>
  <si>
    <t>Mannir Alhassan Muhammad</t>
  </si>
  <si>
    <t>alhassnmannir@gmail.com</t>
  </si>
  <si>
    <t>Lucky Godbless Baridumale</t>
  </si>
  <si>
    <t>luckygodbless2@gmail.com</t>
  </si>
  <si>
    <t>Shehu Abdulwahab</t>
  </si>
  <si>
    <t>shehuabdulwahab3@gmail.com</t>
  </si>
  <si>
    <t>ASEMOTA LUCKY ITUAH</t>
  </si>
  <si>
    <t>luckyasemota4@gmail.com</t>
  </si>
  <si>
    <t>OBIAKPOR</t>
  </si>
  <si>
    <t>Hashim Jamilu</t>
  </si>
  <si>
    <t>jamiluhashim46@gmail.com</t>
  </si>
  <si>
    <t>Hauwa Muhammad Saleh</t>
  </si>
  <si>
    <t>hauwamuhammadsaleh4@gmail.com</t>
  </si>
  <si>
    <t>Muhammad khadija</t>
  </si>
  <si>
    <t>Muhammadabdullahikhadija25@gmail.com</t>
  </si>
  <si>
    <t>HASHIM MUSA</t>
  </si>
  <si>
    <t>musahashim86@gmail.com</t>
  </si>
  <si>
    <t>Idris Abubakar Qudrat</t>
  </si>
  <si>
    <t>qudratidris6@gmail.com</t>
  </si>
  <si>
    <t>COOKEY-GAM, BOMA NELSON</t>
  </si>
  <si>
    <t>cookeygamb@gmail.com</t>
  </si>
  <si>
    <t>Opobo Nkoro</t>
  </si>
  <si>
    <t>Biritinkumo zenekeme eyiokiyekumo</t>
  </si>
  <si>
    <t>BIRITINKUMOZENE@gmail.com</t>
  </si>
  <si>
    <t>sagbama</t>
  </si>
  <si>
    <t>Ahmad Nuuman</t>
  </si>
  <si>
    <t>Nahmadimam@gmail.com</t>
  </si>
  <si>
    <t>MOHAMMED AISHAT NA-ALLAH</t>
  </si>
  <si>
    <t>ashantybolanle62@gmail.com</t>
  </si>
  <si>
    <t>Isirima Precious Kingdom</t>
  </si>
  <si>
    <t>pisirima51@gmail.com</t>
  </si>
  <si>
    <t>Aguwamba gold chidinma</t>
  </si>
  <si>
    <t>chidinmagoldagu@gmail.com</t>
  </si>
  <si>
    <t>Igwe Solomon Ode</t>
  </si>
  <si>
    <t>igweso100@gmail.com</t>
  </si>
  <si>
    <t>Kabara Salim faruk</t>
  </si>
  <si>
    <t>salemkabara@gmail.com</t>
  </si>
  <si>
    <t>Halima Yakubu Uba</t>
  </si>
  <si>
    <t>hyakubu484@gmail.com</t>
  </si>
  <si>
    <t>Ogar Raphael Ojifo</t>
  </si>
  <si>
    <t>ogarraphael565@gmail.com</t>
  </si>
  <si>
    <t>Sagir Aminu Kabir</t>
  </si>
  <si>
    <t>sagiraminu51@gmail.com</t>
  </si>
  <si>
    <t>Kasimu Bello</t>
  </si>
  <si>
    <t>kasimubello6454@gmail.com</t>
  </si>
  <si>
    <t>Sangodeyi Sunday</t>
  </si>
  <si>
    <t>sangodeyisunday18@gmail.com</t>
  </si>
  <si>
    <t>Faith Rufus</t>
  </si>
  <si>
    <t>faithrufus567@gmail.com</t>
  </si>
  <si>
    <t>Shuaibu Mohammed Inuwa</t>
  </si>
  <si>
    <t>shuaibu987@gmail.com</t>
  </si>
  <si>
    <t>Itunuoluwa Eyitayo Daini</t>
  </si>
  <si>
    <t>itunudaini85@gmail.com</t>
  </si>
  <si>
    <t>Ijebu north east</t>
  </si>
  <si>
    <t>okello Martin okello</t>
  </si>
  <si>
    <t>martinetmartins4@gmail.com</t>
  </si>
  <si>
    <t>Chapasuka Albert</t>
  </si>
  <si>
    <t>albert@sorghumunited.org</t>
  </si>
  <si>
    <t>Zimbabwe</t>
  </si>
  <si>
    <t>foreginer</t>
  </si>
  <si>
    <t>Akinlolu Stella Oluwadimimu</t>
  </si>
  <si>
    <t>akinlolustella2012@gmail.com</t>
  </si>
  <si>
    <t>Usman Almustapha Damilola</t>
  </si>
  <si>
    <t>usmandmustapha3@gmail.com</t>
  </si>
  <si>
    <t>Gwarzo Road ( Dambare) Kumbotso</t>
  </si>
  <si>
    <t>Owiny Chadrack Ojuma</t>
  </si>
  <si>
    <t>owinyshadrack672@gmail.com</t>
  </si>
  <si>
    <t>Abim district</t>
  </si>
  <si>
    <t>Okpala Blessing Ujunwa</t>
  </si>
  <si>
    <t>okpalablessing24@gmail.com</t>
  </si>
  <si>
    <t>Isyaku Abdullahi Muhammad</t>
  </si>
  <si>
    <t>aisyaku566@gmail.com</t>
  </si>
  <si>
    <t>Eka Sunday ahulo</t>
  </si>
  <si>
    <t>ekasahulo@gmail.com</t>
  </si>
  <si>
    <t>yala local government</t>
  </si>
  <si>
    <t>AKINYEMI OLUWATOBILOBA</t>
  </si>
  <si>
    <t>Akinyemihiro5@gmail.com</t>
  </si>
  <si>
    <t>Lantana Mohammed</t>
  </si>
  <si>
    <t>Lanteestic@gmail.com</t>
  </si>
  <si>
    <t>Umar hassana hamisu</t>
  </si>
  <si>
    <t>umarhassana2018@gmail.com</t>
  </si>
  <si>
    <t>Emmanuel Ezekiel Iko</t>
  </si>
  <si>
    <t>ephathat139@gmail.com</t>
  </si>
  <si>
    <t>Abdullahi Bashir Yakasai</t>
  </si>
  <si>
    <t>bashirabdullahiyakasai@gmail.com</t>
  </si>
  <si>
    <t>Kano Municipal Council</t>
  </si>
  <si>
    <t>Inja wisdom tersoo</t>
  </si>
  <si>
    <t>injawisdom@gmail.com</t>
  </si>
  <si>
    <t>Ali Ibrahim Maaji</t>
  </si>
  <si>
    <t>maaji140@gmail.com</t>
  </si>
  <si>
    <t>Kombotso</t>
  </si>
  <si>
    <t>Isah Khadija pali</t>
  </si>
  <si>
    <t>khadijaisahpali@gmail.com</t>
  </si>
  <si>
    <t>Alozie Emmanuel</t>
  </si>
  <si>
    <t>emmanuelben2014@gmail.com</t>
  </si>
  <si>
    <t>Jaafar abubakar musa</t>
  </si>
  <si>
    <t>ajafar950@gmail.com</t>
  </si>
  <si>
    <t>Etim</t>
  </si>
  <si>
    <t>abasiofon29@gmail.com</t>
  </si>
  <si>
    <t>Danlami Esther</t>
  </si>
  <si>
    <t>danlamiesther43@gmail.com</t>
  </si>
  <si>
    <t>AKECH ESTHER LONA</t>
  </si>
  <si>
    <t>akechestherlona@gmail.com</t>
  </si>
  <si>
    <t>Alu Godstime Chijioke</t>
  </si>
  <si>
    <t>alugodstimeebe@gmail.com</t>
  </si>
  <si>
    <t>Ishielu</t>
  </si>
  <si>
    <t>Ma'ruf-Sogeyinbo Qanit</t>
  </si>
  <si>
    <t>qanitmaruf05@gmail.com</t>
  </si>
  <si>
    <t>Gwale Local Government Area</t>
  </si>
  <si>
    <t>Indigene of Ogun State but school in Kano</t>
  </si>
  <si>
    <t>Ibrahim Michael Shekwolo</t>
  </si>
  <si>
    <t>ibrahim3michael3@gmail.com</t>
  </si>
  <si>
    <t>Okoh chinecherem Vivian</t>
  </si>
  <si>
    <t>capistrianan@gmail.com</t>
  </si>
  <si>
    <t>Iliya sunday kadung</t>
  </si>
  <si>
    <t>iliyasunday8@gmail.com</t>
  </si>
  <si>
    <t>Biritinkumo Ineyekeineye</t>
  </si>
  <si>
    <t>birintinkumoineye@gmail.com</t>
  </si>
  <si>
    <t>Babangida Musa</t>
  </si>
  <si>
    <t>moses225567@gmail.com</t>
  </si>
  <si>
    <t>Akinyemi Osisiye Felicia</t>
  </si>
  <si>
    <t>akinyemifelicia@029gmail.com</t>
  </si>
  <si>
    <t>Badmus Abbas</t>
  </si>
  <si>
    <t>abbasbadamasi946@gmail.com</t>
  </si>
  <si>
    <t>Obi-akpo</t>
  </si>
  <si>
    <t>Makinde Tomiwa Victor</t>
  </si>
  <si>
    <t>makstom.v40@gmail.com</t>
  </si>
  <si>
    <t>Amina Abdurrahman</t>
  </si>
  <si>
    <t>aminaabdurrahman490@gmail.com</t>
  </si>
  <si>
    <t>Suleiman Abubakar</t>
  </si>
  <si>
    <t>abbakarsadeek2000@gmail.com</t>
  </si>
  <si>
    <t>Akwaeze abuchi chrysogonus Valentine</t>
  </si>
  <si>
    <t>chrysogonusvalentine@gmail.com</t>
  </si>
  <si>
    <t>Enugu_south</t>
  </si>
  <si>
    <t>Ologunaye Tosin Jacob</t>
  </si>
  <si>
    <t>ologunayetosin@gmail.com</t>
  </si>
  <si>
    <t>Akoko south west local govt</t>
  </si>
  <si>
    <t>SALAWU FARUQ ABIMBOLA</t>
  </si>
  <si>
    <t>flexybimbz@gmail.com</t>
  </si>
  <si>
    <t>abubakarmusa5869@gmail.com</t>
  </si>
  <si>
    <t>Akech Esther Lona</t>
  </si>
  <si>
    <t>esther.lorna.akech@gmail.com</t>
  </si>
  <si>
    <t>Salisu Yusuf</t>
  </si>
  <si>
    <t>salisuyusuf43@gmail.com</t>
  </si>
  <si>
    <t>Albasu local government</t>
  </si>
  <si>
    <t>Adeleke Victor damilare</t>
  </si>
  <si>
    <t>victoradeleke143@gmail.com</t>
  </si>
  <si>
    <t>SAIDU KABIR</t>
  </si>
  <si>
    <t>kabirsaidu90@gmail.com</t>
  </si>
  <si>
    <t>Ishiwu Perpetual Onyinyechi</t>
  </si>
  <si>
    <t>perpnice29@gmail.com</t>
  </si>
  <si>
    <t>Abraham Precious Deborah</t>
  </si>
  <si>
    <t>debbiepre04@gmail.com</t>
  </si>
  <si>
    <t>Ado Yusuf Muhammad</t>
  </si>
  <si>
    <t>yusufado2006@gmail.com</t>
  </si>
  <si>
    <t>Iweobi Prisca Ogonna</t>
  </si>
  <si>
    <t>priscaogonnaiweobi@gmail.com</t>
  </si>
  <si>
    <t>Lukman Mubarak Babatunde</t>
  </si>
  <si>
    <t>mazeedshop30@gmail.com</t>
  </si>
  <si>
    <t>MUTCHOLO EXFORD</t>
  </si>
  <si>
    <t>exfordmutcholo@gmail.com</t>
  </si>
  <si>
    <t>Chitseka</t>
  </si>
  <si>
    <t>GALADIMA Lawan Mukhtar</t>
  </si>
  <si>
    <t>galadim14@yahoo.com</t>
  </si>
  <si>
    <t>Nwakuba Samuel</t>
  </si>
  <si>
    <t>snwakuba@gmail.com</t>
  </si>
  <si>
    <t>Aliyu Fatima El-Hussein</t>
  </si>
  <si>
    <t>fatimaaliyuelhussein99@gmail.com</t>
  </si>
  <si>
    <t>YAWALE</t>
  </si>
  <si>
    <t>estheryawaleandrew@gmail.com</t>
  </si>
  <si>
    <t>Adeboye Bankole</t>
  </si>
  <si>
    <t>bankolewilliams078@gmail.com</t>
  </si>
  <si>
    <t>A normal person</t>
  </si>
  <si>
    <t>Abubakar Zainab Inuwa</t>
  </si>
  <si>
    <t>zainababubakarinuwa2020@gmail.com</t>
  </si>
  <si>
    <t>Danladi Aliyu</t>
  </si>
  <si>
    <t>aliyudanladi958@gmail.com</t>
  </si>
  <si>
    <t>Tarauni LG sallari qtrs</t>
  </si>
  <si>
    <t>Rabiu Abdullahi Yakasai</t>
  </si>
  <si>
    <t>rabiuabdullahiyakasai20@gmail.com</t>
  </si>
  <si>
    <t>Emmanuel Ayomide Olatunle</t>
  </si>
  <si>
    <t>olatunleemmanuel@gmail.com</t>
  </si>
  <si>
    <t>Arepo</t>
  </si>
  <si>
    <t>Abdulkadir Aisha Temitope</t>
  </si>
  <si>
    <t>aishaanike2021@gmail.com</t>
  </si>
  <si>
    <t>Aminu Muhammad</t>
  </si>
  <si>
    <t>aminumuhmmad2001@gmail.com</t>
  </si>
  <si>
    <t>Abdurrahman Ibrahim Muhammad</t>
  </si>
  <si>
    <t>ibarabdurrahman@gmail.com</t>
  </si>
  <si>
    <t>Sulaiman Sulaiman Abubakar</t>
  </si>
  <si>
    <t>sulaimanabubakar6054@gmail.com</t>
  </si>
  <si>
    <t>Rahinatu Ibrahim Suleiman</t>
  </si>
  <si>
    <t>Mikailu Anas</t>
  </si>
  <si>
    <t>anasmikailu@gmail.com</t>
  </si>
  <si>
    <t>Joseph Babatunde Samson</t>
  </si>
  <si>
    <t>samadaz2002@gmail.com</t>
  </si>
  <si>
    <t>Abdulraheem Abdulquadri Oluwaseyi</t>
  </si>
  <si>
    <t>qadirraheem1@gmail.com</t>
  </si>
  <si>
    <t>Haruna Abubakar Hajara</t>
  </si>
  <si>
    <t>hajaraharuna122@gmail.com</t>
  </si>
  <si>
    <t>uyusufndaba@gmail.com</t>
  </si>
  <si>
    <t>Kumbusto</t>
  </si>
  <si>
    <t>Ozagha Clement</t>
  </si>
  <si>
    <t>zyzone22@gmail.com</t>
  </si>
  <si>
    <t>Hamza Alhassan Dantata</t>
  </si>
  <si>
    <t>hamzaalhassandantata@gmail.com</t>
  </si>
  <si>
    <t>adamuf707@gmail.com</t>
  </si>
  <si>
    <t>Abdulrouf Nurudeen Olamilekan</t>
  </si>
  <si>
    <t>olanur24@gmail.com</t>
  </si>
  <si>
    <t>Okoroji, Chinwendu Mariana</t>
  </si>
  <si>
    <t>uluochamariana@gmail.com</t>
  </si>
  <si>
    <t>Kabiru Nafi'u</t>
  </si>
  <si>
    <t>nafiukabirukry@gmail.com</t>
  </si>
  <si>
    <t>HAMIDA BALA USMAN</t>
  </si>
  <si>
    <t>hamidaabbakar@gmail.com</t>
  </si>
  <si>
    <t>Gbadebo Ayobami Matthew</t>
  </si>
  <si>
    <t>persilverayobami24@gmail.com</t>
  </si>
  <si>
    <t>ABDULLAHI HAJARA</t>
  </si>
  <si>
    <t>hajaabdullahi0675@gmail.com</t>
  </si>
  <si>
    <t>Kalu</t>
  </si>
  <si>
    <t>mercyuzoma09@gmail.com</t>
  </si>
  <si>
    <t>Onyema Linus</t>
  </si>
  <si>
    <t>linusonyema05@gmail.com</t>
  </si>
  <si>
    <t>Usmsn Ibrahim Aliyu</t>
  </si>
  <si>
    <t>ibrahimusmanaliyu@gmail.com</t>
  </si>
  <si>
    <t>Bello Oluwatobi</t>
  </si>
  <si>
    <t>bellotobiloba97@gmail.com</t>
  </si>
  <si>
    <t>Odogbolu local government</t>
  </si>
  <si>
    <t>ABDULSAMAD BALA MUSA</t>
  </si>
  <si>
    <t>abdulsamadbalamusa92@gmail.com</t>
  </si>
  <si>
    <t>National Youth Services Corps</t>
  </si>
  <si>
    <t>Abdullahi Auwal</t>
  </si>
  <si>
    <t>iamlilmoh@gmail.com</t>
  </si>
  <si>
    <t>Akala Eniolaye</t>
  </si>
  <si>
    <t>eniolayeakala@gmail.com</t>
  </si>
  <si>
    <t>Ajayi Wisdom Oluwabukunmi</t>
  </si>
  <si>
    <t>Ajayiwisdom88@gmail.com</t>
  </si>
  <si>
    <t>Abdulaziz Abdulmalik</t>
  </si>
  <si>
    <t>azizamaleek@gmail.com</t>
  </si>
  <si>
    <t>Ogunleye theophilous oluwatimilehin</t>
  </si>
  <si>
    <t>ogunleyetheophilouss@gmail.com</t>
  </si>
  <si>
    <t>Yusud Taofeek</t>
  </si>
  <si>
    <t>Taofieekyusuf1@gmail.com</t>
  </si>
  <si>
    <t>Bosso local government area</t>
  </si>
  <si>
    <t>Agiho Goodlife Samuel</t>
  </si>
  <si>
    <t>goodlifesamuel@gmail.com</t>
  </si>
  <si>
    <t>IBRAHIM HARUNA</t>
  </si>
  <si>
    <t>ibrahimharuna699@gmail.co</t>
  </si>
  <si>
    <t>Ibrahim Garba</t>
  </si>
  <si>
    <t>garbaibrahim1409@gmail.com</t>
  </si>
  <si>
    <t>Terngu David Dondo</t>
  </si>
  <si>
    <t>daviddondoterngu@gmail.com</t>
  </si>
  <si>
    <t>Komboye Melford Ebizimor</t>
  </si>
  <si>
    <t>mkomboye@gmail.com</t>
  </si>
  <si>
    <t>Bappa Ibrahim</t>
  </si>
  <si>
    <t>ibrahimbappa101@gmail.com</t>
  </si>
  <si>
    <t>Haruna Yakubu</t>
  </si>
  <si>
    <t>Calaba</t>
  </si>
  <si>
    <t>Adeagbo Ayomide</t>
  </si>
  <si>
    <t>ayomide.adeagbo7@gmail.com</t>
  </si>
  <si>
    <t>Joshua Harrison</t>
  </si>
  <si>
    <t>harrisonjoshua558@gmail.com</t>
  </si>
  <si>
    <t>Mohammed Maryam Bokani</t>
  </si>
  <si>
    <t>Umar Aisha</t>
  </si>
  <si>
    <t>oaisha1090@gmail.com</t>
  </si>
  <si>
    <t>Bello Fatima Umar</t>
  </si>
  <si>
    <t>fatimabelloumar436@gmail.com</t>
  </si>
  <si>
    <t>Tundun wada Bridget</t>
  </si>
  <si>
    <t>Salahudeen Mudassir Muhammad</t>
  </si>
  <si>
    <t>salahudeenmudaseer22@gmail.com</t>
  </si>
  <si>
    <t>Anazodo Chidubem Gideon</t>
  </si>
  <si>
    <t>anazodochidubem663@gmail.com</t>
  </si>
  <si>
    <t>Nafisa Abdulmalik Auwal</t>
  </si>
  <si>
    <t>misdimple98@gmail.com</t>
  </si>
  <si>
    <t>Ekpor Ojobe Abit</t>
  </si>
  <si>
    <t>ekporojobe@gmail.com</t>
  </si>
  <si>
    <t>Lydia Odinaka Eze</t>
  </si>
  <si>
    <t>odinakalydia@gmail.com</t>
  </si>
  <si>
    <t>Ahidu Malam Gidado</t>
  </si>
  <si>
    <t>syakii6044@gmail.com</t>
  </si>
  <si>
    <t>Abdulhadi Safiyya Ibrahim</t>
  </si>
  <si>
    <t>safiyyya211@gmail.com</t>
  </si>
  <si>
    <t>OKPANACHI JUDE ILEBAYE</t>
  </si>
  <si>
    <t>okpanachijudeilebaye@gmail.com</t>
  </si>
  <si>
    <t>DEKINA LGA</t>
  </si>
  <si>
    <t>Ahmed Idris Imam</t>
  </si>
  <si>
    <t>ahmedeedat20@gmail.com</t>
  </si>
  <si>
    <t>Ogbonnaya Victor</t>
  </si>
  <si>
    <t>mastervick4glo@gmail.com</t>
  </si>
  <si>
    <t>Ogola Winniefred Ebimoboere</t>
  </si>
  <si>
    <t>ogolawinniefred01@gmail.com</t>
  </si>
  <si>
    <t>Ahmadu Nafisat Bello</t>
  </si>
  <si>
    <t>fynatahmad@gmail.com</t>
  </si>
  <si>
    <t>Salaudeen Jemilat</t>
  </si>
  <si>
    <t>jsalaudeen51@gmail.com</t>
  </si>
  <si>
    <t>Ejiowhor</t>
  </si>
  <si>
    <t>ijeomaejiowhor2@gmail.com</t>
  </si>
  <si>
    <t>Ilori Timilehin theophlius</t>
  </si>
  <si>
    <t>iloritimilehin96@gmail.com</t>
  </si>
  <si>
    <t>Ogbomoso north</t>
  </si>
  <si>
    <t>Mustapha Aliyu</t>
  </si>
  <si>
    <t>musssstp@gmail.com</t>
  </si>
  <si>
    <t>Mohammed Adama</t>
  </si>
  <si>
    <t>adamamdy8330@gmail.com</t>
  </si>
  <si>
    <t>Nassaraw</t>
  </si>
  <si>
    <t>Mathew Rawlings Sambo</t>
  </si>
  <si>
    <t>rawlingsmathew31@gmail.com</t>
  </si>
  <si>
    <t>Ekaette, Kufre Monday</t>
  </si>
  <si>
    <t>kufremikael74@gmail.com</t>
  </si>
  <si>
    <t>Chukwuani Williams</t>
  </si>
  <si>
    <t>chukwuaniw@gmail.com</t>
  </si>
  <si>
    <t>Nkanu East local govt</t>
  </si>
  <si>
    <t>Bamidele Olanrewaju Samuel</t>
  </si>
  <si>
    <t>bamideleosamuel23@gmail.com</t>
  </si>
  <si>
    <t>Suleiman Ismail</t>
  </si>
  <si>
    <t>suleimanismail262@gmail.com</t>
  </si>
  <si>
    <t>Abubakar umar kaita</t>
  </si>
  <si>
    <t>abubakarumarkaita@gmail.com</t>
  </si>
  <si>
    <t>Kaita</t>
  </si>
  <si>
    <t>Ogbuene Paul Chidera</t>
  </si>
  <si>
    <t>paulchidera2000@gmail.com</t>
  </si>
  <si>
    <t>Maduforo Blessing</t>
  </si>
  <si>
    <t>blessmaduforo@gmail.com</t>
  </si>
  <si>
    <t>obio/Akpor</t>
  </si>
  <si>
    <t>bevetoo3306@gmail.com</t>
  </si>
  <si>
    <t>Ahmad Ibrahim Nasir</t>
  </si>
  <si>
    <t>ibrahimnasir350@gmail.com</t>
  </si>
  <si>
    <t>dahirubukar97@gmail.com</t>
  </si>
  <si>
    <t>Stanyawa</t>
  </si>
  <si>
    <t>Effiong Edoama Nnah</t>
  </si>
  <si>
    <t>edoamaeffiong392@gmail.com</t>
  </si>
  <si>
    <t>Noh</t>
  </si>
  <si>
    <t>chiomanoh2@gmail.com</t>
  </si>
  <si>
    <t>Jamilu shehu</t>
  </si>
  <si>
    <t>jamilushehu123@gmail.com</t>
  </si>
  <si>
    <t>Haruna Musa Abdullahi</t>
  </si>
  <si>
    <t>maharuna17@gmail.com</t>
  </si>
  <si>
    <t>Seriki Mustapha Ejide</t>
  </si>
  <si>
    <t>serikiejidemustapha@gmail.com</t>
  </si>
  <si>
    <t>Birchi</t>
  </si>
  <si>
    <t>Haggai Grace</t>
  </si>
  <si>
    <t>gracehaggaipok@gmail.com</t>
  </si>
  <si>
    <t>Nasiru Iliyasu</t>
  </si>
  <si>
    <t>nasiruiliyasutsanyawa@gmail.com</t>
  </si>
  <si>
    <t>Iregbeyen Sylvester Omokhafe</t>
  </si>
  <si>
    <t>iregbeyensylvester@gmail.com</t>
  </si>
  <si>
    <t>Salawudeen Ismaeil Adeshina</t>
  </si>
  <si>
    <t>adeshinaismaeil@gmail.com</t>
  </si>
  <si>
    <t>Abdullahi Zulkiflu Idris</t>
  </si>
  <si>
    <t>zulkifluabdullahi94@gmail.com</t>
  </si>
  <si>
    <t>Kumbotso - Kano</t>
  </si>
  <si>
    <t>Popoola Oluwasegun babajide</t>
  </si>
  <si>
    <t>Popoolababajide@gmail.com</t>
  </si>
  <si>
    <t>IDRIS MOHAMMAD INUSA</t>
  </si>
  <si>
    <t>Salamatu Muhammad kabir</t>
  </si>
  <si>
    <t>queenofhrts64@gmail.com</t>
  </si>
  <si>
    <t>Ibrahim Aminu</t>
  </si>
  <si>
    <t>aminuibrahimks@gmail.com</t>
  </si>
  <si>
    <t>clarkson Zideino Wisdom</t>
  </si>
  <si>
    <t>Abdullahi Bilal</t>
  </si>
  <si>
    <t>elbilalabdu62@gmail.com</t>
  </si>
  <si>
    <t>Yusuf kachalla</t>
  </si>
  <si>
    <t>yusufkachalla69@gmail.com</t>
  </si>
  <si>
    <t>usmanmubarak21@gmail.com</t>
  </si>
  <si>
    <t>Albasu LG</t>
  </si>
  <si>
    <t>Okoh Chike Stephen</t>
  </si>
  <si>
    <t>stevyn56@gmail.com</t>
  </si>
  <si>
    <t>Sani Abdullahi Adam</t>
  </si>
  <si>
    <t>Saniartistdela@gmail.com</t>
  </si>
  <si>
    <t>Omolayo Isaac Oluwatobi</t>
  </si>
  <si>
    <t>gafem7799@gmail.com</t>
  </si>
  <si>
    <t>ABUBAKAR RILWAN CHIROMA</t>
  </si>
  <si>
    <t>chiromajr@gmail.com</t>
  </si>
  <si>
    <t>Eze Amarachi Mirabel</t>
  </si>
  <si>
    <t>pearljo890@gmail.com</t>
  </si>
  <si>
    <t>Bashir Abdikadir Awed</t>
  </si>
  <si>
    <t>bashiirabdikadircawad@gmail.com</t>
  </si>
  <si>
    <t>PUNTLAND</t>
  </si>
  <si>
    <t>Ezuka ugochi ijeoma</t>
  </si>
  <si>
    <t>Ugochi.ezuka@unn.edu.ng</t>
  </si>
  <si>
    <t>Moses Christopher Blessing</t>
  </si>
  <si>
    <t>cbmoses64@gmail.com</t>
  </si>
  <si>
    <t>OSENI EUNICE TITILAYO</t>
  </si>
  <si>
    <t>osenimodel@gmail.com</t>
  </si>
  <si>
    <t>YEWA NORTH LGA</t>
  </si>
  <si>
    <t>Muhammadu usman</t>
  </si>
  <si>
    <t>mu4371269@gmail.com</t>
  </si>
  <si>
    <t>Illela local government sokoto state sokoto state</t>
  </si>
  <si>
    <t>Abdulkarim</t>
  </si>
  <si>
    <t>aminuabdulkarim20@gmail.com</t>
  </si>
  <si>
    <t>Duyilemi Mary</t>
  </si>
  <si>
    <t>maryduyilemi21@gmail.com</t>
  </si>
  <si>
    <t>Sagam</t>
  </si>
  <si>
    <t>Auwal Abdulrazak Hamza</t>
  </si>
  <si>
    <t>Abdulrazakhamza15@gmail.com</t>
  </si>
  <si>
    <t>Calhenry Efe</t>
  </si>
  <si>
    <t>carleyefe@gmail.com</t>
  </si>
  <si>
    <t>Adamu Ismail Abdullahi</t>
  </si>
  <si>
    <t>ismaelaadamu@gmail.com</t>
  </si>
  <si>
    <t>HARUNA ADAMU</t>
  </si>
  <si>
    <t>Gurara Local Government</t>
  </si>
  <si>
    <t>Usanga Xavier Jerome</t>
  </si>
  <si>
    <t>usangaxavier@gmail.com</t>
  </si>
  <si>
    <t>Akinnusoye Dayo</t>
  </si>
  <si>
    <t>dayodayo9@gmail.com</t>
  </si>
  <si>
    <t>ALAKA OLAWALE IDREES</t>
  </si>
  <si>
    <t>alakaidris60@gmail.com</t>
  </si>
  <si>
    <t>Ogunwo segun</t>
  </si>
  <si>
    <t>Ogunwosegun2017@gmail.com</t>
  </si>
  <si>
    <t>MUHAMMAD DIKKO IBRAHIM</t>
  </si>
  <si>
    <t>dikkoibrahimmohammad@gmail.com</t>
  </si>
  <si>
    <t>Ashukwa Margaret Egwana</t>
  </si>
  <si>
    <t>margaretperggy@gmail.com</t>
  </si>
  <si>
    <t>Akanni iyinoluwa Israel</t>
  </si>
  <si>
    <t>iyinoluwaolusola@gmail.com</t>
  </si>
  <si>
    <t>Ani Abdulrazak</t>
  </si>
  <si>
    <t>abdulrazakani125@gmail.com</t>
  </si>
  <si>
    <t>Bedung beritmwa</t>
  </si>
  <si>
    <t>bedungberitmwa374@gmail.com</t>
  </si>
  <si>
    <t>Samaila Dauya Jibril</t>
  </si>
  <si>
    <t>dauyajibril@gmail.com</t>
  </si>
  <si>
    <t>Muhammad Sa'id</t>
  </si>
  <si>
    <t>muhdmsaeed1@gmail.com</t>
  </si>
  <si>
    <t>Saadatu bk lawal</t>
  </si>
  <si>
    <t>lawalsaadatu1111@gmail.com</t>
  </si>
  <si>
    <t>Hassan Rukayya</t>
  </si>
  <si>
    <t>maitarago57@gmail.com</t>
  </si>
  <si>
    <t>Stephen joshua</t>
  </si>
  <si>
    <t>stephenjosh1000@gmail.com</t>
  </si>
  <si>
    <t>Abdurrahman Sani</t>
  </si>
  <si>
    <t>abdurrahmansani07@gmail.com</t>
  </si>
  <si>
    <t>Umar Ismail Ibrahim</t>
  </si>
  <si>
    <t>ismaeelumar355@gmail.com</t>
  </si>
  <si>
    <t>Nassrawa local government</t>
  </si>
  <si>
    <t>Hussaini Mustaphac Shehu</t>
  </si>
  <si>
    <t>Mustaphach1084@gmail.com</t>
  </si>
  <si>
    <t>Abang Leo Etta</t>
  </si>
  <si>
    <t>leebang4real@gmail.com</t>
  </si>
  <si>
    <t>Faleti Adeyemi Oluwadamilola</t>
  </si>
  <si>
    <t>faletiadeyemi@gmail.com</t>
  </si>
  <si>
    <t>ABOH MORGAN INALEGWU</t>
  </si>
  <si>
    <t>morganaboh4@gmail.com</t>
  </si>
  <si>
    <t>Abdulkarim Habib</t>
  </si>
  <si>
    <t>habibubsc@gmail.com</t>
  </si>
  <si>
    <t>Olukaiyeja Jonathan Olaoluwanrewaju</t>
  </si>
  <si>
    <t>jonathan.amb009@gmail.com</t>
  </si>
  <si>
    <t>Obiakpo/Bonny</t>
  </si>
  <si>
    <t>Halliru Umar Musa</t>
  </si>
  <si>
    <t>pharouq900@gmail.com</t>
  </si>
  <si>
    <t>Ramatu sani</t>
  </si>
  <si>
    <t>ramcy412@gmail.com</t>
  </si>
  <si>
    <t>Uchenna Peace Uchechukwu</t>
  </si>
  <si>
    <t>uchennapeaceuchechukwu@gmail.com</t>
  </si>
  <si>
    <t>Zaharaddin salihu</t>
  </si>
  <si>
    <t>zaharaddin0025@gmail.com</t>
  </si>
  <si>
    <t>Physical disability (mobility, limb impairment), Cognitive/learning disability</t>
  </si>
  <si>
    <t>Maryam sani khalil</t>
  </si>
  <si>
    <t>maryamsanikhalil10@gmail.com</t>
  </si>
  <si>
    <t>Rabiu Shemau</t>
  </si>
  <si>
    <t>rabiushemau90@gmail.com</t>
  </si>
  <si>
    <t>Isah Actor Gift</t>
  </si>
  <si>
    <t>giftactor@gmail.com</t>
  </si>
  <si>
    <t>Nkabari Bright Barilunyegia</t>
  </si>
  <si>
    <t>brightnkabari@yahoo.com</t>
  </si>
  <si>
    <t>Halima Usman Abdullahi</t>
  </si>
  <si>
    <t>halimausmanbdullahi23@gmail.com</t>
  </si>
  <si>
    <t>Yusuf</t>
  </si>
  <si>
    <t>maheyusuf123@gmail.com</t>
  </si>
  <si>
    <t>Shekoni Jemima Oluwagbemisola</t>
  </si>
  <si>
    <t>mima4uempire@gmail.com</t>
  </si>
  <si>
    <t>Ehile Victor Urube</t>
  </si>
  <si>
    <t>ehilevictor@gmail.com</t>
  </si>
  <si>
    <t>Odo/Ota</t>
  </si>
  <si>
    <t>Ikorite Victor Ake</t>
  </si>
  <si>
    <t>ikoritevictorake@gmail.com</t>
  </si>
  <si>
    <t>Faisal Rabiu</t>
  </si>
  <si>
    <t>faisalrabiu090@gmail.com</t>
  </si>
  <si>
    <t>Rijiyar lemu</t>
  </si>
  <si>
    <t>Salisu Ahmad Muhammad</t>
  </si>
  <si>
    <t>ceo@agriseal.com.ng</t>
  </si>
  <si>
    <t>Willie roseline ngeri</t>
  </si>
  <si>
    <t>willieroseline49@gmail.com</t>
  </si>
  <si>
    <t>Nwakauche chidera praises</t>
  </si>
  <si>
    <t>praiseschi@gmail.com</t>
  </si>
  <si>
    <t>Oludayo Babafemi</t>
  </si>
  <si>
    <t>oludayobabafemi@gmail.com</t>
  </si>
  <si>
    <t>Yakubu Sunday Mbidur</t>
  </si>
  <si>
    <t>sundayyakubu2017@gmail.com</t>
  </si>
  <si>
    <t>Zainab ismail usman</t>
  </si>
  <si>
    <t>zainabisma2020@gmail.com</t>
  </si>
  <si>
    <t>Madu Levi chinonso</t>
  </si>
  <si>
    <t>levi.madu@yahoo.com</t>
  </si>
  <si>
    <t>Gambo Smart Sheget</t>
  </si>
  <si>
    <t>smartgambo@gmail.com</t>
  </si>
  <si>
    <t>Zayyana Kabir</t>
  </si>
  <si>
    <t>kabirzayyanazakka@gmail.com</t>
  </si>
  <si>
    <t>Haruna chiko Abdullahi</t>
  </si>
  <si>
    <t>aharunachiko@gmail.com</t>
  </si>
  <si>
    <t>sani abdulmalik auwal</t>
  </si>
  <si>
    <t>abdulmalikauwals@gmail.com</t>
  </si>
  <si>
    <t>Adetunji odunola olamide</t>
  </si>
  <si>
    <t>adetunjiodunola511@gmail.com</t>
  </si>
  <si>
    <t>Gambo Najib</t>
  </si>
  <si>
    <t>gambonajib77@gmail.com</t>
  </si>
  <si>
    <t>Urowu Oyindeinyefa</t>
  </si>
  <si>
    <t>urowuoyindeinyefa@gmail.com</t>
  </si>
  <si>
    <t>Mgboalu Ewonubari</t>
  </si>
  <si>
    <t>mgboaluewonubari@gmail.com</t>
  </si>
  <si>
    <t>Fatihu Abdulaziz Muhammad</t>
  </si>
  <si>
    <t>fatihuabdulaziz@gmail.com</t>
  </si>
  <si>
    <t>Kalio Jeremiah</t>
  </si>
  <si>
    <t>9jamesjohn@gmail.com</t>
  </si>
  <si>
    <t>Haruna Ahmad Musa</t>
  </si>
  <si>
    <t>ahmadirector11@gmail.com</t>
  </si>
  <si>
    <t>Aliyu Martins</t>
  </si>
  <si>
    <t>aliyumartins@gmail.com</t>
  </si>
  <si>
    <t>Akpan Emmanuel Sunday</t>
  </si>
  <si>
    <t>emmanuelsund38@gmail.com</t>
  </si>
  <si>
    <t>Akuku Turu</t>
  </si>
  <si>
    <t>AMOS Adeola Aderemilekun</t>
  </si>
  <si>
    <t>annekrystal3@gmail.com</t>
  </si>
  <si>
    <t>Saleh sulaiman</t>
  </si>
  <si>
    <t>sulaimansalehharuna@gmail.com</t>
  </si>
  <si>
    <t>Nkporbu, Npienee Paddy</t>
  </si>
  <si>
    <t>paddynpienee@gmail.com</t>
  </si>
  <si>
    <t>Abdullahi Auwal Zubairu</t>
  </si>
  <si>
    <t>auwalzubairu@hotmmail.com</t>
  </si>
  <si>
    <t>Taruni</t>
  </si>
  <si>
    <t>Babaiyali Abdulrahman Mohammed</t>
  </si>
  <si>
    <t>babaiyaliabdulrahman@gmail.com</t>
  </si>
  <si>
    <t>ABDULMUMIN ABUBAKAR USMAN</t>
  </si>
  <si>
    <t>abdulmuminabubakarusman7@gmail.com</t>
  </si>
  <si>
    <t>Nwilo Moses Baridapdoo</t>
  </si>
  <si>
    <t>nwilo2337@gmail.com</t>
  </si>
  <si>
    <t>Kareem Rukayat Arinola</t>
  </si>
  <si>
    <t>rookykareem@gmail.com</t>
  </si>
  <si>
    <t>Ilorin East</t>
  </si>
  <si>
    <t>Olumoye Aduragbemi Oluwafisayo</t>
  </si>
  <si>
    <t>olumoye_aduragbemi@yahoo.com</t>
  </si>
  <si>
    <t>Ishaka Mercy Ejiro</t>
  </si>
  <si>
    <t>ishakamercy11@gmail.com</t>
  </si>
  <si>
    <t>Ado odo)Ota</t>
  </si>
  <si>
    <t>Ibiwoye Abisola Ayodele</t>
  </si>
  <si>
    <t>abisolagrace101@gmail.com</t>
  </si>
  <si>
    <t>Abeokuta North Local Government</t>
  </si>
  <si>
    <t>ISAAC UFIKAIRO SUNDAY</t>
  </si>
  <si>
    <t>emmabranky4real@gmail.com</t>
  </si>
  <si>
    <t>Olanrewaju Afeez</t>
  </si>
  <si>
    <t>olanrewajuafeezabiodun@gmail.com</t>
  </si>
  <si>
    <t>Solomon Samuel itohan</t>
  </si>
  <si>
    <t>solomonsamuelsolex1212@gmail.com</t>
  </si>
  <si>
    <t>JUSTUS ALFRED LEBURA SOR-ANIABARI</t>
  </si>
  <si>
    <t>JOROYJALSGLIK1@GMAIL.COM</t>
  </si>
  <si>
    <t>Nweke Onyemaechi Daniel</t>
  </si>
  <si>
    <t>nwekedanoski@gmail.com</t>
  </si>
  <si>
    <t>Uzonta kobimdi Gloria</t>
  </si>
  <si>
    <t>0806340n3311@gmail.com</t>
  </si>
  <si>
    <t>Abdullahi zainab</t>
  </si>
  <si>
    <t>zainaban1996@gmail.com</t>
  </si>
  <si>
    <t>Fatima Mahmoud</t>
  </si>
  <si>
    <t>fatimamahmoudibrahim7@gmail.com</t>
  </si>
  <si>
    <t>MUHAMMED</t>
  </si>
  <si>
    <t>ummum94@gmail.com</t>
  </si>
  <si>
    <t>Abdulmumeen bio Mohammed</t>
  </si>
  <si>
    <t>abdulmumeenbiomohammed@gmail.com</t>
  </si>
  <si>
    <t>abdallahsadiq4@gmail.com</t>
  </si>
  <si>
    <t>Oludemi Johnson Ayodele</t>
  </si>
  <si>
    <t>jayfinger8@gmail.com</t>
  </si>
  <si>
    <t>abubakarbello2@gmail.com</t>
  </si>
  <si>
    <t>Nwankwo Esther mmesoma</t>
  </si>
  <si>
    <t>mmesomaesther71@gmail.com</t>
  </si>
  <si>
    <t>Uzo-uwani</t>
  </si>
  <si>
    <t>Kabiru Alhaji Salihu</t>
  </si>
  <si>
    <t>kdanbinta@gmail.com</t>
  </si>
  <si>
    <t>Kingsley Ndegwe Edna</t>
  </si>
  <si>
    <t>ednapaddy456@gmail.com</t>
  </si>
  <si>
    <t>Yahaya Ramatu</t>
  </si>
  <si>
    <t>ramatuyahaya63@gmail.com</t>
  </si>
  <si>
    <t>IMRAN ZAKARIYYA HASSAN</t>
  </si>
  <si>
    <t>ihassan896@gmail.com</t>
  </si>
  <si>
    <t>Jibrin Auwalu Muhammad</t>
  </si>
  <si>
    <t>legendauwal@gmail.com</t>
  </si>
  <si>
    <t>Olayemere Tomiwa Johnson</t>
  </si>
  <si>
    <t>olayemeretomiwa@gmail.com</t>
  </si>
  <si>
    <t>Muhammed hassan</t>
  </si>
  <si>
    <t>haxxangk39@gmail.com</t>
  </si>
  <si>
    <t>Adah Pius Ngaji</t>
  </si>
  <si>
    <t>piusadah89@gmail.com</t>
  </si>
  <si>
    <t>USMAN ABUBAKAR</t>
  </si>
  <si>
    <t>abubakarusmanmmr07@gmail.com</t>
  </si>
  <si>
    <t>Isa Amina Hassan</t>
  </si>
  <si>
    <t>aminahassanisah1@gmail.com</t>
  </si>
  <si>
    <t>Musa Aisha Usman</t>
  </si>
  <si>
    <t>aishamusausman161@gmail.com</t>
  </si>
  <si>
    <t>Abdullahi Fahad Ismail</t>
  </si>
  <si>
    <t>fahadabdullahiismail@gmail.com</t>
  </si>
  <si>
    <t>Ogike John</t>
  </si>
  <si>
    <t>johnogike@gmail.com</t>
  </si>
  <si>
    <t>Sani Bashar Alhaji</t>
  </si>
  <si>
    <t>bashirasani64@gmail.com</t>
  </si>
  <si>
    <t>Shonekan Toyeeb Ayobami</t>
  </si>
  <si>
    <t>shonekantoyeeb2016@gmail.com</t>
  </si>
  <si>
    <t>Pius David Okachi</t>
  </si>
  <si>
    <t>Pius92111@gmail.com</t>
  </si>
  <si>
    <t>Akinola Akinsayo</t>
  </si>
  <si>
    <t>Akinola.akinsayo.23@gmail.com</t>
  </si>
  <si>
    <t>Abdulrahman Adebayo Oyedele</t>
  </si>
  <si>
    <t>abdulrahmanoye17@gmail.com</t>
  </si>
  <si>
    <t>Okolo Ugochukwu Lawrence</t>
  </si>
  <si>
    <t>okolougochukwu2019@gmail.com</t>
  </si>
  <si>
    <t>Eneh Nmesoma Marvellous</t>
  </si>
  <si>
    <t>enehnmesomamarve@gmail.com</t>
  </si>
  <si>
    <t>Enugu-East</t>
  </si>
  <si>
    <t>Sobere Dennis Rachael</t>
  </si>
  <si>
    <t>rachealdennis1@gmail.com</t>
  </si>
  <si>
    <t>ummarahmad2019@gmail.com</t>
  </si>
  <si>
    <t>Akulue</t>
  </si>
  <si>
    <t>akulue2012@gmail.com</t>
  </si>
  <si>
    <t>Moses Nyam Mathias</t>
  </si>
  <si>
    <t>mathmo0400@gmail.com</t>
  </si>
  <si>
    <t>indigene of another state within Nigeria</t>
  </si>
  <si>
    <t>Adewale Emmanuel Blessing</t>
  </si>
  <si>
    <t>adewaleemmanuelb2020@gmail.com</t>
  </si>
  <si>
    <t>Ondo west</t>
  </si>
  <si>
    <t>Mubin Hashirudeen</t>
  </si>
  <si>
    <t>jaziroh118@gmail.com</t>
  </si>
  <si>
    <t>Adetunla Blessing Oluwatosin</t>
  </si>
  <si>
    <t>christlikeblessing@gmail.com</t>
  </si>
  <si>
    <t>Ado local government</t>
  </si>
  <si>
    <t>Odoga Aliyu Agyola</t>
  </si>
  <si>
    <t>Odogaaliyu@gmail.com</t>
  </si>
  <si>
    <t>Jafar Abdullahi</t>
  </si>
  <si>
    <t>abdullahijafar494@gmail.com</t>
  </si>
  <si>
    <t>Adamu Idris</t>
  </si>
  <si>
    <t>adamuidris846@gmail.com</t>
  </si>
  <si>
    <t>Kano Kano state</t>
  </si>
  <si>
    <t>GIBSON DORCAS</t>
  </si>
  <si>
    <t>dorcasgibson1@gmail.com</t>
  </si>
  <si>
    <t>Omoni Ruth</t>
  </si>
  <si>
    <t>rutiblings@gmail.com</t>
  </si>
  <si>
    <t>Akulga</t>
  </si>
  <si>
    <t>Ridwan Muhammad Shitu</t>
  </si>
  <si>
    <t>ridwanmuhammadshitu@gmail.com</t>
  </si>
  <si>
    <t>Timothy Courage Williamson</t>
  </si>
  <si>
    <t>timothycourage01@gmail.com</t>
  </si>
  <si>
    <t>Asari Toru Local Government Area</t>
  </si>
  <si>
    <t>Toluwanimi Olaniyan</t>
  </si>
  <si>
    <t>Toluwanimiolaniyan@gmail.com</t>
  </si>
  <si>
    <t>Oyeniyi Joshua Oluwaseun</t>
  </si>
  <si>
    <t>oyeniyijoshua232@gmail.com</t>
  </si>
  <si>
    <t>Saidu Daniel Abdullahi</t>
  </si>
  <si>
    <t>danielsmalgwi@gmail.com</t>
  </si>
  <si>
    <t>Danlami Muhammad Abubakar</t>
  </si>
  <si>
    <t>danlami353@gmail.com</t>
  </si>
  <si>
    <t>Nnamani Blessing Chinyere</t>
  </si>
  <si>
    <t>nnablessing100@gmail.com</t>
  </si>
  <si>
    <t>Isi-Uzo LGA</t>
  </si>
  <si>
    <t>Suanu barinuazor Becky</t>
  </si>
  <si>
    <t>beckybarinuazor@gmail.con</t>
  </si>
  <si>
    <t>Attahiru Hanifa Abdullahi</t>
  </si>
  <si>
    <t>hanifa.a.abdullahi@gmail.com</t>
  </si>
  <si>
    <t>Egidi Anthony oche</t>
  </si>
  <si>
    <t>egidianthony@gmail.com</t>
  </si>
  <si>
    <t>Sani Maryam Daura</t>
  </si>
  <si>
    <t>msdaura1@gmail.com</t>
  </si>
  <si>
    <t>Adedokun Asanat Adewumi</t>
  </si>
  <si>
    <t>adedokunasanat05@gmail.com</t>
  </si>
  <si>
    <t>Ado odo ota Ogun state</t>
  </si>
  <si>
    <t>Hassan Abdullahi Olanrewaju</t>
  </si>
  <si>
    <t>lanre.abdullahi@gmail.com</t>
  </si>
  <si>
    <t>Aisha Abdulaziz Bala</t>
  </si>
  <si>
    <t>aishaabdulaziz012@gmail.com</t>
  </si>
  <si>
    <t>Sarki Muhammad Muntaka</t>
  </si>
  <si>
    <t>muntakasarkimuhammad@gmail.com</t>
  </si>
  <si>
    <t>Muhammad Abdullahi</t>
  </si>
  <si>
    <t>abdullahimuhammad4945@gmail.com</t>
  </si>
  <si>
    <t>MAISHANU ABBAS USMAN</t>
  </si>
  <si>
    <t>maishanu011@gmail.com</t>
  </si>
  <si>
    <t>Owolabi John Oluwafemi</t>
  </si>
  <si>
    <t>owolabijohnfemi@gmail.com</t>
  </si>
  <si>
    <t>UMAR IBRAHIM</t>
  </si>
  <si>
    <t>maiadashe77@gmail.com</t>
  </si>
  <si>
    <t>Gusau</t>
  </si>
  <si>
    <t>Oyenuga Akinola Olugbade</t>
  </si>
  <si>
    <t>oyenugaakinolaolugbade@yahoo.com</t>
  </si>
  <si>
    <t>Lawal Zayyad Muhammad</t>
  </si>
  <si>
    <t>zayyadlawal632@gmail.com</t>
  </si>
  <si>
    <t>Sabin gari</t>
  </si>
  <si>
    <t>ECHEFU PEACE CHINENYE</t>
  </si>
  <si>
    <t>peaceechefu25@gmail.com</t>
  </si>
  <si>
    <t>Abubakar lawal usman</t>
  </si>
  <si>
    <t>detective1720@gmail.com</t>
  </si>
  <si>
    <t>abdullahiibrahim9695@gmail.com</t>
  </si>
  <si>
    <t>Yusuph A Ayodele</t>
  </si>
  <si>
    <t>ayodele.yusuph91@gmail.com</t>
  </si>
  <si>
    <t>Obio/Akor</t>
  </si>
  <si>
    <t>Udori</t>
  </si>
  <si>
    <t>udwtechnical@gmail.com</t>
  </si>
  <si>
    <t>abubakarbbj9@gmail.com</t>
  </si>
  <si>
    <t>dala</t>
  </si>
  <si>
    <t>James, Grace Ewonu-bari</t>
  </si>
  <si>
    <t>ewonujames@gmail.com</t>
  </si>
  <si>
    <t>Atoyebi Blessing Oluwaseun</t>
  </si>
  <si>
    <t>atoyebiblessingoluwaseun@gmail.com</t>
  </si>
  <si>
    <t>Simon Innocent</t>
  </si>
  <si>
    <t>Innocentsimon1010@gmail.com</t>
  </si>
  <si>
    <t>Aliyu umar</t>
  </si>
  <si>
    <t>umarsafana1996@gmail.com</t>
  </si>
  <si>
    <t>ADEBISI Ayomikun</t>
  </si>
  <si>
    <t>ayomikunninuoluawa@gmail.com</t>
  </si>
  <si>
    <t>I am not staying in any of the state of residence</t>
  </si>
  <si>
    <t>Aliyu yahaya</t>
  </si>
  <si>
    <t>yahayaaliyu006@gmail.com</t>
  </si>
  <si>
    <t>Amina Lawan Abubakar</t>
  </si>
  <si>
    <t>Aminabubakarlawan@gmail.com</t>
  </si>
  <si>
    <t>muhammadabu5529@gmail.com</t>
  </si>
  <si>
    <t>Kano municpal</t>
  </si>
  <si>
    <t>Abia David Tambari</t>
  </si>
  <si>
    <t>abiadavidt@gmail.com</t>
  </si>
  <si>
    <t>Ezinna kingsley</t>
  </si>
  <si>
    <t>kezinnaa@gmail.com</t>
  </si>
  <si>
    <t>Musa Aisha Shehu</t>
  </si>
  <si>
    <t>mamanbilkisu1@gmail.com</t>
  </si>
  <si>
    <t>Onyemere Chimaobi</t>
  </si>
  <si>
    <t>chimaobionyemere@gmail.com</t>
  </si>
  <si>
    <t>Eriugo ikenna</t>
  </si>
  <si>
    <t>ikennapeter2333@gmail.com</t>
  </si>
  <si>
    <t>Ajani Ayomide Emmanuel</t>
  </si>
  <si>
    <t>ayomideemmanuelajani@gmail.com</t>
  </si>
  <si>
    <t>Tarauni local government area</t>
  </si>
  <si>
    <t>Asaaga Solomon Aondorumun</t>
  </si>
  <si>
    <t>asaagasolomon001@gmail.com</t>
  </si>
  <si>
    <t>Ado Odo/Ota</t>
  </si>
  <si>
    <t>Aroyewun Abeeb Adewale</t>
  </si>
  <si>
    <t>aroyewunabeebadewale@gmail.com</t>
  </si>
  <si>
    <t>Kaneme Oluchukwu Rita</t>
  </si>
  <si>
    <t>kanemeritaoluchi@gmail.com</t>
  </si>
  <si>
    <t>Musa Auwalu</t>
  </si>
  <si>
    <t>auwalumusa2580@yahoo.com</t>
  </si>
  <si>
    <t>Port Harcourt local government</t>
  </si>
  <si>
    <t>Onyejiako Henry Chisom</t>
  </si>
  <si>
    <t>henrydaniel025@gmail.com</t>
  </si>
  <si>
    <t>Abdulyusufnma@gmail.com</t>
  </si>
  <si>
    <t>Shehu Muhammmad</t>
  </si>
  <si>
    <t>muhammadshehu742@gmail.com</t>
  </si>
  <si>
    <t>Ammar Bashir Umar</t>
  </si>
  <si>
    <t>ammarbasheer705@gmail.com</t>
  </si>
  <si>
    <t>ADEDEJI OLUWATOSIN</t>
  </si>
  <si>
    <t>psalmypraizeoluwatomisin@gmail.com</t>
  </si>
  <si>
    <t>ABDULLAHI BILYAMINU</t>
  </si>
  <si>
    <t>yabunai001@gmail.com</t>
  </si>
  <si>
    <t>Babalola</t>
  </si>
  <si>
    <t>Musa Abdulmalik Rabiu</t>
  </si>
  <si>
    <t>Musa Abubakar Usman</t>
  </si>
  <si>
    <t>musaabubakarusman865@gmail.com</t>
  </si>
  <si>
    <t>Adeyinka Damilola Anike</t>
  </si>
  <si>
    <t>damiyinka99@gmail.com</t>
  </si>
  <si>
    <t>Owurre constance uchechuwu</t>
  </si>
  <si>
    <t>owurreconstance@gmail.com</t>
  </si>
  <si>
    <t>Eganga</t>
  </si>
  <si>
    <t>Ndeori Bakwa Gift</t>
  </si>
  <si>
    <t>ndeorigift17@gmail.com</t>
  </si>
  <si>
    <t>Abdulrahman Musa</t>
  </si>
  <si>
    <t>abdulmusa01998@gmail.com</t>
  </si>
  <si>
    <t>Takai LG</t>
  </si>
  <si>
    <t>Adamu Sulaiman Sulaiman</t>
  </si>
  <si>
    <t>sulaimana197@gmail.com</t>
  </si>
  <si>
    <t>ABDULLAHI USMAN</t>
  </si>
  <si>
    <t>avdousman@gmail.com</t>
  </si>
  <si>
    <t>JONATHAN AYUBA CASMIR</t>
  </si>
  <si>
    <t>casmirjonathan@gmail.com</t>
  </si>
  <si>
    <t>Samson ufuoma peace</t>
  </si>
  <si>
    <t>samsonufuoma47@gmail.com</t>
  </si>
  <si>
    <t>Usman Abdullahi</t>
  </si>
  <si>
    <t>Shuaibu Mustapha Muhammad</t>
  </si>
  <si>
    <t>Onyekachukwu Nkem Ernest</t>
  </si>
  <si>
    <t>indexagrotech@gmail.com</t>
  </si>
  <si>
    <t>Ika North East</t>
  </si>
  <si>
    <t>Ojo Lucky Ogheneovo</t>
  </si>
  <si>
    <t>grazesfodders@gmail.com</t>
  </si>
  <si>
    <t>Abubakar Sadiq Oyibo</t>
  </si>
  <si>
    <t>oyibosadiq@gmail.com</t>
  </si>
  <si>
    <t>Kenechi Bright</t>
  </si>
  <si>
    <t>brightkenechi7@gmail.com</t>
  </si>
  <si>
    <t>Ogundijo Timileyin</t>
  </si>
  <si>
    <t>ogundijo8@gmail.com</t>
  </si>
  <si>
    <t>Olubukola Odetunde-Israel</t>
  </si>
  <si>
    <t>Shafiu Alkassim Alkassim</t>
  </si>
  <si>
    <t>Alkassimshafiualkassim@gmail.com</t>
  </si>
  <si>
    <t>Oko Christian Chukwuemeka</t>
  </si>
  <si>
    <t>mekuzioko@gmail.com</t>
  </si>
  <si>
    <t>Enugu East LGA</t>
  </si>
  <si>
    <t>Chutte Victor Osilaechu</t>
  </si>
  <si>
    <t>victorchutte@gmail.com</t>
  </si>
  <si>
    <t>Ogungbenro Gideon Mayowa</t>
  </si>
  <si>
    <t>ogungbenrogideon@gmail.com</t>
  </si>
  <si>
    <t>Yonas</t>
  </si>
  <si>
    <t>yonasyeshitela2@gmmail.com</t>
  </si>
  <si>
    <t>Ejeh Eniwohezi Faith</t>
  </si>
  <si>
    <t>faitoj25@gmail.com</t>
  </si>
  <si>
    <t>Obia-akpor</t>
  </si>
  <si>
    <t>Abdulrahman</t>
  </si>
  <si>
    <t>atkam2013@gmail.com</t>
  </si>
  <si>
    <t>Mohammed Abdullahi Galadima</t>
  </si>
  <si>
    <t>mohammedabdullahiyobe@gmail.com</t>
  </si>
  <si>
    <t>Oladepo oluwafolawemi Davis</t>
  </si>
  <si>
    <t>davisoladepo@gmail.com</t>
  </si>
  <si>
    <t>Sadiq Hassan Itopa</t>
  </si>
  <si>
    <t>Hassanitopasadiq@gmail.com</t>
  </si>
  <si>
    <t>OGUNTIMEHIN BOLARINWA STEPHEN</t>
  </si>
  <si>
    <t>bostephen019@gmail.com</t>
  </si>
  <si>
    <t>Levi chiedozie</t>
  </si>
  <si>
    <t>levichiedozie51@gmail.com</t>
  </si>
  <si>
    <t>Obi wisdom prince</t>
  </si>
  <si>
    <t>Wisdomobionly@gmail.com</t>
  </si>
  <si>
    <t>Ogba/Egbema/Ndoni. L.GA.</t>
  </si>
  <si>
    <t>ALIYU ABDULAZIZ DAN YAYA</t>
  </si>
  <si>
    <t>abdulazizaliyudanyaya@gmail.com</t>
  </si>
  <si>
    <t>Kontgora</t>
  </si>
  <si>
    <t>RABIU ADAMU</t>
  </si>
  <si>
    <t>rabiuadamu766@gmail.com</t>
  </si>
  <si>
    <t>Akpan Monday Sampson</t>
  </si>
  <si>
    <t>Akpan8434@gmail.com</t>
  </si>
  <si>
    <t>Oviahon Eloghosa Lester</t>
  </si>
  <si>
    <t>mitlester22@gmail.com</t>
  </si>
  <si>
    <t>Obafemi/Owode</t>
  </si>
  <si>
    <t>Nwanda Michael Obari-ara</t>
  </si>
  <si>
    <t>nwandamic@gmail.com</t>
  </si>
  <si>
    <t>WELEKPE PEREOWEI ROYAL</t>
  </si>
  <si>
    <t>fwelekee@gmail.com</t>
  </si>
  <si>
    <t>Alick Masina</t>
  </si>
  <si>
    <t>alickmasina33@gmail.com</t>
  </si>
  <si>
    <t>Salima</t>
  </si>
  <si>
    <t>ABDULLAHI IBRAHIM WUSE</t>
  </si>
  <si>
    <t>IBRAHIMWUSE2021@GMAIL.COM</t>
  </si>
  <si>
    <t>Igbodor Lydia Nyamgbe</t>
  </si>
  <si>
    <t>igbodorlydia@gmail.com</t>
  </si>
  <si>
    <t>Gibson Leeleeh</t>
  </si>
  <si>
    <t>gleeleeh@gmail.com</t>
  </si>
  <si>
    <t>muawiya Idris adam</t>
  </si>
  <si>
    <t>muawiyaidrisadam@gmail.com</t>
  </si>
  <si>
    <t>bichi</t>
  </si>
  <si>
    <t>Ibrahim Ramatu Alfa</t>
  </si>
  <si>
    <t>ramatuibrahim38@gmail.com</t>
  </si>
  <si>
    <t>Danjuma Danasabe</t>
  </si>
  <si>
    <t>danasabedanjuma673@gmail.com</t>
  </si>
  <si>
    <t>Ismail Idris</t>
  </si>
  <si>
    <t>ismailidris2992@gmail.com</t>
  </si>
  <si>
    <t>eyoiimary@gmail.com</t>
  </si>
  <si>
    <t>Abubakar Nana Hafsat</t>
  </si>
  <si>
    <t>nanayargata11@gmail.com</t>
  </si>
  <si>
    <t>Mmea Baridakara</t>
  </si>
  <si>
    <t>mmeabaridakara07@gmail.com</t>
  </si>
  <si>
    <t>Yusuf Musa</t>
  </si>
  <si>
    <t>myusuf25603@gmail.com</t>
  </si>
  <si>
    <t>Abdulhamid</t>
  </si>
  <si>
    <t>salihubelieverabdulhamid@gmail.com</t>
  </si>
  <si>
    <t>Ademola Christiana Aderonke</t>
  </si>
  <si>
    <t>aderonkeademola2@gmail.com</t>
  </si>
  <si>
    <t>Samuel Joy</t>
  </si>
  <si>
    <t>joysamuelprudence@gmail.com</t>
  </si>
  <si>
    <t>yusufkhalifat23@gmail.com</t>
  </si>
  <si>
    <t>LETON NEEMENE</t>
  </si>
  <si>
    <t>gprosleton5@gmail.com</t>
  </si>
  <si>
    <t>Magnus ibinabo prince</t>
  </si>
  <si>
    <t>deveryibb@gmail.com</t>
  </si>
  <si>
    <t>Mari Modu muhammad</t>
  </si>
  <si>
    <t>muhammadmari92@gmail.com</t>
  </si>
  <si>
    <t>Kura LGA</t>
  </si>
  <si>
    <t>Deeyah Dornubari Mary</t>
  </si>
  <si>
    <t>marydornubari@gmail.com</t>
  </si>
  <si>
    <t>Obia akpo</t>
  </si>
  <si>
    <t>Umaru Adam</t>
  </si>
  <si>
    <t>adamumaru57@gmail.com</t>
  </si>
  <si>
    <t>FIDDAUSI SHUAIBU MAISHINKU</t>
  </si>
  <si>
    <t>fiddausishuaibu206@gmail.com</t>
  </si>
  <si>
    <t>Muhammad Bashir Salisu</t>
  </si>
  <si>
    <t>muhdbashirsalisu@gmail.com</t>
  </si>
  <si>
    <t>Almaroof Haleemah</t>
  </si>
  <si>
    <t>Almaroofajoke27@gmail.com</t>
  </si>
  <si>
    <t>Atakan</t>
  </si>
  <si>
    <t>Yusuf Yunusa</t>
  </si>
  <si>
    <t>yunusay276@gmail.com</t>
  </si>
  <si>
    <t>Idikugerere isetima</t>
  </si>
  <si>
    <t>graceisetima1993@gmail.com</t>
  </si>
  <si>
    <t>Ogu/bolo LGA</t>
  </si>
  <si>
    <t>Shamsudeen musa</t>
  </si>
  <si>
    <t>Ogbodu mevejesu kelly</t>
  </si>
  <si>
    <t>Kenlimacdo@gmail.com</t>
  </si>
  <si>
    <t>Patience Alli</t>
  </si>
  <si>
    <t>patway229@gmail.com</t>
  </si>
  <si>
    <t>Ogu-Bolo LGA</t>
  </si>
  <si>
    <t>AFEKAFE ENEBIMOR BECKY</t>
  </si>
  <si>
    <t>beckyafekafe299@gmail.com</t>
  </si>
  <si>
    <t>Ogu-bolo</t>
  </si>
  <si>
    <t>Elizabeth Adiya Allen</t>
  </si>
  <si>
    <t>Allenlizzy1@gmail.com</t>
  </si>
  <si>
    <t>Bapakaye tamunomiebaka</t>
  </si>
  <si>
    <t>miebakabapakayeorupabo@gmail.com</t>
  </si>
  <si>
    <t>Ayegba Godspower</t>
  </si>
  <si>
    <t>godapowerayegba@gmail.com</t>
  </si>
  <si>
    <t>Faggi</t>
  </si>
  <si>
    <t>UMAR NASIR KASSIM</t>
  </si>
  <si>
    <t>nasirumarkassim@gmail.com</t>
  </si>
  <si>
    <t>ONU CHEKWAS JERRY</t>
  </si>
  <si>
    <t>jerrychekzy@gmail.com</t>
  </si>
  <si>
    <t>Ph</t>
  </si>
  <si>
    <t>Rachel Luka</t>
  </si>
  <si>
    <t>lukarachel2021@gmail.com</t>
  </si>
  <si>
    <t>Ya'u Yusuf Galadima</t>
  </si>
  <si>
    <t>yusufygaladima2@gmail.com</t>
  </si>
  <si>
    <t>Osasona Peter</t>
  </si>
  <si>
    <t>certifiedpeter01@gmail.com</t>
  </si>
  <si>
    <t>Yusuf Adebukola Barakah</t>
  </si>
  <si>
    <t>barakahyusuf02@gmail.com</t>
  </si>
  <si>
    <t>Abdulkarim Abdussamad</t>
  </si>
  <si>
    <t>abdusamadabdulkarim9@gmail.com</t>
  </si>
  <si>
    <t>Masud Abubakar Haroon</t>
  </si>
  <si>
    <t>abubakarmasud20@gmail.com</t>
  </si>
  <si>
    <t>Babatunde Oluwatobi Blessing</t>
  </si>
  <si>
    <t>lizzytommy1@gmail.com</t>
  </si>
  <si>
    <t>Nathan Alexander Tarimoemi</t>
  </si>
  <si>
    <t>alexisnathan129@gmail.com</t>
  </si>
  <si>
    <t>UCHE JEREMIAH EBERE</t>
  </si>
  <si>
    <t>ebereranger@gmail.com</t>
  </si>
  <si>
    <t>Ebimor Murphy Tamarauemi</t>
  </si>
  <si>
    <t>tmebimor@gmail.com</t>
  </si>
  <si>
    <t>Saidu idris</t>
  </si>
  <si>
    <t>idrissaidu52@gmail.com</t>
  </si>
  <si>
    <t>Oladipo</t>
  </si>
  <si>
    <t>Oluwabukolaoladipo7@gmail.com</t>
  </si>
  <si>
    <t>Excel Simon Onifade</t>
  </si>
  <si>
    <t>excelsimononifade@gmail.com</t>
  </si>
  <si>
    <t>Oyelakin Moses Taiwo</t>
  </si>
  <si>
    <t>mosesdamilola125@gmail.com</t>
  </si>
  <si>
    <t>Ofido Goodness</t>
  </si>
  <si>
    <t>goodnessofido98@gmail.com</t>
  </si>
  <si>
    <t>PAUL EMMANUEL ROBERT</t>
  </si>
  <si>
    <t>paulemmatex@gmail.com</t>
  </si>
  <si>
    <t>Nembe city</t>
  </si>
  <si>
    <t>Legbeleye David Oluwaseun</t>
  </si>
  <si>
    <t>davidoluwaseun1995@gmail.com</t>
  </si>
  <si>
    <t>KOLOKUMA/OPOKUMA LGA</t>
  </si>
  <si>
    <t>Ochieche George Ogar</t>
  </si>
  <si>
    <t>ochiecheg@gmail.com</t>
  </si>
  <si>
    <t>Ore Michael-Mary Boluwatife</t>
  </si>
  <si>
    <t>oremichael96@gmail.com</t>
  </si>
  <si>
    <t>Abubakar Umar Garkuwa</t>
  </si>
  <si>
    <t>ugarkuwa@gmail.com</t>
  </si>
  <si>
    <t>Nuhu hamisu abdullahi</t>
  </si>
  <si>
    <t>hameesounouhou@gmail.com</t>
  </si>
  <si>
    <t>Muhammad Olohuntobi Adekoya</t>
  </si>
  <si>
    <t>adekoyamuhammad18@gmail.com</t>
  </si>
  <si>
    <t>Travel for studies</t>
  </si>
  <si>
    <t>Okpako</t>
  </si>
  <si>
    <t>Bako Comr Waleeth Adam</t>
  </si>
  <si>
    <t>policeswart@gmail.com</t>
  </si>
  <si>
    <t>Oluwatobi serah Jinadu</t>
  </si>
  <si>
    <t>oluwatobiserahdada@gmail.com</t>
  </si>
  <si>
    <t>Badmus Ganiyat Olaore</t>
  </si>
  <si>
    <t>ganiyatbadmus19@gmail.com</t>
  </si>
  <si>
    <t>Ajani Atinuke Adesokan</t>
  </si>
  <si>
    <t>Ajaniatinuke74@gmail.com</t>
  </si>
  <si>
    <t>Fatima Abba Ahmad</t>
  </si>
  <si>
    <t>zaahraabba123@gmail.com</t>
  </si>
  <si>
    <t>Muhammad Sadisu Haruna</t>
  </si>
  <si>
    <t>msadis33@gmail.com</t>
  </si>
  <si>
    <t>Bature Diana Rimala</t>
  </si>
  <si>
    <t>dianabature900@gmail.com</t>
  </si>
  <si>
    <t>Jagbojagbo Yusuf</t>
  </si>
  <si>
    <t>Jagbojagboyusuf@gmail.com</t>
  </si>
  <si>
    <t>Ankuma Henrietta Gimbiya</t>
  </si>
  <si>
    <t>ankumahenriettagimbiya@gmail.com</t>
  </si>
  <si>
    <t>Edwin Happiness Aghogho</t>
  </si>
  <si>
    <t>edwinhappiness25@gmail.com</t>
  </si>
  <si>
    <t>Damini Ekepre Charles-owaba</t>
  </si>
  <si>
    <t>daminiconsult@gmail.com</t>
  </si>
  <si>
    <t>HAYYATU ALIYU ABBAS</t>
  </si>
  <si>
    <t>Aliyuabbashayyatu200@gmail.com</t>
  </si>
  <si>
    <t>MAGAMA</t>
  </si>
  <si>
    <t>John wisdom</t>
  </si>
  <si>
    <t>johnwisdom5857@gmail.com</t>
  </si>
  <si>
    <t>Ideator North</t>
  </si>
  <si>
    <t>HARUNA ABBA ALHASSAN</t>
  </si>
  <si>
    <t>abbaharunaalhassan@gmail.com</t>
  </si>
  <si>
    <t>Asei Ebisidou Helen</t>
  </si>
  <si>
    <t>helenasei091@gmail.com</t>
  </si>
  <si>
    <t>Dan malam Tanimu</t>
  </si>
  <si>
    <t>tanimuumar168@gmail.com</t>
  </si>
  <si>
    <t>SAIDU ABDULLAHI MUHAMAD</t>
  </si>
  <si>
    <t>jibgaabdullahi@gmail.com</t>
  </si>
  <si>
    <t>BEBEJI LOCAL GOVERNMENT</t>
  </si>
  <si>
    <t>NYONG EMMANUEL SIMON</t>
  </si>
  <si>
    <t>emmyjsimon@gmail.com</t>
  </si>
  <si>
    <t>Joseph Ramsey mbenekebokpo-izibe</t>
  </si>
  <si>
    <t>ramseyjoseph2005@gmail.com</t>
  </si>
  <si>
    <t>Yusuf Abdulmutalib</t>
  </si>
  <si>
    <t>abdulmutalibibnyusuf@gmail.com</t>
  </si>
  <si>
    <t>Abdullateef Bala Usman</t>
  </si>
  <si>
    <t>abdullateefbalausmanusman@gmail.com</t>
  </si>
  <si>
    <t>Seaman ebikonbo owei James</t>
  </si>
  <si>
    <t>seamanjr2001@gmail.com</t>
  </si>
  <si>
    <t>Sagbama lga</t>
  </si>
  <si>
    <t>DANIEL PAUL EDET</t>
  </si>
  <si>
    <t>Pauldaniel942@yahoo.com</t>
  </si>
  <si>
    <t>OBIO AKPOR</t>
  </si>
  <si>
    <t>Abdulkhadir Zanniha Marvellous</t>
  </si>
  <si>
    <t>Ahmad Amina Bala</t>
  </si>
  <si>
    <t>ahmadamina294@gmail.com</t>
  </si>
  <si>
    <t>Rabiu Alkasim</t>
  </si>
  <si>
    <t>alkasimrabiurng2@gmail.com</t>
  </si>
  <si>
    <t>Sampson Awaji Isaac</t>
  </si>
  <si>
    <t>awajiisaac@gmail.com</t>
  </si>
  <si>
    <t>Lucky princess Leelee</t>
  </si>
  <si>
    <t>princesslee729@gmail.com</t>
  </si>
  <si>
    <t>Saddeq Sulaiman Abubakar</t>
  </si>
  <si>
    <t>sulaimansaddeeq@gmail.com</t>
  </si>
  <si>
    <t>Deesor Ikpobari Evans</t>
  </si>
  <si>
    <t>deesorikpobari@gmail.com</t>
  </si>
  <si>
    <t>Port Harcourt LGA</t>
  </si>
  <si>
    <t>Mufutau Omowunmi</t>
  </si>
  <si>
    <t>omowunmiamoo26@gmail.com</t>
  </si>
  <si>
    <t>Ahmad Ibrahim khalil</t>
  </si>
  <si>
    <t>Khalilzadawerh@gmail.com</t>
  </si>
  <si>
    <t>Abdullahi Ramlatu Datti</t>
  </si>
  <si>
    <t>ramladattiabdullahi@gmail.com</t>
  </si>
  <si>
    <t>Umeh Maryjane Chinelo</t>
  </si>
  <si>
    <t>umehmaryjane01@gmail.com</t>
  </si>
  <si>
    <t>Ahmad Ali Isyaku</t>
  </si>
  <si>
    <t>drahmadmakama@gmail.com</t>
  </si>
  <si>
    <t>SUOYO REJOICE</t>
  </si>
  <si>
    <t>suoyorejoice8@gmail.com</t>
  </si>
  <si>
    <t>Southern ijaw local government srea</t>
  </si>
  <si>
    <t>UDENSI PEACE UJU</t>
  </si>
  <si>
    <t>ujupeaceudensi@gmail.com</t>
  </si>
  <si>
    <t>ODOGBOLU</t>
  </si>
  <si>
    <t>Akinjole Bolaji</t>
  </si>
  <si>
    <t>akinjoleb@gmail.com</t>
  </si>
  <si>
    <t>ABUBAKAR HASSANA SANI</t>
  </si>
  <si>
    <t>hassanasani010@gmail.com</t>
  </si>
  <si>
    <t>Hafsat Ibrahim Aliyu</t>
  </si>
  <si>
    <t>hapcy02@gmail.com</t>
  </si>
  <si>
    <t>bensureaka185@gmail.com</t>
  </si>
  <si>
    <t>faitheniwohezi@gmail.com</t>
  </si>
  <si>
    <t>Izziddin Abdulkadir Muhammad</t>
  </si>
  <si>
    <t>jilaninumma@gmail.com</t>
  </si>
  <si>
    <t>Abubakar baba umar</t>
  </si>
  <si>
    <t>umarnee006@gmail.com</t>
  </si>
  <si>
    <t>Atila Evelyn Sinime</t>
  </si>
  <si>
    <t>onofyeme@gmail.com</t>
  </si>
  <si>
    <t>Abdullahi Aisha Abas</t>
  </si>
  <si>
    <t>aishaabdullahiabbas@gmail.com</t>
  </si>
  <si>
    <t>Adetoro Olawale Isiaka</t>
  </si>
  <si>
    <t>olawaleadetoro83@gmail.com</t>
  </si>
  <si>
    <t>Okejiaku Tobechukwu</t>
  </si>
  <si>
    <t>okejiakutobechukwu@gmail.com</t>
  </si>
  <si>
    <t>Abdulrasheed Aisha</t>
  </si>
  <si>
    <t>aisha.arasheedcareer@gmail.com</t>
  </si>
  <si>
    <t>Muhammad Bashir Garba</t>
  </si>
  <si>
    <t>bashuran057@gmail.com</t>
  </si>
  <si>
    <t>Chime Gloria Onyinye</t>
  </si>
  <si>
    <t>gloriaonyinyechime@gmail.com</t>
  </si>
  <si>
    <t>UMAR FARUQ TIJJANI</t>
  </si>
  <si>
    <t>Youngoke Samuel</t>
  </si>
  <si>
    <t>samuelyoungoke@gmail.com</t>
  </si>
  <si>
    <t>Ajina Fidelis Ikade</t>
  </si>
  <si>
    <t>fidelitylove100@gmail.com</t>
  </si>
  <si>
    <t>Calaber south</t>
  </si>
  <si>
    <t>Haruna Adam Abdullahi</t>
  </si>
  <si>
    <t>aaharuna03@gmail.com</t>
  </si>
  <si>
    <t>Attahiru</t>
  </si>
  <si>
    <t>attahirumubarack9@gmail.com</t>
  </si>
  <si>
    <t>Mashegu local government</t>
  </si>
  <si>
    <t>ATEGWU NYONE MICHAEL</t>
  </si>
  <si>
    <t>nyonearikpo@gmail.com</t>
  </si>
  <si>
    <t>Toluwanimi Dominion</t>
  </si>
  <si>
    <t>toluwanimidominion@gmail.com</t>
  </si>
  <si>
    <t>Epe</t>
  </si>
  <si>
    <t>Reuben Joshua Onyemaechi</t>
  </si>
  <si>
    <t>reubenjoshua00@gmail.com</t>
  </si>
  <si>
    <t>BENJAMIN ALFRED</t>
  </si>
  <si>
    <t>benjaminalfred4u@gmail.com</t>
  </si>
  <si>
    <t>Zolo Charles</t>
  </si>
  <si>
    <t>zolocharles6@gmail.com</t>
  </si>
  <si>
    <t>IZA isNG ATANG ILIYA</t>
  </si>
  <si>
    <t>izangatangiliya2024@gmail.com</t>
  </si>
  <si>
    <t>George Bestman</t>
  </si>
  <si>
    <t>bestmangourge@gmail.com</t>
  </si>
  <si>
    <t>Olayemi Ayobami Ezekiel</t>
  </si>
  <si>
    <t>olayemiayobami10@gmail.com</t>
  </si>
  <si>
    <t>Ubong Solomon Etuk</t>
  </si>
  <si>
    <t>ubongetuk584@gmail.com</t>
  </si>
  <si>
    <t>Porthacourt</t>
  </si>
  <si>
    <t>Ogunyinka, Opeyemi James</t>
  </si>
  <si>
    <t>ogunyinkajames001@gmail.com</t>
  </si>
  <si>
    <t>Yew North</t>
  </si>
  <si>
    <t>SULE DOGARA</t>
  </si>
  <si>
    <t>dogarasule2023@gmail.com</t>
  </si>
  <si>
    <t>Onah chisom Judith</t>
  </si>
  <si>
    <t>onahchisom189@gmail.com</t>
  </si>
  <si>
    <t>Okaniba Trust Lawrence</t>
  </si>
  <si>
    <t>okanibatrust489@gmail.com</t>
  </si>
  <si>
    <t>Aanuoluwapo Badejo</t>
  </si>
  <si>
    <t>funshoaanuoluwapo@gmail.com</t>
  </si>
  <si>
    <t>Fabunmi Mercy Omolara</t>
  </si>
  <si>
    <t>omolaramercy24@gmail.com</t>
  </si>
  <si>
    <t>Akogwu Moses</t>
  </si>
  <si>
    <t>mosesakogwu7@gmail.com</t>
  </si>
  <si>
    <t>Shuaibu hamza shuaibu</t>
  </si>
  <si>
    <t>hamzashuaibuhamza@gmail.com</t>
  </si>
  <si>
    <t>Ategwu Michael Agba</t>
  </si>
  <si>
    <t>michaelagba84@gmail.com</t>
  </si>
  <si>
    <t>Yatté Colombe Arielle</t>
  </si>
  <si>
    <t>yatteeariellecolombe@gmail.com</t>
  </si>
  <si>
    <t>I'm currently living in Niger not Nigeria</t>
  </si>
  <si>
    <t>Tijani Abdulwaris Olamilekan</t>
  </si>
  <si>
    <t>tijaniabdulwaris@gmail.com</t>
  </si>
  <si>
    <t>Opuofoni favour</t>
  </si>
  <si>
    <t>favourdubaofoni@gmail.com</t>
  </si>
  <si>
    <t>Kolokuma/opokuma</t>
  </si>
  <si>
    <t>Danjuma Buhari</t>
  </si>
  <si>
    <t>danjumabuhari10@gmail.com</t>
  </si>
  <si>
    <t>Igabi</t>
  </si>
  <si>
    <t>Moronfolu Olumide</t>
  </si>
  <si>
    <t>moronfoluolakunle25@gmail.com</t>
  </si>
  <si>
    <t>Lot Jonathan</t>
  </si>
  <si>
    <t>ecosolutionsresourcedepot@gmail.com</t>
  </si>
  <si>
    <t>Eze modestus chiemerie</t>
  </si>
  <si>
    <t>ezemodestus2@gmail.com</t>
  </si>
  <si>
    <t>Ikwere local government area</t>
  </si>
  <si>
    <t>Oke maryam motunrayo</t>
  </si>
  <si>
    <t>okemaryam25@gmail.com</t>
  </si>
  <si>
    <t>Hassan</t>
  </si>
  <si>
    <t>zainabisahassan123@gmail.com</t>
  </si>
  <si>
    <t>womubo@gmail.co+[+[@[Email Address]]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</si>
</sst>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000000"/>
    <numFmt numFmtId="165" formatCode="m/d/yyyy\ h:mm:ss"/>
  </numFmts>
  <fonts count="8">
    <font>
      <sz val="10"/>
      <color rgb="FF000000"/>
      <name val="Arial"/>
      <scheme val="minor"/>
    </font>
    <font>
      <sz val="10"/>
      <color theme="0"/>
      <name val="Arial"/>
    </font>
    <font>
      <b/>
      <sz val="10"/>
      <color theme="0"/>
      <name val="Arial"/>
    </font>
    <font>
      <sz val="10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434343"/>
      <name val="Roboto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/>
    <xf numFmtId="165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8" borderId="2" xfId="0" applyFont="1" applyFill="1" applyBorder="1"/>
    <xf numFmtId="0" fontId="4" fillId="8" borderId="3" xfId="0" applyFont="1" applyFill="1" applyBorder="1"/>
    <xf numFmtId="0" fontId="4" fillId="0" borderId="1" xfId="0" applyFont="1" applyBorder="1" applyAlignment="1">
      <alignment vertical="center"/>
    </xf>
    <xf numFmtId="0" fontId="4" fillId="9" borderId="2" xfId="0" applyFont="1" applyFill="1" applyBorder="1"/>
    <xf numFmtId="0" fontId="4" fillId="9" borderId="3" xfId="0" applyFont="1" applyFill="1" applyBorder="1"/>
    <xf numFmtId="0" fontId="4" fillId="10" borderId="2" xfId="0" applyFont="1" applyFill="1" applyBorder="1"/>
    <xf numFmtId="0" fontId="4" fillId="10" borderId="3" xfId="0" applyFont="1" applyFill="1" applyBorder="1"/>
    <xf numFmtId="0" fontId="4" fillId="11" borderId="2" xfId="0" applyFont="1" applyFill="1" applyBorder="1"/>
    <xf numFmtId="0" fontId="4" fillId="11" borderId="3" xfId="0" applyFont="1" applyFill="1" applyBorder="1"/>
    <xf numFmtId="0" fontId="4" fillId="0" borderId="1" xfId="0" quotePrefix="1" applyFont="1" applyBorder="1" applyAlignment="1">
      <alignment vertical="center"/>
    </xf>
    <xf numFmtId="49" fontId="4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6665">
  <autoFilter ref="A1:N6665" xr:uid="{00000000-0009-0000-0100-000001000000}">
    <filterColumn colId="11">
      <filters>
        <filter val="Able-bodied"/>
      </filters>
    </filterColumn>
  </autoFilter>
  <tableColumns count="14">
    <tableColumn id="1" xr3:uid="{00000000-0010-0000-0000-000001000000}" name="Timestamp"/>
    <tableColumn id="2" xr3:uid="{00000000-0010-0000-0000-000002000000}" name="Implementing Institution"/>
    <tableColumn id="3" xr3:uid="{00000000-0010-0000-0000-000003000000}" name="Theme of Activity"/>
    <tableColumn id="4" xr3:uid="{00000000-0010-0000-0000-000004000000}" name="Full Name (Surname First)"/>
    <tableColumn id="5" xr3:uid="{00000000-0010-0000-0000-000005000000}" name="Gender"/>
    <tableColumn id="6" xr3:uid="{00000000-0010-0000-0000-000006000000}" name="Age"/>
    <tableColumn id="7" xr3:uid="{00000000-0010-0000-0000-000007000000}" name="Phone Number (Primary Contact)"/>
    <tableColumn id="9" xr3:uid="{00000000-0010-0000-0000-000009000000}" name="Email Address"/>
    <tableColumn id="10" xr3:uid="{00000000-0010-0000-0000-00000A000000}" name="State of Residence"/>
    <tableColumn id="11" xr3:uid="{00000000-0010-0000-0000-00000B000000}" name="Local Government Area (LGA)"/>
    <tableColumn id="12" xr3:uid="{00000000-0010-0000-0000-00000C000000}" name="Date of Application"/>
    <tableColumn id="13" xr3:uid="{00000000-0010-0000-0000-00000D000000}" name="Able-bodied"/>
    <tableColumn id="14" xr3:uid="{00000000-0010-0000-0000-00000E000000}" name="If yes, what type of disability applies to you?"/>
    <tableColumn id="15" xr3:uid="{00000000-0010-0000-0000-00000F000000}" name="Which of these categories best describes your current statu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6667"/>
  <sheetViews>
    <sheetView tabSelected="1" topLeftCell="B1" workbookViewId="0">
      <pane ySplit="1" topLeftCell="A6130" activePane="bottomLeft" state="frozen"/>
      <selection pane="bottomLeft" activeCell="H1" sqref="H1:H1048576"/>
    </sheetView>
  </sheetViews>
  <sheetFormatPr defaultColWidth="12.5703125" defaultRowHeight="15" customHeight="1"/>
  <cols>
    <col min="1" max="1" width="18.85546875" customWidth="1"/>
    <col min="2" max="2" width="23.5703125" customWidth="1"/>
    <col min="3" max="4" width="25.42578125" customWidth="1"/>
    <col min="5" max="6" width="18.85546875" customWidth="1"/>
    <col min="7" max="7" width="30.85546875" customWidth="1"/>
    <col min="8" max="8" width="18.85546875" customWidth="1"/>
    <col min="9" max="9" width="22.85546875" customWidth="1"/>
    <col min="10" max="10" width="28" customWidth="1"/>
    <col min="11" max="11" width="20.140625" customWidth="1"/>
    <col min="12" max="20" width="18.85546875" customWidth="1"/>
  </cols>
  <sheetData>
    <row r="1" spans="1:20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7"/>
      <c r="P1" s="7"/>
      <c r="Q1" s="7"/>
      <c r="R1" s="7"/>
      <c r="S1" s="7"/>
      <c r="T1" s="7"/>
    </row>
    <row r="2" spans="1:20" ht="22.5" customHeight="1">
      <c r="A2" s="8">
        <v>45987.915542905088</v>
      </c>
      <c r="B2" s="9" t="s">
        <v>14</v>
      </c>
      <c r="C2" s="9" t="s">
        <v>15</v>
      </c>
      <c r="D2" s="9" t="s">
        <v>16</v>
      </c>
      <c r="E2" s="10" t="s">
        <v>17</v>
      </c>
      <c r="F2" s="10">
        <v>31</v>
      </c>
      <c r="G2" s="11">
        <v>8119085252</v>
      </c>
      <c r="H2" s="10" t="s">
        <v>18</v>
      </c>
      <c r="I2" s="10" t="s">
        <v>19</v>
      </c>
      <c r="J2" s="10" t="s">
        <v>20</v>
      </c>
      <c r="K2" s="12">
        <v>45987</v>
      </c>
      <c r="L2" s="13" t="s">
        <v>11</v>
      </c>
      <c r="M2" s="14"/>
      <c r="N2" s="14"/>
    </row>
    <row r="3" spans="1:20" ht="22.5" customHeight="1">
      <c r="A3" s="8">
        <v>45988.24861613426</v>
      </c>
      <c r="B3" s="9" t="s">
        <v>14</v>
      </c>
      <c r="C3" s="9" t="s">
        <v>15</v>
      </c>
      <c r="D3" s="9" t="s">
        <v>21</v>
      </c>
      <c r="E3" s="10" t="s">
        <v>22</v>
      </c>
      <c r="F3" s="10">
        <v>42</v>
      </c>
      <c r="G3" s="11">
        <v>8035108931</v>
      </c>
      <c r="H3" s="10" t="s">
        <v>23</v>
      </c>
      <c r="I3" s="10" t="s">
        <v>19</v>
      </c>
      <c r="J3" s="10" t="s">
        <v>24</v>
      </c>
      <c r="K3" s="12">
        <v>45988</v>
      </c>
      <c r="L3" s="13" t="s">
        <v>11</v>
      </c>
      <c r="M3" s="14"/>
      <c r="N3" s="14"/>
    </row>
    <row r="4" spans="1:20" ht="22.5" customHeight="1">
      <c r="A4" s="8">
        <v>45988.82880314815</v>
      </c>
      <c r="B4" s="9" t="s">
        <v>14</v>
      </c>
      <c r="C4" s="9" t="s">
        <v>15</v>
      </c>
      <c r="D4" s="9" t="s">
        <v>25</v>
      </c>
      <c r="E4" s="10" t="s">
        <v>22</v>
      </c>
      <c r="F4" s="10">
        <v>27</v>
      </c>
      <c r="G4" s="11">
        <v>8102689946</v>
      </c>
      <c r="H4" s="10" t="s">
        <v>26</v>
      </c>
      <c r="I4" s="10" t="s">
        <v>27</v>
      </c>
      <c r="J4" s="10" t="s">
        <v>28</v>
      </c>
      <c r="K4" s="12">
        <v>45988</v>
      </c>
      <c r="L4" s="13" t="s">
        <v>11</v>
      </c>
      <c r="M4" s="14"/>
      <c r="N4" s="14"/>
    </row>
    <row r="5" spans="1:20" ht="22.5" customHeight="1">
      <c r="A5" s="8">
        <v>45989.37950815972</v>
      </c>
      <c r="B5" s="9" t="s">
        <v>14</v>
      </c>
      <c r="C5" s="9" t="s">
        <v>15</v>
      </c>
      <c r="D5" s="9" t="s">
        <v>29</v>
      </c>
      <c r="E5" s="10" t="s">
        <v>22</v>
      </c>
      <c r="F5" s="10">
        <v>26</v>
      </c>
      <c r="G5" s="11">
        <v>8039335294</v>
      </c>
      <c r="H5" s="10" t="s">
        <v>30</v>
      </c>
      <c r="I5" s="10" t="s">
        <v>31</v>
      </c>
      <c r="J5" s="10" t="s">
        <v>32</v>
      </c>
      <c r="K5" s="12">
        <v>45989</v>
      </c>
      <c r="L5" s="13" t="s">
        <v>11</v>
      </c>
      <c r="M5" s="14"/>
      <c r="N5" s="14"/>
    </row>
    <row r="6" spans="1:20" ht="22.5" customHeight="1">
      <c r="A6" s="8">
        <v>45989.406202141203</v>
      </c>
      <c r="B6" s="9" t="s">
        <v>14</v>
      </c>
      <c r="C6" s="9" t="s">
        <v>15</v>
      </c>
      <c r="D6" s="9" t="s">
        <v>33</v>
      </c>
      <c r="E6" s="10" t="s">
        <v>22</v>
      </c>
      <c r="F6" s="10">
        <v>32</v>
      </c>
      <c r="G6" s="11">
        <v>7067496614</v>
      </c>
      <c r="H6" s="10" t="s">
        <v>34</v>
      </c>
      <c r="I6" s="10" t="s">
        <v>31</v>
      </c>
      <c r="J6" s="10" t="s">
        <v>32</v>
      </c>
      <c r="K6" s="12">
        <v>34167</v>
      </c>
      <c r="L6" s="13" t="s">
        <v>11</v>
      </c>
      <c r="M6" s="14"/>
      <c r="N6" s="14"/>
    </row>
    <row r="7" spans="1:20" ht="22.5" customHeight="1">
      <c r="A7" s="8">
        <v>45989.455156562501</v>
      </c>
      <c r="B7" s="9" t="s">
        <v>14</v>
      </c>
      <c r="C7" s="9" t="s">
        <v>15</v>
      </c>
      <c r="D7" s="9" t="s">
        <v>35</v>
      </c>
      <c r="E7" s="10" t="s">
        <v>17</v>
      </c>
      <c r="F7" s="10">
        <v>40</v>
      </c>
      <c r="G7" s="11">
        <v>8033677760</v>
      </c>
      <c r="H7" s="10" t="s">
        <v>14458</v>
      </c>
      <c r="I7" s="10" t="s">
        <v>31</v>
      </c>
      <c r="J7" s="10" t="s">
        <v>36</v>
      </c>
      <c r="K7" s="12">
        <v>45989</v>
      </c>
      <c r="L7" s="13" t="s">
        <v>11</v>
      </c>
      <c r="M7" s="14"/>
      <c r="N7" s="14"/>
    </row>
    <row r="8" spans="1:20" ht="22.5" customHeight="1">
      <c r="A8" s="8">
        <v>45989.516043287033</v>
      </c>
      <c r="B8" s="9" t="s">
        <v>14</v>
      </c>
      <c r="C8" s="9" t="s">
        <v>15</v>
      </c>
      <c r="D8" s="9" t="s">
        <v>37</v>
      </c>
      <c r="E8" s="10" t="s">
        <v>17</v>
      </c>
      <c r="F8" s="10">
        <v>29</v>
      </c>
      <c r="G8" s="11">
        <v>8114706704</v>
      </c>
      <c r="H8" s="10" t="s">
        <v>38</v>
      </c>
      <c r="I8" s="10" t="s">
        <v>31</v>
      </c>
      <c r="J8" s="10" t="s">
        <v>39</v>
      </c>
      <c r="K8" s="12">
        <v>45989</v>
      </c>
      <c r="L8" s="13" t="s">
        <v>11</v>
      </c>
      <c r="M8" s="14"/>
      <c r="N8" s="14"/>
    </row>
    <row r="9" spans="1:20" ht="22.5" customHeight="1">
      <c r="A9" s="8">
        <v>45989.516659409725</v>
      </c>
      <c r="B9" s="9" t="s">
        <v>14</v>
      </c>
      <c r="C9" s="9" t="s">
        <v>15</v>
      </c>
      <c r="D9" s="9" t="s">
        <v>40</v>
      </c>
      <c r="E9" s="10" t="s">
        <v>17</v>
      </c>
      <c r="F9" s="10">
        <v>43</v>
      </c>
      <c r="G9" s="11">
        <v>8133166105</v>
      </c>
      <c r="H9" s="10" t="s">
        <v>41</v>
      </c>
      <c r="I9" s="10" t="s">
        <v>27</v>
      </c>
      <c r="J9" s="10" t="s">
        <v>42</v>
      </c>
      <c r="K9" s="12">
        <v>45989</v>
      </c>
      <c r="L9" s="13" t="s">
        <v>11</v>
      </c>
      <c r="M9" s="14"/>
      <c r="N9" s="14"/>
    </row>
    <row r="10" spans="1:20" ht="22.5" customHeight="1">
      <c r="A10" s="8">
        <v>45989.549456203706</v>
      </c>
      <c r="B10" s="9" t="s">
        <v>14</v>
      </c>
      <c r="C10" s="9" t="s">
        <v>15</v>
      </c>
      <c r="D10" s="9" t="s">
        <v>43</v>
      </c>
      <c r="E10" s="10" t="s">
        <v>17</v>
      </c>
      <c r="F10" s="10">
        <v>35</v>
      </c>
      <c r="G10" s="11">
        <f t="shared" ref="G10" si="0">2348062739882</f>
        <v>2348062739882</v>
      </c>
      <c r="H10" s="10" t="s">
        <v>44</v>
      </c>
      <c r="I10" s="10" t="s">
        <v>45</v>
      </c>
      <c r="J10" s="10" t="s">
        <v>46</v>
      </c>
      <c r="K10" s="12">
        <v>45989</v>
      </c>
      <c r="L10" s="13" t="s">
        <v>11</v>
      </c>
      <c r="M10" s="14"/>
      <c r="N10" s="14"/>
    </row>
    <row r="11" spans="1:20" ht="22.5" customHeight="1">
      <c r="A11" s="8">
        <v>45989.605834178241</v>
      </c>
      <c r="B11" s="9" t="s">
        <v>14</v>
      </c>
      <c r="C11" s="9" t="s">
        <v>15</v>
      </c>
      <c r="D11" s="9" t="s">
        <v>47</v>
      </c>
      <c r="E11" s="10" t="s">
        <v>17</v>
      </c>
      <c r="F11" s="10">
        <v>42</v>
      </c>
      <c r="G11" s="11">
        <v>7031305287</v>
      </c>
      <c r="H11" s="10" t="s">
        <v>48</v>
      </c>
      <c r="I11" s="10" t="s">
        <v>49</v>
      </c>
      <c r="J11" s="10" t="s">
        <v>50</v>
      </c>
      <c r="K11" s="12">
        <v>45989</v>
      </c>
      <c r="L11" s="13" t="s">
        <v>11</v>
      </c>
      <c r="M11" s="14"/>
      <c r="N11" s="14"/>
    </row>
    <row r="12" spans="1:20" ht="22.5" customHeight="1">
      <c r="A12" s="8">
        <v>45989.627302141205</v>
      </c>
      <c r="B12" s="9" t="s">
        <v>14</v>
      </c>
      <c r="C12" s="9" t="s">
        <v>15</v>
      </c>
      <c r="D12" s="9" t="s">
        <v>51</v>
      </c>
      <c r="E12" s="10" t="s">
        <v>22</v>
      </c>
      <c r="F12" s="10">
        <v>25</v>
      </c>
      <c r="G12" s="11">
        <v>9066561783</v>
      </c>
      <c r="H12" s="10" t="s">
        <v>52</v>
      </c>
      <c r="I12" s="10" t="s">
        <v>27</v>
      </c>
      <c r="J12" s="10" t="s">
        <v>53</v>
      </c>
      <c r="K12" s="12">
        <v>46019</v>
      </c>
      <c r="L12" s="13" t="s">
        <v>11</v>
      </c>
      <c r="M12" s="14"/>
      <c r="N12" s="14"/>
    </row>
    <row r="13" spans="1:20" ht="22.5" customHeight="1">
      <c r="A13" s="8">
        <v>45989.756880914356</v>
      </c>
      <c r="B13" s="9" t="s">
        <v>14</v>
      </c>
      <c r="C13" s="9" t="s">
        <v>15</v>
      </c>
      <c r="D13" s="9" t="s">
        <v>54</v>
      </c>
      <c r="E13" s="10" t="s">
        <v>22</v>
      </c>
      <c r="F13" s="10">
        <v>25</v>
      </c>
      <c r="G13" s="11">
        <v>8147402897</v>
      </c>
      <c r="H13" s="10" t="s">
        <v>55</v>
      </c>
      <c r="I13" s="10" t="s">
        <v>49</v>
      </c>
      <c r="J13" s="10" t="s">
        <v>50</v>
      </c>
      <c r="K13" s="12">
        <v>45989</v>
      </c>
      <c r="L13" s="13" t="s">
        <v>11</v>
      </c>
      <c r="M13" s="14"/>
      <c r="N13" s="14"/>
    </row>
    <row r="14" spans="1:20" ht="22.5" customHeight="1">
      <c r="A14" s="8">
        <v>45989.768951979167</v>
      </c>
      <c r="B14" s="9" t="s">
        <v>14</v>
      </c>
      <c r="C14" s="9" t="s">
        <v>15</v>
      </c>
      <c r="D14" s="9" t="s">
        <v>56</v>
      </c>
      <c r="E14" s="10" t="s">
        <v>17</v>
      </c>
      <c r="F14" s="10">
        <v>38</v>
      </c>
      <c r="G14" s="11">
        <v>8138376301</v>
      </c>
      <c r="H14" s="10" t="s">
        <v>57</v>
      </c>
      <c r="I14" s="10" t="s">
        <v>45</v>
      </c>
      <c r="J14" s="10" t="s">
        <v>46</v>
      </c>
      <c r="K14" s="12">
        <v>45989</v>
      </c>
      <c r="L14" s="13" t="s">
        <v>11</v>
      </c>
      <c r="M14" s="14"/>
      <c r="N14" s="14"/>
    </row>
    <row r="15" spans="1:20" ht="22.5" customHeight="1">
      <c r="A15" s="8">
        <v>45989.822648194444</v>
      </c>
      <c r="B15" s="9" t="s">
        <v>14</v>
      </c>
      <c r="C15" s="9" t="s">
        <v>15</v>
      </c>
      <c r="D15" s="9" t="s">
        <v>58</v>
      </c>
      <c r="E15" s="10" t="s">
        <v>17</v>
      </c>
      <c r="F15" s="10">
        <v>28</v>
      </c>
      <c r="G15" s="11">
        <v>8149006479</v>
      </c>
      <c r="H15" s="10" t="s">
        <v>59</v>
      </c>
      <c r="I15" s="10" t="s">
        <v>49</v>
      </c>
      <c r="J15" s="10" t="s">
        <v>60</v>
      </c>
      <c r="K15" s="12">
        <v>45989</v>
      </c>
      <c r="L15" s="13" t="s">
        <v>11</v>
      </c>
      <c r="M15" s="14"/>
      <c r="N15" s="14"/>
    </row>
    <row r="16" spans="1:20" ht="22.5" customHeight="1">
      <c r="A16" s="8">
        <v>45990.241167673608</v>
      </c>
      <c r="B16" s="9" t="s">
        <v>14</v>
      </c>
      <c r="C16" s="9" t="s">
        <v>15</v>
      </c>
      <c r="D16" s="9" t="s">
        <v>61</v>
      </c>
      <c r="E16" s="10" t="s">
        <v>17</v>
      </c>
      <c r="F16" s="10">
        <v>32</v>
      </c>
      <c r="G16" s="11">
        <v>8067710596</v>
      </c>
      <c r="H16" s="10" t="s">
        <v>62</v>
      </c>
      <c r="I16" s="10" t="s">
        <v>45</v>
      </c>
      <c r="J16" s="10" t="s">
        <v>46</v>
      </c>
      <c r="K16" s="12">
        <v>45990</v>
      </c>
      <c r="L16" s="13" t="s">
        <v>11</v>
      </c>
      <c r="M16" s="14"/>
      <c r="N16" s="14"/>
    </row>
    <row r="17" spans="1:14" ht="22.5" customHeight="1">
      <c r="A17" s="8">
        <v>45990.294118576392</v>
      </c>
      <c r="B17" s="9" t="s">
        <v>14</v>
      </c>
      <c r="C17" s="9" t="s">
        <v>15</v>
      </c>
      <c r="D17" s="9" t="s">
        <v>63</v>
      </c>
      <c r="E17" s="10" t="s">
        <v>22</v>
      </c>
      <c r="F17" s="10">
        <v>36</v>
      </c>
      <c r="G17" s="11">
        <v>7032293128</v>
      </c>
      <c r="H17" s="10" t="s">
        <v>64</v>
      </c>
      <c r="I17" s="10" t="s">
        <v>49</v>
      </c>
      <c r="J17" s="10" t="s">
        <v>50</v>
      </c>
      <c r="K17" s="12">
        <v>45990</v>
      </c>
      <c r="L17" s="13" t="s">
        <v>11</v>
      </c>
      <c r="M17" s="14"/>
      <c r="N17" s="14"/>
    </row>
    <row r="18" spans="1:14" ht="22.5" customHeight="1">
      <c r="A18" s="8">
        <v>45990.327870775465</v>
      </c>
      <c r="B18" s="9" t="s">
        <v>14</v>
      </c>
      <c r="C18" s="9" t="s">
        <v>15</v>
      </c>
      <c r="D18" s="9" t="s">
        <v>65</v>
      </c>
      <c r="E18" s="10" t="s">
        <v>17</v>
      </c>
      <c r="F18" s="10">
        <v>26</v>
      </c>
      <c r="G18" s="11">
        <v>7061450545</v>
      </c>
      <c r="H18" s="10" t="s">
        <v>66</v>
      </c>
      <c r="I18" s="10" t="s">
        <v>27</v>
      </c>
      <c r="J18" s="10" t="s">
        <v>67</v>
      </c>
      <c r="K18" s="12">
        <v>45990</v>
      </c>
      <c r="L18" s="13" t="s">
        <v>11</v>
      </c>
      <c r="M18" s="14"/>
      <c r="N18" s="14"/>
    </row>
    <row r="19" spans="1:14" ht="22.5" customHeight="1">
      <c r="A19" s="8">
        <v>45990.403067858795</v>
      </c>
      <c r="B19" s="9" t="s">
        <v>14</v>
      </c>
      <c r="C19" s="9" t="s">
        <v>15</v>
      </c>
      <c r="D19" s="9" t="s">
        <v>65</v>
      </c>
      <c r="E19" s="10" t="s">
        <v>17</v>
      </c>
      <c r="F19" s="10">
        <v>26</v>
      </c>
      <c r="G19" s="11">
        <f t="shared" ref="G19" si="1">2347061450545</f>
        <v>2347061450545</v>
      </c>
      <c r="H19" s="10" t="s">
        <v>66</v>
      </c>
      <c r="I19" s="10" t="s">
        <v>27</v>
      </c>
      <c r="J19" s="10" t="s">
        <v>67</v>
      </c>
      <c r="K19" s="12">
        <v>45990</v>
      </c>
      <c r="L19" s="13" t="s">
        <v>11</v>
      </c>
      <c r="M19" s="14"/>
      <c r="N19" s="14"/>
    </row>
    <row r="20" spans="1:14" ht="22.5" customHeight="1">
      <c r="A20" s="8">
        <v>45990.409668611115</v>
      </c>
      <c r="B20" s="9" t="s">
        <v>14</v>
      </c>
      <c r="C20" s="9" t="s">
        <v>15</v>
      </c>
      <c r="D20" s="9" t="s">
        <v>68</v>
      </c>
      <c r="E20" s="10" t="s">
        <v>17</v>
      </c>
      <c r="F20" s="10">
        <v>22</v>
      </c>
      <c r="G20" s="11">
        <v>9024991558</v>
      </c>
      <c r="H20" s="10" t="s">
        <v>69</v>
      </c>
      <c r="I20" s="10" t="s">
        <v>27</v>
      </c>
      <c r="J20" s="10" t="s">
        <v>70</v>
      </c>
      <c r="K20" s="12">
        <v>45990</v>
      </c>
      <c r="L20" s="13" t="s">
        <v>11</v>
      </c>
      <c r="M20" s="14"/>
      <c r="N20" s="14"/>
    </row>
    <row r="21" spans="1:14" ht="22.5" customHeight="1">
      <c r="A21" s="8">
        <v>45990.485514780092</v>
      </c>
      <c r="B21" s="9" t="s">
        <v>14</v>
      </c>
      <c r="C21" s="9" t="s">
        <v>15</v>
      </c>
      <c r="D21" s="9" t="s">
        <v>71</v>
      </c>
      <c r="E21" s="10" t="s">
        <v>17</v>
      </c>
      <c r="F21" s="10">
        <v>20</v>
      </c>
      <c r="G21" s="11">
        <v>8132693010</v>
      </c>
      <c r="H21" s="10" t="s">
        <v>72</v>
      </c>
      <c r="I21" s="10" t="s">
        <v>49</v>
      </c>
      <c r="J21" s="10" t="s">
        <v>73</v>
      </c>
      <c r="K21" s="12">
        <v>45990</v>
      </c>
      <c r="L21" s="13" t="s">
        <v>11</v>
      </c>
      <c r="M21" s="14"/>
      <c r="N21" s="14"/>
    </row>
    <row r="22" spans="1:14" ht="22.5" customHeight="1">
      <c r="A22" s="8">
        <v>45990.532580127314</v>
      </c>
      <c r="B22" s="9" t="s">
        <v>14</v>
      </c>
      <c r="C22" s="9" t="s">
        <v>15</v>
      </c>
      <c r="D22" s="9" t="s">
        <v>74</v>
      </c>
      <c r="E22" s="10" t="s">
        <v>17</v>
      </c>
      <c r="F22" s="10">
        <v>25</v>
      </c>
      <c r="G22" s="11">
        <v>7082372650</v>
      </c>
      <c r="H22" s="10" t="s">
        <v>75</v>
      </c>
      <c r="I22" s="10" t="s">
        <v>31</v>
      </c>
      <c r="J22" s="10" t="s">
        <v>32</v>
      </c>
      <c r="K22" s="12">
        <v>45990</v>
      </c>
      <c r="L22" s="13" t="s">
        <v>11</v>
      </c>
      <c r="M22" s="14"/>
      <c r="N22" s="14"/>
    </row>
    <row r="23" spans="1:14" ht="22.5" customHeight="1">
      <c r="A23" s="8">
        <v>45990.662397581022</v>
      </c>
      <c r="B23" s="9" t="s">
        <v>14</v>
      </c>
      <c r="C23" s="9" t="s">
        <v>15</v>
      </c>
      <c r="D23" s="9" t="s">
        <v>76</v>
      </c>
      <c r="E23" s="10" t="s">
        <v>17</v>
      </c>
      <c r="F23" s="10">
        <v>34</v>
      </c>
      <c r="G23" s="11">
        <v>8062788460</v>
      </c>
      <c r="H23" s="10" t="s">
        <v>77</v>
      </c>
      <c r="I23" s="10" t="s">
        <v>31</v>
      </c>
      <c r="J23" s="10" t="s">
        <v>78</v>
      </c>
      <c r="K23" s="12">
        <v>45990</v>
      </c>
      <c r="L23" s="15" t="s">
        <v>11</v>
      </c>
      <c r="M23" s="14"/>
      <c r="N23" s="14"/>
    </row>
    <row r="24" spans="1:14" ht="22.5" customHeight="1">
      <c r="A24" s="8">
        <v>45990.696902812502</v>
      </c>
      <c r="B24" s="9" t="s">
        <v>14</v>
      </c>
      <c r="C24" s="9" t="s">
        <v>15</v>
      </c>
      <c r="D24" s="9" t="s">
        <v>79</v>
      </c>
      <c r="E24" s="10" t="s">
        <v>22</v>
      </c>
      <c r="F24" s="10">
        <v>24</v>
      </c>
      <c r="G24" s="11">
        <v>9067518709</v>
      </c>
      <c r="H24" s="10" t="s">
        <v>80</v>
      </c>
      <c r="I24" s="10" t="s">
        <v>45</v>
      </c>
      <c r="J24" s="10" t="s">
        <v>81</v>
      </c>
      <c r="K24" s="12">
        <v>45990</v>
      </c>
      <c r="L24" s="15" t="s">
        <v>11</v>
      </c>
      <c r="M24" s="14"/>
      <c r="N24" s="14"/>
    </row>
    <row r="25" spans="1:14" ht="22.5" customHeight="1">
      <c r="A25" s="8">
        <v>45990.755624791665</v>
      </c>
      <c r="B25" s="9" t="s">
        <v>14</v>
      </c>
      <c r="C25" s="9" t="s">
        <v>15</v>
      </c>
      <c r="D25" s="9" t="s">
        <v>82</v>
      </c>
      <c r="E25" s="10" t="s">
        <v>22</v>
      </c>
      <c r="F25" s="10">
        <v>21</v>
      </c>
      <c r="G25" s="11">
        <f t="shared" ref="G25" si="2">2348124255674</f>
        <v>2348124255674</v>
      </c>
      <c r="H25" s="10" t="s">
        <v>83</v>
      </c>
      <c r="I25" s="10" t="s">
        <v>45</v>
      </c>
      <c r="J25" s="10" t="s">
        <v>84</v>
      </c>
      <c r="K25" s="12">
        <v>45990</v>
      </c>
      <c r="L25" s="15" t="s">
        <v>11</v>
      </c>
      <c r="M25" s="14"/>
      <c r="N25" s="14"/>
    </row>
    <row r="26" spans="1:14" ht="22.5" customHeight="1">
      <c r="A26" s="8">
        <v>45990.885143518521</v>
      </c>
      <c r="B26" s="9" t="s">
        <v>14</v>
      </c>
      <c r="C26" s="9" t="s">
        <v>15</v>
      </c>
      <c r="D26" s="9" t="s">
        <v>85</v>
      </c>
      <c r="E26" s="10" t="s">
        <v>22</v>
      </c>
      <c r="F26" s="10">
        <v>26</v>
      </c>
      <c r="G26" s="11">
        <v>9034015160</v>
      </c>
      <c r="H26" s="10" t="s">
        <v>86</v>
      </c>
      <c r="I26" s="10" t="s">
        <v>27</v>
      </c>
      <c r="J26" s="10" t="s">
        <v>70</v>
      </c>
      <c r="K26" s="12">
        <v>45990</v>
      </c>
      <c r="L26" s="15" t="s">
        <v>11</v>
      </c>
      <c r="M26" s="14"/>
      <c r="N26" s="14"/>
    </row>
    <row r="27" spans="1:14" ht="22.5" customHeight="1">
      <c r="A27" s="8">
        <v>45990.927223136576</v>
      </c>
      <c r="B27" s="9" t="s">
        <v>14</v>
      </c>
      <c r="C27" s="9" t="s">
        <v>15</v>
      </c>
      <c r="D27" s="9" t="s">
        <v>87</v>
      </c>
      <c r="E27" s="10" t="s">
        <v>17</v>
      </c>
      <c r="F27" s="10">
        <v>26</v>
      </c>
      <c r="G27" s="11">
        <v>7065107402</v>
      </c>
      <c r="H27" s="10" t="s">
        <v>88</v>
      </c>
      <c r="I27" s="10" t="s">
        <v>27</v>
      </c>
      <c r="J27" s="10" t="s">
        <v>89</v>
      </c>
      <c r="K27" s="12">
        <v>45990</v>
      </c>
      <c r="L27" s="15" t="s">
        <v>11</v>
      </c>
      <c r="M27" s="14"/>
      <c r="N27" s="14"/>
    </row>
    <row r="28" spans="1:14" ht="22.5" customHeight="1">
      <c r="A28" s="8">
        <v>45990.947813206018</v>
      </c>
      <c r="B28" s="9" t="s">
        <v>14</v>
      </c>
      <c r="C28" s="9" t="s">
        <v>15</v>
      </c>
      <c r="D28" s="9" t="s">
        <v>90</v>
      </c>
      <c r="E28" s="10" t="s">
        <v>17</v>
      </c>
      <c r="F28" s="10">
        <v>25</v>
      </c>
      <c r="G28" s="11">
        <v>9059164673</v>
      </c>
      <c r="H28" s="10" t="s">
        <v>91</v>
      </c>
      <c r="I28" s="10" t="s">
        <v>27</v>
      </c>
      <c r="J28" s="10" t="s">
        <v>70</v>
      </c>
      <c r="K28" s="12">
        <v>45990</v>
      </c>
      <c r="L28" s="15" t="s">
        <v>11</v>
      </c>
      <c r="M28" s="14"/>
      <c r="N28" s="14"/>
    </row>
    <row r="29" spans="1:14" ht="22.5" customHeight="1">
      <c r="A29" s="8">
        <v>45990.979680891207</v>
      </c>
      <c r="B29" s="9" t="s">
        <v>14</v>
      </c>
      <c r="C29" s="9" t="s">
        <v>15</v>
      </c>
      <c r="D29" s="9" t="s">
        <v>92</v>
      </c>
      <c r="E29" s="10" t="s">
        <v>22</v>
      </c>
      <c r="F29" s="10">
        <v>24</v>
      </c>
      <c r="G29" s="11">
        <v>9066753436</v>
      </c>
      <c r="H29" s="10" t="s">
        <v>93</v>
      </c>
      <c r="I29" s="10" t="s">
        <v>27</v>
      </c>
      <c r="J29" s="10" t="s">
        <v>94</v>
      </c>
      <c r="K29" s="12">
        <v>45990</v>
      </c>
      <c r="L29" s="15" t="s">
        <v>11</v>
      </c>
      <c r="M29" s="14"/>
      <c r="N29" s="14"/>
    </row>
    <row r="30" spans="1:14" ht="22.5" customHeight="1">
      <c r="A30" s="8">
        <v>45991.110028310184</v>
      </c>
      <c r="B30" s="9" t="s">
        <v>14</v>
      </c>
      <c r="C30" s="9" t="s">
        <v>15</v>
      </c>
      <c r="D30" s="9" t="s">
        <v>95</v>
      </c>
      <c r="E30" s="10" t="s">
        <v>22</v>
      </c>
      <c r="F30" s="10">
        <v>25</v>
      </c>
      <c r="G30" s="11">
        <v>9037547257</v>
      </c>
      <c r="H30" s="10" t="s">
        <v>96</v>
      </c>
      <c r="I30" s="10" t="s">
        <v>27</v>
      </c>
      <c r="J30" s="10" t="s">
        <v>97</v>
      </c>
      <c r="K30" s="12">
        <v>45991</v>
      </c>
      <c r="L30" s="15" t="s">
        <v>11</v>
      </c>
      <c r="M30" s="14"/>
      <c r="N30" s="14"/>
    </row>
    <row r="31" spans="1:14" ht="22.5" customHeight="1">
      <c r="A31" s="8">
        <v>45991.817263136574</v>
      </c>
      <c r="B31" s="9" t="s">
        <v>14</v>
      </c>
      <c r="C31" s="9" t="s">
        <v>15</v>
      </c>
      <c r="D31" s="9" t="s">
        <v>98</v>
      </c>
      <c r="E31" s="10" t="s">
        <v>17</v>
      </c>
      <c r="F31" s="10">
        <v>27</v>
      </c>
      <c r="G31" s="11">
        <v>9076688706</v>
      </c>
      <c r="H31" s="10" t="s">
        <v>99</v>
      </c>
      <c r="I31" s="10" t="s">
        <v>45</v>
      </c>
      <c r="J31" s="10" t="s">
        <v>100</v>
      </c>
      <c r="K31" s="12">
        <v>45991</v>
      </c>
      <c r="L31" s="15" t="s">
        <v>11</v>
      </c>
      <c r="M31" s="14"/>
      <c r="N31" s="14"/>
    </row>
    <row r="32" spans="1:14" ht="22.5" customHeight="1">
      <c r="A32" s="8">
        <v>45991.858418206015</v>
      </c>
      <c r="B32" s="9" t="s">
        <v>14</v>
      </c>
      <c r="C32" s="9" t="s">
        <v>15</v>
      </c>
      <c r="D32" s="9" t="s">
        <v>101</v>
      </c>
      <c r="E32" s="10" t="s">
        <v>17</v>
      </c>
      <c r="F32" s="10">
        <v>34</v>
      </c>
      <c r="G32" s="11">
        <v>9039031436</v>
      </c>
      <c r="H32" s="10" t="s">
        <v>102</v>
      </c>
      <c r="I32" s="10" t="s">
        <v>49</v>
      </c>
      <c r="J32" s="10" t="s">
        <v>103</v>
      </c>
      <c r="K32" s="12">
        <v>45991</v>
      </c>
      <c r="L32" s="15" t="s">
        <v>11</v>
      </c>
      <c r="M32" s="14"/>
      <c r="N32" s="14"/>
    </row>
    <row r="33" spans="1:20" ht="22.5" customHeight="1">
      <c r="A33" s="8">
        <v>45991.907295775462</v>
      </c>
      <c r="B33" s="9" t="s">
        <v>14</v>
      </c>
      <c r="C33" s="9" t="s">
        <v>15</v>
      </c>
      <c r="D33" s="9" t="s">
        <v>104</v>
      </c>
      <c r="E33" s="10" t="s">
        <v>17</v>
      </c>
      <c r="F33" s="10">
        <v>29</v>
      </c>
      <c r="G33" s="11">
        <v>8036532808</v>
      </c>
      <c r="H33" s="10" t="s">
        <v>105</v>
      </c>
      <c r="I33" s="10" t="s">
        <v>49</v>
      </c>
      <c r="J33" s="10" t="s">
        <v>106</v>
      </c>
      <c r="K33" s="12">
        <v>45991</v>
      </c>
      <c r="L33" s="15" t="s">
        <v>11</v>
      </c>
      <c r="M33" s="14"/>
      <c r="N33" s="14"/>
    </row>
    <row r="34" spans="1:20" ht="22.5" customHeight="1">
      <c r="A34" s="8">
        <v>45992.384597858792</v>
      </c>
      <c r="B34" s="9" t="s">
        <v>14</v>
      </c>
      <c r="C34" s="9" t="s">
        <v>15</v>
      </c>
      <c r="D34" s="9" t="s">
        <v>107</v>
      </c>
      <c r="E34" s="10" t="s">
        <v>17</v>
      </c>
      <c r="F34" s="10">
        <v>36</v>
      </c>
      <c r="G34" s="11">
        <v>9151102600</v>
      </c>
      <c r="H34" s="10" t="s">
        <v>108</v>
      </c>
      <c r="I34" s="10" t="s">
        <v>49</v>
      </c>
      <c r="J34" s="10" t="s">
        <v>109</v>
      </c>
      <c r="K34" s="12">
        <v>45992</v>
      </c>
      <c r="L34" s="15" t="s">
        <v>11</v>
      </c>
      <c r="M34" s="14"/>
      <c r="N34" s="14"/>
      <c r="O34" s="16"/>
      <c r="P34" s="17"/>
      <c r="Q34" s="17"/>
      <c r="R34" s="17"/>
      <c r="S34" s="17"/>
      <c r="T34" s="17"/>
    </row>
    <row r="35" spans="1:20" ht="22.5" customHeight="1">
      <c r="A35" s="8">
        <v>45992.450516805555</v>
      </c>
      <c r="B35" s="9" t="s">
        <v>14</v>
      </c>
      <c r="C35" s="9" t="s">
        <v>15</v>
      </c>
      <c r="D35" s="9" t="s">
        <v>110</v>
      </c>
      <c r="E35" s="10" t="s">
        <v>22</v>
      </c>
      <c r="F35" s="10">
        <v>30</v>
      </c>
      <c r="G35" s="11">
        <v>8166258633</v>
      </c>
      <c r="H35" s="10" t="s">
        <v>111</v>
      </c>
      <c r="I35" s="10" t="s">
        <v>31</v>
      </c>
      <c r="J35" s="10" t="s">
        <v>32</v>
      </c>
      <c r="K35" s="12">
        <v>45992</v>
      </c>
      <c r="L35" s="15" t="s">
        <v>11</v>
      </c>
      <c r="M35" s="14"/>
      <c r="N35" s="14"/>
    </row>
    <row r="36" spans="1:20" ht="22.5" customHeight="1">
      <c r="A36" s="8">
        <v>45992.496208761571</v>
      </c>
      <c r="B36" s="9" t="s">
        <v>14</v>
      </c>
      <c r="C36" s="9" t="s">
        <v>15</v>
      </c>
      <c r="D36" s="9" t="s">
        <v>112</v>
      </c>
      <c r="E36" s="10" t="s">
        <v>17</v>
      </c>
      <c r="F36" s="10">
        <v>30</v>
      </c>
      <c r="G36" s="11">
        <v>7036215122</v>
      </c>
      <c r="H36" s="10" t="s">
        <v>113</v>
      </c>
      <c r="I36" s="10" t="s">
        <v>27</v>
      </c>
      <c r="J36" s="10" t="s">
        <v>67</v>
      </c>
      <c r="K36" s="12">
        <v>45992</v>
      </c>
      <c r="L36" s="15" t="s">
        <v>11</v>
      </c>
      <c r="M36" s="14"/>
      <c r="N36" s="14"/>
    </row>
    <row r="37" spans="1:20" ht="22.5" customHeight="1">
      <c r="A37" s="8">
        <v>45992.524333969908</v>
      </c>
      <c r="B37" s="9" t="s">
        <v>14</v>
      </c>
      <c r="C37" s="9" t="s">
        <v>15</v>
      </c>
      <c r="D37" s="9" t="s">
        <v>114</v>
      </c>
      <c r="E37" s="10" t="s">
        <v>17</v>
      </c>
      <c r="F37" s="10">
        <v>35</v>
      </c>
      <c r="G37" s="11">
        <v>7063511635</v>
      </c>
      <c r="H37" s="10" t="s">
        <v>115</v>
      </c>
      <c r="I37" s="10" t="s">
        <v>49</v>
      </c>
      <c r="J37" s="10" t="s">
        <v>116</v>
      </c>
      <c r="K37" s="12">
        <v>45992</v>
      </c>
      <c r="L37" s="15" t="s">
        <v>11</v>
      </c>
      <c r="M37" s="14"/>
      <c r="N37" s="14"/>
    </row>
    <row r="38" spans="1:20" ht="22.5" customHeight="1">
      <c r="A38" s="8">
        <v>45992.543682129632</v>
      </c>
      <c r="B38" s="9" t="s">
        <v>14</v>
      </c>
      <c r="C38" s="9" t="s">
        <v>15</v>
      </c>
      <c r="D38" s="9" t="s">
        <v>117</v>
      </c>
      <c r="E38" s="10" t="s">
        <v>17</v>
      </c>
      <c r="F38" s="10">
        <v>33</v>
      </c>
      <c r="G38" s="11">
        <v>9067563960</v>
      </c>
      <c r="H38" s="10" t="s">
        <v>118</v>
      </c>
      <c r="I38" s="10" t="s">
        <v>19</v>
      </c>
      <c r="J38" s="10" t="s">
        <v>119</v>
      </c>
      <c r="K38" s="12">
        <v>45992</v>
      </c>
      <c r="L38" s="15" t="s">
        <v>11</v>
      </c>
      <c r="M38" s="14"/>
      <c r="N38" s="14"/>
    </row>
    <row r="39" spans="1:20" ht="22.5" customHeight="1">
      <c r="A39" s="8">
        <v>45992.607862349541</v>
      </c>
      <c r="B39" s="9" t="s">
        <v>14</v>
      </c>
      <c r="C39" s="9" t="s">
        <v>15</v>
      </c>
      <c r="D39" s="9" t="s">
        <v>120</v>
      </c>
      <c r="E39" s="10" t="s">
        <v>22</v>
      </c>
      <c r="F39" s="10">
        <v>27</v>
      </c>
      <c r="G39" s="11">
        <v>8071368449</v>
      </c>
      <c r="H39" s="10" t="s">
        <v>121</v>
      </c>
      <c r="I39" s="10" t="s">
        <v>45</v>
      </c>
      <c r="J39" s="10" t="s">
        <v>122</v>
      </c>
      <c r="K39" s="12">
        <v>45992</v>
      </c>
      <c r="L39" s="15" t="s">
        <v>11</v>
      </c>
      <c r="M39" s="14"/>
      <c r="N39" s="14"/>
    </row>
    <row r="40" spans="1:20" ht="22.5" customHeight="1">
      <c r="A40" s="8">
        <v>45992.616643761576</v>
      </c>
      <c r="B40" s="9" t="s">
        <v>14</v>
      </c>
      <c r="C40" s="9" t="s">
        <v>15</v>
      </c>
      <c r="D40" s="9" t="s">
        <v>123</v>
      </c>
      <c r="E40" s="10" t="s">
        <v>22</v>
      </c>
      <c r="F40" s="10">
        <v>25</v>
      </c>
      <c r="G40" s="11">
        <v>9166987275</v>
      </c>
      <c r="H40" s="10" t="s">
        <v>124</v>
      </c>
      <c r="I40" s="10" t="s">
        <v>45</v>
      </c>
      <c r="J40" s="10" t="s">
        <v>125</v>
      </c>
      <c r="K40" s="12">
        <v>45992</v>
      </c>
      <c r="L40" s="15" t="s">
        <v>11</v>
      </c>
      <c r="M40" s="14"/>
      <c r="N40" s="14"/>
    </row>
    <row r="41" spans="1:20" ht="22.5" customHeight="1">
      <c r="A41" s="8">
        <v>45992.620262430559</v>
      </c>
      <c r="B41" s="9" t="s">
        <v>14</v>
      </c>
      <c r="C41" s="9" t="s">
        <v>15</v>
      </c>
      <c r="D41" s="9" t="s">
        <v>126</v>
      </c>
      <c r="E41" s="10" t="s">
        <v>22</v>
      </c>
      <c r="F41" s="10">
        <v>22</v>
      </c>
      <c r="G41" s="11">
        <v>9052299603</v>
      </c>
      <c r="H41" s="10" t="s">
        <v>127</v>
      </c>
      <c r="I41" s="10" t="s">
        <v>45</v>
      </c>
      <c r="J41" s="10" t="s">
        <v>128</v>
      </c>
      <c r="K41" s="12">
        <v>45992</v>
      </c>
      <c r="L41" s="15" t="s">
        <v>11</v>
      </c>
      <c r="M41" s="14"/>
      <c r="N41" s="14"/>
    </row>
    <row r="42" spans="1:20" ht="22.5" customHeight="1">
      <c r="A42" s="8">
        <v>45992.770775428246</v>
      </c>
      <c r="B42" s="9" t="s">
        <v>14</v>
      </c>
      <c r="C42" s="9" t="s">
        <v>15</v>
      </c>
      <c r="D42" s="9" t="s">
        <v>129</v>
      </c>
      <c r="E42" s="10" t="s">
        <v>22</v>
      </c>
      <c r="F42" s="10">
        <v>23</v>
      </c>
      <c r="G42" s="11">
        <v>7044072169</v>
      </c>
      <c r="H42" s="10" t="s">
        <v>130</v>
      </c>
      <c r="I42" s="10" t="s">
        <v>45</v>
      </c>
      <c r="J42" s="10" t="s">
        <v>131</v>
      </c>
      <c r="K42" s="12">
        <v>45992</v>
      </c>
      <c r="L42" s="15" t="s">
        <v>11</v>
      </c>
      <c r="M42" s="14"/>
      <c r="N42" s="14"/>
    </row>
    <row r="43" spans="1:20" ht="22.5" customHeight="1">
      <c r="A43" s="8">
        <v>45992.807322986111</v>
      </c>
      <c r="B43" s="9" t="s">
        <v>14</v>
      </c>
      <c r="C43" s="9" t="s">
        <v>15</v>
      </c>
      <c r="D43" s="9" t="s">
        <v>132</v>
      </c>
      <c r="E43" s="10" t="s">
        <v>17</v>
      </c>
      <c r="F43" s="10">
        <v>31</v>
      </c>
      <c r="G43" s="11">
        <v>7062081289</v>
      </c>
      <c r="H43" s="10" t="s">
        <v>133</v>
      </c>
      <c r="I43" s="10" t="s">
        <v>49</v>
      </c>
      <c r="J43" s="10" t="s">
        <v>60</v>
      </c>
      <c r="K43" s="12">
        <v>45992</v>
      </c>
      <c r="L43" s="15" t="s">
        <v>11</v>
      </c>
      <c r="M43" s="14"/>
      <c r="N43" s="14"/>
    </row>
    <row r="44" spans="1:20" ht="22.5" customHeight="1">
      <c r="A44" s="8">
        <v>45992.850627071763</v>
      </c>
      <c r="B44" s="9" t="s">
        <v>14</v>
      </c>
      <c r="C44" s="9" t="s">
        <v>15</v>
      </c>
      <c r="D44" s="9" t="s">
        <v>134</v>
      </c>
      <c r="E44" s="10" t="s">
        <v>17</v>
      </c>
      <c r="F44" s="10">
        <v>26</v>
      </c>
      <c r="G44" s="11">
        <v>8062223927</v>
      </c>
      <c r="H44" s="10" t="s">
        <v>135</v>
      </c>
      <c r="I44" s="10" t="s">
        <v>45</v>
      </c>
      <c r="J44" s="10" t="s">
        <v>136</v>
      </c>
      <c r="K44" s="12">
        <v>45992</v>
      </c>
      <c r="L44" s="15" t="s">
        <v>11</v>
      </c>
      <c r="M44" s="14"/>
      <c r="N44" s="14"/>
    </row>
    <row r="45" spans="1:20" ht="22.5" customHeight="1">
      <c r="A45" s="8">
        <v>45992.897996550921</v>
      </c>
      <c r="B45" s="9" t="s">
        <v>14</v>
      </c>
      <c r="C45" s="9" t="s">
        <v>15</v>
      </c>
      <c r="D45" s="9" t="s">
        <v>137</v>
      </c>
      <c r="E45" s="10" t="s">
        <v>22</v>
      </c>
      <c r="F45" s="10">
        <v>20</v>
      </c>
      <c r="G45" s="11">
        <v>8149060959</v>
      </c>
      <c r="H45" s="10" t="s">
        <v>138</v>
      </c>
      <c r="I45" s="10" t="s">
        <v>49</v>
      </c>
      <c r="J45" s="10" t="s">
        <v>50</v>
      </c>
      <c r="K45" s="12">
        <v>45992</v>
      </c>
      <c r="L45" s="15" t="s">
        <v>11</v>
      </c>
      <c r="M45" s="14"/>
      <c r="N45" s="14"/>
    </row>
    <row r="46" spans="1:20" ht="22.5" customHeight="1">
      <c r="A46" s="8">
        <v>45993.125427384264</v>
      </c>
      <c r="B46" s="9" t="s">
        <v>14</v>
      </c>
      <c r="C46" s="9" t="s">
        <v>15</v>
      </c>
      <c r="D46" s="9" t="s">
        <v>139</v>
      </c>
      <c r="E46" s="10" t="s">
        <v>22</v>
      </c>
      <c r="F46" s="10">
        <v>28</v>
      </c>
      <c r="G46" s="11">
        <v>8147239144</v>
      </c>
      <c r="H46" s="10" t="s">
        <v>140</v>
      </c>
      <c r="I46" s="10" t="s">
        <v>49</v>
      </c>
      <c r="J46" s="10" t="s">
        <v>109</v>
      </c>
      <c r="K46" s="12">
        <v>45993</v>
      </c>
      <c r="L46" s="15" t="s">
        <v>11</v>
      </c>
      <c r="M46" s="14"/>
      <c r="N46" s="14"/>
      <c r="O46" s="16"/>
      <c r="P46" s="17"/>
      <c r="Q46" s="17"/>
      <c r="R46" s="17"/>
      <c r="S46" s="17"/>
      <c r="T46" s="17"/>
    </row>
    <row r="47" spans="1:20" ht="22.5" customHeight="1">
      <c r="A47" s="8">
        <v>45993.330944259258</v>
      </c>
      <c r="B47" s="9" t="s">
        <v>14</v>
      </c>
      <c r="C47" s="9" t="s">
        <v>15</v>
      </c>
      <c r="D47" s="9" t="s">
        <v>141</v>
      </c>
      <c r="E47" s="10" t="s">
        <v>17</v>
      </c>
      <c r="F47" s="10">
        <v>26</v>
      </c>
      <c r="G47" s="11">
        <v>9068325186</v>
      </c>
      <c r="H47" s="10" t="s">
        <v>142</v>
      </c>
      <c r="I47" s="10" t="s">
        <v>45</v>
      </c>
      <c r="J47" s="10" t="s">
        <v>84</v>
      </c>
      <c r="K47" s="12">
        <v>45993</v>
      </c>
      <c r="L47" s="15" t="s">
        <v>11</v>
      </c>
      <c r="M47" s="14"/>
      <c r="N47" s="14"/>
    </row>
    <row r="48" spans="1:20" ht="22.5" customHeight="1">
      <c r="A48" s="8">
        <v>45993.331081782409</v>
      </c>
      <c r="B48" s="9" t="s">
        <v>14</v>
      </c>
      <c r="C48" s="9" t="s">
        <v>15</v>
      </c>
      <c r="D48" s="9" t="s">
        <v>143</v>
      </c>
      <c r="E48" s="10" t="s">
        <v>17</v>
      </c>
      <c r="F48" s="10">
        <v>29</v>
      </c>
      <c r="G48" s="11">
        <v>8063400194</v>
      </c>
      <c r="H48" s="10" t="s">
        <v>144</v>
      </c>
      <c r="I48" s="10" t="s">
        <v>145</v>
      </c>
      <c r="J48" s="10" t="s">
        <v>146</v>
      </c>
      <c r="K48" s="12">
        <v>45993</v>
      </c>
      <c r="L48" s="15" t="s">
        <v>11</v>
      </c>
      <c r="M48" s="14"/>
      <c r="N48" s="14"/>
    </row>
    <row r="49" spans="1:20" ht="22.5" customHeight="1">
      <c r="A49" s="8">
        <v>45993.351671956014</v>
      </c>
      <c r="B49" s="9" t="s">
        <v>14</v>
      </c>
      <c r="C49" s="9" t="s">
        <v>15</v>
      </c>
      <c r="D49" s="9" t="s">
        <v>147</v>
      </c>
      <c r="E49" s="10" t="s">
        <v>22</v>
      </c>
      <c r="F49" s="10">
        <v>22</v>
      </c>
      <c r="G49" s="11">
        <v>9050260905</v>
      </c>
      <c r="H49" s="10" t="s">
        <v>148</v>
      </c>
      <c r="I49" s="10" t="s">
        <v>45</v>
      </c>
      <c r="J49" s="10" t="s">
        <v>46</v>
      </c>
      <c r="K49" s="12">
        <v>45993</v>
      </c>
      <c r="L49" s="15" t="s">
        <v>11</v>
      </c>
      <c r="M49" s="14"/>
      <c r="N49" s="14"/>
    </row>
    <row r="50" spans="1:20" ht="22.5" customHeight="1">
      <c r="A50" s="8">
        <v>45993.353911701386</v>
      </c>
      <c r="B50" s="9" t="s">
        <v>14</v>
      </c>
      <c r="C50" s="9" t="s">
        <v>15</v>
      </c>
      <c r="D50" s="9" t="s">
        <v>149</v>
      </c>
      <c r="E50" s="10" t="s">
        <v>17</v>
      </c>
      <c r="F50" s="10">
        <v>23</v>
      </c>
      <c r="G50" s="11">
        <v>8153853391</v>
      </c>
      <c r="H50" s="10" t="s">
        <v>151</v>
      </c>
      <c r="I50" s="10" t="s">
        <v>49</v>
      </c>
      <c r="J50" s="10" t="s">
        <v>152</v>
      </c>
      <c r="K50" s="12">
        <v>45993</v>
      </c>
      <c r="L50" s="15" t="s">
        <v>11</v>
      </c>
      <c r="M50" s="14"/>
      <c r="N50" s="14"/>
    </row>
    <row r="51" spans="1:20" ht="22.5" customHeight="1">
      <c r="A51" s="8">
        <v>45993.353957106483</v>
      </c>
      <c r="B51" s="9" t="s">
        <v>14</v>
      </c>
      <c r="C51" s="9" t="s">
        <v>15</v>
      </c>
      <c r="D51" s="9" t="s">
        <v>153</v>
      </c>
      <c r="E51" s="10" t="s">
        <v>17</v>
      </c>
      <c r="F51" s="10">
        <v>29</v>
      </c>
      <c r="G51" s="11">
        <v>8039776436</v>
      </c>
      <c r="H51" s="10" t="s">
        <v>154</v>
      </c>
      <c r="I51" s="10" t="s">
        <v>45</v>
      </c>
      <c r="J51" s="10" t="s">
        <v>84</v>
      </c>
      <c r="K51" s="12">
        <v>45993</v>
      </c>
      <c r="L51" s="15" t="s">
        <v>11</v>
      </c>
      <c r="M51" s="14"/>
      <c r="N51" s="14"/>
    </row>
    <row r="52" spans="1:20" ht="22.5" customHeight="1">
      <c r="A52" s="8">
        <v>45993.361648657403</v>
      </c>
      <c r="B52" s="9" t="s">
        <v>14</v>
      </c>
      <c r="C52" s="9" t="s">
        <v>15</v>
      </c>
      <c r="D52" s="9" t="s">
        <v>155</v>
      </c>
      <c r="E52" s="10" t="s">
        <v>17</v>
      </c>
      <c r="F52" s="10">
        <v>23</v>
      </c>
      <c r="G52" s="11">
        <v>9069901910</v>
      </c>
      <c r="H52" s="10" t="s">
        <v>156</v>
      </c>
      <c r="I52" s="10" t="s">
        <v>49</v>
      </c>
      <c r="J52" s="10" t="s">
        <v>157</v>
      </c>
      <c r="K52" s="12">
        <v>45993</v>
      </c>
      <c r="L52" s="15" t="s">
        <v>11</v>
      </c>
      <c r="M52" s="14"/>
      <c r="N52" s="14"/>
    </row>
    <row r="53" spans="1:20" ht="22.5" customHeight="1">
      <c r="A53" s="8">
        <v>45993.367609236113</v>
      </c>
      <c r="B53" s="9" t="s">
        <v>14</v>
      </c>
      <c r="C53" s="9" t="s">
        <v>15</v>
      </c>
      <c r="D53" s="9" t="s">
        <v>158</v>
      </c>
      <c r="E53" s="10" t="s">
        <v>17</v>
      </c>
      <c r="F53" s="10">
        <v>33</v>
      </c>
      <c r="G53" s="11">
        <v>8055747233</v>
      </c>
      <c r="H53" s="10" t="s">
        <v>159</v>
      </c>
      <c r="I53" s="10" t="s">
        <v>49</v>
      </c>
      <c r="J53" s="10" t="s">
        <v>160</v>
      </c>
      <c r="K53" s="12">
        <v>45993</v>
      </c>
      <c r="L53" s="15" t="s">
        <v>11</v>
      </c>
      <c r="M53" s="14"/>
      <c r="N53" s="14"/>
    </row>
    <row r="54" spans="1:20" ht="22.5" customHeight="1">
      <c r="A54" s="8">
        <v>45993.368195312505</v>
      </c>
      <c r="B54" s="9" t="s">
        <v>14</v>
      </c>
      <c r="C54" s="9" t="s">
        <v>15</v>
      </c>
      <c r="D54" s="9" t="s">
        <v>161</v>
      </c>
      <c r="E54" s="10" t="s">
        <v>17</v>
      </c>
      <c r="F54" s="10">
        <v>27</v>
      </c>
      <c r="G54" s="11">
        <v>7015649933</v>
      </c>
      <c r="H54" s="10" t="s">
        <v>162</v>
      </c>
      <c r="I54" s="10" t="s">
        <v>45</v>
      </c>
      <c r="J54" s="10" t="s">
        <v>163</v>
      </c>
      <c r="K54" s="12">
        <v>45993</v>
      </c>
      <c r="L54" s="15" t="s">
        <v>11</v>
      </c>
      <c r="M54" s="14"/>
      <c r="N54" s="14"/>
    </row>
    <row r="55" spans="1:20" ht="22.5" customHeight="1">
      <c r="A55" s="8">
        <v>45993.36998369213</v>
      </c>
      <c r="B55" s="9" t="s">
        <v>14</v>
      </c>
      <c r="C55" s="9" t="s">
        <v>15</v>
      </c>
      <c r="D55" s="9" t="s">
        <v>164</v>
      </c>
      <c r="E55" s="10" t="s">
        <v>22</v>
      </c>
      <c r="F55" s="10">
        <v>27</v>
      </c>
      <c r="G55" s="11">
        <v>8137603526</v>
      </c>
      <c r="H55" s="10" t="s">
        <v>165</v>
      </c>
      <c r="I55" s="10" t="s">
        <v>19</v>
      </c>
      <c r="J55" s="10" t="s">
        <v>166</v>
      </c>
      <c r="K55" s="12">
        <v>45993</v>
      </c>
      <c r="L55" s="15" t="s">
        <v>11</v>
      </c>
      <c r="M55" s="14"/>
      <c r="N55" s="14"/>
    </row>
    <row r="56" spans="1:20" ht="22.5" customHeight="1">
      <c r="A56" s="8">
        <v>45993.37074849537</v>
      </c>
      <c r="B56" s="9" t="s">
        <v>14</v>
      </c>
      <c r="C56" s="9" t="s">
        <v>15</v>
      </c>
      <c r="D56" s="9" t="s">
        <v>167</v>
      </c>
      <c r="E56" s="10" t="s">
        <v>17</v>
      </c>
      <c r="F56" s="10">
        <v>30</v>
      </c>
      <c r="G56" s="11">
        <v>8143466538</v>
      </c>
      <c r="H56" s="10" t="s">
        <v>168</v>
      </c>
      <c r="I56" s="10" t="s">
        <v>45</v>
      </c>
      <c r="J56" s="10" t="s">
        <v>169</v>
      </c>
      <c r="K56" s="12">
        <v>45993</v>
      </c>
      <c r="L56" s="15" t="s">
        <v>11</v>
      </c>
      <c r="M56" s="14"/>
      <c r="N56" s="14"/>
    </row>
    <row r="57" spans="1:20" ht="22.5" customHeight="1">
      <c r="A57" s="8">
        <v>45993.37284841435</v>
      </c>
      <c r="B57" s="9" t="s">
        <v>14</v>
      </c>
      <c r="C57" s="9" t="s">
        <v>15</v>
      </c>
      <c r="D57" s="9" t="s">
        <v>170</v>
      </c>
      <c r="E57" s="10" t="s">
        <v>17</v>
      </c>
      <c r="F57" s="10">
        <v>33</v>
      </c>
      <c r="G57" s="11">
        <v>7030548927</v>
      </c>
      <c r="H57" s="10" t="s">
        <v>171</v>
      </c>
      <c r="I57" s="10" t="s">
        <v>27</v>
      </c>
      <c r="J57" s="10" t="s">
        <v>172</v>
      </c>
      <c r="K57" s="12">
        <v>45993</v>
      </c>
      <c r="L57" s="15" t="s">
        <v>11</v>
      </c>
      <c r="M57" s="14"/>
      <c r="N57" s="14"/>
    </row>
    <row r="58" spans="1:20" ht="22.5" customHeight="1">
      <c r="A58" s="8">
        <v>45993.375584062502</v>
      </c>
      <c r="B58" s="9" t="s">
        <v>14</v>
      </c>
      <c r="C58" s="9" t="s">
        <v>15</v>
      </c>
      <c r="D58" s="9" t="s">
        <v>173</v>
      </c>
      <c r="E58" s="10" t="s">
        <v>17</v>
      </c>
      <c r="F58" s="10">
        <v>26</v>
      </c>
      <c r="G58" s="11">
        <v>7064701730</v>
      </c>
      <c r="H58" s="10" t="s">
        <v>174</v>
      </c>
      <c r="I58" s="10" t="s">
        <v>45</v>
      </c>
      <c r="J58" s="10" t="s">
        <v>175</v>
      </c>
      <c r="K58" s="12">
        <v>45993</v>
      </c>
      <c r="L58" s="15" t="s">
        <v>11</v>
      </c>
      <c r="M58" s="14"/>
      <c r="N58" s="14"/>
    </row>
    <row r="59" spans="1:20" ht="22.5" customHeight="1">
      <c r="A59" s="8">
        <v>45993.376740543987</v>
      </c>
      <c r="B59" s="9" t="s">
        <v>14</v>
      </c>
      <c r="C59" s="9" t="s">
        <v>15</v>
      </c>
      <c r="D59" s="9" t="s">
        <v>176</v>
      </c>
      <c r="E59" s="10" t="s">
        <v>17</v>
      </c>
      <c r="F59" s="10">
        <v>34</v>
      </c>
      <c r="G59" s="11">
        <v>8161555473</v>
      </c>
      <c r="H59" s="10" t="s">
        <v>177</v>
      </c>
      <c r="I59" s="10" t="s">
        <v>45</v>
      </c>
      <c r="J59" s="10" t="s">
        <v>178</v>
      </c>
      <c r="K59" s="12">
        <v>45993</v>
      </c>
      <c r="L59" s="15" t="s">
        <v>11</v>
      </c>
      <c r="M59" s="14"/>
      <c r="N59" s="14"/>
      <c r="O59" s="16"/>
      <c r="P59" s="17"/>
      <c r="Q59" s="17"/>
      <c r="R59" s="17"/>
      <c r="S59" s="17"/>
      <c r="T59" s="17"/>
    </row>
    <row r="60" spans="1:20" ht="22.5" customHeight="1">
      <c r="A60" s="8">
        <v>45993.377740370372</v>
      </c>
      <c r="B60" s="9" t="s">
        <v>14</v>
      </c>
      <c r="C60" s="9" t="s">
        <v>15</v>
      </c>
      <c r="D60" s="9" t="s">
        <v>179</v>
      </c>
      <c r="E60" s="10" t="s">
        <v>17</v>
      </c>
      <c r="F60" s="10">
        <v>28</v>
      </c>
      <c r="G60" s="11">
        <v>8139214335</v>
      </c>
      <c r="H60" s="10" t="s">
        <v>180</v>
      </c>
      <c r="I60" s="10" t="s">
        <v>49</v>
      </c>
      <c r="J60" s="10" t="s">
        <v>181</v>
      </c>
      <c r="K60" s="12">
        <v>45993</v>
      </c>
      <c r="L60" s="15" t="s">
        <v>11</v>
      </c>
      <c r="M60" s="14"/>
      <c r="N60" s="14"/>
    </row>
    <row r="61" spans="1:20" ht="22.5" customHeight="1">
      <c r="A61" s="8">
        <v>45993.379851967591</v>
      </c>
      <c r="B61" s="9" t="s">
        <v>14</v>
      </c>
      <c r="C61" s="9" t="s">
        <v>15</v>
      </c>
      <c r="D61" s="9" t="s">
        <v>182</v>
      </c>
      <c r="E61" s="10" t="s">
        <v>17</v>
      </c>
      <c r="F61" s="10">
        <v>22</v>
      </c>
      <c r="G61" s="11">
        <v>7080291245</v>
      </c>
      <c r="H61" s="10" t="s">
        <v>183</v>
      </c>
      <c r="I61" s="10" t="s">
        <v>49</v>
      </c>
      <c r="J61" s="10" t="s">
        <v>157</v>
      </c>
      <c r="K61" s="12">
        <v>45993</v>
      </c>
      <c r="L61" s="15" t="s">
        <v>11</v>
      </c>
      <c r="M61" s="14"/>
      <c r="N61" s="14"/>
    </row>
    <row r="62" spans="1:20" ht="22.5" customHeight="1">
      <c r="A62" s="8">
        <v>45993.385672870369</v>
      </c>
      <c r="B62" s="9" t="s">
        <v>14</v>
      </c>
      <c r="C62" s="9" t="s">
        <v>15</v>
      </c>
      <c r="D62" s="9" t="s">
        <v>184</v>
      </c>
      <c r="E62" s="10" t="s">
        <v>17</v>
      </c>
      <c r="F62" s="10">
        <v>27</v>
      </c>
      <c r="G62" s="11">
        <v>70037648939</v>
      </c>
      <c r="H62" s="10" t="s">
        <v>185</v>
      </c>
      <c r="I62" s="10" t="s">
        <v>49</v>
      </c>
      <c r="J62" s="10" t="s">
        <v>50</v>
      </c>
      <c r="K62" s="12">
        <v>45993</v>
      </c>
      <c r="L62" s="15" t="s">
        <v>11</v>
      </c>
      <c r="M62" s="14"/>
      <c r="N62" s="14"/>
    </row>
    <row r="63" spans="1:20" ht="22.5" customHeight="1">
      <c r="A63" s="8">
        <v>45993.386448344907</v>
      </c>
      <c r="B63" s="9" t="s">
        <v>14</v>
      </c>
      <c r="C63" s="9" t="s">
        <v>15</v>
      </c>
      <c r="D63" s="9" t="s">
        <v>186</v>
      </c>
      <c r="E63" s="10" t="s">
        <v>17</v>
      </c>
      <c r="F63" s="10">
        <v>34</v>
      </c>
      <c r="G63" s="11">
        <f t="shared" ref="G63" si="3">2347032866751</f>
        <v>2347032866751</v>
      </c>
      <c r="H63" s="10" t="s">
        <v>187</v>
      </c>
      <c r="I63" s="10" t="s">
        <v>45</v>
      </c>
      <c r="J63" s="10" t="s">
        <v>178</v>
      </c>
      <c r="K63" s="12">
        <v>45993</v>
      </c>
      <c r="L63" s="15" t="s">
        <v>11</v>
      </c>
      <c r="M63" s="14"/>
      <c r="N63" s="14"/>
    </row>
    <row r="64" spans="1:20" ht="22.5" customHeight="1">
      <c r="A64" s="8">
        <v>45993.387608090277</v>
      </c>
      <c r="B64" s="9" t="s">
        <v>14</v>
      </c>
      <c r="C64" s="9" t="s">
        <v>15</v>
      </c>
      <c r="D64" s="9" t="s">
        <v>188</v>
      </c>
      <c r="E64" s="10" t="s">
        <v>17</v>
      </c>
      <c r="F64" s="10">
        <v>29</v>
      </c>
      <c r="G64" s="11">
        <v>8140200504</v>
      </c>
      <c r="H64" s="10" t="s">
        <v>189</v>
      </c>
      <c r="I64" s="10" t="s">
        <v>49</v>
      </c>
      <c r="J64" s="10" t="s">
        <v>106</v>
      </c>
      <c r="K64" s="12">
        <v>45993</v>
      </c>
      <c r="L64" s="15" t="s">
        <v>11</v>
      </c>
      <c r="M64" s="14"/>
      <c r="N64" s="14"/>
    </row>
    <row r="65" spans="1:14" ht="22.5" customHeight="1">
      <c r="A65" s="8">
        <v>45993.388035370372</v>
      </c>
      <c r="B65" s="9" t="s">
        <v>14</v>
      </c>
      <c r="C65" s="9" t="s">
        <v>15</v>
      </c>
      <c r="D65" s="9" t="s">
        <v>190</v>
      </c>
      <c r="E65" s="10" t="s">
        <v>22</v>
      </c>
      <c r="F65" s="18">
        <v>28</v>
      </c>
      <c r="G65" s="11">
        <v>7032129715</v>
      </c>
      <c r="H65" s="10" t="s">
        <v>191</v>
      </c>
      <c r="I65" s="10" t="s">
        <v>49</v>
      </c>
      <c r="J65" s="10" t="s">
        <v>192</v>
      </c>
      <c r="K65" s="12">
        <v>45993</v>
      </c>
      <c r="L65" s="15" t="s">
        <v>11</v>
      </c>
      <c r="M65" s="14"/>
      <c r="N65" s="14"/>
    </row>
    <row r="66" spans="1:14" ht="22.5" customHeight="1">
      <c r="A66" s="8">
        <v>45993.389600138893</v>
      </c>
      <c r="B66" s="9" t="s">
        <v>14</v>
      </c>
      <c r="C66" s="9" t="s">
        <v>15</v>
      </c>
      <c r="D66" s="9" t="s">
        <v>193</v>
      </c>
      <c r="E66" s="10" t="s">
        <v>17</v>
      </c>
      <c r="F66" s="10">
        <v>26</v>
      </c>
      <c r="G66" s="11">
        <v>9065466821</v>
      </c>
      <c r="H66" s="10" t="s">
        <v>194</v>
      </c>
      <c r="I66" s="10" t="s">
        <v>49</v>
      </c>
      <c r="J66" s="10" t="s">
        <v>106</v>
      </c>
      <c r="K66" s="12">
        <v>45993</v>
      </c>
      <c r="L66" s="15" t="s">
        <v>11</v>
      </c>
      <c r="M66" s="14"/>
      <c r="N66" s="14"/>
    </row>
    <row r="67" spans="1:14" ht="22.5" customHeight="1">
      <c r="A67" s="8">
        <v>45993.389922557872</v>
      </c>
      <c r="B67" s="9" t="s">
        <v>14</v>
      </c>
      <c r="C67" s="9" t="s">
        <v>15</v>
      </c>
      <c r="D67" s="9" t="s">
        <v>195</v>
      </c>
      <c r="E67" s="10" t="s">
        <v>17</v>
      </c>
      <c r="F67" s="10">
        <v>29</v>
      </c>
      <c r="G67" s="11">
        <v>9060885224</v>
      </c>
      <c r="H67" s="10" t="s">
        <v>196</v>
      </c>
      <c r="I67" s="10" t="s">
        <v>49</v>
      </c>
      <c r="J67" s="10" t="s">
        <v>197</v>
      </c>
      <c r="K67" s="12">
        <v>45993</v>
      </c>
      <c r="L67" s="15" t="s">
        <v>11</v>
      </c>
      <c r="M67" s="14"/>
      <c r="N67" s="14"/>
    </row>
    <row r="68" spans="1:14" ht="22.5" customHeight="1">
      <c r="A68" s="8">
        <v>45993.39110685185</v>
      </c>
      <c r="B68" s="9" t="s">
        <v>14</v>
      </c>
      <c r="C68" s="9" t="s">
        <v>15</v>
      </c>
      <c r="D68" s="9" t="s">
        <v>198</v>
      </c>
      <c r="E68" s="10" t="s">
        <v>17</v>
      </c>
      <c r="F68" s="10">
        <v>24</v>
      </c>
      <c r="G68" s="11">
        <v>9118140594</v>
      </c>
      <c r="H68" s="10" t="s">
        <v>199</v>
      </c>
      <c r="I68" s="10" t="s">
        <v>49</v>
      </c>
      <c r="J68" s="10" t="s">
        <v>160</v>
      </c>
      <c r="K68" s="12">
        <v>45993</v>
      </c>
      <c r="L68" s="15" t="s">
        <v>11</v>
      </c>
      <c r="M68" s="14"/>
      <c r="N68" s="14"/>
    </row>
    <row r="69" spans="1:14" ht="22.5" customHeight="1">
      <c r="A69" s="8">
        <v>45993.391697858795</v>
      </c>
      <c r="B69" s="9" t="s">
        <v>14</v>
      </c>
      <c r="C69" s="9" t="s">
        <v>15</v>
      </c>
      <c r="D69" s="9" t="s">
        <v>200</v>
      </c>
      <c r="E69" s="10" t="s">
        <v>17</v>
      </c>
      <c r="F69" s="10">
        <v>27</v>
      </c>
      <c r="G69" s="11">
        <f t="shared" ref="G69" si="4">2347062884108</f>
        <v>2347062884108</v>
      </c>
      <c r="H69" s="10" t="s">
        <v>201</v>
      </c>
      <c r="I69" s="10" t="s">
        <v>202</v>
      </c>
      <c r="J69" s="10" t="s">
        <v>203</v>
      </c>
      <c r="K69" s="12">
        <v>45993</v>
      </c>
      <c r="L69" s="15" t="s">
        <v>11</v>
      </c>
      <c r="M69" s="14"/>
      <c r="N69" s="14"/>
    </row>
    <row r="70" spans="1:14" ht="22.5" customHeight="1">
      <c r="A70" s="8">
        <v>45993.392569050928</v>
      </c>
      <c r="B70" s="9" t="s">
        <v>14</v>
      </c>
      <c r="C70" s="9" t="s">
        <v>15</v>
      </c>
      <c r="D70" s="9" t="s">
        <v>204</v>
      </c>
      <c r="E70" s="10" t="s">
        <v>22</v>
      </c>
      <c r="F70" s="10">
        <v>28</v>
      </c>
      <c r="G70" s="11">
        <v>8165674666</v>
      </c>
      <c r="H70" s="10" t="s">
        <v>205</v>
      </c>
      <c r="I70" s="10" t="s">
        <v>49</v>
      </c>
      <c r="J70" s="10" t="s">
        <v>50</v>
      </c>
      <c r="K70" s="12">
        <v>45993</v>
      </c>
      <c r="L70" s="15" t="s">
        <v>11</v>
      </c>
      <c r="M70" s="14"/>
      <c r="N70" s="14"/>
    </row>
    <row r="71" spans="1:14" ht="22.5" customHeight="1">
      <c r="A71" s="8">
        <v>45993.393142280096</v>
      </c>
      <c r="B71" s="9" t="s">
        <v>14</v>
      </c>
      <c r="C71" s="9" t="s">
        <v>15</v>
      </c>
      <c r="D71" s="9" t="s">
        <v>206</v>
      </c>
      <c r="E71" s="10" t="s">
        <v>22</v>
      </c>
      <c r="F71" s="10">
        <v>22</v>
      </c>
      <c r="G71" s="11">
        <v>7030852724</v>
      </c>
      <c r="H71" s="10" t="s">
        <v>207</v>
      </c>
      <c r="I71" s="10" t="s">
        <v>49</v>
      </c>
      <c r="J71" s="10" t="s">
        <v>208</v>
      </c>
      <c r="K71" s="12">
        <v>45669</v>
      </c>
      <c r="L71" s="15" t="s">
        <v>11</v>
      </c>
      <c r="M71" s="14"/>
      <c r="N71" s="14"/>
    </row>
    <row r="72" spans="1:14" ht="22.5" customHeight="1">
      <c r="A72" s="8">
        <v>45993.3959115162</v>
      </c>
      <c r="B72" s="9" t="s">
        <v>14</v>
      </c>
      <c r="C72" s="9" t="s">
        <v>15</v>
      </c>
      <c r="D72" s="9" t="s">
        <v>209</v>
      </c>
      <c r="E72" s="10" t="s">
        <v>17</v>
      </c>
      <c r="F72" s="10">
        <v>33</v>
      </c>
      <c r="G72" s="11">
        <v>7034873628</v>
      </c>
      <c r="H72" s="10" t="s">
        <v>210</v>
      </c>
      <c r="I72" s="10" t="s">
        <v>49</v>
      </c>
      <c r="J72" s="10" t="s">
        <v>50</v>
      </c>
      <c r="K72" s="12">
        <v>45993</v>
      </c>
      <c r="L72" s="15" t="s">
        <v>11</v>
      </c>
      <c r="M72" s="14"/>
      <c r="N72" s="14"/>
    </row>
    <row r="73" spans="1:14" ht="22.5" customHeight="1">
      <c r="A73" s="8">
        <v>45993.396778020833</v>
      </c>
      <c r="B73" s="9" t="s">
        <v>14</v>
      </c>
      <c r="C73" s="9" t="s">
        <v>15</v>
      </c>
      <c r="D73" s="9" t="s">
        <v>211</v>
      </c>
      <c r="E73" s="10" t="s">
        <v>17</v>
      </c>
      <c r="F73" s="10">
        <v>26</v>
      </c>
      <c r="G73" s="11">
        <v>8103720016</v>
      </c>
      <c r="H73" s="10" t="s">
        <v>212</v>
      </c>
      <c r="I73" s="10" t="s">
        <v>45</v>
      </c>
      <c r="J73" s="10" t="s">
        <v>46</v>
      </c>
      <c r="K73" s="12">
        <v>45993</v>
      </c>
      <c r="L73" s="15" t="s">
        <v>11</v>
      </c>
      <c r="M73" s="14"/>
      <c r="N73" s="14"/>
    </row>
    <row r="74" spans="1:14" ht="22.5" customHeight="1">
      <c r="A74" s="8">
        <v>45993.39762127315</v>
      </c>
      <c r="B74" s="9" t="s">
        <v>14</v>
      </c>
      <c r="C74" s="9" t="s">
        <v>15</v>
      </c>
      <c r="D74" s="9" t="s">
        <v>213</v>
      </c>
      <c r="E74" s="10" t="s">
        <v>17</v>
      </c>
      <c r="F74" s="10">
        <v>32</v>
      </c>
      <c r="G74" s="11">
        <v>7065569790</v>
      </c>
      <c r="H74" s="10" t="s">
        <v>214</v>
      </c>
      <c r="I74" s="10" t="s">
        <v>49</v>
      </c>
      <c r="J74" s="10" t="s">
        <v>215</v>
      </c>
      <c r="K74" s="12">
        <v>45993</v>
      </c>
      <c r="L74" s="15" t="s">
        <v>11</v>
      </c>
      <c r="M74" s="14"/>
      <c r="N74" s="14"/>
    </row>
    <row r="75" spans="1:14" ht="22.5" customHeight="1">
      <c r="A75" s="8">
        <v>45993.397837858793</v>
      </c>
      <c r="B75" s="9" t="s">
        <v>14</v>
      </c>
      <c r="C75" s="9" t="s">
        <v>15</v>
      </c>
      <c r="D75" s="9" t="s">
        <v>216</v>
      </c>
      <c r="E75" s="10" t="s">
        <v>17</v>
      </c>
      <c r="F75" s="10">
        <v>27</v>
      </c>
      <c r="G75" s="11">
        <v>8130129768</v>
      </c>
      <c r="H75" s="10" t="s">
        <v>217</v>
      </c>
      <c r="I75" s="10" t="s">
        <v>49</v>
      </c>
      <c r="J75" s="10" t="s">
        <v>218</v>
      </c>
      <c r="K75" s="12">
        <v>35991</v>
      </c>
      <c r="L75" s="15" t="s">
        <v>11</v>
      </c>
      <c r="M75" s="14"/>
      <c r="N75" s="14"/>
    </row>
    <row r="76" spans="1:14" ht="22.5" customHeight="1">
      <c r="A76" s="8">
        <v>45993.397903460645</v>
      </c>
      <c r="B76" s="9" t="s">
        <v>14</v>
      </c>
      <c r="C76" s="9" t="s">
        <v>15</v>
      </c>
      <c r="D76" s="9" t="s">
        <v>219</v>
      </c>
      <c r="E76" s="10" t="s">
        <v>17</v>
      </c>
      <c r="F76" s="10">
        <v>34</v>
      </c>
      <c r="G76" s="11">
        <v>7037949041</v>
      </c>
      <c r="H76" s="10" t="s">
        <v>220</v>
      </c>
      <c r="I76" s="10" t="s">
        <v>49</v>
      </c>
      <c r="J76" s="10" t="s">
        <v>160</v>
      </c>
      <c r="K76" s="12">
        <v>45993</v>
      </c>
      <c r="L76" s="15" t="s">
        <v>11</v>
      </c>
      <c r="M76" s="14"/>
      <c r="N76" s="14"/>
    </row>
    <row r="77" spans="1:14" ht="22.5" customHeight="1">
      <c r="A77" s="8">
        <v>45993.399206307869</v>
      </c>
      <c r="B77" s="9" t="s">
        <v>14</v>
      </c>
      <c r="C77" s="9" t="s">
        <v>15</v>
      </c>
      <c r="D77" s="9" t="s">
        <v>221</v>
      </c>
      <c r="E77" s="10" t="s">
        <v>17</v>
      </c>
      <c r="F77" s="10">
        <v>33</v>
      </c>
      <c r="G77" s="11">
        <v>8032907773</v>
      </c>
      <c r="H77" s="10" t="s">
        <v>222</v>
      </c>
      <c r="I77" s="10" t="s">
        <v>49</v>
      </c>
      <c r="J77" s="10" t="s">
        <v>223</v>
      </c>
      <c r="K77" s="12">
        <v>45993</v>
      </c>
      <c r="L77" s="15" t="s">
        <v>11</v>
      </c>
      <c r="M77" s="14"/>
      <c r="N77" s="14"/>
    </row>
    <row r="78" spans="1:14" ht="22.5" customHeight="1">
      <c r="A78" s="8">
        <v>45993.399936307869</v>
      </c>
      <c r="B78" s="9" t="s">
        <v>14</v>
      </c>
      <c r="C78" s="9" t="s">
        <v>15</v>
      </c>
      <c r="D78" s="9" t="s">
        <v>224</v>
      </c>
      <c r="E78" s="10" t="s">
        <v>17</v>
      </c>
      <c r="F78" s="10">
        <v>24</v>
      </c>
      <c r="G78" s="11">
        <v>8143525529</v>
      </c>
      <c r="H78" s="10" t="s">
        <v>225</v>
      </c>
      <c r="I78" s="10" t="s">
        <v>45</v>
      </c>
      <c r="J78" s="10" t="s">
        <v>226</v>
      </c>
      <c r="K78" s="12">
        <v>45993</v>
      </c>
      <c r="L78" s="15" t="s">
        <v>11</v>
      </c>
      <c r="M78" s="14"/>
      <c r="N78" s="14"/>
    </row>
    <row r="79" spans="1:14" ht="22.5" customHeight="1">
      <c r="A79" s="8">
        <v>45993.400197997689</v>
      </c>
      <c r="B79" s="9" t="s">
        <v>14</v>
      </c>
      <c r="C79" s="9" t="s">
        <v>15</v>
      </c>
      <c r="D79" s="9" t="s">
        <v>227</v>
      </c>
      <c r="E79" s="10" t="s">
        <v>17</v>
      </c>
      <c r="F79" s="10">
        <v>28</v>
      </c>
      <c r="G79" s="11">
        <v>8141256576</v>
      </c>
      <c r="H79" s="10" t="s">
        <v>228</v>
      </c>
      <c r="I79" s="10" t="s">
        <v>49</v>
      </c>
      <c r="J79" s="10" t="s">
        <v>229</v>
      </c>
      <c r="K79" s="12">
        <v>45993</v>
      </c>
      <c r="L79" s="15" t="s">
        <v>11</v>
      </c>
      <c r="M79" s="14"/>
      <c r="N79" s="14"/>
    </row>
    <row r="80" spans="1:14" ht="22.5" customHeight="1">
      <c r="A80" s="8">
        <v>45993.400368564813</v>
      </c>
      <c r="B80" s="9" t="s">
        <v>14</v>
      </c>
      <c r="C80" s="9" t="s">
        <v>15</v>
      </c>
      <c r="D80" s="9" t="s">
        <v>230</v>
      </c>
      <c r="E80" s="10" t="s">
        <v>17</v>
      </c>
      <c r="F80" s="10">
        <v>33</v>
      </c>
      <c r="G80" s="11">
        <v>8100436295</v>
      </c>
      <c r="H80" s="10" t="s">
        <v>231</v>
      </c>
      <c r="I80" s="10" t="s">
        <v>49</v>
      </c>
      <c r="J80" s="10" t="s">
        <v>232</v>
      </c>
      <c r="K80" s="12">
        <v>45993</v>
      </c>
      <c r="L80" s="15" t="s">
        <v>11</v>
      </c>
      <c r="M80" s="14"/>
      <c r="N80" s="14"/>
    </row>
    <row r="81" spans="1:20" ht="22.5" customHeight="1">
      <c r="A81" s="8">
        <v>45993.400978807869</v>
      </c>
      <c r="B81" s="9" t="s">
        <v>14</v>
      </c>
      <c r="C81" s="9" t="s">
        <v>15</v>
      </c>
      <c r="D81" s="9" t="s">
        <v>233</v>
      </c>
      <c r="E81" s="10" t="s">
        <v>17</v>
      </c>
      <c r="F81" s="10">
        <v>35</v>
      </c>
      <c r="G81" s="11">
        <v>9035577902</v>
      </c>
      <c r="H81" s="10" t="s">
        <v>234</v>
      </c>
      <c r="I81" s="10" t="s">
        <v>49</v>
      </c>
      <c r="J81" s="10" t="s">
        <v>229</v>
      </c>
      <c r="K81" s="12">
        <v>45993</v>
      </c>
      <c r="L81" s="15" t="s">
        <v>11</v>
      </c>
      <c r="M81" s="14"/>
      <c r="N81" s="14"/>
    </row>
    <row r="82" spans="1:20" ht="22.5" customHeight="1">
      <c r="A82" s="8">
        <v>45993.401851006944</v>
      </c>
      <c r="B82" s="9" t="s">
        <v>14</v>
      </c>
      <c r="C82" s="9" t="s">
        <v>15</v>
      </c>
      <c r="D82" s="9" t="s">
        <v>235</v>
      </c>
      <c r="E82" s="10" t="s">
        <v>17</v>
      </c>
      <c r="F82" s="19">
        <v>40</v>
      </c>
      <c r="G82" s="11">
        <v>7033186512</v>
      </c>
      <c r="H82" s="10" t="s">
        <v>236</v>
      </c>
      <c r="I82" s="10" t="s">
        <v>49</v>
      </c>
      <c r="J82" s="10" t="s">
        <v>160</v>
      </c>
      <c r="K82" s="12">
        <v>45993</v>
      </c>
      <c r="L82" s="15" t="s">
        <v>11</v>
      </c>
      <c r="M82" s="14"/>
      <c r="N82" s="14"/>
      <c r="O82" s="16"/>
      <c r="P82" s="17"/>
      <c r="Q82" s="17"/>
      <c r="R82" s="17"/>
      <c r="S82" s="17"/>
      <c r="T82" s="17"/>
    </row>
    <row r="83" spans="1:20" ht="22.5" customHeight="1">
      <c r="A83" s="8">
        <v>45993.402956504629</v>
      </c>
      <c r="B83" s="9" t="s">
        <v>14</v>
      </c>
      <c r="C83" s="9" t="s">
        <v>15</v>
      </c>
      <c r="D83" s="9" t="s">
        <v>237</v>
      </c>
      <c r="E83" s="10" t="s">
        <v>22</v>
      </c>
      <c r="F83" s="10">
        <v>29</v>
      </c>
      <c r="G83" s="11">
        <v>8068262571</v>
      </c>
      <c r="H83" s="10" t="s">
        <v>238</v>
      </c>
      <c r="I83" s="10" t="s">
        <v>49</v>
      </c>
      <c r="J83" s="10" t="s">
        <v>215</v>
      </c>
      <c r="K83" s="12">
        <v>45993</v>
      </c>
      <c r="L83" s="15" t="s">
        <v>11</v>
      </c>
      <c r="M83" s="14"/>
      <c r="N83" s="14"/>
      <c r="O83" s="16"/>
      <c r="P83" s="17"/>
      <c r="Q83" s="17"/>
      <c r="R83" s="17"/>
      <c r="S83" s="17"/>
      <c r="T83" s="17"/>
    </row>
    <row r="84" spans="1:20" ht="22.5" customHeight="1">
      <c r="A84" s="8">
        <v>45993.403674120374</v>
      </c>
      <c r="B84" s="9" t="s">
        <v>14</v>
      </c>
      <c r="C84" s="9" t="s">
        <v>15</v>
      </c>
      <c r="D84" s="9" t="s">
        <v>239</v>
      </c>
      <c r="E84" s="10" t="s">
        <v>17</v>
      </c>
      <c r="F84" s="10">
        <v>33</v>
      </c>
      <c r="G84" s="11">
        <v>7063186539</v>
      </c>
      <c r="H84" s="10" t="s">
        <v>240</v>
      </c>
      <c r="I84" s="10" t="s">
        <v>49</v>
      </c>
      <c r="J84" s="10" t="s">
        <v>50</v>
      </c>
      <c r="K84" s="12">
        <v>45993</v>
      </c>
      <c r="L84" s="15" t="s">
        <v>11</v>
      </c>
      <c r="M84" s="14"/>
      <c r="N84" s="14"/>
    </row>
    <row r="85" spans="1:20" ht="22.5" customHeight="1">
      <c r="A85" s="8">
        <v>45993.404034386578</v>
      </c>
      <c r="B85" s="9" t="s">
        <v>14</v>
      </c>
      <c r="C85" s="9" t="s">
        <v>15</v>
      </c>
      <c r="D85" s="9" t="s">
        <v>241</v>
      </c>
      <c r="E85" s="10" t="s">
        <v>17</v>
      </c>
      <c r="F85" s="10">
        <v>35</v>
      </c>
      <c r="G85" s="11">
        <v>8036534963</v>
      </c>
      <c r="H85" s="10" t="s">
        <v>242</v>
      </c>
      <c r="I85" s="10" t="s">
        <v>49</v>
      </c>
      <c r="J85" s="10" t="s">
        <v>106</v>
      </c>
      <c r="K85" s="12">
        <v>45993</v>
      </c>
      <c r="L85" s="15" t="s">
        <v>11</v>
      </c>
      <c r="M85" s="14"/>
      <c r="N85" s="14"/>
    </row>
    <row r="86" spans="1:20" ht="22.5" customHeight="1">
      <c r="A86" s="8">
        <v>45993.404128923612</v>
      </c>
      <c r="B86" s="9" t="s">
        <v>14</v>
      </c>
      <c r="C86" s="9" t="s">
        <v>15</v>
      </c>
      <c r="D86" s="9" t="s">
        <v>243</v>
      </c>
      <c r="E86" s="10" t="s">
        <v>17</v>
      </c>
      <c r="F86" s="10">
        <v>29</v>
      </c>
      <c r="G86" s="11">
        <v>9060885224</v>
      </c>
      <c r="H86" s="10" t="s">
        <v>196</v>
      </c>
      <c r="I86" s="10" t="s">
        <v>49</v>
      </c>
      <c r="J86" s="10" t="s">
        <v>197</v>
      </c>
      <c r="K86" s="12">
        <v>45993</v>
      </c>
      <c r="L86" s="15" t="s">
        <v>11</v>
      </c>
      <c r="M86" s="14"/>
      <c r="N86" s="14"/>
    </row>
    <row r="87" spans="1:20" ht="22.5" customHeight="1">
      <c r="A87" s="8">
        <v>45993.40554310185</v>
      </c>
      <c r="B87" s="9" t="s">
        <v>14</v>
      </c>
      <c r="C87" s="9" t="s">
        <v>15</v>
      </c>
      <c r="D87" s="9" t="s">
        <v>244</v>
      </c>
      <c r="E87" s="10" t="s">
        <v>17</v>
      </c>
      <c r="F87" s="10">
        <v>28</v>
      </c>
      <c r="G87" s="11">
        <v>8030481501</v>
      </c>
      <c r="H87" s="10" t="s">
        <v>245</v>
      </c>
      <c r="I87" s="10" t="s">
        <v>49</v>
      </c>
      <c r="J87" s="10" t="s">
        <v>246</v>
      </c>
      <c r="K87" s="12">
        <v>45993</v>
      </c>
      <c r="L87" s="15" t="s">
        <v>11</v>
      </c>
      <c r="M87" s="14"/>
      <c r="N87" s="14"/>
    </row>
    <row r="88" spans="1:20" ht="22.5" customHeight="1">
      <c r="A88" s="8">
        <v>45993.407251851851</v>
      </c>
      <c r="B88" s="9" t="s">
        <v>14</v>
      </c>
      <c r="C88" s="9" t="s">
        <v>15</v>
      </c>
      <c r="D88" s="9" t="s">
        <v>247</v>
      </c>
      <c r="E88" s="10" t="s">
        <v>17</v>
      </c>
      <c r="F88" s="10">
        <v>24</v>
      </c>
      <c r="G88" s="11">
        <v>8131147690</v>
      </c>
      <c r="H88" s="10" t="s">
        <v>248</v>
      </c>
      <c r="I88" s="10" t="s">
        <v>49</v>
      </c>
      <c r="J88" s="10" t="s">
        <v>50</v>
      </c>
      <c r="K88" s="12">
        <v>45993</v>
      </c>
      <c r="L88" s="15" t="s">
        <v>11</v>
      </c>
      <c r="M88" s="14"/>
      <c r="N88" s="14"/>
    </row>
    <row r="89" spans="1:20" ht="22.5" customHeight="1">
      <c r="A89" s="8">
        <v>45993.407401365737</v>
      </c>
      <c r="B89" s="9" t="s">
        <v>14</v>
      </c>
      <c r="C89" s="9" t="s">
        <v>15</v>
      </c>
      <c r="D89" s="9" t="s">
        <v>249</v>
      </c>
      <c r="E89" s="10" t="s">
        <v>17</v>
      </c>
      <c r="F89" s="10">
        <v>29</v>
      </c>
      <c r="G89" s="11">
        <v>8063150414</v>
      </c>
      <c r="H89" s="10" t="s">
        <v>250</v>
      </c>
      <c r="I89" s="10" t="s">
        <v>49</v>
      </c>
      <c r="J89" s="10" t="s">
        <v>246</v>
      </c>
      <c r="K89" s="12">
        <v>45993</v>
      </c>
      <c r="L89" s="15" t="s">
        <v>11</v>
      </c>
      <c r="M89" s="14"/>
      <c r="N89" s="14"/>
    </row>
    <row r="90" spans="1:20" ht="22.5" customHeight="1">
      <c r="A90" s="8">
        <v>45993.407473865736</v>
      </c>
      <c r="B90" s="9" t="s">
        <v>14</v>
      </c>
      <c r="C90" s="9" t="s">
        <v>15</v>
      </c>
      <c r="D90" s="9" t="s">
        <v>251</v>
      </c>
      <c r="E90" s="10" t="s">
        <v>17</v>
      </c>
      <c r="F90" s="10">
        <v>28</v>
      </c>
      <c r="G90" s="11">
        <v>9038436767</v>
      </c>
      <c r="H90" s="10" t="s">
        <v>252</v>
      </c>
      <c r="I90" s="10" t="s">
        <v>49</v>
      </c>
      <c r="J90" s="10" t="s">
        <v>253</v>
      </c>
      <c r="K90" s="12">
        <v>45993</v>
      </c>
      <c r="L90" s="15" t="s">
        <v>11</v>
      </c>
      <c r="M90" s="14"/>
      <c r="N90" s="14"/>
    </row>
    <row r="91" spans="1:20" ht="22.5" customHeight="1">
      <c r="A91" s="8">
        <v>45993.409185625002</v>
      </c>
      <c r="B91" s="9" t="s">
        <v>14</v>
      </c>
      <c r="C91" s="9" t="s">
        <v>15</v>
      </c>
      <c r="D91" s="9" t="s">
        <v>254</v>
      </c>
      <c r="E91" s="10" t="s">
        <v>17</v>
      </c>
      <c r="F91" s="10">
        <v>32</v>
      </c>
      <c r="G91" s="11">
        <v>7033186174</v>
      </c>
      <c r="H91" s="10" t="s">
        <v>255</v>
      </c>
      <c r="I91" s="10" t="s">
        <v>49</v>
      </c>
      <c r="J91" s="10" t="s">
        <v>160</v>
      </c>
      <c r="K91" s="12">
        <v>45993</v>
      </c>
      <c r="L91" s="15" t="s">
        <v>11</v>
      </c>
      <c r="M91" s="14"/>
      <c r="N91" s="14"/>
    </row>
    <row r="92" spans="1:20" ht="22.5" customHeight="1">
      <c r="A92" s="8">
        <v>45993.411774062501</v>
      </c>
      <c r="B92" s="9" t="s">
        <v>14</v>
      </c>
      <c r="C92" s="9" t="s">
        <v>15</v>
      </c>
      <c r="D92" s="9" t="s">
        <v>256</v>
      </c>
      <c r="E92" s="10" t="s">
        <v>17</v>
      </c>
      <c r="F92" s="10">
        <v>37</v>
      </c>
      <c r="G92" s="11">
        <v>7037668644</v>
      </c>
      <c r="H92" s="10" t="s">
        <v>257</v>
      </c>
      <c r="I92" s="10" t="s">
        <v>27</v>
      </c>
      <c r="J92" s="10" t="s">
        <v>258</v>
      </c>
      <c r="K92" s="12">
        <v>45993</v>
      </c>
      <c r="L92" s="15" t="s">
        <v>11</v>
      </c>
      <c r="M92" s="14"/>
      <c r="N92" s="14"/>
    </row>
    <row r="93" spans="1:20" ht="22.5" customHeight="1">
      <c r="A93" s="8">
        <v>45993.411841122681</v>
      </c>
      <c r="B93" s="9" t="s">
        <v>14</v>
      </c>
      <c r="C93" s="9" t="s">
        <v>15</v>
      </c>
      <c r="D93" s="9" t="s">
        <v>259</v>
      </c>
      <c r="E93" s="10" t="s">
        <v>17</v>
      </c>
      <c r="F93" s="10">
        <v>32</v>
      </c>
      <c r="G93" s="11">
        <v>9114011059</v>
      </c>
      <c r="H93" s="10" t="s">
        <v>260</v>
      </c>
      <c r="I93" s="10" t="s">
        <v>49</v>
      </c>
      <c r="J93" s="10" t="s">
        <v>103</v>
      </c>
      <c r="K93" s="12">
        <v>45993</v>
      </c>
      <c r="L93" s="15" t="s">
        <v>11</v>
      </c>
      <c r="M93" s="14"/>
      <c r="N93" s="14"/>
    </row>
    <row r="94" spans="1:20" ht="22.5" customHeight="1">
      <c r="A94" s="8">
        <v>45993.412472534721</v>
      </c>
      <c r="B94" s="9" t="s">
        <v>14</v>
      </c>
      <c r="C94" s="9" t="s">
        <v>15</v>
      </c>
      <c r="D94" s="9" t="s">
        <v>261</v>
      </c>
      <c r="E94" s="10" t="s">
        <v>17</v>
      </c>
      <c r="F94" s="10">
        <v>25</v>
      </c>
      <c r="G94" s="11">
        <v>8065682284</v>
      </c>
      <c r="H94" s="10" t="s">
        <v>262</v>
      </c>
      <c r="I94" s="10" t="s">
        <v>49</v>
      </c>
      <c r="J94" s="10" t="s">
        <v>106</v>
      </c>
      <c r="K94" s="12">
        <v>45993</v>
      </c>
      <c r="L94" s="15" t="s">
        <v>11</v>
      </c>
      <c r="M94" s="14"/>
      <c r="N94" s="14"/>
    </row>
    <row r="95" spans="1:20" ht="22.5" customHeight="1">
      <c r="A95" s="8">
        <v>45993.412774155091</v>
      </c>
      <c r="B95" s="9" t="s">
        <v>14</v>
      </c>
      <c r="C95" s="9" t="s">
        <v>15</v>
      </c>
      <c r="D95" s="9" t="s">
        <v>263</v>
      </c>
      <c r="E95" s="10" t="s">
        <v>17</v>
      </c>
      <c r="F95" s="10">
        <v>26</v>
      </c>
      <c r="G95" s="11">
        <v>8023700171</v>
      </c>
      <c r="H95" s="10" t="s">
        <v>264</v>
      </c>
      <c r="I95" s="10" t="s">
        <v>49</v>
      </c>
      <c r="J95" s="10" t="s">
        <v>50</v>
      </c>
      <c r="K95" s="12">
        <v>36481</v>
      </c>
      <c r="L95" s="15" t="s">
        <v>11</v>
      </c>
      <c r="M95" s="14"/>
      <c r="N95" s="14"/>
    </row>
    <row r="96" spans="1:20" ht="22.5" customHeight="1">
      <c r="A96" s="8">
        <v>45993.413024027774</v>
      </c>
      <c r="B96" s="9" t="s">
        <v>14</v>
      </c>
      <c r="C96" s="9" t="s">
        <v>15</v>
      </c>
      <c r="D96" s="9" t="s">
        <v>265</v>
      </c>
      <c r="E96" s="10" t="s">
        <v>17</v>
      </c>
      <c r="F96" s="10">
        <v>27</v>
      </c>
      <c r="G96" s="11">
        <v>8106140437</v>
      </c>
      <c r="H96" s="10" t="s">
        <v>266</v>
      </c>
      <c r="I96" s="10" t="s">
        <v>49</v>
      </c>
      <c r="J96" s="10" t="s">
        <v>229</v>
      </c>
      <c r="K96" s="12">
        <v>45993</v>
      </c>
      <c r="L96" s="15" t="s">
        <v>11</v>
      </c>
      <c r="M96" s="14"/>
      <c r="N96" s="14"/>
    </row>
    <row r="97" spans="1:20" ht="22.5" customHeight="1">
      <c r="A97" s="8">
        <v>45993.413365787041</v>
      </c>
      <c r="B97" s="9" t="s">
        <v>14</v>
      </c>
      <c r="C97" s="9" t="s">
        <v>15</v>
      </c>
      <c r="D97" s="9" t="s">
        <v>267</v>
      </c>
      <c r="E97" s="10" t="s">
        <v>17</v>
      </c>
      <c r="F97" s="10">
        <v>33</v>
      </c>
      <c r="G97" s="11">
        <v>8133867513</v>
      </c>
      <c r="H97" s="10" t="s">
        <v>268</v>
      </c>
      <c r="I97" s="10" t="s">
        <v>49</v>
      </c>
      <c r="J97" s="10" t="s">
        <v>215</v>
      </c>
      <c r="K97" s="12">
        <v>45993</v>
      </c>
      <c r="L97" s="15" t="s">
        <v>11</v>
      </c>
      <c r="M97" s="14"/>
      <c r="N97" s="14"/>
    </row>
    <row r="98" spans="1:20" ht="22.5" customHeight="1">
      <c r="A98" s="8">
        <v>45993.416289201385</v>
      </c>
      <c r="B98" s="9" t="s">
        <v>14</v>
      </c>
      <c r="C98" s="9" t="s">
        <v>15</v>
      </c>
      <c r="D98" s="9" t="s">
        <v>269</v>
      </c>
      <c r="E98" s="10" t="s">
        <v>17</v>
      </c>
      <c r="F98" s="10">
        <v>29</v>
      </c>
      <c r="G98" s="11">
        <v>7080186321</v>
      </c>
      <c r="H98" s="10" t="s">
        <v>270</v>
      </c>
      <c r="I98" s="10" t="s">
        <v>49</v>
      </c>
      <c r="J98" s="10" t="s">
        <v>160</v>
      </c>
      <c r="K98" s="12">
        <v>45993</v>
      </c>
      <c r="L98" s="15" t="s">
        <v>11</v>
      </c>
      <c r="M98" s="14"/>
      <c r="N98" s="14"/>
    </row>
    <row r="99" spans="1:20" ht="22.5" customHeight="1">
      <c r="A99" s="8">
        <v>45993.419231180553</v>
      </c>
      <c r="B99" s="9" t="s">
        <v>14</v>
      </c>
      <c r="C99" s="9" t="s">
        <v>15</v>
      </c>
      <c r="D99" s="9" t="s">
        <v>271</v>
      </c>
      <c r="E99" s="10" t="s">
        <v>17</v>
      </c>
      <c r="F99" s="10">
        <v>27</v>
      </c>
      <c r="G99" s="11">
        <v>8109843614</v>
      </c>
      <c r="H99" s="10" t="s">
        <v>272</v>
      </c>
      <c r="I99" s="10" t="s">
        <v>27</v>
      </c>
      <c r="J99" s="10" t="s">
        <v>70</v>
      </c>
      <c r="K99" s="12">
        <v>45993</v>
      </c>
      <c r="L99" s="15" t="s">
        <v>11</v>
      </c>
      <c r="M99" s="14"/>
      <c r="N99" s="14"/>
    </row>
    <row r="100" spans="1:20" ht="22.5" customHeight="1">
      <c r="A100" s="8">
        <v>45993.421304050928</v>
      </c>
      <c r="B100" s="9" t="s">
        <v>14</v>
      </c>
      <c r="C100" s="9" t="s">
        <v>15</v>
      </c>
      <c r="D100" s="9" t="s">
        <v>273</v>
      </c>
      <c r="E100" s="10" t="s">
        <v>17</v>
      </c>
      <c r="F100" s="18">
        <v>35</v>
      </c>
      <c r="G100" s="11">
        <v>7038344494</v>
      </c>
      <c r="H100" s="10" t="s">
        <v>274</v>
      </c>
      <c r="I100" s="10" t="s">
        <v>49</v>
      </c>
      <c r="J100" s="10" t="s">
        <v>50</v>
      </c>
      <c r="K100" s="12">
        <v>45993</v>
      </c>
      <c r="L100" s="15" t="s">
        <v>11</v>
      </c>
      <c r="M100" s="14"/>
      <c r="N100" s="14"/>
    </row>
    <row r="101" spans="1:20" ht="22.5" customHeight="1">
      <c r="A101" s="8">
        <v>45993.421326909724</v>
      </c>
      <c r="B101" s="9" t="s">
        <v>14</v>
      </c>
      <c r="C101" s="9" t="s">
        <v>15</v>
      </c>
      <c r="D101" s="9" t="s">
        <v>275</v>
      </c>
      <c r="E101" s="10" t="s">
        <v>17</v>
      </c>
      <c r="F101" s="10">
        <v>21</v>
      </c>
      <c r="G101" s="11">
        <v>8161333359</v>
      </c>
      <c r="H101" s="10" t="s">
        <v>276</v>
      </c>
      <c r="I101" s="10" t="s">
        <v>49</v>
      </c>
      <c r="J101" s="10" t="s">
        <v>106</v>
      </c>
      <c r="K101" s="12">
        <v>45993</v>
      </c>
      <c r="L101" s="15" t="s">
        <v>11</v>
      </c>
      <c r="M101" s="14"/>
      <c r="N101" s="14"/>
      <c r="O101" s="20"/>
      <c r="P101" s="21"/>
      <c r="Q101" s="21"/>
      <c r="R101" s="21"/>
      <c r="S101" s="21"/>
      <c r="T101" s="21"/>
    </row>
    <row r="102" spans="1:20" ht="22.5" customHeight="1">
      <c r="A102" s="8">
        <v>45993.421750312496</v>
      </c>
      <c r="B102" s="9" t="s">
        <v>14</v>
      </c>
      <c r="C102" s="9" t="s">
        <v>15</v>
      </c>
      <c r="D102" s="9" t="s">
        <v>277</v>
      </c>
      <c r="E102" s="10" t="s">
        <v>22</v>
      </c>
      <c r="F102" s="10">
        <v>27</v>
      </c>
      <c r="G102" s="11">
        <v>8136444561</v>
      </c>
      <c r="H102" s="10" t="s">
        <v>278</v>
      </c>
      <c r="I102" s="10" t="s">
        <v>45</v>
      </c>
      <c r="J102" s="10" t="s">
        <v>279</v>
      </c>
      <c r="K102" s="12">
        <v>45993</v>
      </c>
      <c r="L102" s="15" t="s">
        <v>11</v>
      </c>
      <c r="M102" s="14"/>
      <c r="N102" s="14"/>
      <c r="O102" s="16"/>
      <c r="P102" s="17"/>
      <c r="Q102" s="17"/>
      <c r="R102" s="17"/>
      <c r="S102" s="17"/>
      <c r="T102" s="17"/>
    </row>
    <row r="103" spans="1:20" ht="22.5" customHeight="1">
      <c r="A103" s="8">
        <v>45993.424074050927</v>
      </c>
      <c r="B103" s="9" t="s">
        <v>14</v>
      </c>
      <c r="C103" s="9" t="s">
        <v>15</v>
      </c>
      <c r="D103" s="9" t="s">
        <v>280</v>
      </c>
      <c r="E103" s="10" t="s">
        <v>17</v>
      </c>
      <c r="F103" s="10">
        <v>21</v>
      </c>
      <c r="G103" s="11">
        <v>9160196844</v>
      </c>
      <c r="H103" s="10" t="s">
        <v>281</v>
      </c>
      <c r="I103" s="10" t="s">
        <v>49</v>
      </c>
      <c r="J103" s="10" t="s">
        <v>282</v>
      </c>
      <c r="K103" s="12">
        <v>45993</v>
      </c>
      <c r="L103" s="15" t="s">
        <v>11</v>
      </c>
      <c r="M103" s="14"/>
      <c r="N103" s="14"/>
    </row>
    <row r="104" spans="1:20" ht="22.5" customHeight="1">
      <c r="A104" s="8">
        <v>45993.424691817127</v>
      </c>
      <c r="B104" s="9" t="s">
        <v>14</v>
      </c>
      <c r="C104" s="9" t="s">
        <v>15</v>
      </c>
      <c r="D104" s="9" t="s">
        <v>283</v>
      </c>
      <c r="E104" s="10" t="s">
        <v>22</v>
      </c>
      <c r="F104" s="10">
        <v>27</v>
      </c>
      <c r="G104" s="11">
        <v>8166375380</v>
      </c>
      <c r="H104" s="10" t="s">
        <v>284</v>
      </c>
      <c r="I104" s="10" t="s">
        <v>49</v>
      </c>
      <c r="J104" s="10" t="s">
        <v>160</v>
      </c>
      <c r="K104" s="12">
        <v>36079</v>
      </c>
      <c r="L104" s="15" t="s">
        <v>11</v>
      </c>
      <c r="M104" s="14"/>
      <c r="N104" s="14"/>
    </row>
    <row r="105" spans="1:20" ht="22.5" customHeight="1">
      <c r="A105" s="8">
        <v>45993.425184594904</v>
      </c>
      <c r="B105" s="9" t="s">
        <v>14</v>
      </c>
      <c r="C105" s="9" t="s">
        <v>15</v>
      </c>
      <c r="D105" s="9" t="s">
        <v>285</v>
      </c>
      <c r="E105" s="10" t="s">
        <v>17</v>
      </c>
      <c r="F105" s="10">
        <v>34</v>
      </c>
      <c r="G105" s="11">
        <v>703601219</v>
      </c>
      <c r="H105" s="10" t="s">
        <v>286</v>
      </c>
      <c r="I105" s="10" t="s">
        <v>45</v>
      </c>
      <c r="J105" s="10" t="s">
        <v>287</v>
      </c>
      <c r="K105" s="12">
        <v>45993</v>
      </c>
      <c r="L105" s="15" t="s">
        <v>11</v>
      </c>
      <c r="M105" s="14"/>
      <c r="N105" s="14"/>
    </row>
    <row r="106" spans="1:20" ht="22.5" customHeight="1">
      <c r="A106" s="8">
        <v>45993.42530393519</v>
      </c>
      <c r="B106" s="9" t="s">
        <v>14</v>
      </c>
      <c r="C106" s="9" t="s">
        <v>15</v>
      </c>
      <c r="D106" s="9" t="s">
        <v>230</v>
      </c>
      <c r="E106" s="10" t="s">
        <v>17</v>
      </c>
      <c r="F106" s="10">
        <v>33</v>
      </c>
      <c r="G106" s="11">
        <v>8100436295</v>
      </c>
      <c r="H106" s="10" t="s">
        <v>231</v>
      </c>
      <c r="I106" s="10" t="s">
        <v>49</v>
      </c>
      <c r="J106" s="10" t="s">
        <v>232</v>
      </c>
      <c r="K106" s="12">
        <v>45993</v>
      </c>
      <c r="L106" s="15" t="s">
        <v>11</v>
      </c>
      <c r="M106" s="14"/>
      <c r="N106" s="14"/>
    </row>
    <row r="107" spans="1:20" ht="22.5" customHeight="1">
      <c r="A107" s="8">
        <v>45993.426394363429</v>
      </c>
      <c r="B107" s="9" t="s">
        <v>14</v>
      </c>
      <c r="C107" s="9" t="s">
        <v>15</v>
      </c>
      <c r="D107" s="9" t="s">
        <v>288</v>
      </c>
      <c r="E107" s="10" t="s">
        <v>17</v>
      </c>
      <c r="F107" s="10">
        <v>30</v>
      </c>
      <c r="G107" s="11">
        <v>7037688081</v>
      </c>
      <c r="H107" s="10" t="s">
        <v>289</v>
      </c>
      <c r="I107" s="10" t="s">
        <v>49</v>
      </c>
      <c r="J107" s="10" t="s">
        <v>106</v>
      </c>
      <c r="K107" s="12">
        <v>45993</v>
      </c>
      <c r="L107" s="15" t="s">
        <v>11</v>
      </c>
      <c r="M107" s="14"/>
      <c r="N107" s="14"/>
    </row>
    <row r="108" spans="1:20" ht="22.5" customHeight="1">
      <c r="A108" s="8">
        <v>45993.428491967592</v>
      </c>
      <c r="B108" s="9" t="s">
        <v>14</v>
      </c>
      <c r="C108" s="9" t="s">
        <v>15</v>
      </c>
      <c r="D108" s="9" t="s">
        <v>290</v>
      </c>
      <c r="E108" s="10" t="s">
        <v>17</v>
      </c>
      <c r="F108" s="10">
        <v>25</v>
      </c>
      <c r="G108" s="11">
        <v>7067686916</v>
      </c>
      <c r="H108" s="10" t="s">
        <v>291</v>
      </c>
      <c r="I108" s="10" t="s">
        <v>49</v>
      </c>
      <c r="J108" s="10" t="s">
        <v>292</v>
      </c>
      <c r="K108" s="12">
        <v>45993</v>
      </c>
      <c r="L108" s="15" t="s">
        <v>11</v>
      </c>
      <c r="M108" s="14"/>
      <c r="N108" s="14"/>
    </row>
    <row r="109" spans="1:20" ht="22.5" customHeight="1">
      <c r="A109" s="8">
        <v>45993.429025451391</v>
      </c>
      <c r="B109" s="9" t="s">
        <v>14</v>
      </c>
      <c r="C109" s="9" t="s">
        <v>15</v>
      </c>
      <c r="D109" s="9" t="s">
        <v>293</v>
      </c>
      <c r="E109" s="10" t="s">
        <v>22</v>
      </c>
      <c r="F109" s="10">
        <v>24</v>
      </c>
      <c r="G109" s="11">
        <v>7037191955</v>
      </c>
      <c r="H109" s="10" t="s">
        <v>294</v>
      </c>
      <c r="I109" s="10" t="s">
        <v>49</v>
      </c>
      <c r="J109" s="10" t="s">
        <v>50</v>
      </c>
      <c r="K109" s="12">
        <v>45993</v>
      </c>
      <c r="L109" s="15" t="s">
        <v>11</v>
      </c>
      <c r="M109" s="14"/>
      <c r="N109" s="14"/>
    </row>
    <row r="110" spans="1:20" ht="22.5" customHeight="1">
      <c r="A110" s="8">
        <v>45993.429280775468</v>
      </c>
      <c r="B110" s="9" t="s">
        <v>14</v>
      </c>
      <c r="C110" s="9" t="s">
        <v>15</v>
      </c>
      <c r="D110" s="9" t="s">
        <v>295</v>
      </c>
      <c r="E110" s="10" t="s">
        <v>17</v>
      </c>
      <c r="F110" s="10">
        <v>26</v>
      </c>
      <c r="G110" s="11">
        <v>8085939313</v>
      </c>
      <c r="H110" s="10" t="s">
        <v>296</v>
      </c>
      <c r="I110" s="10" t="s">
        <v>49</v>
      </c>
      <c r="J110" s="10" t="s">
        <v>232</v>
      </c>
      <c r="K110" s="12">
        <v>45993</v>
      </c>
      <c r="L110" s="15" t="s">
        <v>11</v>
      </c>
      <c r="M110" s="14"/>
      <c r="N110" s="14"/>
    </row>
    <row r="111" spans="1:20" ht="22.5" customHeight="1">
      <c r="A111" s="8">
        <v>45993.432040902779</v>
      </c>
      <c r="B111" s="9" t="s">
        <v>14</v>
      </c>
      <c r="C111" s="9" t="s">
        <v>15</v>
      </c>
      <c r="D111" s="9" t="s">
        <v>297</v>
      </c>
      <c r="E111" s="10" t="s">
        <v>22</v>
      </c>
      <c r="F111" s="10">
        <v>28</v>
      </c>
      <c r="G111" s="11">
        <v>8142773047</v>
      </c>
      <c r="H111" s="10" t="s">
        <v>298</v>
      </c>
      <c r="I111" s="10" t="s">
        <v>45</v>
      </c>
      <c r="J111" s="10" t="s">
        <v>131</v>
      </c>
      <c r="K111" s="12">
        <v>45992</v>
      </c>
      <c r="L111" s="15" t="s">
        <v>11</v>
      </c>
      <c r="M111" s="14"/>
      <c r="N111" s="14"/>
    </row>
    <row r="112" spans="1:20" ht="22.5" customHeight="1">
      <c r="A112" s="8">
        <v>45993.432480706018</v>
      </c>
      <c r="B112" s="9" t="s">
        <v>14</v>
      </c>
      <c r="C112" s="9" t="s">
        <v>15</v>
      </c>
      <c r="D112" s="9" t="s">
        <v>299</v>
      </c>
      <c r="E112" s="10" t="s">
        <v>17</v>
      </c>
      <c r="F112" s="10">
        <v>24</v>
      </c>
      <c r="G112" s="11">
        <v>8148442738</v>
      </c>
      <c r="H112" s="10" t="s">
        <v>300</v>
      </c>
      <c r="I112" s="10" t="s">
        <v>49</v>
      </c>
      <c r="J112" s="10" t="s">
        <v>160</v>
      </c>
      <c r="K112" s="12">
        <v>45993</v>
      </c>
      <c r="L112" s="15" t="s">
        <v>11</v>
      </c>
      <c r="M112" s="14"/>
      <c r="N112" s="14"/>
    </row>
    <row r="113" spans="1:20" ht="22.5" customHeight="1">
      <c r="A113" s="8">
        <v>45993.434408136571</v>
      </c>
      <c r="B113" s="9" t="s">
        <v>14</v>
      </c>
      <c r="C113" s="9" t="s">
        <v>15</v>
      </c>
      <c r="D113" s="9" t="s">
        <v>301</v>
      </c>
      <c r="E113" s="10" t="s">
        <v>17</v>
      </c>
      <c r="F113" s="10">
        <v>35</v>
      </c>
      <c r="G113" s="11">
        <v>9166644913</v>
      </c>
      <c r="H113" s="10" t="s">
        <v>302</v>
      </c>
      <c r="I113" s="10" t="s">
        <v>49</v>
      </c>
      <c r="J113" s="10" t="s">
        <v>303</v>
      </c>
      <c r="K113" s="12">
        <v>45993</v>
      </c>
      <c r="L113" s="15" t="s">
        <v>11</v>
      </c>
      <c r="M113" s="14"/>
      <c r="N113" s="14"/>
    </row>
    <row r="114" spans="1:20" ht="22.5" customHeight="1">
      <c r="A114" s="8">
        <v>45993.436312743055</v>
      </c>
      <c r="B114" s="9" t="s">
        <v>14</v>
      </c>
      <c r="C114" s="9" t="s">
        <v>15</v>
      </c>
      <c r="D114" s="9" t="s">
        <v>304</v>
      </c>
      <c r="E114" s="10" t="s">
        <v>17</v>
      </c>
      <c r="F114" s="10">
        <v>25</v>
      </c>
      <c r="G114" s="11">
        <v>8149374863</v>
      </c>
      <c r="H114" s="10" t="s">
        <v>305</v>
      </c>
      <c r="I114" s="10" t="s">
        <v>45</v>
      </c>
      <c r="J114" s="10" t="s">
        <v>306</v>
      </c>
      <c r="K114" s="12">
        <v>45993</v>
      </c>
      <c r="L114" s="15" t="s">
        <v>11</v>
      </c>
      <c r="M114" s="14"/>
      <c r="N114" s="14"/>
    </row>
    <row r="115" spans="1:20" ht="22.5" customHeight="1">
      <c r="A115" s="8">
        <v>45993.436481377314</v>
      </c>
      <c r="B115" s="9" t="s">
        <v>14</v>
      </c>
      <c r="C115" s="9" t="s">
        <v>15</v>
      </c>
      <c r="D115" s="9" t="s">
        <v>307</v>
      </c>
      <c r="E115" s="10" t="s">
        <v>17</v>
      </c>
      <c r="F115" s="10">
        <v>27</v>
      </c>
      <c r="G115" s="11">
        <v>8139190705</v>
      </c>
      <c r="H115" s="10" t="s">
        <v>308</v>
      </c>
      <c r="I115" s="10" t="s">
        <v>27</v>
      </c>
      <c r="J115" s="10" t="s">
        <v>70</v>
      </c>
      <c r="K115" s="12">
        <v>45993</v>
      </c>
      <c r="L115" s="15" t="s">
        <v>11</v>
      </c>
      <c r="M115" s="14"/>
      <c r="N115" s="14"/>
    </row>
    <row r="116" spans="1:20" ht="22.5" customHeight="1">
      <c r="A116" s="8">
        <v>45993.436558460649</v>
      </c>
      <c r="B116" s="9" t="s">
        <v>14</v>
      </c>
      <c r="C116" s="9" t="s">
        <v>15</v>
      </c>
      <c r="D116" s="9" t="s">
        <v>309</v>
      </c>
      <c r="E116" s="10" t="s">
        <v>17</v>
      </c>
      <c r="F116" s="10">
        <v>30</v>
      </c>
      <c r="G116" s="11">
        <v>7014349596</v>
      </c>
      <c r="H116" s="10" t="s">
        <v>310</v>
      </c>
      <c r="I116" s="10" t="s">
        <v>49</v>
      </c>
      <c r="J116" s="10" t="s">
        <v>208</v>
      </c>
      <c r="K116" s="12">
        <v>45993</v>
      </c>
      <c r="L116" s="15" t="s">
        <v>11</v>
      </c>
      <c r="M116" s="14"/>
      <c r="N116" s="14"/>
    </row>
    <row r="117" spans="1:20" ht="22.5" customHeight="1">
      <c r="A117" s="8">
        <v>45993.43813130787</v>
      </c>
      <c r="B117" s="9" t="s">
        <v>14</v>
      </c>
      <c r="C117" s="9" t="s">
        <v>15</v>
      </c>
      <c r="D117" s="9" t="s">
        <v>311</v>
      </c>
      <c r="E117" s="10" t="s">
        <v>17</v>
      </c>
      <c r="F117" s="10">
        <v>29</v>
      </c>
      <c r="G117" s="11">
        <v>8101738428</v>
      </c>
      <c r="H117" s="10" t="s">
        <v>312</v>
      </c>
      <c r="I117" s="10" t="s">
        <v>49</v>
      </c>
      <c r="J117" s="10" t="s">
        <v>106</v>
      </c>
      <c r="K117" s="12">
        <v>45993</v>
      </c>
      <c r="L117" s="15" t="s">
        <v>11</v>
      </c>
      <c r="M117" s="14"/>
      <c r="N117" s="14"/>
    </row>
    <row r="118" spans="1:20" ht="22.5" customHeight="1">
      <c r="A118" s="8">
        <v>45993.4415443287</v>
      </c>
      <c r="B118" s="9" t="s">
        <v>14</v>
      </c>
      <c r="C118" s="9" t="s">
        <v>15</v>
      </c>
      <c r="D118" s="9" t="s">
        <v>313</v>
      </c>
      <c r="E118" s="10" t="s">
        <v>22</v>
      </c>
      <c r="F118" s="10">
        <v>25</v>
      </c>
      <c r="G118" s="11">
        <v>8145545104</v>
      </c>
      <c r="H118" s="10" t="s">
        <v>314</v>
      </c>
      <c r="I118" s="10" t="s">
        <v>49</v>
      </c>
      <c r="J118" s="10" t="s">
        <v>50</v>
      </c>
      <c r="K118" s="12">
        <v>45993</v>
      </c>
      <c r="L118" s="15" t="s">
        <v>11</v>
      </c>
      <c r="M118" s="14"/>
      <c r="N118" s="14"/>
    </row>
    <row r="119" spans="1:20" ht="22.5" customHeight="1">
      <c r="A119" s="8">
        <v>45993.441777824075</v>
      </c>
      <c r="B119" s="9" t="s">
        <v>14</v>
      </c>
      <c r="C119" s="9" t="s">
        <v>15</v>
      </c>
      <c r="D119" s="9" t="s">
        <v>315</v>
      </c>
      <c r="E119" s="10" t="s">
        <v>17</v>
      </c>
      <c r="F119" s="10">
        <v>30</v>
      </c>
      <c r="G119" s="11">
        <v>9160766658</v>
      </c>
      <c r="H119" s="10" t="s">
        <v>316</v>
      </c>
      <c r="I119" s="10" t="s">
        <v>49</v>
      </c>
      <c r="J119" s="10" t="s">
        <v>160</v>
      </c>
      <c r="K119" s="12">
        <v>45993</v>
      </c>
      <c r="L119" s="15" t="s">
        <v>11</v>
      </c>
      <c r="M119" s="14"/>
      <c r="N119" s="14"/>
    </row>
    <row r="120" spans="1:20" ht="22.5" customHeight="1">
      <c r="A120" s="8">
        <v>45993.44456822917</v>
      </c>
      <c r="B120" s="9" t="s">
        <v>14</v>
      </c>
      <c r="C120" s="9" t="s">
        <v>15</v>
      </c>
      <c r="D120" s="9" t="s">
        <v>317</v>
      </c>
      <c r="E120" s="10" t="s">
        <v>17</v>
      </c>
      <c r="F120" s="10">
        <v>31</v>
      </c>
      <c r="G120" s="11">
        <v>8038857865</v>
      </c>
      <c r="H120" s="10" t="s">
        <v>318</v>
      </c>
      <c r="I120" s="10" t="s">
        <v>49</v>
      </c>
      <c r="J120" s="10" t="s">
        <v>319</v>
      </c>
      <c r="K120" s="12">
        <v>45993</v>
      </c>
      <c r="L120" s="15" t="s">
        <v>11</v>
      </c>
      <c r="M120" s="14"/>
      <c r="N120" s="14"/>
    </row>
    <row r="121" spans="1:20" ht="22.5" customHeight="1">
      <c r="A121" s="8">
        <v>45993.44498818287</v>
      </c>
      <c r="B121" s="9" t="s">
        <v>14</v>
      </c>
      <c r="C121" s="9" t="s">
        <v>15</v>
      </c>
      <c r="D121" s="9" t="s">
        <v>320</v>
      </c>
      <c r="E121" s="10" t="s">
        <v>22</v>
      </c>
      <c r="F121" s="10">
        <v>20</v>
      </c>
      <c r="G121" s="11">
        <v>8121944573</v>
      </c>
      <c r="H121" s="10" t="s">
        <v>321</v>
      </c>
      <c r="I121" s="10" t="s">
        <v>49</v>
      </c>
      <c r="J121" s="10" t="s">
        <v>50</v>
      </c>
      <c r="K121" s="12">
        <v>45993</v>
      </c>
      <c r="L121" s="15" t="s">
        <v>11</v>
      </c>
      <c r="M121" s="14"/>
      <c r="N121" s="14"/>
    </row>
    <row r="122" spans="1:20" ht="22.5" customHeight="1">
      <c r="A122" s="8">
        <v>45993.445890787036</v>
      </c>
      <c r="B122" s="9" t="s">
        <v>14</v>
      </c>
      <c r="C122" s="9" t="s">
        <v>15</v>
      </c>
      <c r="D122" s="9" t="s">
        <v>322</v>
      </c>
      <c r="E122" s="10" t="s">
        <v>17</v>
      </c>
      <c r="F122" s="10">
        <v>30</v>
      </c>
      <c r="G122" s="11">
        <v>8168139004</v>
      </c>
      <c r="H122" s="10" t="s">
        <v>323</v>
      </c>
      <c r="I122" s="10" t="s">
        <v>49</v>
      </c>
      <c r="J122" s="10" t="s">
        <v>282</v>
      </c>
      <c r="K122" s="12">
        <v>45993</v>
      </c>
      <c r="L122" s="15" t="s">
        <v>11</v>
      </c>
      <c r="M122" s="14"/>
      <c r="N122" s="14"/>
    </row>
    <row r="123" spans="1:20" ht="22.5" customHeight="1">
      <c r="A123" s="8">
        <v>45993.450234004631</v>
      </c>
      <c r="B123" s="9" t="s">
        <v>14</v>
      </c>
      <c r="C123" s="9" t="s">
        <v>15</v>
      </c>
      <c r="D123" s="9" t="s">
        <v>324</v>
      </c>
      <c r="E123" s="10" t="s">
        <v>17</v>
      </c>
      <c r="F123" s="10">
        <v>37</v>
      </c>
      <c r="G123" s="11">
        <v>8063337004</v>
      </c>
      <c r="H123" s="10" t="s">
        <v>325</v>
      </c>
      <c r="I123" s="10" t="s">
        <v>49</v>
      </c>
      <c r="J123" s="10" t="s">
        <v>326</v>
      </c>
      <c r="K123" s="12">
        <v>45993</v>
      </c>
      <c r="L123" s="15" t="s">
        <v>11</v>
      </c>
      <c r="M123" s="14"/>
      <c r="N123" s="14"/>
      <c r="O123" s="16"/>
      <c r="P123" s="17"/>
      <c r="Q123" s="17"/>
      <c r="R123" s="17"/>
      <c r="S123" s="17"/>
      <c r="T123" s="17"/>
    </row>
    <row r="124" spans="1:20" ht="22.5" customHeight="1">
      <c r="A124" s="8">
        <v>45993.452045300925</v>
      </c>
      <c r="B124" s="9" t="s">
        <v>14</v>
      </c>
      <c r="C124" s="9" t="s">
        <v>15</v>
      </c>
      <c r="D124" s="9" t="s">
        <v>327</v>
      </c>
      <c r="E124" s="10" t="s">
        <v>17</v>
      </c>
      <c r="F124" s="10">
        <v>24</v>
      </c>
      <c r="G124" s="11">
        <v>8138781527</v>
      </c>
      <c r="H124" s="10" t="s">
        <v>328</v>
      </c>
      <c r="I124" s="10" t="s">
        <v>49</v>
      </c>
      <c r="J124" s="10" t="s">
        <v>157</v>
      </c>
      <c r="K124" s="12">
        <v>45993</v>
      </c>
      <c r="L124" s="15" t="s">
        <v>11</v>
      </c>
      <c r="M124" s="14"/>
      <c r="N124" s="14"/>
    </row>
    <row r="125" spans="1:20" ht="22.5" customHeight="1">
      <c r="A125" s="8">
        <v>45993.45338579861</v>
      </c>
      <c r="B125" s="9" t="s">
        <v>14</v>
      </c>
      <c r="C125" s="9" t="s">
        <v>15</v>
      </c>
      <c r="D125" s="9" t="s">
        <v>329</v>
      </c>
      <c r="E125" s="10" t="s">
        <v>17</v>
      </c>
      <c r="F125" s="10">
        <v>35</v>
      </c>
      <c r="G125" s="11">
        <v>7063752387</v>
      </c>
      <c r="H125" s="10" t="s">
        <v>330</v>
      </c>
      <c r="I125" s="10" t="s">
        <v>49</v>
      </c>
      <c r="J125" s="10" t="s">
        <v>160</v>
      </c>
      <c r="K125" s="12">
        <v>45993</v>
      </c>
      <c r="L125" s="15" t="s">
        <v>11</v>
      </c>
      <c r="M125" s="14"/>
      <c r="N125" s="14"/>
    </row>
    <row r="126" spans="1:20" ht="22.5" customHeight="1">
      <c r="A126" s="8">
        <v>45993.454255231482</v>
      </c>
      <c r="B126" s="9" t="s">
        <v>14</v>
      </c>
      <c r="C126" s="9" t="s">
        <v>15</v>
      </c>
      <c r="D126" s="9" t="s">
        <v>331</v>
      </c>
      <c r="E126" s="10" t="s">
        <v>17</v>
      </c>
      <c r="F126" s="10">
        <v>32</v>
      </c>
      <c r="G126" s="11">
        <v>8139632386</v>
      </c>
      <c r="H126" s="10" t="s">
        <v>332</v>
      </c>
      <c r="I126" s="10" t="s">
        <v>27</v>
      </c>
      <c r="J126" s="10" t="s">
        <v>172</v>
      </c>
      <c r="K126" s="12">
        <v>45993</v>
      </c>
      <c r="L126" s="15" t="s">
        <v>11</v>
      </c>
      <c r="M126" s="14"/>
      <c r="N126" s="14"/>
    </row>
    <row r="127" spans="1:20" ht="22.5" customHeight="1">
      <c r="A127" s="8">
        <v>45993.454371655098</v>
      </c>
      <c r="B127" s="9" t="s">
        <v>14</v>
      </c>
      <c r="C127" s="9" t="s">
        <v>15</v>
      </c>
      <c r="D127" s="9" t="s">
        <v>333</v>
      </c>
      <c r="E127" s="10" t="s">
        <v>17</v>
      </c>
      <c r="F127" s="10">
        <v>28</v>
      </c>
      <c r="G127" s="11">
        <v>9030892565</v>
      </c>
      <c r="H127" s="10" t="s">
        <v>334</v>
      </c>
      <c r="I127" s="10" t="s">
        <v>49</v>
      </c>
      <c r="J127" s="10" t="s">
        <v>103</v>
      </c>
      <c r="K127" s="12">
        <v>45993</v>
      </c>
      <c r="L127" s="15" t="s">
        <v>11</v>
      </c>
      <c r="M127" s="14"/>
      <c r="N127" s="14"/>
    </row>
    <row r="128" spans="1:20" ht="22.5" customHeight="1">
      <c r="A128" s="8">
        <v>45993.454630624998</v>
      </c>
      <c r="B128" s="9" t="s">
        <v>14</v>
      </c>
      <c r="C128" s="9" t="s">
        <v>15</v>
      </c>
      <c r="D128" s="9" t="s">
        <v>335</v>
      </c>
      <c r="E128" s="10" t="s">
        <v>17</v>
      </c>
      <c r="F128" s="10">
        <v>30</v>
      </c>
      <c r="G128" s="11">
        <v>9032666945</v>
      </c>
      <c r="H128" s="10" t="s">
        <v>336</v>
      </c>
      <c r="I128" s="10" t="s">
        <v>49</v>
      </c>
      <c r="J128" s="10" t="s">
        <v>282</v>
      </c>
      <c r="K128" s="12">
        <v>45993</v>
      </c>
      <c r="L128" s="15" t="s">
        <v>11</v>
      </c>
      <c r="M128" s="14"/>
      <c r="N128" s="14"/>
    </row>
    <row r="129" spans="1:14" ht="22.5" customHeight="1">
      <c r="A129" s="8">
        <v>45993.455912766207</v>
      </c>
      <c r="B129" s="9" t="s">
        <v>14</v>
      </c>
      <c r="C129" s="9" t="s">
        <v>15</v>
      </c>
      <c r="D129" s="9" t="s">
        <v>337</v>
      </c>
      <c r="E129" s="10" t="s">
        <v>17</v>
      </c>
      <c r="F129" s="10">
        <v>39</v>
      </c>
      <c r="G129" s="11">
        <v>8136794614</v>
      </c>
      <c r="H129" s="10" t="s">
        <v>338</v>
      </c>
      <c r="I129" s="10" t="s">
        <v>45</v>
      </c>
      <c r="J129" s="10" t="s">
        <v>339</v>
      </c>
      <c r="K129" s="12">
        <v>45993</v>
      </c>
      <c r="L129" s="15" t="s">
        <v>11</v>
      </c>
      <c r="M129" s="14"/>
      <c r="N129" s="14"/>
    </row>
    <row r="130" spans="1:14" ht="22.5" customHeight="1">
      <c r="A130" s="8">
        <v>45993.457946354167</v>
      </c>
      <c r="B130" s="9" t="s">
        <v>14</v>
      </c>
      <c r="C130" s="9" t="s">
        <v>15</v>
      </c>
      <c r="D130" s="9" t="s">
        <v>340</v>
      </c>
      <c r="E130" s="10" t="s">
        <v>17</v>
      </c>
      <c r="F130" s="10">
        <v>25</v>
      </c>
      <c r="G130" s="11">
        <v>8147798808</v>
      </c>
      <c r="H130" s="10" t="s">
        <v>341</v>
      </c>
      <c r="I130" s="10" t="s">
        <v>49</v>
      </c>
      <c r="J130" s="10" t="s">
        <v>160</v>
      </c>
      <c r="K130" s="12">
        <v>45993</v>
      </c>
      <c r="L130" s="15" t="s">
        <v>11</v>
      </c>
      <c r="M130" s="14"/>
      <c r="N130" s="14"/>
    </row>
    <row r="131" spans="1:14" ht="22.5" customHeight="1">
      <c r="A131" s="8">
        <v>45993.458436064815</v>
      </c>
      <c r="B131" s="9" t="s">
        <v>14</v>
      </c>
      <c r="C131" s="9" t="s">
        <v>15</v>
      </c>
      <c r="D131" s="9" t="s">
        <v>342</v>
      </c>
      <c r="E131" s="10" t="s">
        <v>17</v>
      </c>
      <c r="F131" s="10">
        <v>33</v>
      </c>
      <c r="G131" s="11">
        <v>7032692572</v>
      </c>
      <c r="H131" s="10" t="s">
        <v>343</v>
      </c>
      <c r="I131" s="10" t="s">
        <v>27</v>
      </c>
      <c r="J131" s="10" t="s">
        <v>28</v>
      </c>
      <c r="K131" s="12">
        <v>45993</v>
      </c>
      <c r="L131" s="15" t="s">
        <v>11</v>
      </c>
      <c r="M131" s="14"/>
      <c r="N131" s="14"/>
    </row>
    <row r="132" spans="1:14" ht="22.5" customHeight="1">
      <c r="A132" s="8">
        <v>45993.458870833332</v>
      </c>
      <c r="B132" s="9" t="s">
        <v>14</v>
      </c>
      <c r="C132" s="9" t="s">
        <v>15</v>
      </c>
      <c r="D132" s="9" t="s">
        <v>344</v>
      </c>
      <c r="E132" s="10" t="s">
        <v>22</v>
      </c>
      <c r="F132" s="19">
        <v>18</v>
      </c>
      <c r="G132" s="11">
        <v>7048145599</v>
      </c>
      <c r="H132" s="10" t="s">
        <v>345</v>
      </c>
      <c r="I132" s="10" t="s">
        <v>45</v>
      </c>
      <c r="J132" s="10" t="s">
        <v>346</v>
      </c>
      <c r="K132" s="12">
        <v>45993</v>
      </c>
      <c r="L132" s="15" t="s">
        <v>11</v>
      </c>
      <c r="M132" s="14"/>
      <c r="N132" s="14"/>
    </row>
    <row r="133" spans="1:14" ht="22.5" customHeight="1">
      <c r="A133" s="8">
        <v>45993.460525196759</v>
      </c>
      <c r="B133" s="9" t="s">
        <v>14</v>
      </c>
      <c r="C133" s="9" t="s">
        <v>15</v>
      </c>
      <c r="D133" s="9" t="s">
        <v>230</v>
      </c>
      <c r="E133" s="10" t="s">
        <v>17</v>
      </c>
      <c r="F133" s="10">
        <v>33</v>
      </c>
      <c r="G133" s="11">
        <v>8100436295</v>
      </c>
      <c r="H133" s="10" t="s">
        <v>231</v>
      </c>
      <c r="I133" s="10" t="s">
        <v>49</v>
      </c>
      <c r="J133" s="10" t="s">
        <v>232</v>
      </c>
      <c r="K133" s="12">
        <v>45993</v>
      </c>
      <c r="L133" s="15" t="s">
        <v>11</v>
      </c>
      <c r="M133" s="14"/>
      <c r="N133" s="14"/>
    </row>
    <row r="134" spans="1:14" ht="22.5" customHeight="1">
      <c r="A134" s="8">
        <v>45993.460770104168</v>
      </c>
      <c r="B134" s="9" t="s">
        <v>14</v>
      </c>
      <c r="C134" s="9" t="s">
        <v>15</v>
      </c>
      <c r="D134" s="9" t="s">
        <v>347</v>
      </c>
      <c r="E134" s="10" t="s">
        <v>17</v>
      </c>
      <c r="F134" s="10">
        <v>25</v>
      </c>
      <c r="G134" s="11">
        <v>9020670852</v>
      </c>
      <c r="H134" s="10" t="s">
        <v>348</v>
      </c>
      <c r="I134" s="10" t="s">
        <v>49</v>
      </c>
      <c r="J134" s="10" t="s">
        <v>103</v>
      </c>
      <c r="K134" s="12">
        <v>45993</v>
      </c>
      <c r="L134" s="15" t="s">
        <v>11</v>
      </c>
      <c r="M134" s="14"/>
      <c r="N134" s="14"/>
    </row>
    <row r="135" spans="1:14" ht="22.5" customHeight="1">
      <c r="A135" s="8">
        <v>45993.463104259259</v>
      </c>
      <c r="B135" s="9" t="s">
        <v>14</v>
      </c>
      <c r="C135" s="9" t="s">
        <v>15</v>
      </c>
      <c r="D135" s="9" t="s">
        <v>349</v>
      </c>
      <c r="E135" s="10" t="s">
        <v>17</v>
      </c>
      <c r="F135" s="10">
        <v>33</v>
      </c>
      <c r="G135" s="11">
        <v>8032887486</v>
      </c>
      <c r="H135" s="10" t="s">
        <v>350</v>
      </c>
      <c r="I135" s="10" t="s">
        <v>49</v>
      </c>
      <c r="J135" s="10" t="s">
        <v>246</v>
      </c>
      <c r="K135" s="12">
        <v>45993</v>
      </c>
      <c r="L135" s="15" t="s">
        <v>11</v>
      </c>
      <c r="M135" s="14"/>
      <c r="N135" s="14"/>
    </row>
    <row r="136" spans="1:14" ht="22.5" customHeight="1">
      <c r="A136" s="8">
        <v>45993.464223946758</v>
      </c>
      <c r="B136" s="9" t="s">
        <v>14</v>
      </c>
      <c r="C136" s="9" t="s">
        <v>15</v>
      </c>
      <c r="D136" s="9" t="s">
        <v>351</v>
      </c>
      <c r="E136" s="10" t="s">
        <v>17</v>
      </c>
      <c r="F136" s="10">
        <v>24</v>
      </c>
      <c r="G136" s="11">
        <v>7032381721</v>
      </c>
      <c r="H136" s="10" t="s">
        <v>352</v>
      </c>
      <c r="I136" s="10" t="s">
        <v>27</v>
      </c>
      <c r="J136" s="10" t="s">
        <v>353</v>
      </c>
      <c r="K136" s="12">
        <v>45993</v>
      </c>
      <c r="L136" s="15" t="s">
        <v>11</v>
      </c>
      <c r="M136" s="14"/>
      <c r="N136" s="14"/>
    </row>
    <row r="137" spans="1:14" ht="22.5" customHeight="1">
      <c r="A137" s="8">
        <v>45993.466245428237</v>
      </c>
      <c r="B137" s="9" t="s">
        <v>14</v>
      </c>
      <c r="C137" s="9" t="s">
        <v>15</v>
      </c>
      <c r="D137" s="9" t="s">
        <v>354</v>
      </c>
      <c r="E137" s="10" t="s">
        <v>22</v>
      </c>
      <c r="F137" s="10">
        <v>29</v>
      </c>
      <c r="G137" s="11">
        <v>8135379245</v>
      </c>
      <c r="H137" s="10" t="s">
        <v>355</v>
      </c>
      <c r="I137" s="10" t="s">
        <v>49</v>
      </c>
      <c r="J137" s="10" t="s">
        <v>103</v>
      </c>
      <c r="K137" s="12">
        <v>45993</v>
      </c>
      <c r="L137" s="15" t="s">
        <v>11</v>
      </c>
      <c r="M137" s="14"/>
      <c r="N137" s="14"/>
    </row>
    <row r="138" spans="1:14" ht="22.5" customHeight="1">
      <c r="A138" s="8">
        <v>45993.469957638888</v>
      </c>
      <c r="B138" s="9" t="s">
        <v>14</v>
      </c>
      <c r="C138" s="9" t="s">
        <v>15</v>
      </c>
      <c r="D138" s="9" t="s">
        <v>356</v>
      </c>
      <c r="E138" s="10" t="s">
        <v>22</v>
      </c>
      <c r="F138" s="10">
        <v>20</v>
      </c>
      <c r="G138" s="11">
        <v>9160111969</v>
      </c>
      <c r="H138" s="10" t="s">
        <v>357</v>
      </c>
      <c r="I138" s="10" t="s">
        <v>49</v>
      </c>
      <c r="J138" s="10" t="s">
        <v>246</v>
      </c>
      <c r="K138" s="12">
        <v>38610</v>
      </c>
      <c r="L138" s="15" t="s">
        <v>11</v>
      </c>
      <c r="M138" s="14"/>
      <c r="N138" s="14"/>
    </row>
    <row r="139" spans="1:14" ht="22.5" customHeight="1">
      <c r="A139" s="8">
        <v>45993.470259270835</v>
      </c>
      <c r="B139" s="9" t="s">
        <v>14</v>
      </c>
      <c r="C139" s="9" t="s">
        <v>15</v>
      </c>
      <c r="D139" s="9" t="s">
        <v>358</v>
      </c>
      <c r="E139" s="10" t="s">
        <v>17</v>
      </c>
      <c r="F139" s="10">
        <v>21</v>
      </c>
      <c r="G139" s="11">
        <v>8103939387</v>
      </c>
      <c r="H139" s="10" t="s">
        <v>359</v>
      </c>
      <c r="I139" s="10" t="s">
        <v>49</v>
      </c>
      <c r="J139" s="10" t="s">
        <v>232</v>
      </c>
      <c r="K139" s="12">
        <v>45993</v>
      </c>
      <c r="L139" s="15" t="s">
        <v>11</v>
      </c>
      <c r="M139" s="14"/>
      <c r="N139" s="14"/>
    </row>
    <row r="140" spans="1:14" ht="22.5" customHeight="1">
      <c r="A140" s="8">
        <v>45993.472508576393</v>
      </c>
      <c r="B140" s="9" t="s">
        <v>14</v>
      </c>
      <c r="C140" s="9" t="s">
        <v>15</v>
      </c>
      <c r="D140" s="9" t="s">
        <v>360</v>
      </c>
      <c r="E140" s="10" t="s">
        <v>17</v>
      </c>
      <c r="F140" s="10">
        <v>30</v>
      </c>
      <c r="G140" s="11">
        <v>8056652990</v>
      </c>
      <c r="H140" s="10" t="s">
        <v>361</v>
      </c>
      <c r="I140" s="10" t="s">
        <v>49</v>
      </c>
      <c r="J140" s="10" t="s">
        <v>362</v>
      </c>
      <c r="K140" s="12">
        <v>45993</v>
      </c>
      <c r="L140" s="15" t="s">
        <v>11</v>
      </c>
      <c r="M140" s="14"/>
      <c r="N140" s="14"/>
    </row>
    <row r="141" spans="1:14" ht="22.5" customHeight="1">
      <c r="A141" s="8">
        <v>45993.473484548609</v>
      </c>
      <c r="B141" s="9" t="s">
        <v>14</v>
      </c>
      <c r="C141" s="9" t="s">
        <v>15</v>
      </c>
      <c r="D141" s="9" t="s">
        <v>363</v>
      </c>
      <c r="E141" s="10" t="s">
        <v>17</v>
      </c>
      <c r="F141" s="10">
        <v>35</v>
      </c>
      <c r="G141" s="11">
        <v>8051167998</v>
      </c>
      <c r="H141" s="10" t="s">
        <v>364</v>
      </c>
      <c r="I141" s="10" t="s">
        <v>49</v>
      </c>
      <c r="J141" s="10" t="s">
        <v>365</v>
      </c>
      <c r="K141" s="12">
        <v>45993</v>
      </c>
      <c r="L141" s="15" t="s">
        <v>11</v>
      </c>
      <c r="M141" s="14"/>
      <c r="N141" s="14"/>
    </row>
    <row r="142" spans="1:14" ht="22.5" customHeight="1">
      <c r="A142" s="8">
        <v>45993.483114953706</v>
      </c>
      <c r="B142" s="9" t="s">
        <v>14</v>
      </c>
      <c r="C142" s="9" t="s">
        <v>15</v>
      </c>
      <c r="D142" s="9" t="s">
        <v>366</v>
      </c>
      <c r="E142" s="10" t="s">
        <v>17</v>
      </c>
      <c r="F142" s="10">
        <v>25</v>
      </c>
      <c r="G142" s="11">
        <v>8141539152</v>
      </c>
      <c r="H142" s="10" t="s">
        <v>367</v>
      </c>
      <c r="I142" s="10" t="s">
        <v>49</v>
      </c>
      <c r="J142" s="10" t="s">
        <v>50</v>
      </c>
      <c r="K142" s="12">
        <v>45993</v>
      </c>
      <c r="L142" s="15" t="s">
        <v>11</v>
      </c>
      <c r="M142" s="14"/>
      <c r="N142" s="14"/>
    </row>
    <row r="143" spans="1:14" ht="22.5" customHeight="1">
      <c r="A143" s="8">
        <v>45993.485662164356</v>
      </c>
      <c r="B143" s="9" t="s">
        <v>14</v>
      </c>
      <c r="C143" s="9" t="s">
        <v>15</v>
      </c>
      <c r="D143" s="9" t="s">
        <v>368</v>
      </c>
      <c r="E143" s="10" t="s">
        <v>22</v>
      </c>
      <c r="F143" s="10">
        <v>20</v>
      </c>
      <c r="G143" s="11">
        <v>7069790798</v>
      </c>
      <c r="H143" s="10" t="s">
        <v>369</v>
      </c>
      <c r="I143" s="10" t="s">
        <v>49</v>
      </c>
      <c r="J143" s="10" t="s">
        <v>160</v>
      </c>
      <c r="K143" s="12">
        <v>45993</v>
      </c>
      <c r="L143" s="15" t="s">
        <v>11</v>
      </c>
      <c r="M143" s="14"/>
      <c r="N143" s="14"/>
    </row>
    <row r="144" spans="1:14" ht="22.5" customHeight="1">
      <c r="A144" s="8">
        <v>45993.48573940972</v>
      </c>
      <c r="B144" s="9" t="s">
        <v>14</v>
      </c>
      <c r="C144" s="9" t="s">
        <v>15</v>
      </c>
      <c r="D144" s="9" t="s">
        <v>370</v>
      </c>
      <c r="E144" s="10" t="s">
        <v>17</v>
      </c>
      <c r="F144" s="10">
        <v>26</v>
      </c>
      <c r="G144" s="11">
        <v>9037008836</v>
      </c>
      <c r="H144" s="10" t="s">
        <v>371</v>
      </c>
      <c r="I144" s="10" t="s">
        <v>27</v>
      </c>
      <c r="J144" s="10" t="s">
        <v>372</v>
      </c>
      <c r="K144" s="12">
        <v>45993</v>
      </c>
      <c r="L144" s="15" t="s">
        <v>11</v>
      </c>
      <c r="M144" s="14"/>
      <c r="N144" s="14"/>
    </row>
    <row r="145" spans="1:20" ht="22.5" customHeight="1">
      <c r="A145" s="8">
        <v>45993.486526759254</v>
      </c>
      <c r="B145" s="9" t="s">
        <v>14</v>
      </c>
      <c r="C145" s="9" t="s">
        <v>15</v>
      </c>
      <c r="D145" s="9" t="s">
        <v>373</v>
      </c>
      <c r="E145" s="10" t="s">
        <v>17</v>
      </c>
      <c r="F145" s="10">
        <v>35</v>
      </c>
      <c r="G145" s="11">
        <v>7038344494</v>
      </c>
      <c r="H145" s="10" t="s">
        <v>274</v>
      </c>
      <c r="I145" s="10" t="s">
        <v>49</v>
      </c>
      <c r="J145" s="10" t="s">
        <v>50</v>
      </c>
      <c r="K145" s="12">
        <v>45993</v>
      </c>
      <c r="L145" s="15" t="s">
        <v>11</v>
      </c>
      <c r="M145" s="14"/>
      <c r="N145" s="14"/>
    </row>
    <row r="146" spans="1:20" ht="22.5" customHeight="1">
      <c r="A146" s="8">
        <v>45993.488711307873</v>
      </c>
      <c r="B146" s="9" t="s">
        <v>14</v>
      </c>
      <c r="C146" s="9" t="s">
        <v>15</v>
      </c>
      <c r="D146" s="9" t="s">
        <v>374</v>
      </c>
      <c r="E146" s="10" t="s">
        <v>22</v>
      </c>
      <c r="F146" s="10">
        <v>24</v>
      </c>
      <c r="G146" s="11">
        <v>8154261432</v>
      </c>
      <c r="H146" s="10" t="s">
        <v>375</v>
      </c>
      <c r="I146" s="10" t="s">
        <v>45</v>
      </c>
      <c r="J146" s="10" t="s">
        <v>46</v>
      </c>
      <c r="K146" s="12">
        <v>45993</v>
      </c>
      <c r="L146" s="15" t="s">
        <v>11</v>
      </c>
      <c r="M146" s="14"/>
      <c r="N146" s="14"/>
    </row>
    <row r="147" spans="1:20" ht="22.5" customHeight="1">
      <c r="A147" s="8">
        <v>45993.493175937503</v>
      </c>
      <c r="B147" s="9" t="s">
        <v>14</v>
      </c>
      <c r="C147" s="9" t="s">
        <v>15</v>
      </c>
      <c r="D147" s="9" t="s">
        <v>376</v>
      </c>
      <c r="E147" s="10" t="s">
        <v>22</v>
      </c>
      <c r="F147" s="10">
        <v>20</v>
      </c>
      <c r="G147" s="11">
        <v>8168363206</v>
      </c>
      <c r="H147" s="10" t="s">
        <v>377</v>
      </c>
      <c r="I147" s="10" t="s">
        <v>49</v>
      </c>
      <c r="J147" s="10" t="s">
        <v>50</v>
      </c>
      <c r="K147" s="12">
        <v>45993</v>
      </c>
      <c r="L147" s="15" t="s">
        <v>11</v>
      </c>
      <c r="M147" s="14"/>
      <c r="N147" s="14"/>
    </row>
    <row r="148" spans="1:20" ht="22.5" customHeight="1">
      <c r="A148" s="8">
        <v>45993.496639826393</v>
      </c>
      <c r="B148" s="9" t="s">
        <v>14</v>
      </c>
      <c r="C148" s="9" t="s">
        <v>15</v>
      </c>
      <c r="D148" s="9" t="s">
        <v>378</v>
      </c>
      <c r="E148" s="10" t="s">
        <v>22</v>
      </c>
      <c r="F148" s="10">
        <v>20</v>
      </c>
      <c r="G148" s="11">
        <v>8141985884</v>
      </c>
      <c r="H148" s="10" t="s">
        <v>379</v>
      </c>
      <c r="I148" s="10" t="s">
        <v>49</v>
      </c>
      <c r="J148" s="10" t="s">
        <v>50</v>
      </c>
      <c r="K148" s="12">
        <v>45993</v>
      </c>
      <c r="L148" s="15" t="s">
        <v>11</v>
      </c>
      <c r="M148" s="14"/>
      <c r="N148" s="14"/>
    </row>
    <row r="149" spans="1:20" ht="22.5" customHeight="1">
      <c r="A149" s="8">
        <v>45993.498729085652</v>
      </c>
      <c r="B149" s="9" t="s">
        <v>14</v>
      </c>
      <c r="C149" s="9" t="s">
        <v>15</v>
      </c>
      <c r="D149" s="9" t="s">
        <v>347</v>
      </c>
      <c r="E149" s="10" t="s">
        <v>17</v>
      </c>
      <c r="F149" s="10">
        <v>26</v>
      </c>
      <c r="G149" s="11">
        <v>9124430998</v>
      </c>
      <c r="H149" s="10" t="s">
        <v>380</v>
      </c>
      <c r="I149" s="10" t="s">
        <v>49</v>
      </c>
      <c r="J149" s="10" t="s">
        <v>381</v>
      </c>
      <c r="K149" s="12">
        <v>45993</v>
      </c>
      <c r="L149" s="15" t="s">
        <v>11</v>
      </c>
      <c r="M149" s="14"/>
      <c r="N149" s="14"/>
    </row>
    <row r="150" spans="1:20" ht="22.5" customHeight="1">
      <c r="A150" s="8">
        <v>45993.50252790509</v>
      </c>
      <c r="B150" s="9" t="s">
        <v>14</v>
      </c>
      <c r="C150" s="9" t="s">
        <v>15</v>
      </c>
      <c r="D150" s="9" t="s">
        <v>382</v>
      </c>
      <c r="E150" s="10" t="s">
        <v>22</v>
      </c>
      <c r="F150" s="10">
        <v>32</v>
      </c>
      <c r="G150" s="11">
        <v>8068367446</v>
      </c>
      <c r="H150" s="10" t="s">
        <v>383</v>
      </c>
      <c r="I150" s="10" t="s">
        <v>49</v>
      </c>
      <c r="J150" s="10" t="s">
        <v>50</v>
      </c>
      <c r="K150" s="12">
        <v>45993</v>
      </c>
      <c r="L150" s="15" t="s">
        <v>11</v>
      </c>
      <c r="M150" s="14"/>
      <c r="N150" s="14"/>
    </row>
    <row r="151" spans="1:20" ht="22.5" customHeight="1">
      <c r="A151" s="8">
        <v>45993.503267094908</v>
      </c>
      <c r="B151" s="9" t="s">
        <v>14</v>
      </c>
      <c r="C151" s="9" t="s">
        <v>15</v>
      </c>
      <c r="D151" s="9" t="s">
        <v>384</v>
      </c>
      <c r="E151" s="10" t="s">
        <v>17</v>
      </c>
      <c r="F151" s="18">
        <v>45</v>
      </c>
      <c r="G151" s="11">
        <v>8065381383</v>
      </c>
      <c r="H151" s="10" t="s">
        <v>385</v>
      </c>
      <c r="I151" s="10" t="s">
        <v>49</v>
      </c>
      <c r="J151" s="10" t="s">
        <v>232</v>
      </c>
      <c r="K151" s="12">
        <v>45993</v>
      </c>
      <c r="L151" s="15" t="s">
        <v>11</v>
      </c>
      <c r="M151" s="14"/>
      <c r="N151" s="14"/>
    </row>
    <row r="152" spans="1:20" ht="22.5" customHeight="1">
      <c r="A152" s="8">
        <v>45993.505926493061</v>
      </c>
      <c r="B152" s="9" t="s">
        <v>14</v>
      </c>
      <c r="C152" s="9" t="s">
        <v>15</v>
      </c>
      <c r="D152" s="9" t="s">
        <v>386</v>
      </c>
      <c r="E152" s="10" t="s">
        <v>17</v>
      </c>
      <c r="F152" s="10">
        <v>25</v>
      </c>
      <c r="G152" s="11">
        <v>8139329304</v>
      </c>
      <c r="H152" s="10" t="s">
        <v>387</v>
      </c>
      <c r="I152" s="10" t="s">
        <v>49</v>
      </c>
      <c r="J152" s="10" t="s">
        <v>50</v>
      </c>
      <c r="K152" s="12">
        <v>45993</v>
      </c>
      <c r="L152" s="15" t="s">
        <v>11</v>
      </c>
      <c r="M152" s="14"/>
      <c r="N152" s="14"/>
    </row>
    <row r="153" spans="1:20" ht="22.5" customHeight="1">
      <c r="A153" s="8">
        <v>45993.505932685184</v>
      </c>
      <c r="B153" s="9" t="s">
        <v>14</v>
      </c>
      <c r="C153" s="9" t="s">
        <v>15</v>
      </c>
      <c r="D153" s="9" t="s">
        <v>388</v>
      </c>
      <c r="E153" s="10" t="s">
        <v>17</v>
      </c>
      <c r="F153" s="10">
        <v>32</v>
      </c>
      <c r="G153" s="11">
        <v>8167295003</v>
      </c>
      <c r="H153" s="10" t="s">
        <v>389</v>
      </c>
      <c r="I153" s="10" t="s">
        <v>49</v>
      </c>
      <c r="J153" s="10" t="s">
        <v>50</v>
      </c>
      <c r="K153" s="12">
        <v>45993</v>
      </c>
      <c r="L153" s="15" t="s">
        <v>11</v>
      </c>
      <c r="M153" s="14"/>
      <c r="N153" s="14"/>
    </row>
    <row r="154" spans="1:20" ht="22.5" customHeight="1">
      <c r="A154" s="8">
        <v>45993.506597175925</v>
      </c>
      <c r="B154" s="9" t="s">
        <v>14</v>
      </c>
      <c r="C154" s="9" t="s">
        <v>15</v>
      </c>
      <c r="D154" s="9" t="s">
        <v>390</v>
      </c>
      <c r="E154" s="10" t="s">
        <v>17</v>
      </c>
      <c r="F154" s="10">
        <v>26</v>
      </c>
      <c r="G154" s="11">
        <v>8130876043</v>
      </c>
      <c r="H154" s="10" t="s">
        <v>391</v>
      </c>
      <c r="I154" s="10" t="s">
        <v>49</v>
      </c>
      <c r="J154" s="10" t="s">
        <v>50</v>
      </c>
      <c r="K154" s="12">
        <v>45993</v>
      </c>
      <c r="L154" s="15" t="s">
        <v>11</v>
      </c>
      <c r="M154" s="14"/>
      <c r="N154" s="14"/>
    </row>
    <row r="155" spans="1:20" ht="22.5" customHeight="1">
      <c r="A155" s="8">
        <v>45993.506711041671</v>
      </c>
      <c r="B155" s="9" t="s">
        <v>14</v>
      </c>
      <c r="C155" s="9" t="s">
        <v>15</v>
      </c>
      <c r="D155" s="9" t="s">
        <v>392</v>
      </c>
      <c r="E155" s="10" t="s">
        <v>17</v>
      </c>
      <c r="F155" s="10">
        <v>29</v>
      </c>
      <c r="G155" s="11">
        <v>8066495175</v>
      </c>
      <c r="H155" s="10" t="s">
        <v>393</v>
      </c>
      <c r="I155" s="10" t="s">
        <v>49</v>
      </c>
      <c r="J155" s="10" t="s">
        <v>282</v>
      </c>
      <c r="K155" s="12">
        <v>45993</v>
      </c>
      <c r="L155" s="15" t="s">
        <v>11</v>
      </c>
      <c r="M155" s="14"/>
      <c r="N155" s="14"/>
    </row>
    <row r="156" spans="1:20" ht="22.5" customHeight="1">
      <c r="A156" s="8">
        <v>45993.511465358795</v>
      </c>
      <c r="B156" s="9" t="s">
        <v>14</v>
      </c>
      <c r="C156" s="9" t="s">
        <v>15</v>
      </c>
      <c r="D156" s="9" t="s">
        <v>394</v>
      </c>
      <c r="E156" s="10" t="s">
        <v>17</v>
      </c>
      <c r="F156" s="10">
        <v>30</v>
      </c>
      <c r="G156" s="11">
        <v>8137628719</v>
      </c>
      <c r="H156" s="10" t="s">
        <v>395</v>
      </c>
      <c r="I156" s="10" t="s">
        <v>49</v>
      </c>
      <c r="J156" s="10" t="s">
        <v>50</v>
      </c>
      <c r="K156" s="12">
        <v>45993</v>
      </c>
      <c r="L156" s="15" t="s">
        <v>11</v>
      </c>
      <c r="M156" s="14"/>
      <c r="N156" s="14"/>
      <c r="O156" s="20"/>
      <c r="P156" s="21"/>
      <c r="Q156" s="21"/>
      <c r="R156" s="21"/>
      <c r="S156" s="21"/>
      <c r="T156" s="21"/>
    </row>
    <row r="157" spans="1:20" ht="22.5" customHeight="1">
      <c r="A157" s="8">
        <v>45993.512655740742</v>
      </c>
      <c r="B157" s="9" t="s">
        <v>14</v>
      </c>
      <c r="C157" s="9" t="s">
        <v>15</v>
      </c>
      <c r="D157" s="9" t="s">
        <v>396</v>
      </c>
      <c r="E157" s="10" t="s">
        <v>17</v>
      </c>
      <c r="F157" s="10">
        <v>33</v>
      </c>
      <c r="G157" s="11">
        <v>8061576359</v>
      </c>
      <c r="H157" s="10" t="s">
        <v>397</v>
      </c>
      <c r="I157" s="10" t="s">
        <v>49</v>
      </c>
      <c r="J157" s="10" t="s">
        <v>246</v>
      </c>
      <c r="K157" s="12">
        <v>45993</v>
      </c>
      <c r="L157" s="15" t="s">
        <v>11</v>
      </c>
      <c r="M157" s="14"/>
      <c r="N157" s="14"/>
    </row>
    <row r="158" spans="1:20" ht="22.5" customHeight="1">
      <c r="A158" s="8">
        <v>45993.515176307876</v>
      </c>
      <c r="B158" s="9" t="s">
        <v>14</v>
      </c>
      <c r="C158" s="9" t="s">
        <v>15</v>
      </c>
      <c r="D158" s="9" t="s">
        <v>398</v>
      </c>
      <c r="E158" s="10" t="s">
        <v>17</v>
      </c>
      <c r="F158" s="10">
        <v>37</v>
      </c>
      <c r="G158" s="11">
        <v>8037381140</v>
      </c>
      <c r="H158" s="10" t="s">
        <v>399</v>
      </c>
      <c r="I158" s="10" t="s">
        <v>49</v>
      </c>
      <c r="J158" s="10" t="s">
        <v>109</v>
      </c>
      <c r="K158" s="12">
        <v>45993</v>
      </c>
      <c r="L158" s="15" t="s">
        <v>11</v>
      </c>
      <c r="M158" s="14"/>
      <c r="N158" s="14"/>
    </row>
    <row r="159" spans="1:20" ht="22.5" customHeight="1">
      <c r="A159" s="8">
        <v>45993.516668587967</v>
      </c>
      <c r="B159" s="9" t="s">
        <v>14</v>
      </c>
      <c r="C159" s="9" t="s">
        <v>15</v>
      </c>
      <c r="D159" s="9" t="s">
        <v>400</v>
      </c>
      <c r="E159" s="10" t="s">
        <v>17</v>
      </c>
      <c r="F159" s="10">
        <v>25</v>
      </c>
      <c r="G159" s="11">
        <v>7042152156</v>
      </c>
      <c r="H159" s="10" t="s">
        <v>401</v>
      </c>
      <c r="I159" s="10" t="s">
        <v>49</v>
      </c>
      <c r="J159" s="10" t="s">
        <v>103</v>
      </c>
      <c r="K159" s="12">
        <v>45993</v>
      </c>
      <c r="L159" s="15" t="s">
        <v>11</v>
      </c>
      <c r="M159" s="14"/>
      <c r="N159" s="14"/>
    </row>
    <row r="160" spans="1:20" ht="22.5" customHeight="1">
      <c r="A160" s="8">
        <v>45993.517386226857</v>
      </c>
      <c r="B160" s="9" t="s">
        <v>14</v>
      </c>
      <c r="C160" s="9" t="s">
        <v>15</v>
      </c>
      <c r="D160" s="9" t="s">
        <v>311</v>
      </c>
      <c r="E160" s="10" t="s">
        <v>22</v>
      </c>
      <c r="F160" s="10">
        <v>35</v>
      </c>
      <c r="G160" s="11">
        <v>8030675257</v>
      </c>
      <c r="H160" s="10" t="s">
        <v>402</v>
      </c>
      <c r="I160" s="10" t="s">
        <v>49</v>
      </c>
      <c r="J160" s="10" t="s">
        <v>50</v>
      </c>
      <c r="K160" s="12">
        <v>45993</v>
      </c>
      <c r="L160" s="15" t="s">
        <v>11</v>
      </c>
      <c r="M160" s="14"/>
      <c r="N160" s="14"/>
    </row>
    <row r="161" spans="1:20" ht="22.5" customHeight="1">
      <c r="A161" s="8">
        <v>45993.517598622682</v>
      </c>
      <c r="B161" s="9" t="s">
        <v>14</v>
      </c>
      <c r="C161" s="9" t="s">
        <v>15</v>
      </c>
      <c r="D161" s="9" t="s">
        <v>403</v>
      </c>
      <c r="E161" s="10" t="s">
        <v>22</v>
      </c>
      <c r="F161" s="19">
        <v>37</v>
      </c>
      <c r="G161" s="11">
        <v>8061576041</v>
      </c>
      <c r="H161" s="10" t="s">
        <v>404</v>
      </c>
      <c r="I161" s="10" t="s">
        <v>49</v>
      </c>
      <c r="J161" s="10" t="s">
        <v>232</v>
      </c>
      <c r="K161" s="12">
        <v>45993</v>
      </c>
      <c r="L161" s="15" t="s">
        <v>11</v>
      </c>
      <c r="M161" s="14"/>
      <c r="N161" s="14"/>
    </row>
    <row r="162" spans="1:20" ht="22.5" customHeight="1">
      <c r="A162" s="8">
        <v>45993.51869809028</v>
      </c>
      <c r="B162" s="9" t="s">
        <v>14</v>
      </c>
      <c r="C162" s="9" t="s">
        <v>15</v>
      </c>
      <c r="D162" s="9" t="s">
        <v>405</v>
      </c>
      <c r="E162" s="10" t="s">
        <v>17</v>
      </c>
      <c r="F162" s="10">
        <v>25</v>
      </c>
      <c r="G162" s="11">
        <v>8130900795</v>
      </c>
      <c r="H162" s="10" t="s">
        <v>406</v>
      </c>
      <c r="I162" s="10" t="s">
        <v>49</v>
      </c>
      <c r="J162" s="10" t="s">
        <v>215</v>
      </c>
      <c r="K162" s="12">
        <v>45993</v>
      </c>
      <c r="L162" s="15" t="s">
        <v>11</v>
      </c>
      <c r="M162" s="14"/>
      <c r="N162" s="14"/>
    </row>
    <row r="163" spans="1:20" ht="22.5" customHeight="1">
      <c r="A163" s="8">
        <v>45993.520750347219</v>
      </c>
      <c r="B163" s="9" t="s">
        <v>14</v>
      </c>
      <c r="C163" s="9" t="s">
        <v>15</v>
      </c>
      <c r="D163" s="9" t="s">
        <v>407</v>
      </c>
      <c r="E163" s="10" t="s">
        <v>17</v>
      </c>
      <c r="F163" s="10">
        <v>37</v>
      </c>
      <c r="G163" s="11">
        <v>8036112372</v>
      </c>
      <c r="H163" s="10" t="s">
        <v>408</v>
      </c>
      <c r="I163" s="10" t="s">
        <v>49</v>
      </c>
      <c r="J163" s="10" t="s">
        <v>106</v>
      </c>
      <c r="K163" s="12">
        <v>45993</v>
      </c>
      <c r="L163" s="15" t="s">
        <v>11</v>
      </c>
      <c r="M163" s="14"/>
      <c r="N163" s="14"/>
    </row>
    <row r="164" spans="1:20" ht="22.5" customHeight="1">
      <c r="A164" s="8">
        <v>45993.521236574074</v>
      </c>
      <c r="B164" s="9" t="s">
        <v>14</v>
      </c>
      <c r="C164" s="9" t="s">
        <v>15</v>
      </c>
      <c r="D164" s="9" t="s">
        <v>409</v>
      </c>
      <c r="E164" s="10" t="s">
        <v>17</v>
      </c>
      <c r="F164" s="10">
        <v>28</v>
      </c>
      <c r="G164" s="11">
        <v>8064916773</v>
      </c>
      <c r="H164" s="10" t="s">
        <v>410</v>
      </c>
      <c r="I164" s="10" t="s">
        <v>49</v>
      </c>
      <c r="J164" s="10" t="s">
        <v>106</v>
      </c>
      <c r="K164" s="12">
        <v>45993</v>
      </c>
      <c r="L164" s="15" t="s">
        <v>11</v>
      </c>
      <c r="M164" s="14"/>
      <c r="N164" s="14"/>
    </row>
    <row r="165" spans="1:20" ht="22.5" customHeight="1">
      <c r="A165" s="8">
        <v>45993.522541863422</v>
      </c>
      <c r="B165" s="9" t="s">
        <v>14</v>
      </c>
      <c r="C165" s="9" t="s">
        <v>15</v>
      </c>
      <c r="D165" s="9" t="s">
        <v>411</v>
      </c>
      <c r="E165" s="10" t="s">
        <v>17</v>
      </c>
      <c r="F165" s="10">
        <v>33</v>
      </c>
      <c r="G165" s="11">
        <v>8058366163</v>
      </c>
      <c r="H165" s="10" t="s">
        <v>412</v>
      </c>
      <c r="I165" s="10" t="s">
        <v>49</v>
      </c>
      <c r="J165" s="10" t="s">
        <v>208</v>
      </c>
      <c r="K165" s="12">
        <v>45993</v>
      </c>
      <c r="L165" s="15" t="s">
        <v>11</v>
      </c>
      <c r="M165" s="14"/>
      <c r="N165" s="14"/>
    </row>
    <row r="166" spans="1:20" ht="22.5" customHeight="1">
      <c r="A166" s="8">
        <v>45993.526447627315</v>
      </c>
      <c r="B166" s="9" t="s">
        <v>14</v>
      </c>
      <c r="C166" s="9" t="s">
        <v>15</v>
      </c>
      <c r="D166" s="9" t="s">
        <v>413</v>
      </c>
      <c r="E166" s="10" t="s">
        <v>17</v>
      </c>
      <c r="F166" s="10">
        <v>31</v>
      </c>
      <c r="G166" s="11">
        <v>8030431839</v>
      </c>
      <c r="H166" s="10" t="s">
        <v>414</v>
      </c>
      <c r="I166" s="10" t="s">
        <v>49</v>
      </c>
      <c r="J166" s="10" t="s">
        <v>73</v>
      </c>
      <c r="K166" s="12">
        <v>45993</v>
      </c>
      <c r="L166" s="15" t="s">
        <v>11</v>
      </c>
      <c r="M166" s="14"/>
      <c r="N166" s="14"/>
    </row>
    <row r="167" spans="1:20" ht="22.5" customHeight="1">
      <c r="A167" s="8">
        <v>45993.527871307873</v>
      </c>
      <c r="B167" s="9" t="s">
        <v>14</v>
      </c>
      <c r="C167" s="9" t="s">
        <v>15</v>
      </c>
      <c r="D167" s="9" t="s">
        <v>415</v>
      </c>
      <c r="E167" s="10" t="s">
        <v>17</v>
      </c>
      <c r="F167" s="10">
        <v>22</v>
      </c>
      <c r="G167" s="11">
        <v>9069940880</v>
      </c>
      <c r="H167" s="10" t="s">
        <v>416</v>
      </c>
      <c r="I167" s="10" t="s">
        <v>45</v>
      </c>
      <c r="J167" s="10" t="s">
        <v>417</v>
      </c>
      <c r="K167" s="12">
        <v>45993</v>
      </c>
      <c r="L167" s="15" t="s">
        <v>11</v>
      </c>
      <c r="M167" s="14"/>
      <c r="N167" s="14"/>
    </row>
    <row r="168" spans="1:20" ht="22.5" customHeight="1">
      <c r="A168" s="8">
        <v>45993.529582754629</v>
      </c>
      <c r="B168" s="9" t="s">
        <v>14</v>
      </c>
      <c r="C168" s="9" t="s">
        <v>15</v>
      </c>
      <c r="D168" s="9" t="s">
        <v>418</v>
      </c>
      <c r="E168" s="10" t="s">
        <v>22</v>
      </c>
      <c r="F168" s="10">
        <v>33</v>
      </c>
      <c r="G168" s="11">
        <v>8168853659</v>
      </c>
      <c r="H168" s="10" t="s">
        <v>419</v>
      </c>
      <c r="I168" s="10" t="s">
        <v>49</v>
      </c>
      <c r="J168" s="10" t="s">
        <v>106</v>
      </c>
      <c r="K168" s="12">
        <v>45993</v>
      </c>
      <c r="L168" s="15" t="s">
        <v>11</v>
      </c>
      <c r="M168" s="14"/>
      <c r="N168" s="14"/>
    </row>
    <row r="169" spans="1:20" ht="22.5" customHeight="1">
      <c r="A169" s="8">
        <v>45993.531691469907</v>
      </c>
      <c r="B169" s="9" t="s">
        <v>14</v>
      </c>
      <c r="C169" s="9" t="s">
        <v>15</v>
      </c>
      <c r="D169" s="9" t="s">
        <v>420</v>
      </c>
      <c r="E169" s="10" t="s">
        <v>22</v>
      </c>
      <c r="F169" s="10">
        <v>19</v>
      </c>
      <c r="G169" s="11">
        <v>8117176246</v>
      </c>
      <c r="H169" s="10" t="s">
        <v>421</v>
      </c>
      <c r="I169" s="10" t="s">
        <v>49</v>
      </c>
      <c r="J169" s="10" t="s">
        <v>246</v>
      </c>
      <c r="K169" s="12">
        <v>45993</v>
      </c>
      <c r="L169" s="15" t="s">
        <v>11</v>
      </c>
      <c r="M169" s="14"/>
      <c r="N169" s="14"/>
    </row>
    <row r="170" spans="1:20" ht="22.5" customHeight="1">
      <c r="A170" s="8">
        <v>45993.532695358794</v>
      </c>
      <c r="B170" s="9" t="s">
        <v>14</v>
      </c>
      <c r="C170" s="9" t="s">
        <v>15</v>
      </c>
      <c r="D170" s="9" t="s">
        <v>422</v>
      </c>
      <c r="E170" s="10" t="s">
        <v>17</v>
      </c>
      <c r="F170" s="10">
        <v>31</v>
      </c>
      <c r="G170" s="11">
        <v>7089949541</v>
      </c>
      <c r="H170" s="10" t="s">
        <v>423</v>
      </c>
      <c r="I170" s="10" t="s">
        <v>27</v>
      </c>
      <c r="J170" s="10" t="s">
        <v>424</v>
      </c>
      <c r="K170" s="12">
        <v>45993</v>
      </c>
      <c r="L170" s="15" t="s">
        <v>11</v>
      </c>
      <c r="M170" s="14"/>
      <c r="N170" s="14"/>
    </row>
    <row r="171" spans="1:20" ht="22.5" customHeight="1">
      <c r="A171" s="8">
        <v>45993.535932743056</v>
      </c>
      <c r="B171" s="9" t="s">
        <v>14</v>
      </c>
      <c r="C171" s="9" t="s">
        <v>15</v>
      </c>
      <c r="D171" s="9" t="s">
        <v>425</v>
      </c>
      <c r="E171" s="10" t="s">
        <v>17</v>
      </c>
      <c r="F171" s="10">
        <v>30</v>
      </c>
      <c r="G171" s="11">
        <v>7037259565</v>
      </c>
      <c r="H171" s="10" t="s">
        <v>426</v>
      </c>
      <c r="I171" s="10" t="s">
        <v>49</v>
      </c>
      <c r="J171" s="10" t="s">
        <v>427</v>
      </c>
      <c r="K171" s="12">
        <v>45993</v>
      </c>
      <c r="L171" s="15" t="s">
        <v>11</v>
      </c>
      <c r="M171" s="14"/>
      <c r="N171" s="14"/>
    </row>
    <row r="172" spans="1:20" ht="22.5" customHeight="1">
      <c r="A172" s="8">
        <v>45993.53628270833</v>
      </c>
      <c r="B172" s="9" t="s">
        <v>14</v>
      </c>
      <c r="C172" s="9" t="s">
        <v>15</v>
      </c>
      <c r="D172" s="9" t="s">
        <v>428</v>
      </c>
      <c r="E172" s="10" t="s">
        <v>22</v>
      </c>
      <c r="F172" s="10">
        <v>31</v>
      </c>
      <c r="G172" s="11">
        <v>8071022887</v>
      </c>
      <c r="H172" s="10" t="s">
        <v>429</v>
      </c>
      <c r="I172" s="10" t="s">
        <v>49</v>
      </c>
      <c r="J172" s="10" t="s">
        <v>208</v>
      </c>
      <c r="K172" s="12">
        <v>45993</v>
      </c>
      <c r="L172" s="15" t="s">
        <v>11</v>
      </c>
      <c r="M172" s="14"/>
      <c r="N172" s="14"/>
    </row>
    <row r="173" spans="1:20" ht="22.5" customHeight="1">
      <c r="A173" s="8">
        <v>45993.539856550924</v>
      </c>
      <c r="B173" s="9" t="s">
        <v>14</v>
      </c>
      <c r="C173" s="9" t="s">
        <v>15</v>
      </c>
      <c r="D173" s="9" t="s">
        <v>430</v>
      </c>
      <c r="E173" s="10" t="s">
        <v>17</v>
      </c>
      <c r="F173" s="10">
        <v>32</v>
      </c>
      <c r="G173" s="11">
        <v>8066201122</v>
      </c>
      <c r="H173" s="10" t="s">
        <v>431</v>
      </c>
      <c r="I173" s="10" t="s">
        <v>49</v>
      </c>
      <c r="J173" s="10" t="s">
        <v>106</v>
      </c>
      <c r="K173" s="12">
        <v>45993</v>
      </c>
      <c r="L173" s="15" t="s">
        <v>11</v>
      </c>
      <c r="M173" s="14"/>
      <c r="N173" s="14"/>
    </row>
    <row r="174" spans="1:20" ht="22.5" customHeight="1">
      <c r="A174" s="8">
        <v>45993.542052094912</v>
      </c>
      <c r="B174" s="9" t="s">
        <v>14</v>
      </c>
      <c r="C174" s="9" t="s">
        <v>15</v>
      </c>
      <c r="D174" s="9" t="s">
        <v>432</v>
      </c>
      <c r="E174" s="10" t="s">
        <v>17</v>
      </c>
      <c r="F174" s="10">
        <v>30</v>
      </c>
      <c r="G174" s="11">
        <v>8136007199</v>
      </c>
      <c r="H174" s="10" t="s">
        <v>433</v>
      </c>
      <c r="I174" s="10" t="s">
        <v>49</v>
      </c>
      <c r="J174" s="10" t="s">
        <v>434</v>
      </c>
      <c r="K174" s="12">
        <v>45993</v>
      </c>
      <c r="L174" s="15" t="s">
        <v>11</v>
      </c>
      <c r="M174" s="14"/>
      <c r="N174" s="14"/>
    </row>
    <row r="175" spans="1:20" ht="22.5" customHeight="1">
      <c r="A175" s="8">
        <v>45993.543573912037</v>
      </c>
      <c r="B175" s="9" t="s">
        <v>14</v>
      </c>
      <c r="C175" s="9" t="s">
        <v>15</v>
      </c>
      <c r="D175" s="9" t="s">
        <v>435</v>
      </c>
      <c r="E175" s="10" t="s">
        <v>22</v>
      </c>
      <c r="F175" s="10">
        <v>26</v>
      </c>
      <c r="G175" s="11">
        <v>9161058040</v>
      </c>
      <c r="H175" s="10" t="s">
        <v>436</v>
      </c>
      <c r="I175" s="10" t="s">
        <v>49</v>
      </c>
      <c r="J175" s="10" t="s">
        <v>109</v>
      </c>
      <c r="K175" s="12">
        <v>45993</v>
      </c>
      <c r="L175" s="15" t="s">
        <v>11</v>
      </c>
      <c r="M175" s="14"/>
      <c r="N175" s="14"/>
      <c r="O175" s="16"/>
      <c r="P175" s="17"/>
      <c r="Q175" s="17"/>
      <c r="R175" s="17"/>
      <c r="S175" s="17"/>
      <c r="T175" s="17"/>
    </row>
    <row r="176" spans="1:20" ht="22.5" customHeight="1">
      <c r="A176" s="8">
        <v>45993.545134652777</v>
      </c>
      <c r="B176" s="9" t="s">
        <v>14</v>
      </c>
      <c r="C176" s="9" t="s">
        <v>15</v>
      </c>
      <c r="D176" s="9" t="s">
        <v>437</v>
      </c>
      <c r="E176" s="10" t="s">
        <v>22</v>
      </c>
      <c r="F176" s="10">
        <v>26</v>
      </c>
      <c r="G176" s="11">
        <v>9033492866</v>
      </c>
      <c r="H176" s="10" t="s">
        <v>438</v>
      </c>
      <c r="I176" s="10" t="s">
        <v>45</v>
      </c>
      <c r="J176" s="10" t="s">
        <v>439</v>
      </c>
      <c r="K176" s="12">
        <v>45993</v>
      </c>
      <c r="L176" s="15" t="s">
        <v>11</v>
      </c>
      <c r="M176" s="14"/>
      <c r="N176" s="14"/>
    </row>
    <row r="177" spans="1:14" ht="22.5" customHeight="1">
      <c r="A177" s="8">
        <v>45993.546380752319</v>
      </c>
      <c r="B177" s="9" t="s">
        <v>14</v>
      </c>
      <c r="C177" s="9" t="s">
        <v>15</v>
      </c>
      <c r="D177" s="9" t="s">
        <v>440</v>
      </c>
      <c r="E177" s="10" t="s">
        <v>17</v>
      </c>
      <c r="F177" s="10">
        <v>22</v>
      </c>
      <c r="G177" s="11">
        <v>7032685315</v>
      </c>
      <c r="H177" s="10" t="s">
        <v>442</v>
      </c>
      <c r="I177" s="10" t="s">
        <v>49</v>
      </c>
      <c r="J177" s="10" t="s">
        <v>106</v>
      </c>
      <c r="K177" s="12">
        <v>45993</v>
      </c>
      <c r="L177" s="15" t="s">
        <v>11</v>
      </c>
      <c r="M177" s="14"/>
      <c r="N177" s="14"/>
    </row>
    <row r="178" spans="1:14" ht="22.5" customHeight="1">
      <c r="A178" s="8">
        <v>45993.547544675923</v>
      </c>
      <c r="B178" s="9" t="s">
        <v>14</v>
      </c>
      <c r="C178" s="9" t="s">
        <v>15</v>
      </c>
      <c r="D178" s="9" t="s">
        <v>443</v>
      </c>
      <c r="E178" s="10" t="s">
        <v>17</v>
      </c>
      <c r="F178" s="10">
        <v>25</v>
      </c>
      <c r="G178" s="11">
        <v>8163429427</v>
      </c>
      <c r="H178" s="10" t="s">
        <v>444</v>
      </c>
      <c r="I178" s="10" t="s">
        <v>49</v>
      </c>
      <c r="J178" s="10" t="s">
        <v>445</v>
      </c>
      <c r="K178" s="12">
        <v>45993</v>
      </c>
      <c r="L178" s="15" t="s">
        <v>11</v>
      </c>
      <c r="M178" s="14"/>
      <c r="N178" s="14"/>
    </row>
    <row r="179" spans="1:14" ht="22.5" customHeight="1">
      <c r="A179" s="8">
        <v>45993.547719178241</v>
      </c>
      <c r="B179" s="9" t="s">
        <v>14</v>
      </c>
      <c r="C179" s="9" t="s">
        <v>15</v>
      </c>
      <c r="D179" s="9" t="s">
        <v>446</v>
      </c>
      <c r="E179" s="10" t="s">
        <v>17</v>
      </c>
      <c r="F179" s="10">
        <v>21</v>
      </c>
      <c r="G179" s="11">
        <v>9133052393</v>
      </c>
      <c r="H179" s="10" t="s">
        <v>447</v>
      </c>
      <c r="I179" s="10" t="s">
        <v>49</v>
      </c>
      <c r="J179" s="10" t="s">
        <v>157</v>
      </c>
      <c r="K179" s="12">
        <v>45993</v>
      </c>
      <c r="L179" s="15" t="s">
        <v>11</v>
      </c>
      <c r="M179" s="14"/>
      <c r="N179" s="14"/>
    </row>
    <row r="180" spans="1:14" ht="22.5" customHeight="1">
      <c r="A180" s="8">
        <v>45993.551009849536</v>
      </c>
      <c r="B180" s="9" t="s">
        <v>14</v>
      </c>
      <c r="C180" s="9" t="s">
        <v>15</v>
      </c>
      <c r="D180" s="9" t="s">
        <v>448</v>
      </c>
      <c r="E180" s="10" t="s">
        <v>17</v>
      </c>
      <c r="F180" s="10">
        <v>26</v>
      </c>
      <c r="G180" s="11">
        <v>7041466011</v>
      </c>
      <c r="H180" s="10" t="s">
        <v>449</v>
      </c>
      <c r="I180" s="10" t="s">
        <v>49</v>
      </c>
      <c r="J180" s="10" t="s">
        <v>103</v>
      </c>
      <c r="K180" s="12">
        <v>45993</v>
      </c>
      <c r="L180" s="15" t="s">
        <v>11</v>
      </c>
      <c r="M180" s="14"/>
      <c r="N180" s="14"/>
    </row>
    <row r="181" spans="1:14" ht="22.5" customHeight="1">
      <c r="A181" s="8">
        <v>45993.552183333333</v>
      </c>
      <c r="B181" s="9" t="s">
        <v>14</v>
      </c>
      <c r="C181" s="9" t="s">
        <v>15</v>
      </c>
      <c r="D181" s="9" t="s">
        <v>450</v>
      </c>
      <c r="E181" s="10" t="s">
        <v>22</v>
      </c>
      <c r="F181" s="10">
        <v>25</v>
      </c>
      <c r="G181" s="11">
        <v>7038340238</v>
      </c>
      <c r="H181" s="10" t="s">
        <v>451</v>
      </c>
      <c r="I181" s="10" t="s">
        <v>49</v>
      </c>
      <c r="J181" s="10" t="s">
        <v>452</v>
      </c>
      <c r="K181" s="12">
        <v>45993</v>
      </c>
      <c r="L181" s="15" t="s">
        <v>11</v>
      </c>
      <c r="M181" s="14"/>
      <c r="N181" s="14"/>
    </row>
    <row r="182" spans="1:14" ht="22.5" customHeight="1">
      <c r="A182" s="8">
        <v>45993.559141597223</v>
      </c>
      <c r="B182" s="9" t="s">
        <v>14</v>
      </c>
      <c r="C182" s="9" t="s">
        <v>15</v>
      </c>
      <c r="D182" s="9" t="s">
        <v>453</v>
      </c>
      <c r="E182" s="10" t="s">
        <v>17</v>
      </c>
      <c r="F182" s="10">
        <v>33</v>
      </c>
      <c r="G182" s="11">
        <v>8032486767</v>
      </c>
      <c r="H182" s="10" t="s">
        <v>454</v>
      </c>
      <c r="I182" s="10" t="s">
        <v>49</v>
      </c>
      <c r="J182" s="10" t="s">
        <v>160</v>
      </c>
      <c r="K182" s="12">
        <v>45993</v>
      </c>
      <c r="L182" s="15" t="s">
        <v>11</v>
      </c>
      <c r="M182" s="14"/>
      <c r="N182" s="14"/>
    </row>
    <row r="183" spans="1:14" ht="22.5" customHeight="1">
      <c r="A183" s="8">
        <v>45993.560047951389</v>
      </c>
      <c r="B183" s="9" t="s">
        <v>14</v>
      </c>
      <c r="C183" s="9" t="s">
        <v>15</v>
      </c>
      <c r="D183" s="9" t="s">
        <v>455</v>
      </c>
      <c r="E183" s="10" t="s">
        <v>17</v>
      </c>
      <c r="F183" s="10">
        <v>24</v>
      </c>
      <c r="G183" s="11">
        <v>7063624360</v>
      </c>
      <c r="H183" s="10" t="s">
        <v>456</v>
      </c>
      <c r="I183" s="10" t="s">
        <v>49</v>
      </c>
      <c r="J183" s="10" t="s">
        <v>106</v>
      </c>
      <c r="K183" s="12">
        <v>45993</v>
      </c>
      <c r="L183" s="15" t="s">
        <v>11</v>
      </c>
      <c r="M183" s="14"/>
      <c r="N183" s="14"/>
    </row>
    <row r="184" spans="1:14" ht="22.5" customHeight="1">
      <c r="A184" s="8">
        <v>45993.562365150465</v>
      </c>
      <c r="B184" s="9" t="s">
        <v>14</v>
      </c>
      <c r="C184" s="9" t="s">
        <v>15</v>
      </c>
      <c r="D184" s="9" t="s">
        <v>457</v>
      </c>
      <c r="E184" s="10" t="s">
        <v>17</v>
      </c>
      <c r="F184" s="18">
        <v>47</v>
      </c>
      <c r="G184" s="11">
        <v>8030485530</v>
      </c>
      <c r="H184" s="10" t="s">
        <v>458</v>
      </c>
      <c r="I184" s="10" t="s">
        <v>49</v>
      </c>
      <c r="J184" s="10" t="s">
        <v>106</v>
      </c>
      <c r="K184" s="12">
        <v>45993</v>
      </c>
      <c r="L184" s="15" t="s">
        <v>11</v>
      </c>
      <c r="M184" s="14"/>
      <c r="N184" s="14"/>
    </row>
    <row r="185" spans="1:14" ht="22.5" customHeight="1">
      <c r="A185" s="8">
        <v>45993.564434004627</v>
      </c>
      <c r="B185" s="9" t="s">
        <v>14</v>
      </c>
      <c r="C185" s="9" t="s">
        <v>15</v>
      </c>
      <c r="D185" s="9" t="s">
        <v>459</v>
      </c>
      <c r="E185" s="10" t="s">
        <v>17</v>
      </c>
      <c r="F185" s="10">
        <v>24</v>
      </c>
      <c r="G185" s="11">
        <v>7019624479</v>
      </c>
      <c r="H185" s="10" t="s">
        <v>460</v>
      </c>
      <c r="I185" s="10" t="s">
        <v>49</v>
      </c>
      <c r="J185" s="10" t="s">
        <v>60</v>
      </c>
      <c r="K185" s="12">
        <v>45993</v>
      </c>
      <c r="L185" s="15" t="s">
        <v>11</v>
      </c>
      <c r="M185" s="14"/>
      <c r="N185" s="14"/>
    </row>
    <row r="186" spans="1:14" ht="22.5" customHeight="1">
      <c r="A186" s="8">
        <v>45993.56599314815</v>
      </c>
      <c r="B186" s="9" t="s">
        <v>14</v>
      </c>
      <c r="C186" s="9" t="s">
        <v>15</v>
      </c>
      <c r="D186" s="9" t="s">
        <v>461</v>
      </c>
      <c r="E186" s="10" t="s">
        <v>17</v>
      </c>
      <c r="F186" s="10">
        <v>18</v>
      </c>
      <c r="G186" s="11">
        <v>9070016894</v>
      </c>
      <c r="H186" s="10" t="s">
        <v>462</v>
      </c>
      <c r="I186" s="10" t="s">
        <v>49</v>
      </c>
      <c r="J186" s="10" t="s">
        <v>463</v>
      </c>
      <c r="K186" s="12">
        <v>45993</v>
      </c>
      <c r="L186" s="15" t="s">
        <v>11</v>
      </c>
      <c r="M186" s="14"/>
      <c r="N186" s="14"/>
    </row>
    <row r="187" spans="1:14" ht="22.5" customHeight="1">
      <c r="A187" s="8">
        <v>45993.566288437505</v>
      </c>
      <c r="B187" s="9" t="s">
        <v>14</v>
      </c>
      <c r="C187" s="9" t="s">
        <v>15</v>
      </c>
      <c r="D187" s="9" t="s">
        <v>464</v>
      </c>
      <c r="E187" s="10" t="s">
        <v>22</v>
      </c>
      <c r="F187" s="10">
        <v>25</v>
      </c>
      <c r="G187" s="11">
        <v>9042234500</v>
      </c>
      <c r="H187" s="10" t="s">
        <v>465</v>
      </c>
      <c r="I187" s="10" t="s">
        <v>45</v>
      </c>
      <c r="J187" s="10" t="s">
        <v>46</v>
      </c>
      <c r="K187" s="12">
        <v>45993</v>
      </c>
      <c r="L187" s="15" t="s">
        <v>11</v>
      </c>
      <c r="M187" s="14"/>
      <c r="N187" s="14"/>
    </row>
    <row r="188" spans="1:14" ht="22.5" customHeight="1">
      <c r="A188" s="8">
        <v>45993.569996631944</v>
      </c>
      <c r="B188" s="9" t="s">
        <v>14</v>
      </c>
      <c r="C188" s="9" t="s">
        <v>15</v>
      </c>
      <c r="D188" s="9" t="s">
        <v>466</v>
      </c>
      <c r="E188" s="10" t="s">
        <v>17</v>
      </c>
      <c r="F188" s="10">
        <v>35</v>
      </c>
      <c r="G188" s="11">
        <v>8064686978</v>
      </c>
      <c r="H188" s="10" t="s">
        <v>467</v>
      </c>
      <c r="I188" s="10" t="s">
        <v>49</v>
      </c>
      <c r="J188" s="10" t="s">
        <v>303</v>
      </c>
      <c r="K188" s="12">
        <v>45993</v>
      </c>
      <c r="L188" s="15" t="s">
        <v>11</v>
      </c>
      <c r="M188" s="14"/>
      <c r="N188" s="14"/>
    </row>
    <row r="189" spans="1:14" ht="22.5" customHeight="1">
      <c r="A189" s="8">
        <v>45993.570216782406</v>
      </c>
      <c r="B189" s="9" t="s">
        <v>14</v>
      </c>
      <c r="C189" s="9" t="s">
        <v>15</v>
      </c>
      <c r="D189" s="9" t="s">
        <v>468</v>
      </c>
      <c r="E189" s="10" t="s">
        <v>17</v>
      </c>
      <c r="F189" s="10">
        <v>30</v>
      </c>
      <c r="G189" s="11">
        <v>7055080839</v>
      </c>
      <c r="H189" s="10" t="s">
        <v>469</v>
      </c>
      <c r="I189" s="10" t="s">
        <v>49</v>
      </c>
      <c r="J189" s="10" t="s">
        <v>160</v>
      </c>
      <c r="K189" s="12">
        <v>45993</v>
      </c>
      <c r="L189" s="15" t="s">
        <v>11</v>
      </c>
      <c r="M189" s="14"/>
      <c r="N189" s="14"/>
    </row>
    <row r="190" spans="1:14" ht="22.5" customHeight="1">
      <c r="A190" s="8">
        <v>45993.574662071755</v>
      </c>
      <c r="B190" s="9" t="s">
        <v>14</v>
      </c>
      <c r="C190" s="9" t="s">
        <v>15</v>
      </c>
      <c r="D190" s="9" t="s">
        <v>470</v>
      </c>
      <c r="E190" s="10" t="s">
        <v>17</v>
      </c>
      <c r="F190" s="10">
        <v>29</v>
      </c>
      <c r="G190" s="11">
        <v>8162646692</v>
      </c>
      <c r="H190" s="10" t="s">
        <v>471</v>
      </c>
      <c r="I190" s="10" t="s">
        <v>49</v>
      </c>
      <c r="J190" s="10" t="s">
        <v>303</v>
      </c>
      <c r="K190" s="12">
        <v>45993</v>
      </c>
      <c r="L190" s="15" t="s">
        <v>11</v>
      </c>
      <c r="M190" s="14"/>
      <c r="N190" s="14"/>
    </row>
    <row r="191" spans="1:14" ht="22.5" customHeight="1">
      <c r="A191" s="8">
        <v>45993.574667303241</v>
      </c>
      <c r="B191" s="9" t="s">
        <v>14</v>
      </c>
      <c r="C191" s="9" t="s">
        <v>15</v>
      </c>
      <c r="D191" s="9" t="s">
        <v>472</v>
      </c>
      <c r="E191" s="10" t="s">
        <v>17</v>
      </c>
      <c r="F191" s="10">
        <v>30</v>
      </c>
      <c r="G191" s="11">
        <v>8067659142</v>
      </c>
      <c r="H191" s="10" t="s">
        <v>473</v>
      </c>
      <c r="I191" s="10" t="s">
        <v>49</v>
      </c>
      <c r="J191" s="10" t="s">
        <v>50</v>
      </c>
      <c r="K191" s="12">
        <v>45993</v>
      </c>
      <c r="L191" s="15" t="s">
        <v>11</v>
      </c>
      <c r="M191" s="14"/>
      <c r="N191" s="14"/>
    </row>
    <row r="192" spans="1:14" ht="22.5" customHeight="1">
      <c r="A192" s="8">
        <v>45993.575145520837</v>
      </c>
      <c r="B192" s="9" t="s">
        <v>14</v>
      </c>
      <c r="C192" s="9" t="s">
        <v>15</v>
      </c>
      <c r="D192" s="9" t="s">
        <v>474</v>
      </c>
      <c r="E192" s="10" t="s">
        <v>17</v>
      </c>
      <c r="F192" s="10">
        <v>21</v>
      </c>
      <c r="G192" s="11">
        <v>9165363800</v>
      </c>
      <c r="H192" s="10" t="s">
        <v>475</v>
      </c>
      <c r="I192" s="10" t="s">
        <v>19</v>
      </c>
      <c r="J192" s="10" t="s">
        <v>476</v>
      </c>
      <c r="K192" s="12">
        <v>45993</v>
      </c>
      <c r="L192" s="15" t="s">
        <v>11</v>
      </c>
      <c r="M192" s="14"/>
      <c r="N192" s="14"/>
    </row>
    <row r="193" spans="1:20" ht="22.5" customHeight="1">
      <c r="A193" s="8">
        <v>45993.586003715274</v>
      </c>
      <c r="B193" s="9" t="s">
        <v>14</v>
      </c>
      <c r="C193" s="9" t="s">
        <v>15</v>
      </c>
      <c r="D193" s="9" t="s">
        <v>477</v>
      </c>
      <c r="E193" s="10" t="s">
        <v>22</v>
      </c>
      <c r="F193" s="10">
        <v>31</v>
      </c>
      <c r="G193" s="11">
        <v>8063218285</v>
      </c>
      <c r="H193" s="10" t="s">
        <v>478</v>
      </c>
      <c r="I193" s="10" t="s">
        <v>49</v>
      </c>
      <c r="J193" s="10" t="s">
        <v>319</v>
      </c>
      <c r="K193" s="12">
        <v>45993</v>
      </c>
      <c r="L193" s="15" t="s">
        <v>11</v>
      </c>
      <c r="M193" s="14"/>
      <c r="N193" s="14"/>
    </row>
    <row r="194" spans="1:20" ht="22.5" customHeight="1">
      <c r="A194" s="8">
        <v>45993.586361689813</v>
      </c>
      <c r="B194" s="9" t="s">
        <v>14</v>
      </c>
      <c r="C194" s="9" t="s">
        <v>15</v>
      </c>
      <c r="D194" s="9" t="s">
        <v>479</v>
      </c>
      <c r="E194" s="10" t="s">
        <v>17</v>
      </c>
      <c r="F194" s="10">
        <v>28</v>
      </c>
      <c r="G194" s="11">
        <v>8103447424</v>
      </c>
      <c r="H194" s="10" t="s">
        <v>480</v>
      </c>
      <c r="I194" s="10" t="s">
        <v>49</v>
      </c>
      <c r="J194" s="10" t="s">
        <v>109</v>
      </c>
      <c r="K194" s="12">
        <v>45993</v>
      </c>
      <c r="L194" s="15" t="s">
        <v>11</v>
      </c>
      <c r="M194" s="14"/>
      <c r="N194" s="14"/>
      <c r="O194" s="22"/>
      <c r="P194" s="23"/>
      <c r="Q194" s="23"/>
      <c r="R194" s="23"/>
      <c r="S194" s="23"/>
      <c r="T194" s="23"/>
    </row>
    <row r="195" spans="1:20" ht="22.5" customHeight="1">
      <c r="A195" s="8">
        <v>45993.590838240736</v>
      </c>
      <c r="B195" s="9" t="s">
        <v>14</v>
      </c>
      <c r="C195" s="9" t="s">
        <v>15</v>
      </c>
      <c r="D195" s="9" t="s">
        <v>481</v>
      </c>
      <c r="E195" s="10" t="s">
        <v>17</v>
      </c>
      <c r="F195" s="10">
        <v>24</v>
      </c>
      <c r="G195" s="11">
        <v>8101420069</v>
      </c>
      <c r="H195" s="10" t="s">
        <v>482</v>
      </c>
      <c r="I195" s="10" t="s">
        <v>49</v>
      </c>
      <c r="J195" s="10" t="s">
        <v>103</v>
      </c>
      <c r="K195" s="12">
        <v>45993</v>
      </c>
      <c r="L195" s="15" t="s">
        <v>11</v>
      </c>
      <c r="M195" s="14"/>
      <c r="N195" s="14"/>
    </row>
    <row r="196" spans="1:20" ht="22.5" customHeight="1">
      <c r="A196" s="8">
        <v>45993.593830555561</v>
      </c>
      <c r="B196" s="9" t="s">
        <v>14</v>
      </c>
      <c r="C196" s="9" t="s">
        <v>15</v>
      </c>
      <c r="D196" s="9" t="s">
        <v>483</v>
      </c>
      <c r="E196" s="10" t="s">
        <v>17</v>
      </c>
      <c r="F196" s="10">
        <v>19</v>
      </c>
      <c r="G196" s="11">
        <v>8139450605</v>
      </c>
      <c r="H196" s="10" t="s">
        <v>484</v>
      </c>
      <c r="I196" s="10" t="s">
        <v>49</v>
      </c>
      <c r="J196" s="10" t="s">
        <v>157</v>
      </c>
      <c r="K196" s="12">
        <v>45993</v>
      </c>
      <c r="L196" s="15" t="s">
        <v>11</v>
      </c>
      <c r="M196" s="14"/>
      <c r="N196" s="14"/>
    </row>
    <row r="197" spans="1:20" ht="22.5" customHeight="1">
      <c r="A197" s="8">
        <v>45993.595501400458</v>
      </c>
      <c r="B197" s="9" t="s">
        <v>14</v>
      </c>
      <c r="C197" s="9" t="s">
        <v>15</v>
      </c>
      <c r="D197" s="9" t="s">
        <v>485</v>
      </c>
      <c r="E197" s="10" t="s">
        <v>22</v>
      </c>
      <c r="F197" s="10">
        <v>34</v>
      </c>
      <c r="G197" s="11">
        <v>9137426425</v>
      </c>
      <c r="H197" s="10" t="s">
        <v>486</v>
      </c>
      <c r="I197" s="10" t="s">
        <v>49</v>
      </c>
      <c r="J197" s="10" t="s">
        <v>73</v>
      </c>
      <c r="K197" s="12">
        <v>45993</v>
      </c>
      <c r="L197" s="15" t="s">
        <v>11</v>
      </c>
      <c r="M197" s="14"/>
      <c r="N197" s="14"/>
    </row>
    <row r="198" spans="1:20" ht="22.5" customHeight="1">
      <c r="A198" s="8">
        <v>45993.597854942127</v>
      </c>
      <c r="B198" s="9" t="s">
        <v>14</v>
      </c>
      <c r="C198" s="9" t="s">
        <v>15</v>
      </c>
      <c r="D198" s="9" t="s">
        <v>487</v>
      </c>
      <c r="E198" s="10" t="s">
        <v>17</v>
      </c>
      <c r="F198" s="10">
        <v>30</v>
      </c>
      <c r="G198" s="11">
        <v>7060539865</v>
      </c>
      <c r="H198" s="10" t="s">
        <v>488</v>
      </c>
      <c r="I198" s="10" t="s">
        <v>49</v>
      </c>
      <c r="J198" s="10" t="s">
        <v>160</v>
      </c>
      <c r="K198" s="12">
        <v>45993</v>
      </c>
      <c r="L198" s="15" t="s">
        <v>11</v>
      </c>
      <c r="M198" s="14"/>
      <c r="N198" s="14"/>
    </row>
    <row r="199" spans="1:20" ht="22.5" customHeight="1">
      <c r="A199" s="8">
        <v>45993.598042916667</v>
      </c>
      <c r="B199" s="9" t="s">
        <v>14</v>
      </c>
      <c r="C199" s="9" t="s">
        <v>15</v>
      </c>
      <c r="D199" s="9" t="s">
        <v>489</v>
      </c>
      <c r="E199" s="10" t="s">
        <v>17</v>
      </c>
      <c r="F199" s="10">
        <v>28</v>
      </c>
      <c r="G199" s="11">
        <v>8140732670</v>
      </c>
      <c r="H199" s="10" t="s">
        <v>490</v>
      </c>
      <c r="I199" s="10" t="s">
        <v>49</v>
      </c>
      <c r="J199" s="10" t="s">
        <v>157</v>
      </c>
      <c r="K199" s="12">
        <v>35463</v>
      </c>
      <c r="L199" s="15" t="s">
        <v>11</v>
      </c>
      <c r="M199" s="14"/>
      <c r="N199" s="14"/>
    </row>
    <row r="200" spans="1:20" ht="22.5" customHeight="1">
      <c r="A200" s="8">
        <v>45993.598800659718</v>
      </c>
      <c r="B200" s="9" t="s">
        <v>14</v>
      </c>
      <c r="C200" s="9" t="s">
        <v>15</v>
      </c>
      <c r="D200" s="9" t="s">
        <v>491</v>
      </c>
      <c r="E200" s="10" t="s">
        <v>17</v>
      </c>
      <c r="F200" s="10">
        <v>33</v>
      </c>
      <c r="G200" s="11">
        <v>8138794192</v>
      </c>
      <c r="H200" s="10" t="s">
        <v>492</v>
      </c>
      <c r="I200" s="10" t="s">
        <v>49</v>
      </c>
      <c r="J200" s="10" t="s">
        <v>160</v>
      </c>
      <c r="K200" s="12">
        <v>45993</v>
      </c>
      <c r="L200" s="15" t="s">
        <v>11</v>
      </c>
      <c r="M200" s="14"/>
      <c r="N200" s="14"/>
    </row>
    <row r="201" spans="1:20" ht="22.5" customHeight="1">
      <c r="A201" s="8">
        <v>45993.600826238428</v>
      </c>
      <c r="B201" s="9" t="s">
        <v>14</v>
      </c>
      <c r="C201" s="9" t="s">
        <v>15</v>
      </c>
      <c r="D201" s="9" t="s">
        <v>493</v>
      </c>
      <c r="E201" s="10" t="s">
        <v>17</v>
      </c>
      <c r="F201" s="10">
        <v>28</v>
      </c>
      <c r="G201" s="11">
        <v>7032516869</v>
      </c>
      <c r="H201" s="10" t="s">
        <v>494</v>
      </c>
      <c r="I201" s="10" t="s">
        <v>49</v>
      </c>
      <c r="J201" s="10" t="s">
        <v>106</v>
      </c>
      <c r="K201" s="12">
        <v>45993</v>
      </c>
      <c r="L201" s="15" t="s">
        <v>11</v>
      </c>
      <c r="M201" s="14"/>
      <c r="N201" s="14"/>
    </row>
    <row r="202" spans="1:20" ht="22.5" customHeight="1">
      <c r="A202" s="8">
        <v>45993.601927199074</v>
      </c>
      <c r="B202" s="9" t="s">
        <v>14</v>
      </c>
      <c r="C202" s="9" t="s">
        <v>15</v>
      </c>
      <c r="D202" s="9" t="s">
        <v>495</v>
      </c>
      <c r="E202" s="10" t="s">
        <v>22</v>
      </c>
      <c r="F202" s="10">
        <v>29</v>
      </c>
      <c r="G202" s="11">
        <v>8100990288</v>
      </c>
      <c r="H202" s="10" t="s">
        <v>496</v>
      </c>
      <c r="I202" s="10" t="s">
        <v>49</v>
      </c>
      <c r="J202" s="10" t="s">
        <v>303</v>
      </c>
      <c r="K202" s="12">
        <v>45993</v>
      </c>
      <c r="L202" s="15" t="s">
        <v>11</v>
      </c>
      <c r="M202" s="14"/>
      <c r="N202" s="14"/>
    </row>
    <row r="203" spans="1:20" ht="22.5" customHeight="1">
      <c r="A203" s="8">
        <v>45993.603379733795</v>
      </c>
      <c r="B203" s="9" t="s">
        <v>14</v>
      </c>
      <c r="C203" s="9" t="s">
        <v>15</v>
      </c>
      <c r="D203" s="9" t="s">
        <v>497</v>
      </c>
      <c r="E203" s="10" t="s">
        <v>17</v>
      </c>
      <c r="F203" s="10">
        <v>26</v>
      </c>
      <c r="G203" s="11">
        <v>7046213022</v>
      </c>
      <c r="H203" s="10" t="s">
        <v>498</v>
      </c>
      <c r="I203" s="10" t="s">
        <v>49</v>
      </c>
      <c r="J203" s="10" t="s">
        <v>303</v>
      </c>
      <c r="K203" s="12">
        <v>45993</v>
      </c>
      <c r="L203" s="15" t="s">
        <v>11</v>
      </c>
      <c r="M203" s="14"/>
      <c r="N203" s="14"/>
    </row>
    <row r="204" spans="1:20" ht="22.5" customHeight="1">
      <c r="A204" s="8">
        <v>45993.60620840278</v>
      </c>
      <c r="B204" s="9" t="s">
        <v>14</v>
      </c>
      <c r="C204" s="9" t="s">
        <v>15</v>
      </c>
      <c r="D204" s="9" t="s">
        <v>499</v>
      </c>
      <c r="E204" s="10" t="s">
        <v>22</v>
      </c>
      <c r="F204" s="10">
        <v>25</v>
      </c>
      <c r="G204" s="11">
        <v>8109360840</v>
      </c>
      <c r="H204" s="10" t="s">
        <v>500</v>
      </c>
      <c r="I204" s="10" t="s">
        <v>49</v>
      </c>
      <c r="J204" s="10" t="s">
        <v>160</v>
      </c>
      <c r="K204" s="12">
        <v>45993</v>
      </c>
      <c r="L204" s="15" t="s">
        <v>11</v>
      </c>
      <c r="M204" s="14"/>
      <c r="N204" s="14"/>
    </row>
    <row r="205" spans="1:20" ht="22.5" customHeight="1">
      <c r="A205" s="8">
        <v>45993.61271612269</v>
      </c>
      <c r="B205" s="9" t="s">
        <v>14</v>
      </c>
      <c r="C205" s="9" t="s">
        <v>15</v>
      </c>
      <c r="D205" s="9" t="s">
        <v>501</v>
      </c>
      <c r="E205" s="10" t="s">
        <v>17</v>
      </c>
      <c r="F205" s="10">
        <v>35</v>
      </c>
      <c r="G205" s="11">
        <v>7036875165</v>
      </c>
      <c r="H205" s="10" t="s">
        <v>502</v>
      </c>
      <c r="I205" s="10" t="s">
        <v>49</v>
      </c>
      <c r="J205" s="10" t="s">
        <v>503</v>
      </c>
      <c r="K205" s="12">
        <v>45993</v>
      </c>
      <c r="L205" s="15" t="s">
        <v>11</v>
      </c>
      <c r="M205" s="14"/>
      <c r="N205" s="14"/>
      <c r="O205" s="16"/>
      <c r="P205" s="17"/>
      <c r="Q205" s="17"/>
      <c r="R205" s="17"/>
      <c r="S205" s="17"/>
      <c r="T205" s="17"/>
    </row>
    <row r="206" spans="1:20" ht="22.5" customHeight="1">
      <c r="A206" s="8">
        <v>45993.614394571763</v>
      </c>
      <c r="B206" s="9" t="s">
        <v>14</v>
      </c>
      <c r="C206" s="9" t="s">
        <v>15</v>
      </c>
      <c r="D206" s="9" t="s">
        <v>504</v>
      </c>
      <c r="E206" s="10" t="s">
        <v>17</v>
      </c>
      <c r="F206" s="10">
        <v>27</v>
      </c>
      <c r="G206" s="11">
        <v>8141606336</v>
      </c>
      <c r="H206" s="10" t="s">
        <v>505</v>
      </c>
      <c r="I206" s="10" t="s">
        <v>49</v>
      </c>
      <c r="J206" s="10" t="s">
        <v>506</v>
      </c>
      <c r="K206" s="12">
        <v>45993</v>
      </c>
      <c r="L206" s="15" t="s">
        <v>11</v>
      </c>
      <c r="M206" s="14"/>
      <c r="N206" s="14"/>
    </row>
    <row r="207" spans="1:20" ht="22.5" customHeight="1">
      <c r="A207" s="8">
        <v>45993.617944270838</v>
      </c>
      <c r="B207" s="9" t="s">
        <v>14</v>
      </c>
      <c r="C207" s="9" t="s">
        <v>15</v>
      </c>
      <c r="D207" s="9" t="s">
        <v>507</v>
      </c>
      <c r="E207" s="10" t="s">
        <v>22</v>
      </c>
      <c r="F207" s="10">
        <v>25</v>
      </c>
      <c r="G207" s="11">
        <v>9153363343</v>
      </c>
      <c r="H207" s="10" t="s">
        <v>508</v>
      </c>
      <c r="I207" s="10" t="s">
        <v>45</v>
      </c>
      <c r="J207" s="10" t="s">
        <v>509</v>
      </c>
      <c r="K207" s="12">
        <v>45993</v>
      </c>
      <c r="L207" s="15" t="s">
        <v>11</v>
      </c>
      <c r="M207" s="14"/>
      <c r="N207" s="14"/>
    </row>
    <row r="208" spans="1:20" ht="22.5" customHeight="1">
      <c r="A208" s="8">
        <v>45993.622725995374</v>
      </c>
      <c r="B208" s="9" t="s">
        <v>14</v>
      </c>
      <c r="C208" s="9" t="s">
        <v>15</v>
      </c>
      <c r="D208" s="9" t="s">
        <v>510</v>
      </c>
      <c r="E208" s="10" t="s">
        <v>17</v>
      </c>
      <c r="F208" s="10">
        <v>19</v>
      </c>
      <c r="G208" s="11">
        <v>7076936476</v>
      </c>
      <c r="H208" s="10" t="s">
        <v>511</v>
      </c>
      <c r="I208" s="10" t="s">
        <v>49</v>
      </c>
      <c r="J208" s="10" t="s">
        <v>160</v>
      </c>
      <c r="K208" s="12">
        <v>45993</v>
      </c>
      <c r="L208" s="15" t="s">
        <v>11</v>
      </c>
      <c r="M208" s="14"/>
      <c r="N208" s="14"/>
    </row>
    <row r="209" spans="1:14" ht="22.5" customHeight="1">
      <c r="A209" s="8">
        <v>45993.625113842594</v>
      </c>
      <c r="B209" s="9" t="s">
        <v>14</v>
      </c>
      <c r="C209" s="9" t="s">
        <v>15</v>
      </c>
      <c r="D209" s="9" t="s">
        <v>512</v>
      </c>
      <c r="E209" s="10" t="s">
        <v>22</v>
      </c>
      <c r="F209" s="10">
        <v>18</v>
      </c>
      <c r="G209" s="11">
        <v>8148334376</v>
      </c>
      <c r="H209" s="10" t="s">
        <v>513</v>
      </c>
      <c r="I209" s="10" t="s">
        <v>49</v>
      </c>
      <c r="J209" s="10" t="s">
        <v>157</v>
      </c>
      <c r="K209" s="12">
        <v>45993</v>
      </c>
      <c r="L209" s="15" t="s">
        <v>11</v>
      </c>
      <c r="M209" s="14"/>
      <c r="N209" s="14"/>
    </row>
    <row r="210" spans="1:14" ht="22.5" customHeight="1">
      <c r="A210" s="8">
        <v>45993.629028032403</v>
      </c>
      <c r="B210" s="9" t="s">
        <v>14</v>
      </c>
      <c r="C210" s="9" t="s">
        <v>15</v>
      </c>
      <c r="D210" s="9" t="s">
        <v>514</v>
      </c>
      <c r="E210" s="10" t="s">
        <v>17</v>
      </c>
      <c r="F210" s="10">
        <v>25</v>
      </c>
      <c r="G210" s="11">
        <v>8078943473</v>
      </c>
      <c r="H210" s="10" t="s">
        <v>515</v>
      </c>
      <c r="I210" s="10" t="s">
        <v>49</v>
      </c>
      <c r="J210" s="10" t="s">
        <v>516</v>
      </c>
      <c r="K210" s="12">
        <v>45993</v>
      </c>
      <c r="L210" s="15" t="s">
        <v>11</v>
      </c>
      <c r="M210" s="14"/>
      <c r="N210" s="14"/>
    </row>
    <row r="211" spans="1:14" ht="22.5" customHeight="1">
      <c r="A211" s="8">
        <v>45993.630325914353</v>
      </c>
      <c r="B211" s="9" t="s">
        <v>14</v>
      </c>
      <c r="C211" s="9" t="s">
        <v>15</v>
      </c>
      <c r="D211" s="9" t="s">
        <v>517</v>
      </c>
      <c r="E211" s="10" t="s">
        <v>17</v>
      </c>
      <c r="F211" s="19">
        <v>24</v>
      </c>
      <c r="G211" s="11">
        <v>8167314909</v>
      </c>
      <c r="H211" s="10" t="s">
        <v>518</v>
      </c>
      <c r="I211" s="10" t="s">
        <v>49</v>
      </c>
      <c r="J211" s="10" t="s">
        <v>50</v>
      </c>
      <c r="K211" s="12">
        <v>45993</v>
      </c>
      <c r="L211" s="15" t="s">
        <v>11</v>
      </c>
      <c r="M211" s="14"/>
      <c r="N211" s="14"/>
    </row>
    <row r="212" spans="1:14" ht="22.5" customHeight="1">
      <c r="A212" s="8">
        <v>45993.644794687498</v>
      </c>
      <c r="B212" s="9" t="s">
        <v>14</v>
      </c>
      <c r="C212" s="9" t="s">
        <v>15</v>
      </c>
      <c r="D212" s="9" t="s">
        <v>519</v>
      </c>
      <c r="E212" s="10" t="s">
        <v>17</v>
      </c>
      <c r="F212" s="10">
        <v>26</v>
      </c>
      <c r="G212" s="11">
        <v>9131336770</v>
      </c>
      <c r="H212" s="10" t="s">
        <v>520</v>
      </c>
      <c r="I212" s="10" t="s">
        <v>45</v>
      </c>
      <c r="J212" s="10" t="s">
        <v>521</v>
      </c>
      <c r="K212" s="12">
        <v>45993</v>
      </c>
      <c r="L212" s="15" t="s">
        <v>11</v>
      </c>
      <c r="M212" s="14"/>
      <c r="N212" s="14"/>
    </row>
    <row r="213" spans="1:14" ht="22.5" customHeight="1">
      <c r="A213" s="8">
        <v>45993.645175578698</v>
      </c>
      <c r="B213" s="9" t="s">
        <v>14</v>
      </c>
      <c r="C213" s="9" t="s">
        <v>15</v>
      </c>
      <c r="D213" s="9" t="s">
        <v>522</v>
      </c>
      <c r="E213" s="10" t="s">
        <v>17</v>
      </c>
      <c r="F213" s="10">
        <v>29</v>
      </c>
      <c r="G213" s="11">
        <v>8157754037</v>
      </c>
      <c r="H213" s="10" t="s">
        <v>523</v>
      </c>
      <c r="I213" s="10" t="s">
        <v>49</v>
      </c>
      <c r="J213" s="10" t="s">
        <v>60</v>
      </c>
      <c r="K213" s="12">
        <v>45993</v>
      </c>
      <c r="L213" s="15" t="s">
        <v>11</v>
      </c>
      <c r="M213" s="14"/>
      <c r="N213" s="14"/>
    </row>
    <row r="214" spans="1:14" ht="22.5" customHeight="1">
      <c r="A214" s="8">
        <v>45993.645695752319</v>
      </c>
      <c r="B214" s="9" t="s">
        <v>14</v>
      </c>
      <c r="C214" s="9" t="s">
        <v>15</v>
      </c>
      <c r="D214" s="9" t="s">
        <v>524</v>
      </c>
      <c r="E214" s="10" t="s">
        <v>22</v>
      </c>
      <c r="F214" s="10">
        <v>29</v>
      </c>
      <c r="G214" s="11">
        <v>9036906288</v>
      </c>
      <c r="H214" s="10" t="s">
        <v>525</v>
      </c>
      <c r="I214" s="10" t="s">
        <v>45</v>
      </c>
      <c r="J214" s="10" t="s">
        <v>287</v>
      </c>
      <c r="K214" s="12">
        <v>45993</v>
      </c>
      <c r="L214" s="15" t="s">
        <v>11</v>
      </c>
      <c r="M214" s="14"/>
      <c r="N214" s="14"/>
    </row>
    <row r="215" spans="1:14" ht="22.5" customHeight="1">
      <c r="A215" s="8">
        <v>45993.648349062496</v>
      </c>
      <c r="B215" s="9" t="s">
        <v>14</v>
      </c>
      <c r="C215" s="9" t="s">
        <v>15</v>
      </c>
      <c r="D215" s="9" t="s">
        <v>526</v>
      </c>
      <c r="E215" s="10" t="s">
        <v>22</v>
      </c>
      <c r="F215" s="10">
        <v>22</v>
      </c>
      <c r="G215" s="11">
        <v>9031508486</v>
      </c>
      <c r="H215" s="10" t="s">
        <v>527</v>
      </c>
      <c r="I215" s="10" t="s">
        <v>49</v>
      </c>
      <c r="J215" s="10" t="s">
        <v>106</v>
      </c>
      <c r="K215" s="12">
        <v>45993</v>
      </c>
      <c r="L215" s="15" t="s">
        <v>11</v>
      </c>
      <c r="M215" s="14"/>
      <c r="N215" s="14"/>
    </row>
    <row r="216" spans="1:14" ht="22.5" customHeight="1">
      <c r="A216" s="8">
        <v>45993.649240243059</v>
      </c>
      <c r="B216" s="9" t="s">
        <v>14</v>
      </c>
      <c r="C216" s="9" t="s">
        <v>15</v>
      </c>
      <c r="D216" s="9" t="s">
        <v>528</v>
      </c>
      <c r="E216" s="10" t="s">
        <v>17</v>
      </c>
      <c r="F216" s="10">
        <v>25</v>
      </c>
      <c r="G216" s="11">
        <v>8109035378</v>
      </c>
      <c r="H216" s="10" t="s">
        <v>529</v>
      </c>
      <c r="I216" s="10" t="s">
        <v>145</v>
      </c>
      <c r="J216" s="10" t="s">
        <v>530</v>
      </c>
      <c r="K216" s="12">
        <v>45993</v>
      </c>
      <c r="L216" s="15" t="s">
        <v>11</v>
      </c>
      <c r="M216" s="14"/>
      <c r="N216" s="14"/>
    </row>
    <row r="217" spans="1:14" ht="22.5" customHeight="1">
      <c r="A217" s="8">
        <v>45993.650187037041</v>
      </c>
      <c r="B217" s="9" t="s">
        <v>14</v>
      </c>
      <c r="C217" s="9" t="s">
        <v>15</v>
      </c>
      <c r="D217" s="9" t="s">
        <v>531</v>
      </c>
      <c r="E217" s="10" t="s">
        <v>17</v>
      </c>
      <c r="F217" s="10">
        <v>26</v>
      </c>
      <c r="G217" s="11">
        <v>9034230080</v>
      </c>
      <c r="H217" s="10" t="s">
        <v>532</v>
      </c>
      <c r="I217" s="10" t="s">
        <v>49</v>
      </c>
      <c r="J217" s="10" t="s">
        <v>50</v>
      </c>
      <c r="K217" s="12">
        <v>45993</v>
      </c>
      <c r="L217" s="15" t="s">
        <v>11</v>
      </c>
      <c r="M217" s="14"/>
      <c r="N217" s="14"/>
    </row>
    <row r="218" spans="1:14" ht="22.5" customHeight="1">
      <c r="A218" s="8">
        <v>45993.650676192134</v>
      </c>
      <c r="B218" s="9" t="s">
        <v>14</v>
      </c>
      <c r="C218" s="9" t="s">
        <v>15</v>
      </c>
      <c r="D218" s="9" t="s">
        <v>533</v>
      </c>
      <c r="E218" s="10" t="s">
        <v>17</v>
      </c>
      <c r="F218" s="10">
        <v>32</v>
      </c>
      <c r="G218" s="11">
        <v>7039993946</v>
      </c>
      <c r="H218" s="10" t="s">
        <v>534</v>
      </c>
      <c r="I218" s="10" t="s">
        <v>49</v>
      </c>
      <c r="J218" s="10" t="s">
        <v>106</v>
      </c>
      <c r="K218" s="12">
        <v>45993</v>
      </c>
      <c r="L218" s="15" t="s">
        <v>11</v>
      </c>
      <c r="M218" s="14"/>
      <c r="N218" s="14"/>
    </row>
    <row r="219" spans="1:14" ht="22.5" customHeight="1">
      <c r="A219" s="8">
        <v>45993.65496068287</v>
      </c>
      <c r="B219" s="9" t="s">
        <v>14</v>
      </c>
      <c r="C219" s="9" t="s">
        <v>15</v>
      </c>
      <c r="D219" s="9" t="s">
        <v>535</v>
      </c>
      <c r="E219" s="10" t="s">
        <v>17</v>
      </c>
      <c r="F219" s="10">
        <v>33</v>
      </c>
      <c r="G219" s="11">
        <v>8060091176</v>
      </c>
      <c r="H219" s="10" t="s">
        <v>536</v>
      </c>
      <c r="I219" s="10" t="s">
        <v>49</v>
      </c>
      <c r="J219" s="10" t="s">
        <v>106</v>
      </c>
      <c r="K219" s="12">
        <v>45993</v>
      </c>
      <c r="L219" s="15" t="s">
        <v>11</v>
      </c>
      <c r="M219" s="14"/>
      <c r="N219" s="14"/>
    </row>
    <row r="220" spans="1:14" ht="22.5" customHeight="1">
      <c r="A220" s="8">
        <v>45993.655996331014</v>
      </c>
      <c r="B220" s="9" t="s">
        <v>14</v>
      </c>
      <c r="C220" s="9" t="s">
        <v>15</v>
      </c>
      <c r="D220" s="9" t="s">
        <v>537</v>
      </c>
      <c r="E220" s="10" t="s">
        <v>17</v>
      </c>
      <c r="F220" s="10">
        <v>30</v>
      </c>
      <c r="G220" s="11">
        <v>9046226868</v>
      </c>
      <c r="H220" s="10" t="s">
        <v>538</v>
      </c>
      <c r="I220" s="10" t="s">
        <v>49</v>
      </c>
      <c r="J220" s="10" t="s">
        <v>539</v>
      </c>
      <c r="K220" s="12">
        <v>45993</v>
      </c>
      <c r="L220" s="15" t="s">
        <v>11</v>
      </c>
      <c r="M220" s="14"/>
      <c r="N220" s="14"/>
    </row>
    <row r="221" spans="1:14" ht="22.5" customHeight="1">
      <c r="A221" s="8">
        <v>45993.661403912032</v>
      </c>
      <c r="B221" s="9" t="s">
        <v>14</v>
      </c>
      <c r="C221" s="9" t="s">
        <v>15</v>
      </c>
      <c r="D221" s="9" t="s">
        <v>540</v>
      </c>
      <c r="E221" s="10" t="s">
        <v>22</v>
      </c>
      <c r="F221" s="10">
        <v>27</v>
      </c>
      <c r="G221" s="11">
        <v>8069758836</v>
      </c>
      <c r="H221" s="10" t="s">
        <v>541</v>
      </c>
      <c r="I221" s="10" t="s">
        <v>49</v>
      </c>
      <c r="J221" s="10" t="s">
        <v>542</v>
      </c>
      <c r="K221" s="12">
        <v>45993</v>
      </c>
      <c r="L221" s="15" t="s">
        <v>11</v>
      </c>
      <c r="M221" s="14"/>
      <c r="N221" s="14"/>
    </row>
    <row r="222" spans="1:14" ht="22.5" customHeight="1">
      <c r="A222" s="8">
        <v>45993.663746770835</v>
      </c>
      <c r="B222" s="9" t="s">
        <v>14</v>
      </c>
      <c r="C222" s="9" t="s">
        <v>15</v>
      </c>
      <c r="D222" s="9" t="s">
        <v>543</v>
      </c>
      <c r="E222" s="10" t="s">
        <v>17</v>
      </c>
      <c r="F222" s="10">
        <v>30</v>
      </c>
      <c r="G222" s="11">
        <v>8066555825</v>
      </c>
      <c r="H222" s="10" t="s">
        <v>544</v>
      </c>
      <c r="I222" s="10" t="s">
        <v>49</v>
      </c>
      <c r="J222" s="10" t="s">
        <v>160</v>
      </c>
      <c r="K222" s="12">
        <v>45993</v>
      </c>
      <c r="L222" s="15" t="s">
        <v>11</v>
      </c>
      <c r="M222" s="14"/>
      <c r="N222" s="14"/>
    </row>
    <row r="223" spans="1:14" ht="22.5" customHeight="1">
      <c r="A223" s="8">
        <v>45993.666945891207</v>
      </c>
      <c r="B223" s="9" t="s">
        <v>14</v>
      </c>
      <c r="C223" s="9" t="s">
        <v>15</v>
      </c>
      <c r="D223" s="9" t="s">
        <v>545</v>
      </c>
      <c r="E223" s="10" t="s">
        <v>17</v>
      </c>
      <c r="F223" s="10">
        <v>27</v>
      </c>
      <c r="G223" s="11">
        <v>7061511604</v>
      </c>
      <c r="H223" s="10" t="s">
        <v>546</v>
      </c>
      <c r="I223" s="10" t="s">
        <v>49</v>
      </c>
      <c r="J223" s="10" t="s">
        <v>73</v>
      </c>
      <c r="K223" s="12">
        <v>45993</v>
      </c>
      <c r="L223" s="15" t="s">
        <v>11</v>
      </c>
      <c r="M223" s="14"/>
      <c r="N223" s="14"/>
    </row>
    <row r="224" spans="1:14" ht="22.5" customHeight="1">
      <c r="A224" s="8">
        <v>45993.667447800923</v>
      </c>
      <c r="B224" s="9" t="s">
        <v>14</v>
      </c>
      <c r="C224" s="9" t="s">
        <v>15</v>
      </c>
      <c r="D224" s="9" t="s">
        <v>491</v>
      </c>
      <c r="E224" s="10" t="s">
        <v>17</v>
      </c>
      <c r="F224" s="10">
        <v>33</v>
      </c>
      <c r="G224" s="11">
        <v>8138794192</v>
      </c>
      <c r="H224" s="10" t="s">
        <v>492</v>
      </c>
      <c r="I224" s="10" t="s">
        <v>49</v>
      </c>
      <c r="J224" s="10" t="s">
        <v>160</v>
      </c>
      <c r="K224" s="12">
        <v>45993</v>
      </c>
      <c r="L224" s="15" t="s">
        <v>11</v>
      </c>
      <c r="M224" s="14"/>
      <c r="N224" s="14"/>
    </row>
    <row r="225" spans="1:20" ht="22.5" customHeight="1">
      <c r="A225" s="8">
        <v>45993.669636805556</v>
      </c>
      <c r="B225" s="9" t="s">
        <v>14</v>
      </c>
      <c r="C225" s="9" t="s">
        <v>15</v>
      </c>
      <c r="D225" s="9" t="s">
        <v>547</v>
      </c>
      <c r="E225" s="10" t="s">
        <v>17</v>
      </c>
      <c r="F225" s="10">
        <v>22</v>
      </c>
      <c r="G225" s="11">
        <v>9072003849</v>
      </c>
      <c r="H225" s="10" t="s">
        <v>548</v>
      </c>
      <c r="I225" s="10" t="s">
        <v>45</v>
      </c>
      <c r="J225" s="10" t="s">
        <v>549</v>
      </c>
      <c r="K225" s="12">
        <v>45993</v>
      </c>
      <c r="L225" s="15" t="s">
        <v>11</v>
      </c>
      <c r="M225" s="14"/>
      <c r="N225" s="14"/>
    </row>
    <row r="226" spans="1:20" ht="22.5" customHeight="1">
      <c r="A226" s="8">
        <v>45993.669939722226</v>
      </c>
      <c r="B226" s="9" t="s">
        <v>14</v>
      </c>
      <c r="C226" s="9" t="s">
        <v>15</v>
      </c>
      <c r="D226" s="9" t="s">
        <v>550</v>
      </c>
      <c r="E226" s="10" t="s">
        <v>22</v>
      </c>
      <c r="F226" s="10">
        <v>36</v>
      </c>
      <c r="G226" s="11">
        <v>7065173250</v>
      </c>
      <c r="H226" s="10" t="s">
        <v>551</v>
      </c>
      <c r="I226" s="10" t="s">
        <v>49</v>
      </c>
      <c r="J226" s="10" t="s">
        <v>106</v>
      </c>
      <c r="K226" s="12">
        <v>45993</v>
      </c>
      <c r="L226" s="15" t="s">
        <v>11</v>
      </c>
      <c r="M226" s="14"/>
      <c r="N226" s="14"/>
    </row>
    <row r="227" spans="1:20" ht="22.5" customHeight="1">
      <c r="A227" s="8">
        <v>45993.671608900462</v>
      </c>
      <c r="B227" s="9" t="s">
        <v>14</v>
      </c>
      <c r="C227" s="9" t="s">
        <v>15</v>
      </c>
      <c r="D227" s="9" t="s">
        <v>552</v>
      </c>
      <c r="E227" s="10" t="s">
        <v>22</v>
      </c>
      <c r="F227" s="10">
        <v>30</v>
      </c>
      <c r="G227" s="11">
        <v>7034457572</v>
      </c>
      <c r="H227" s="10" t="s">
        <v>553</v>
      </c>
      <c r="I227" s="10" t="s">
        <v>49</v>
      </c>
      <c r="J227" s="10" t="s">
        <v>160</v>
      </c>
      <c r="K227" s="12">
        <v>45993</v>
      </c>
      <c r="L227" s="15" t="s">
        <v>11</v>
      </c>
      <c r="M227" s="14"/>
      <c r="N227" s="14"/>
    </row>
    <row r="228" spans="1:20" ht="22.5" customHeight="1">
      <c r="A228" s="8">
        <v>45993.672323483799</v>
      </c>
      <c r="B228" s="9" t="s">
        <v>14</v>
      </c>
      <c r="C228" s="9" t="s">
        <v>15</v>
      </c>
      <c r="D228" s="9" t="s">
        <v>554</v>
      </c>
      <c r="E228" s="10" t="s">
        <v>22</v>
      </c>
      <c r="F228" s="10">
        <v>29</v>
      </c>
      <c r="G228" s="11">
        <v>9021541228</v>
      </c>
      <c r="H228" s="10" t="s">
        <v>555</v>
      </c>
      <c r="I228" s="10" t="s">
        <v>49</v>
      </c>
      <c r="J228" s="10" t="s">
        <v>50</v>
      </c>
      <c r="K228" s="12">
        <v>45993</v>
      </c>
      <c r="L228" s="15" t="s">
        <v>11</v>
      </c>
      <c r="M228" s="14"/>
      <c r="N228" s="14"/>
    </row>
    <row r="229" spans="1:20" ht="22.5" customHeight="1">
      <c r="A229" s="8">
        <v>45993.674265289352</v>
      </c>
      <c r="B229" s="9" t="s">
        <v>14</v>
      </c>
      <c r="C229" s="9" t="s">
        <v>15</v>
      </c>
      <c r="D229" s="9" t="s">
        <v>556</v>
      </c>
      <c r="E229" s="10" t="s">
        <v>17</v>
      </c>
      <c r="F229" s="10">
        <v>25</v>
      </c>
      <c r="G229" s="11">
        <v>9063542075</v>
      </c>
      <c r="H229" s="10" t="s">
        <v>557</v>
      </c>
      <c r="I229" s="10" t="s">
        <v>49</v>
      </c>
      <c r="J229" s="10" t="s">
        <v>558</v>
      </c>
      <c r="K229" s="12">
        <v>45780</v>
      </c>
      <c r="L229" s="15" t="s">
        <v>11</v>
      </c>
      <c r="M229" s="14"/>
      <c r="N229" s="14"/>
    </row>
    <row r="230" spans="1:20" ht="22.5" customHeight="1">
      <c r="A230" s="8">
        <v>45993.675189641202</v>
      </c>
      <c r="B230" s="9" t="s">
        <v>14</v>
      </c>
      <c r="C230" s="9" t="s">
        <v>15</v>
      </c>
      <c r="D230" s="9" t="s">
        <v>559</v>
      </c>
      <c r="E230" s="10" t="s">
        <v>17</v>
      </c>
      <c r="F230" s="10">
        <v>31</v>
      </c>
      <c r="G230" s="11">
        <v>7033671927</v>
      </c>
      <c r="H230" s="10" t="s">
        <v>560</v>
      </c>
      <c r="I230" s="10" t="s">
        <v>45</v>
      </c>
      <c r="J230" s="10" t="s">
        <v>561</v>
      </c>
      <c r="K230" s="12">
        <v>45993</v>
      </c>
      <c r="L230" s="15" t="s">
        <v>11</v>
      </c>
      <c r="M230" s="14"/>
      <c r="N230" s="14"/>
      <c r="O230" s="16"/>
      <c r="P230" s="17"/>
      <c r="Q230" s="17"/>
      <c r="R230" s="17"/>
      <c r="S230" s="17"/>
      <c r="T230" s="17"/>
    </row>
    <row r="231" spans="1:20" ht="22.5" customHeight="1">
      <c r="A231" s="8">
        <v>45993.675689664349</v>
      </c>
      <c r="B231" s="9" t="s">
        <v>14</v>
      </c>
      <c r="C231" s="9" t="s">
        <v>15</v>
      </c>
      <c r="D231" s="9" t="s">
        <v>562</v>
      </c>
      <c r="E231" s="10" t="s">
        <v>17</v>
      </c>
      <c r="F231" s="10">
        <v>29</v>
      </c>
      <c r="G231" s="11">
        <v>8156696207</v>
      </c>
      <c r="H231" s="10" t="s">
        <v>563</v>
      </c>
      <c r="I231" s="10" t="s">
        <v>49</v>
      </c>
      <c r="J231" s="10" t="s">
        <v>160</v>
      </c>
      <c r="K231" s="12">
        <v>45993</v>
      </c>
      <c r="L231" s="15" t="s">
        <v>11</v>
      </c>
      <c r="M231" s="14"/>
      <c r="N231" s="14"/>
    </row>
    <row r="232" spans="1:20" ht="22.5" customHeight="1">
      <c r="A232" s="8">
        <v>45993.690921631947</v>
      </c>
      <c r="B232" s="9" t="s">
        <v>14</v>
      </c>
      <c r="C232" s="9" t="s">
        <v>15</v>
      </c>
      <c r="D232" s="9" t="s">
        <v>564</v>
      </c>
      <c r="E232" s="10" t="s">
        <v>22</v>
      </c>
      <c r="F232" s="10">
        <v>35</v>
      </c>
      <c r="G232" s="11">
        <v>7033235125</v>
      </c>
      <c r="H232" s="10" t="s">
        <v>565</v>
      </c>
      <c r="I232" s="10" t="s">
        <v>49</v>
      </c>
      <c r="J232" s="10" t="s">
        <v>50</v>
      </c>
      <c r="K232" s="12">
        <v>45993</v>
      </c>
      <c r="L232" s="15" t="s">
        <v>11</v>
      </c>
      <c r="M232" s="14"/>
      <c r="N232" s="14"/>
    </row>
    <row r="233" spans="1:20" ht="22.5" customHeight="1">
      <c r="A233" s="8">
        <v>45993.69529993055</v>
      </c>
      <c r="B233" s="9" t="s">
        <v>14</v>
      </c>
      <c r="C233" s="9" t="s">
        <v>15</v>
      </c>
      <c r="D233" s="9" t="s">
        <v>566</v>
      </c>
      <c r="E233" s="10" t="s">
        <v>17</v>
      </c>
      <c r="F233" s="10">
        <v>31</v>
      </c>
      <c r="G233" s="11">
        <v>8068584019</v>
      </c>
      <c r="H233" s="10" t="s">
        <v>567</v>
      </c>
      <c r="I233" s="10" t="s">
        <v>49</v>
      </c>
      <c r="J233" s="10" t="s">
        <v>50</v>
      </c>
      <c r="K233" s="12">
        <v>45993</v>
      </c>
      <c r="L233" s="15" t="s">
        <v>11</v>
      </c>
      <c r="M233" s="14"/>
      <c r="N233" s="14"/>
    </row>
    <row r="234" spans="1:20" ht="22.5" customHeight="1">
      <c r="A234" s="8">
        <v>45993.698440798617</v>
      </c>
      <c r="B234" s="9" t="s">
        <v>14</v>
      </c>
      <c r="C234" s="9" t="s">
        <v>15</v>
      </c>
      <c r="D234" s="9" t="s">
        <v>568</v>
      </c>
      <c r="E234" s="10" t="s">
        <v>17</v>
      </c>
      <c r="F234" s="10">
        <v>33</v>
      </c>
      <c r="G234" s="11">
        <v>8108100008</v>
      </c>
      <c r="H234" s="10" t="s">
        <v>569</v>
      </c>
      <c r="I234" s="10" t="s">
        <v>49</v>
      </c>
      <c r="J234" s="10" t="s">
        <v>103</v>
      </c>
      <c r="K234" s="12">
        <v>45993</v>
      </c>
      <c r="L234" s="15" t="s">
        <v>11</v>
      </c>
      <c r="M234" s="14"/>
      <c r="N234" s="14"/>
    </row>
    <row r="235" spans="1:20" ht="22.5" customHeight="1">
      <c r="A235" s="8">
        <v>45993.698904108795</v>
      </c>
      <c r="B235" s="9" t="s">
        <v>14</v>
      </c>
      <c r="C235" s="9" t="s">
        <v>15</v>
      </c>
      <c r="D235" s="9" t="s">
        <v>570</v>
      </c>
      <c r="E235" s="10" t="s">
        <v>17</v>
      </c>
      <c r="F235" s="10">
        <v>30</v>
      </c>
      <c r="G235" s="11">
        <v>7047169150</v>
      </c>
      <c r="H235" s="10" t="s">
        <v>571</v>
      </c>
      <c r="I235" s="10" t="s">
        <v>49</v>
      </c>
      <c r="J235" s="10" t="s">
        <v>572</v>
      </c>
      <c r="K235" s="12">
        <v>45993</v>
      </c>
      <c r="L235" s="15" t="s">
        <v>11</v>
      </c>
      <c r="M235" s="14"/>
      <c r="N235" s="14"/>
    </row>
    <row r="236" spans="1:20" ht="22.5" customHeight="1">
      <c r="A236" s="8">
        <v>45993.699849282406</v>
      </c>
      <c r="B236" s="9" t="s">
        <v>14</v>
      </c>
      <c r="C236" s="9" t="s">
        <v>15</v>
      </c>
      <c r="D236" s="9" t="s">
        <v>573</v>
      </c>
      <c r="E236" s="10" t="s">
        <v>22</v>
      </c>
      <c r="F236" s="10">
        <v>18</v>
      </c>
      <c r="G236" s="11">
        <v>7026998746</v>
      </c>
      <c r="H236" s="10" t="s">
        <v>574</v>
      </c>
      <c r="I236" s="10" t="s">
        <v>49</v>
      </c>
      <c r="J236" s="10" t="s">
        <v>106</v>
      </c>
      <c r="K236" s="12">
        <v>45993</v>
      </c>
      <c r="L236" s="15" t="s">
        <v>11</v>
      </c>
      <c r="M236" s="14"/>
      <c r="N236" s="14"/>
    </row>
    <row r="237" spans="1:20" ht="22.5" customHeight="1">
      <c r="A237" s="8">
        <v>45993.702120659727</v>
      </c>
      <c r="B237" s="9" t="s">
        <v>14</v>
      </c>
      <c r="C237" s="9" t="s">
        <v>15</v>
      </c>
      <c r="D237" s="9" t="s">
        <v>575</v>
      </c>
      <c r="E237" s="10" t="s">
        <v>17</v>
      </c>
      <c r="F237" s="10">
        <v>29</v>
      </c>
      <c r="G237" s="11">
        <v>8145421361</v>
      </c>
      <c r="H237" s="10" t="s">
        <v>576</v>
      </c>
      <c r="I237" s="10" t="s">
        <v>49</v>
      </c>
      <c r="J237" s="10" t="s">
        <v>181</v>
      </c>
      <c r="K237" s="12">
        <v>45993</v>
      </c>
      <c r="L237" s="15" t="s">
        <v>11</v>
      </c>
      <c r="M237" s="14"/>
      <c r="N237" s="14"/>
    </row>
    <row r="238" spans="1:20" ht="22.5" customHeight="1">
      <c r="A238" s="8">
        <v>45993.704069421292</v>
      </c>
      <c r="B238" s="9" t="s">
        <v>14</v>
      </c>
      <c r="C238" s="9" t="s">
        <v>15</v>
      </c>
      <c r="D238" s="9" t="s">
        <v>577</v>
      </c>
      <c r="E238" s="10" t="s">
        <v>17</v>
      </c>
      <c r="F238" s="10">
        <v>31</v>
      </c>
      <c r="G238" s="11">
        <v>8109593368</v>
      </c>
      <c r="H238" s="10" t="s">
        <v>578</v>
      </c>
      <c r="I238" s="10" t="s">
        <v>49</v>
      </c>
      <c r="J238" s="10" t="s">
        <v>109</v>
      </c>
      <c r="K238" s="12">
        <v>45993</v>
      </c>
      <c r="L238" s="15" t="s">
        <v>11</v>
      </c>
      <c r="M238" s="14"/>
      <c r="N238" s="14"/>
    </row>
    <row r="239" spans="1:20" ht="22.5" customHeight="1">
      <c r="A239" s="8">
        <v>45993.708507581017</v>
      </c>
      <c r="B239" s="9" t="s">
        <v>14</v>
      </c>
      <c r="C239" s="9" t="s">
        <v>15</v>
      </c>
      <c r="D239" s="9" t="s">
        <v>579</v>
      </c>
      <c r="E239" s="10" t="s">
        <v>22</v>
      </c>
      <c r="F239" s="10">
        <v>26</v>
      </c>
      <c r="G239" s="11">
        <v>8102627058</v>
      </c>
      <c r="H239" s="10" t="s">
        <v>580</v>
      </c>
      <c r="I239" s="10" t="s">
        <v>49</v>
      </c>
      <c r="J239" s="10" t="s">
        <v>109</v>
      </c>
      <c r="K239" s="12">
        <v>45993</v>
      </c>
      <c r="L239" s="15" t="s">
        <v>11</v>
      </c>
      <c r="M239" s="14"/>
      <c r="N239" s="14"/>
    </row>
    <row r="240" spans="1:20" ht="22.5" customHeight="1">
      <c r="A240" s="8">
        <v>45993.708938333337</v>
      </c>
      <c r="B240" s="9" t="s">
        <v>14</v>
      </c>
      <c r="C240" s="9" t="s">
        <v>15</v>
      </c>
      <c r="D240" s="9" t="s">
        <v>581</v>
      </c>
      <c r="E240" s="10" t="s">
        <v>17</v>
      </c>
      <c r="F240" s="10">
        <v>26</v>
      </c>
      <c r="G240" s="11">
        <v>7035010802</v>
      </c>
      <c r="H240" s="10" t="s">
        <v>582</v>
      </c>
      <c r="I240" s="10" t="s">
        <v>49</v>
      </c>
      <c r="J240" s="10" t="s">
        <v>103</v>
      </c>
      <c r="K240" s="12">
        <v>45993</v>
      </c>
      <c r="L240" s="15" t="s">
        <v>11</v>
      </c>
      <c r="M240" s="14"/>
      <c r="N240" s="14"/>
    </row>
    <row r="241" spans="1:20" ht="22.5" customHeight="1">
      <c r="A241" s="8">
        <v>45993.710756493056</v>
      </c>
      <c r="B241" s="9" t="s">
        <v>14</v>
      </c>
      <c r="C241" s="9" t="s">
        <v>15</v>
      </c>
      <c r="D241" s="9" t="s">
        <v>583</v>
      </c>
      <c r="E241" s="10" t="s">
        <v>17</v>
      </c>
      <c r="F241" s="10">
        <v>27</v>
      </c>
      <c r="G241" s="11">
        <v>9160560769</v>
      </c>
      <c r="H241" s="10" t="s">
        <v>584</v>
      </c>
      <c r="I241" s="10" t="s">
        <v>49</v>
      </c>
      <c r="J241" s="10" t="s">
        <v>229</v>
      </c>
      <c r="K241" s="12">
        <v>45993</v>
      </c>
      <c r="L241" s="15" t="s">
        <v>11</v>
      </c>
      <c r="M241" s="14"/>
      <c r="N241" s="14"/>
    </row>
    <row r="242" spans="1:20" ht="22.5" customHeight="1">
      <c r="A242" s="8">
        <v>45993.712060474536</v>
      </c>
      <c r="B242" s="9" t="s">
        <v>14</v>
      </c>
      <c r="C242" s="9" t="s">
        <v>15</v>
      </c>
      <c r="D242" s="9" t="s">
        <v>585</v>
      </c>
      <c r="E242" s="10" t="s">
        <v>17</v>
      </c>
      <c r="F242" s="10">
        <v>25</v>
      </c>
      <c r="G242" s="11">
        <v>8140298086</v>
      </c>
      <c r="H242" s="10" t="s">
        <v>586</v>
      </c>
      <c r="I242" s="10" t="s">
        <v>27</v>
      </c>
      <c r="J242" s="10" t="s">
        <v>27</v>
      </c>
      <c r="K242" s="12">
        <v>45993</v>
      </c>
      <c r="L242" s="15" t="s">
        <v>11</v>
      </c>
      <c r="M242" s="14"/>
      <c r="N242" s="14"/>
    </row>
    <row r="243" spans="1:20" ht="22.5" customHeight="1">
      <c r="A243" s="8">
        <v>45993.712124837963</v>
      </c>
      <c r="B243" s="9" t="s">
        <v>14</v>
      </c>
      <c r="C243" s="9" t="s">
        <v>15</v>
      </c>
      <c r="D243" s="9" t="s">
        <v>587</v>
      </c>
      <c r="E243" s="10" t="s">
        <v>17</v>
      </c>
      <c r="F243" s="10">
        <v>29</v>
      </c>
      <c r="G243" s="11">
        <v>8165053479</v>
      </c>
      <c r="H243" s="10" t="s">
        <v>588</v>
      </c>
      <c r="I243" s="10" t="s">
        <v>49</v>
      </c>
      <c r="J243" s="10" t="s">
        <v>589</v>
      </c>
      <c r="K243" s="12">
        <v>45993</v>
      </c>
      <c r="L243" s="15" t="s">
        <v>11</v>
      </c>
      <c r="M243" s="14"/>
      <c r="N243" s="14"/>
    </row>
    <row r="244" spans="1:20" ht="22.5" customHeight="1">
      <c r="A244" s="8">
        <v>45993.712836724539</v>
      </c>
      <c r="B244" s="9" t="s">
        <v>14</v>
      </c>
      <c r="C244" s="9" t="s">
        <v>15</v>
      </c>
      <c r="D244" s="9" t="s">
        <v>590</v>
      </c>
      <c r="E244" s="10" t="s">
        <v>22</v>
      </c>
      <c r="F244" s="18">
        <v>28</v>
      </c>
      <c r="G244" s="11">
        <v>8143010106</v>
      </c>
      <c r="H244" s="10" t="s">
        <v>591</v>
      </c>
      <c r="I244" s="10" t="s">
        <v>49</v>
      </c>
      <c r="J244" s="10" t="s">
        <v>50</v>
      </c>
      <c r="K244" s="12">
        <v>45993</v>
      </c>
      <c r="L244" s="15" t="s">
        <v>11</v>
      </c>
      <c r="M244" s="14"/>
      <c r="N244" s="14"/>
    </row>
    <row r="245" spans="1:20" ht="22.5" customHeight="1">
      <c r="A245" s="8">
        <v>45993.719431909718</v>
      </c>
      <c r="B245" s="9" t="s">
        <v>14</v>
      </c>
      <c r="C245" s="9" t="s">
        <v>15</v>
      </c>
      <c r="D245" s="9" t="s">
        <v>592</v>
      </c>
      <c r="E245" s="10" t="s">
        <v>17</v>
      </c>
      <c r="F245" s="10">
        <v>23</v>
      </c>
      <c r="G245" s="11">
        <v>8144221439</v>
      </c>
      <c r="H245" s="10" t="s">
        <v>593</v>
      </c>
      <c r="I245" s="10" t="s">
        <v>49</v>
      </c>
      <c r="J245" s="10" t="s">
        <v>594</v>
      </c>
      <c r="K245" s="12">
        <v>45993</v>
      </c>
      <c r="L245" s="15" t="s">
        <v>11</v>
      </c>
      <c r="M245" s="14"/>
      <c r="N245" s="14"/>
    </row>
    <row r="246" spans="1:20" ht="22.5" customHeight="1">
      <c r="A246" s="8">
        <v>45993.721855405092</v>
      </c>
      <c r="B246" s="9" t="s">
        <v>14</v>
      </c>
      <c r="C246" s="9" t="s">
        <v>15</v>
      </c>
      <c r="D246" s="9" t="s">
        <v>595</v>
      </c>
      <c r="E246" s="10" t="s">
        <v>17</v>
      </c>
      <c r="F246" s="10">
        <v>32</v>
      </c>
      <c r="G246" s="11">
        <v>7060881050</v>
      </c>
      <c r="H246" s="10" t="s">
        <v>596</v>
      </c>
      <c r="I246" s="10" t="s">
        <v>49</v>
      </c>
      <c r="J246" s="10" t="s">
        <v>160</v>
      </c>
      <c r="K246" s="12">
        <v>45993</v>
      </c>
      <c r="L246" s="15" t="s">
        <v>11</v>
      </c>
      <c r="M246" s="14"/>
      <c r="N246" s="14"/>
    </row>
    <row r="247" spans="1:20" ht="22.5" customHeight="1">
      <c r="A247" s="8">
        <v>45993.723974328706</v>
      </c>
      <c r="B247" s="9" t="s">
        <v>14</v>
      </c>
      <c r="C247" s="9" t="s">
        <v>15</v>
      </c>
      <c r="D247" s="9" t="s">
        <v>597</v>
      </c>
      <c r="E247" s="10" t="s">
        <v>17</v>
      </c>
      <c r="F247" s="10">
        <v>26</v>
      </c>
      <c r="G247" s="11">
        <v>8148889251</v>
      </c>
      <c r="H247" s="10" t="s">
        <v>598</v>
      </c>
      <c r="I247" s="10" t="s">
        <v>49</v>
      </c>
      <c r="J247" s="10" t="s">
        <v>599</v>
      </c>
      <c r="K247" s="12">
        <v>45993</v>
      </c>
      <c r="L247" s="15" t="s">
        <v>11</v>
      </c>
      <c r="M247" s="14"/>
      <c r="N247" s="14"/>
    </row>
    <row r="248" spans="1:20" ht="22.5" customHeight="1">
      <c r="A248" s="8">
        <v>45993.727864444445</v>
      </c>
      <c r="B248" s="9" t="s">
        <v>14</v>
      </c>
      <c r="C248" s="9" t="s">
        <v>15</v>
      </c>
      <c r="D248" s="9" t="s">
        <v>600</v>
      </c>
      <c r="E248" s="10" t="s">
        <v>17</v>
      </c>
      <c r="F248" s="10">
        <v>30</v>
      </c>
      <c r="G248" s="11">
        <v>8124174010</v>
      </c>
      <c r="H248" s="10" t="s">
        <v>601</v>
      </c>
      <c r="I248" s="10" t="s">
        <v>49</v>
      </c>
      <c r="J248" s="10" t="s">
        <v>303</v>
      </c>
      <c r="K248" s="12">
        <v>45993</v>
      </c>
      <c r="L248" s="15" t="s">
        <v>11</v>
      </c>
      <c r="M248" s="14"/>
      <c r="N248" s="14"/>
    </row>
    <row r="249" spans="1:20" ht="22.5" customHeight="1">
      <c r="A249" s="8">
        <v>45993.728843460645</v>
      </c>
      <c r="B249" s="9" t="s">
        <v>14</v>
      </c>
      <c r="C249" s="9" t="s">
        <v>15</v>
      </c>
      <c r="D249" s="9" t="s">
        <v>602</v>
      </c>
      <c r="E249" s="10" t="s">
        <v>17</v>
      </c>
      <c r="F249" s="10">
        <v>34</v>
      </c>
      <c r="G249" s="11">
        <v>8039340734</v>
      </c>
      <c r="H249" s="10" t="s">
        <v>603</v>
      </c>
      <c r="I249" s="10" t="s">
        <v>27</v>
      </c>
      <c r="J249" s="10" t="s">
        <v>94</v>
      </c>
      <c r="K249" s="12">
        <v>45993</v>
      </c>
      <c r="L249" s="15" t="s">
        <v>11</v>
      </c>
      <c r="M249" s="14"/>
      <c r="N249" s="14"/>
    </row>
    <row r="250" spans="1:20" ht="22.5" customHeight="1">
      <c r="A250" s="8">
        <v>45993.729341076389</v>
      </c>
      <c r="B250" s="9" t="s">
        <v>14</v>
      </c>
      <c r="C250" s="9" t="s">
        <v>15</v>
      </c>
      <c r="D250" s="9" t="s">
        <v>604</v>
      </c>
      <c r="E250" s="10" t="s">
        <v>17</v>
      </c>
      <c r="F250" s="10">
        <v>34</v>
      </c>
      <c r="G250" s="11">
        <v>8039557848</v>
      </c>
      <c r="H250" s="10" t="s">
        <v>605</v>
      </c>
      <c r="I250" s="10" t="s">
        <v>49</v>
      </c>
      <c r="J250" s="10" t="s">
        <v>606</v>
      </c>
      <c r="K250" s="12">
        <v>45993</v>
      </c>
      <c r="L250" s="15" t="s">
        <v>11</v>
      </c>
      <c r="M250" s="14"/>
      <c r="N250" s="14"/>
    </row>
    <row r="251" spans="1:20" ht="22.5" customHeight="1">
      <c r="A251" s="8">
        <v>45993.734335902773</v>
      </c>
      <c r="B251" s="9" t="s">
        <v>14</v>
      </c>
      <c r="C251" s="9" t="s">
        <v>15</v>
      </c>
      <c r="D251" s="9" t="s">
        <v>607</v>
      </c>
      <c r="E251" s="10" t="s">
        <v>17</v>
      </c>
      <c r="F251" s="10">
        <v>42</v>
      </c>
      <c r="G251" s="11">
        <v>8068109351</v>
      </c>
      <c r="H251" s="10" t="s">
        <v>608</v>
      </c>
      <c r="I251" s="10" t="s">
        <v>49</v>
      </c>
      <c r="J251" s="10" t="s">
        <v>106</v>
      </c>
      <c r="K251" s="12">
        <v>45993</v>
      </c>
      <c r="L251" s="15" t="s">
        <v>11</v>
      </c>
      <c r="M251" s="14"/>
      <c r="N251" s="14"/>
    </row>
    <row r="252" spans="1:20" ht="22.5" customHeight="1">
      <c r="A252" s="8">
        <v>45993.735255</v>
      </c>
      <c r="B252" s="9" t="s">
        <v>14</v>
      </c>
      <c r="C252" s="9" t="s">
        <v>15</v>
      </c>
      <c r="D252" s="9" t="s">
        <v>609</v>
      </c>
      <c r="E252" s="10" t="s">
        <v>17</v>
      </c>
      <c r="F252" s="10">
        <v>25</v>
      </c>
      <c r="G252" s="11">
        <v>8052316577</v>
      </c>
      <c r="H252" s="10" t="s">
        <v>610</v>
      </c>
      <c r="I252" s="10" t="s">
        <v>49</v>
      </c>
      <c r="J252" s="10" t="s">
        <v>109</v>
      </c>
      <c r="K252" s="12">
        <v>45993</v>
      </c>
      <c r="L252" s="15" t="s">
        <v>11</v>
      </c>
      <c r="M252" s="14"/>
      <c r="N252" s="14"/>
    </row>
    <row r="253" spans="1:20" ht="22.5" customHeight="1">
      <c r="A253" s="8">
        <v>45993.736784490742</v>
      </c>
      <c r="B253" s="9" t="s">
        <v>14</v>
      </c>
      <c r="C253" s="9" t="s">
        <v>15</v>
      </c>
      <c r="D253" s="9" t="s">
        <v>497</v>
      </c>
      <c r="E253" s="10" t="s">
        <v>17</v>
      </c>
      <c r="F253" s="10">
        <v>26</v>
      </c>
      <c r="G253" s="11">
        <v>7046213022</v>
      </c>
      <c r="H253" s="10" t="s">
        <v>498</v>
      </c>
      <c r="I253" s="10" t="s">
        <v>49</v>
      </c>
      <c r="J253" s="10" t="s">
        <v>303</v>
      </c>
      <c r="K253" s="12">
        <v>45993</v>
      </c>
      <c r="L253" s="15" t="s">
        <v>11</v>
      </c>
      <c r="M253" s="14"/>
      <c r="N253" s="14"/>
      <c r="O253" s="24"/>
      <c r="P253" s="25"/>
      <c r="Q253" s="25"/>
      <c r="R253" s="25"/>
      <c r="S253" s="25"/>
      <c r="T253" s="25"/>
    </row>
    <row r="254" spans="1:20" ht="22.5" customHeight="1">
      <c r="A254" s="8">
        <v>45993.743044328701</v>
      </c>
      <c r="B254" s="9" t="s">
        <v>14</v>
      </c>
      <c r="C254" s="9" t="s">
        <v>15</v>
      </c>
      <c r="D254" s="9" t="s">
        <v>611</v>
      </c>
      <c r="E254" s="10" t="s">
        <v>17</v>
      </c>
      <c r="F254" s="10">
        <v>27</v>
      </c>
      <c r="G254" s="11">
        <v>8069393025</v>
      </c>
      <c r="H254" s="10" t="s">
        <v>612</v>
      </c>
      <c r="I254" s="10" t="s">
        <v>49</v>
      </c>
      <c r="J254" s="10" t="s">
        <v>246</v>
      </c>
      <c r="K254" s="12">
        <v>45993</v>
      </c>
      <c r="L254" s="15" t="s">
        <v>11</v>
      </c>
      <c r="M254" s="14"/>
      <c r="N254" s="14"/>
    </row>
    <row r="255" spans="1:20" ht="22.5" customHeight="1">
      <c r="A255" s="8">
        <v>45993.744241400462</v>
      </c>
      <c r="B255" s="9" t="s">
        <v>14</v>
      </c>
      <c r="C255" s="9" t="s">
        <v>15</v>
      </c>
      <c r="D255" s="9" t="s">
        <v>613</v>
      </c>
      <c r="E255" s="10" t="s">
        <v>17</v>
      </c>
      <c r="F255" s="10">
        <v>25</v>
      </c>
      <c r="G255" s="11">
        <v>9039944447</v>
      </c>
      <c r="H255" s="10" t="s">
        <v>614</v>
      </c>
      <c r="I255" s="10" t="s">
        <v>49</v>
      </c>
      <c r="J255" s="10" t="s">
        <v>50</v>
      </c>
      <c r="K255" s="12">
        <v>45993</v>
      </c>
      <c r="L255" s="15" t="s">
        <v>11</v>
      </c>
      <c r="M255" s="14"/>
      <c r="N255" s="14"/>
    </row>
    <row r="256" spans="1:20" ht="22.5" customHeight="1">
      <c r="A256" s="8">
        <v>45993.745260902782</v>
      </c>
      <c r="B256" s="9" t="s">
        <v>14</v>
      </c>
      <c r="C256" s="9" t="s">
        <v>15</v>
      </c>
      <c r="D256" s="9" t="s">
        <v>615</v>
      </c>
      <c r="E256" s="10" t="s">
        <v>22</v>
      </c>
      <c r="F256" s="10">
        <v>24</v>
      </c>
      <c r="G256" s="11">
        <v>7055533645</v>
      </c>
      <c r="H256" s="10" t="s">
        <v>616</v>
      </c>
      <c r="I256" s="10" t="s">
        <v>49</v>
      </c>
      <c r="J256" s="10" t="s">
        <v>365</v>
      </c>
      <c r="K256" s="12">
        <v>37002</v>
      </c>
      <c r="L256" s="15" t="s">
        <v>11</v>
      </c>
      <c r="M256" s="14"/>
      <c r="N256" s="14"/>
    </row>
    <row r="257" spans="1:20" ht="22.5" customHeight="1">
      <c r="A257" s="8">
        <v>45993.746393842594</v>
      </c>
      <c r="B257" s="9" t="s">
        <v>14</v>
      </c>
      <c r="C257" s="9" t="s">
        <v>15</v>
      </c>
      <c r="D257" s="9" t="s">
        <v>617</v>
      </c>
      <c r="E257" s="10" t="s">
        <v>17</v>
      </c>
      <c r="F257" s="10">
        <v>18</v>
      </c>
      <c r="G257" s="11">
        <v>8068925668</v>
      </c>
      <c r="H257" s="10" t="s">
        <v>618</v>
      </c>
      <c r="I257" s="10" t="s">
        <v>49</v>
      </c>
      <c r="J257" s="10" t="s">
        <v>282</v>
      </c>
      <c r="K257" s="12">
        <v>45993</v>
      </c>
      <c r="L257" s="15" t="s">
        <v>11</v>
      </c>
      <c r="M257" s="14"/>
      <c r="N257" s="14"/>
    </row>
    <row r="258" spans="1:20" ht="22.5" customHeight="1">
      <c r="A258" s="8">
        <v>45993.749567129635</v>
      </c>
      <c r="B258" s="9" t="s">
        <v>14</v>
      </c>
      <c r="C258" s="9" t="s">
        <v>15</v>
      </c>
      <c r="D258" s="9" t="s">
        <v>619</v>
      </c>
      <c r="E258" s="10" t="s">
        <v>17</v>
      </c>
      <c r="F258" s="10">
        <v>23</v>
      </c>
      <c r="G258" s="11">
        <v>8038468773</v>
      </c>
      <c r="H258" s="10" t="s">
        <v>620</v>
      </c>
      <c r="I258" s="10" t="s">
        <v>49</v>
      </c>
      <c r="J258" s="10" t="s">
        <v>50</v>
      </c>
      <c r="K258" s="12">
        <v>45993</v>
      </c>
      <c r="L258" s="15" t="s">
        <v>11</v>
      </c>
      <c r="M258" s="14"/>
      <c r="N258" s="14"/>
    </row>
    <row r="259" spans="1:20" ht="22.5" customHeight="1">
      <c r="A259" s="8">
        <v>45993.750660115737</v>
      </c>
      <c r="B259" s="9" t="s">
        <v>14</v>
      </c>
      <c r="C259" s="9" t="s">
        <v>15</v>
      </c>
      <c r="D259" s="9" t="s">
        <v>621</v>
      </c>
      <c r="E259" s="10" t="s">
        <v>17</v>
      </c>
      <c r="F259" s="10">
        <v>26</v>
      </c>
      <c r="G259" s="11">
        <v>9122135077</v>
      </c>
      <c r="H259" s="10" t="s">
        <v>622</v>
      </c>
      <c r="I259" s="10" t="s">
        <v>45</v>
      </c>
      <c r="J259" s="10" t="s">
        <v>623</v>
      </c>
      <c r="K259" s="12">
        <v>45993</v>
      </c>
      <c r="L259" s="15" t="s">
        <v>11</v>
      </c>
      <c r="M259" s="14"/>
      <c r="N259" s="14"/>
    </row>
    <row r="260" spans="1:20" ht="22.5" customHeight="1">
      <c r="A260" s="8">
        <v>45993.753136956017</v>
      </c>
      <c r="B260" s="9" t="s">
        <v>14</v>
      </c>
      <c r="C260" s="9" t="s">
        <v>15</v>
      </c>
      <c r="D260" s="9" t="s">
        <v>624</v>
      </c>
      <c r="E260" s="10" t="s">
        <v>17</v>
      </c>
      <c r="F260" s="10">
        <v>26</v>
      </c>
      <c r="G260" s="11">
        <v>8143172394</v>
      </c>
      <c r="H260" s="10" t="s">
        <v>625</v>
      </c>
      <c r="I260" s="10" t="s">
        <v>49</v>
      </c>
      <c r="J260" s="10" t="s">
        <v>106</v>
      </c>
      <c r="K260" s="12">
        <v>45993</v>
      </c>
      <c r="L260" s="15" t="s">
        <v>11</v>
      </c>
      <c r="M260" s="14"/>
      <c r="N260" s="14"/>
    </row>
    <row r="261" spans="1:20" ht="22.5" customHeight="1">
      <c r="A261" s="8">
        <v>45993.753517592588</v>
      </c>
      <c r="B261" s="9" t="s">
        <v>14</v>
      </c>
      <c r="C261" s="9" t="s">
        <v>15</v>
      </c>
      <c r="D261" s="9" t="s">
        <v>626</v>
      </c>
      <c r="E261" s="10" t="s">
        <v>17</v>
      </c>
      <c r="F261" s="10">
        <v>34</v>
      </c>
      <c r="G261" s="11">
        <v>7036874767</v>
      </c>
      <c r="H261" s="10" t="s">
        <v>627</v>
      </c>
      <c r="I261" s="10" t="s">
        <v>49</v>
      </c>
      <c r="J261" s="10" t="s">
        <v>628</v>
      </c>
      <c r="K261" s="12">
        <v>45993</v>
      </c>
      <c r="L261" s="15" t="s">
        <v>11</v>
      </c>
      <c r="M261" s="14"/>
      <c r="N261" s="14"/>
      <c r="O261" s="16"/>
      <c r="P261" s="17"/>
      <c r="Q261" s="17"/>
      <c r="R261" s="17"/>
      <c r="S261" s="17"/>
      <c r="T261" s="17"/>
    </row>
    <row r="262" spans="1:20" ht="22.5" customHeight="1">
      <c r="A262" s="8">
        <v>45993.754268749995</v>
      </c>
      <c r="B262" s="9" t="s">
        <v>14</v>
      </c>
      <c r="C262" s="9" t="s">
        <v>15</v>
      </c>
      <c r="D262" s="9" t="s">
        <v>629</v>
      </c>
      <c r="E262" s="10" t="s">
        <v>17</v>
      </c>
      <c r="F262" s="10">
        <v>25</v>
      </c>
      <c r="G262" s="11">
        <v>7061157687</v>
      </c>
      <c r="H262" s="10" t="s">
        <v>630</v>
      </c>
      <c r="I262" s="10" t="s">
        <v>49</v>
      </c>
      <c r="J262" s="10" t="s">
        <v>50</v>
      </c>
      <c r="K262" s="12">
        <v>45993</v>
      </c>
      <c r="L262" s="15" t="s">
        <v>11</v>
      </c>
      <c r="M262" s="14"/>
      <c r="N262" s="14"/>
    </row>
    <row r="263" spans="1:20" ht="22.5" customHeight="1">
      <c r="A263" s="8">
        <v>45993.756198009258</v>
      </c>
      <c r="B263" s="9" t="s">
        <v>14</v>
      </c>
      <c r="C263" s="9" t="s">
        <v>15</v>
      </c>
      <c r="D263" s="9" t="s">
        <v>631</v>
      </c>
      <c r="E263" s="10" t="s">
        <v>17</v>
      </c>
      <c r="F263" s="19">
        <v>35</v>
      </c>
      <c r="G263" s="11">
        <v>7049945063</v>
      </c>
      <c r="H263" s="10" t="s">
        <v>632</v>
      </c>
      <c r="I263" s="10" t="s">
        <v>49</v>
      </c>
      <c r="J263" s="10" t="s">
        <v>303</v>
      </c>
      <c r="K263" s="12">
        <v>45993</v>
      </c>
      <c r="L263" s="15" t="s">
        <v>11</v>
      </c>
      <c r="M263" s="14"/>
      <c r="N263" s="14"/>
    </row>
    <row r="264" spans="1:20" ht="22.5" customHeight="1">
      <c r="A264" s="8">
        <v>45993.756419826386</v>
      </c>
      <c r="B264" s="9" t="s">
        <v>14</v>
      </c>
      <c r="C264" s="9" t="s">
        <v>15</v>
      </c>
      <c r="D264" s="9" t="s">
        <v>633</v>
      </c>
      <c r="E264" s="10" t="s">
        <v>17</v>
      </c>
      <c r="F264" s="10">
        <v>27</v>
      </c>
      <c r="G264" s="11">
        <v>9035579598</v>
      </c>
      <c r="H264" s="10" t="s">
        <v>634</v>
      </c>
      <c r="I264" s="10" t="s">
        <v>49</v>
      </c>
      <c r="J264" s="10" t="s">
        <v>73</v>
      </c>
      <c r="K264" s="12">
        <v>45993</v>
      </c>
      <c r="L264" s="15" t="s">
        <v>11</v>
      </c>
      <c r="M264" s="14"/>
      <c r="N264" s="14"/>
    </row>
    <row r="265" spans="1:20" ht="22.5" customHeight="1">
      <c r="A265" s="8">
        <v>45993.76095408565</v>
      </c>
      <c r="B265" s="9" t="s">
        <v>14</v>
      </c>
      <c r="C265" s="9" t="s">
        <v>15</v>
      </c>
      <c r="D265" s="9" t="s">
        <v>635</v>
      </c>
      <c r="E265" s="10" t="s">
        <v>22</v>
      </c>
      <c r="F265" s="10">
        <v>18</v>
      </c>
      <c r="G265" s="11">
        <v>9168225485</v>
      </c>
      <c r="H265" s="10" t="s">
        <v>636</v>
      </c>
      <c r="I265" s="10" t="s">
        <v>49</v>
      </c>
      <c r="J265" s="10" t="s">
        <v>637</v>
      </c>
      <c r="K265" s="12">
        <v>45993</v>
      </c>
      <c r="L265" s="15" t="s">
        <v>11</v>
      </c>
      <c r="M265" s="14"/>
      <c r="N265" s="14"/>
    </row>
    <row r="266" spans="1:20" ht="22.5" customHeight="1">
      <c r="A266" s="8">
        <v>45993.761562291664</v>
      </c>
      <c r="B266" s="9" t="s">
        <v>14</v>
      </c>
      <c r="C266" s="9" t="s">
        <v>15</v>
      </c>
      <c r="D266" s="9" t="s">
        <v>638</v>
      </c>
      <c r="E266" s="10" t="s">
        <v>22</v>
      </c>
      <c r="F266" s="10">
        <v>22</v>
      </c>
      <c r="G266" s="11">
        <v>7025399999</v>
      </c>
      <c r="H266" s="10" t="s">
        <v>639</v>
      </c>
      <c r="I266" s="10" t="s">
        <v>27</v>
      </c>
      <c r="J266" s="10" t="s">
        <v>640</v>
      </c>
      <c r="K266" s="12">
        <v>45993</v>
      </c>
      <c r="L266" s="15" t="s">
        <v>11</v>
      </c>
      <c r="M266" s="14"/>
      <c r="N266" s="14"/>
    </row>
    <row r="267" spans="1:20" ht="22.5" customHeight="1">
      <c r="A267" s="8">
        <v>45993.761840312502</v>
      </c>
      <c r="B267" s="9" t="s">
        <v>14</v>
      </c>
      <c r="C267" s="9" t="s">
        <v>15</v>
      </c>
      <c r="D267" s="9" t="s">
        <v>641</v>
      </c>
      <c r="E267" s="10" t="s">
        <v>17</v>
      </c>
      <c r="F267" s="10">
        <v>26</v>
      </c>
      <c r="G267" s="11">
        <v>9067291388</v>
      </c>
      <c r="H267" s="10" t="s">
        <v>642</v>
      </c>
      <c r="I267" s="10" t="s">
        <v>49</v>
      </c>
      <c r="J267" s="10" t="s">
        <v>50</v>
      </c>
      <c r="K267" s="12">
        <v>45993</v>
      </c>
      <c r="L267" s="15" t="s">
        <v>11</v>
      </c>
      <c r="M267" s="14"/>
      <c r="N267" s="14"/>
    </row>
    <row r="268" spans="1:20" ht="22.5" customHeight="1">
      <c r="A268" s="8">
        <v>45993.763154537039</v>
      </c>
      <c r="B268" s="9" t="s">
        <v>14</v>
      </c>
      <c r="C268" s="9" t="s">
        <v>15</v>
      </c>
      <c r="D268" s="9" t="s">
        <v>643</v>
      </c>
      <c r="E268" s="10" t="s">
        <v>17</v>
      </c>
      <c r="F268" s="10">
        <v>29</v>
      </c>
      <c r="G268" s="11">
        <v>7061554815</v>
      </c>
      <c r="H268" s="10" t="s">
        <v>644</v>
      </c>
      <c r="I268" s="10" t="s">
        <v>49</v>
      </c>
      <c r="J268" s="10" t="s">
        <v>599</v>
      </c>
      <c r="K268" s="12">
        <v>45993</v>
      </c>
      <c r="L268" s="15" t="s">
        <v>11</v>
      </c>
      <c r="M268" s="14"/>
      <c r="N268" s="14"/>
      <c r="O268" s="16"/>
      <c r="P268" s="17"/>
      <c r="Q268" s="17"/>
      <c r="R268" s="17"/>
      <c r="S268" s="17"/>
      <c r="T268" s="17"/>
    </row>
    <row r="269" spans="1:20" ht="22.5" customHeight="1">
      <c r="A269" s="8">
        <v>45993.770963761577</v>
      </c>
      <c r="B269" s="9" t="s">
        <v>14</v>
      </c>
      <c r="C269" s="9" t="s">
        <v>15</v>
      </c>
      <c r="D269" s="9" t="s">
        <v>645</v>
      </c>
      <c r="E269" s="10" t="s">
        <v>22</v>
      </c>
      <c r="F269" s="10">
        <v>24</v>
      </c>
      <c r="G269" s="11">
        <v>7036773389</v>
      </c>
      <c r="H269" s="10" t="s">
        <v>646</v>
      </c>
      <c r="I269" s="10" t="s">
        <v>49</v>
      </c>
      <c r="J269" s="10" t="s">
        <v>103</v>
      </c>
      <c r="K269" s="12">
        <v>45993</v>
      </c>
      <c r="L269" s="15" t="s">
        <v>11</v>
      </c>
      <c r="M269" s="14"/>
      <c r="N269" s="14"/>
    </row>
    <row r="270" spans="1:20" ht="22.5" customHeight="1">
      <c r="A270" s="8">
        <v>45993.778333865739</v>
      </c>
      <c r="B270" s="9" t="s">
        <v>14</v>
      </c>
      <c r="C270" s="9" t="s">
        <v>15</v>
      </c>
      <c r="D270" s="9" t="s">
        <v>647</v>
      </c>
      <c r="E270" s="10" t="s">
        <v>17</v>
      </c>
      <c r="F270" s="10">
        <v>29</v>
      </c>
      <c r="G270" s="11">
        <v>7046743611</v>
      </c>
      <c r="H270" s="10" t="s">
        <v>648</v>
      </c>
      <c r="I270" s="10" t="s">
        <v>49</v>
      </c>
      <c r="J270" s="10" t="s">
        <v>109</v>
      </c>
      <c r="K270" s="12">
        <v>45993</v>
      </c>
      <c r="L270" s="15" t="s">
        <v>11</v>
      </c>
      <c r="M270" s="14"/>
      <c r="N270" s="14"/>
    </row>
    <row r="271" spans="1:20" ht="22.5" customHeight="1">
      <c r="A271" s="8">
        <v>45993.780549652773</v>
      </c>
      <c r="B271" s="9" t="s">
        <v>14</v>
      </c>
      <c r="C271" s="9" t="s">
        <v>15</v>
      </c>
      <c r="D271" s="9" t="s">
        <v>649</v>
      </c>
      <c r="E271" s="10" t="s">
        <v>17</v>
      </c>
      <c r="F271" s="18">
        <v>21</v>
      </c>
      <c r="G271" s="11">
        <v>7064380331</v>
      </c>
      <c r="H271" s="10" t="s">
        <v>650</v>
      </c>
      <c r="I271" s="10" t="s">
        <v>49</v>
      </c>
      <c r="J271" s="10" t="s">
        <v>60</v>
      </c>
      <c r="K271" s="12">
        <v>38102</v>
      </c>
      <c r="L271" s="15" t="s">
        <v>11</v>
      </c>
      <c r="M271" s="14"/>
      <c r="N271" s="14"/>
    </row>
    <row r="272" spans="1:20" ht="22.5" customHeight="1">
      <c r="A272" s="8">
        <v>45993.78384866898</v>
      </c>
      <c r="B272" s="9" t="s">
        <v>14</v>
      </c>
      <c r="C272" s="9" t="s">
        <v>15</v>
      </c>
      <c r="D272" s="9" t="s">
        <v>651</v>
      </c>
      <c r="E272" s="10" t="s">
        <v>17</v>
      </c>
      <c r="F272" s="10">
        <v>30</v>
      </c>
      <c r="G272" s="11">
        <v>8029911199</v>
      </c>
      <c r="H272" s="10" t="s">
        <v>652</v>
      </c>
      <c r="I272" s="10" t="s">
        <v>49</v>
      </c>
      <c r="J272" s="10" t="s">
        <v>109</v>
      </c>
      <c r="K272" s="12">
        <v>45993</v>
      </c>
      <c r="L272" s="15" t="s">
        <v>11</v>
      </c>
      <c r="M272" s="14"/>
      <c r="N272" s="14"/>
    </row>
    <row r="273" spans="1:14" ht="22.5" customHeight="1">
      <c r="A273" s="8">
        <v>45993.787757731479</v>
      </c>
      <c r="B273" s="9" t="s">
        <v>14</v>
      </c>
      <c r="C273" s="9" t="s">
        <v>15</v>
      </c>
      <c r="D273" s="9" t="s">
        <v>653</v>
      </c>
      <c r="E273" s="10" t="s">
        <v>17</v>
      </c>
      <c r="F273" s="10">
        <v>26</v>
      </c>
      <c r="G273" s="11">
        <v>8166113226</v>
      </c>
      <c r="H273" s="10" t="s">
        <v>654</v>
      </c>
      <c r="I273" s="10" t="s">
        <v>49</v>
      </c>
      <c r="J273" s="10" t="s">
        <v>655</v>
      </c>
      <c r="K273" s="12">
        <v>36159</v>
      </c>
      <c r="L273" s="15" t="s">
        <v>11</v>
      </c>
      <c r="M273" s="14"/>
      <c r="N273" s="14"/>
    </row>
    <row r="274" spans="1:14" ht="22.5" customHeight="1">
      <c r="A274" s="8">
        <v>45993.78841429398</v>
      </c>
      <c r="B274" s="9" t="s">
        <v>14</v>
      </c>
      <c r="C274" s="9" t="s">
        <v>15</v>
      </c>
      <c r="D274" s="9" t="s">
        <v>656</v>
      </c>
      <c r="E274" s="10" t="s">
        <v>17</v>
      </c>
      <c r="F274" s="10">
        <v>28</v>
      </c>
      <c r="G274" s="11">
        <v>7032697747</v>
      </c>
      <c r="H274" s="10" t="s">
        <v>657</v>
      </c>
      <c r="I274" s="10" t="s">
        <v>49</v>
      </c>
      <c r="J274" s="10" t="s">
        <v>109</v>
      </c>
      <c r="K274" s="12">
        <v>45993</v>
      </c>
      <c r="L274" s="15" t="s">
        <v>11</v>
      </c>
      <c r="M274" s="14"/>
      <c r="N274" s="14"/>
    </row>
    <row r="275" spans="1:14" ht="22.5" customHeight="1">
      <c r="A275" s="8">
        <v>45993.795470567129</v>
      </c>
      <c r="B275" s="9" t="s">
        <v>14</v>
      </c>
      <c r="C275" s="9" t="s">
        <v>15</v>
      </c>
      <c r="D275" s="9" t="s">
        <v>658</v>
      </c>
      <c r="E275" s="10" t="s">
        <v>17</v>
      </c>
      <c r="F275" s="10">
        <v>25</v>
      </c>
      <c r="G275" s="11">
        <v>7033649671</v>
      </c>
      <c r="H275" s="10" t="s">
        <v>659</v>
      </c>
      <c r="I275" s="10" t="s">
        <v>49</v>
      </c>
      <c r="J275" s="10" t="s">
        <v>50</v>
      </c>
      <c r="K275" s="12">
        <v>45993</v>
      </c>
      <c r="L275" s="15" t="s">
        <v>11</v>
      </c>
      <c r="M275" s="14"/>
      <c r="N275" s="14"/>
    </row>
    <row r="276" spans="1:14" ht="22.5" customHeight="1">
      <c r="A276" s="8">
        <v>45993.800267847226</v>
      </c>
      <c r="B276" s="9" t="s">
        <v>14</v>
      </c>
      <c r="C276" s="9" t="s">
        <v>15</v>
      </c>
      <c r="D276" s="9" t="s">
        <v>660</v>
      </c>
      <c r="E276" s="10" t="s">
        <v>22</v>
      </c>
      <c r="F276" s="10">
        <v>26</v>
      </c>
      <c r="G276" s="11">
        <v>7033469612</v>
      </c>
      <c r="H276" s="10" t="s">
        <v>661</v>
      </c>
      <c r="I276" s="10" t="s">
        <v>49</v>
      </c>
      <c r="J276" s="10" t="s">
        <v>246</v>
      </c>
      <c r="K276" s="12">
        <v>45993</v>
      </c>
      <c r="L276" s="15" t="s">
        <v>11</v>
      </c>
      <c r="M276" s="14"/>
      <c r="N276" s="14"/>
    </row>
    <row r="277" spans="1:14" ht="22.5" customHeight="1">
      <c r="A277" s="8">
        <v>45993.801303831016</v>
      </c>
      <c r="B277" s="9" t="s">
        <v>14</v>
      </c>
      <c r="C277" s="9" t="s">
        <v>15</v>
      </c>
      <c r="D277" s="9" t="s">
        <v>662</v>
      </c>
      <c r="E277" s="10" t="s">
        <v>17</v>
      </c>
      <c r="F277" s="10">
        <v>25</v>
      </c>
      <c r="G277" s="11">
        <v>7035886215</v>
      </c>
      <c r="H277" s="10" t="s">
        <v>663</v>
      </c>
      <c r="I277" s="10" t="s">
        <v>49</v>
      </c>
      <c r="J277" s="10" t="s">
        <v>109</v>
      </c>
      <c r="K277" s="12">
        <v>45993</v>
      </c>
      <c r="L277" s="15" t="s">
        <v>11</v>
      </c>
      <c r="M277" s="14"/>
      <c r="N277" s="14"/>
    </row>
    <row r="278" spans="1:14" ht="22.5" customHeight="1">
      <c r="A278" s="8">
        <v>45993.804341099538</v>
      </c>
      <c r="B278" s="9" t="s">
        <v>14</v>
      </c>
      <c r="C278" s="9" t="s">
        <v>15</v>
      </c>
      <c r="D278" s="9" t="s">
        <v>664</v>
      </c>
      <c r="E278" s="10" t="s">
        <v>17</v>
      </c>
      <c r="F278" s="10">
        <v>32</v>
      </c>
      <c r="G278" s="11">
        <v>7035397285</v>
      </c>
      <c r="H278" s="10" t="s">
        <v>665</v>
      </c>
      <c r="I278" s="10" t="s">
        <v>49</v>
      </c>
      <c r="J278" s="10" t="s">
        <v>666</v>
      </c>
      <c r="K278" s="12">
        <v>34243</v>
      </c>
      <c r="L278" s="15" t="s">
        <v>11</v>
      </c>
      <c r="M278" s="14"/>
      <c r="N278" s="14"/>
    </row>
    <row r="279" spans="1:14" ht="22.5" customHeight="1">
      <c r="A279" s="8">
        <v>45993.805391620372</v>
      </c>
      <c r="B279" s="9" t="s">
        <v>14</v>
      </c>
      <c r="C279" s="9" t="s">
        <v>15</v>
      </c>
      <c r="D279" s="9" t="s">
        <v>667</v>
      </c>
      <c r="E279" s="10" t="s">
        <v>22</v>
      </c>
      <c r="F279" s="10">
        <v>29</v>
      </c>
      <c r="G279" s="11">
        <v>7062135548</v>
      </c>
      <c r="H279" s="10" t="s">
        <v>668</v>
      </c>
      <c r="I279" s="10" t="s">
        <v>49</v>
      </c>
      <c r="J279" s="10" t="s">
        <v>246</v>
      </c>
      <c r="K279" s="12">
        <v>45993</v>
      </c>
      <c r="L279" s="15" t="s">
        <v>11</v>
      </c>
      <c r="M279" s="14"/>
      <c r="N279" s="14"/>
    </row>
    <row r="280" spans="1:14" ht="22.5" customHeight="1">
      <c r="A280" s="8">
        <v>45993.806738263884</v>
      </c>
      <c r="B280" s="9" t="s">
        <v>14</v>
      </c>
      <c r="C280" s="9" t="s">
        <v>15</v>
      </c>
      <c r="D280" s="9" t="s">
        <v>669</v>
      </c>
      <c r="E280" s="10" t="s">
        <v>17</v>
      </c>
      <c r="F280" s="10">
        <v>27</v>
      </c>
      <c r="G280" s="11">
        <v>8162469673</v>
      </c>
      <c r="H280" s="10" t="s">
        <v>670</v>
      </c>
      <c r="I280" s="10" t="s">
        <v>49</v>
      </c>
      <c r="J280" s="10" t="s">
        <v>106</v>
      </c>
      <c r="K280" s="12">
        <v>45993</v>
      </c>
      <c r="L280" s="15" t="s">
        <v>11</v>
      </c>
      <c r="M280" s="14"/>
      <c r="N280" s="14"/>
    </row>
    <row r="281" spans="1:14" ht="22.5" customHeight="1">
      <c r="A281" s="8">
        <v>45993.812298657409</v>
      </c>
      <c r="B281" s="9" t="s">
        <v>14</v>
      </c>
      <c r="C281" s="9" t="s">
        <v>15</v>
      </c>
      <c r="D281" s="9" t="s">
        <v>671</v>
      </c>
      <c r="E281" s="10" t="s">
        <v>17</v>
      </c>
      <c r="F281" s="10">
        <v>35</v>
      </c>
      <c r="G281" s="11">
        <v>8133386333</v>
      </c>
      <c r="H281" s="10" t="s">
        <v>672</v>
      </c>
      <c r="I281" s="10" t="s">
        <v>27</v>
      </c>
      <c r="J281" s="10" t="s">
        <v>172</v>
      </c>
      <c r="K281" s="12">
        <v>45993</v>
      </c>
      <c r="L281" s="15" t="s">
        <v>11</v>
      </c>
      <c r="M281" s="14"/>
      <c r="N281" s="14"/>
    </row>
    <row r="282" spans="1:14" ht="22.5" customHeight="1">
      <c r="A282" s="8">
        <v>45993.814425219913</v>
      </c>
      <c r="B282" s="9" t="s">
        <v>14</v>
      </c>
      <c r="C282" s="9" t="s">
        <v>15</v>
      </c>
      <c r="D282" s="9" t="s">
        <v>673</v>
      </c>
      <c r="E282" s="10" t="s">
        <v>17</v>
      </c>
      <c r="F282" s="10">
        <v>36</v>
      </c>
      <c r="G282" s="11">
        <v>8069207603</v>
      </c>
      <c r="H282" s="10" t="s">
        <v>674</v>
      </c>
      <c r="I282" s="10" t="s">
        <v>49</v>
      </c>
      <c r="J282" s="10" t="s">
        <v>106</v>
      </c>
      <c r="K282" s="12">
        <v>45797</v>
      </c>
      <c r="L282" s="15" t="s">
        <v>11</v>
      </c>
      <c r="M282" s="14"/>
      <c r="N282" s="14"/>
    </row>
    <row r="283" spans="1:14" ht="22.5" customHeight="1">
      <c r="A283" s="8">
        <v>45993.814798576394</v>
      </c>
      <c r="B283" s="9" t="s">
        <v>14</v>
      </c>
      <c r="C283" s="9" t="s">
        <v>15</v>
      </c>
      <c r="D283" s="9" t="s">
        <v>675</v>
      </c>
      <c r="E283" s="10" t="s">
        <v>17</v>
      </c>
      <c r="F283" s="10">
        <v>30</v>
      </c>
      <c r="G283" s="11">
        <v>8062629729</v>
      </c>
      <c r="H283" s="10" t="s">
        <v>676</v>
      </c>
      <c r="I283" s="10" t="s">
        <v>49</v>
      </c>
      <c r="J283" s="10" t="s">
        <v>303</v>
      </c>
      <c r="K283" s="12">
        <v>45993</v>
      </c>
      <c r="L283" s="15" t="s">
        <v>11</v>
      </c>
      <c r="M283" s="14"/>
      <c r="N283" s="14"/>
    </row>
    <row r="284" spans="1:14" ht="22.5" customHeight="1">
      <c r="A284" s="8">
        <v>45993.817880138886</v>
      </c>
      <c r="B284" s="9" t="s">
        <v>14</v>
      </c>
      <c r="C284" s="9" t="s">
        <v>15</v>
      </c>
      <c r="D284" s="9" t="s">
        <v>677</v>
      </c>
      <c r="E284" s="10" t="s">
        <v>17</v>
      </c>
      <c r="F284" s="10">
        <v>37</v>
      </c>
      <c r="G284" s="11">
        <v>7033357819</v>
      </c>
      <c r="H284" s="10" t="s">
        <v>678</v>
      </c>
      <c r="I284" s="10" t="s">
        <v>49</v>
      </c>
      <c r="J284" s="10" t="s">
        <v>246</v>
      </c>
      <c r="K284" s="12">
        <v>45993</v>
      </c>
      <c r="L284" s="15" t="s">
        <v>11</v>
      </c>
      <c r="M284" s="14"/>
      <c r="N284" s="14"/>
    </row>
    <row r="285" spans="1:14" ht="22.5" customHeight="1">
      <c r="A285" s="8">
        <v>45993.818773148145</v>
      </c>
      <c r="B285" s="9" t="s">
        <v>14</v>
      </c>
      <c r="C285" s="9" t="s">
        <v>15</v>
      </c>
      <c r="D285" s="9" t="s">
        <v>679</v>
      </c>
      <c r="E285" s="10" t="s">
        <v>17</v>
      </c>
      <c r="F285" s="10">
        <v>22</v>
      </c>
      <c r="G285" s="11">
        <v>8136069907</v>
      </c>
      <c r="H285" s="10" t="s">
        <v>680</v>
      </c>
      <c r="I285" s="10" t="s">
        <v>49</v>
      </c>
      <c r="J285" s="10" t="s">
        <v>50</v>
      </c>
      <c r="K285" s="12">
        <v>45993</v>
      </c>
      <c r="L285" s="15" t="s">
        <v>11</v>
      </c>
      <c r="M285" s="14"/>
      <c r="N285" s="14"/>
    </row>
    <row r="286" spans="1:14" ht="22.5" customHeight="1">
      <c r="A286" s="8">
        <v>45993.821191168987</v>
      </c>
      <c r="B286" s="9" t="s">
        <v>14</v>
      </c>
      <c r="C286" s="9" t="s">
        <v>15</v>
      </c>
      <c r="D286" s="9" t="s">
        <v>681</v>
      </c>
      <c r="E286" s="10" t="s">
        <v>17</v>
      </c>
      <c r="F286" s="19">
        <v>34</v>
      </c>
      <c r="G286" s="11">
        <v>8066547802</v>
      </c>
      <c r="H286" s="10" t="s">
        <v>682</v>
      </c>
      <c r="I286" s="10" t="s">
        <v>49</v>
      </c>
      <c r="J286" s="10" t="s">
        <v>683</v>
      </c>
      <c r="K286" s="12">
        <v>45993</v>
      </c>
      <c r="L286" s="15" t="s">
        <v>11</v>
      </c>
      <c r="M286" s="14"/>
      <c r="N286" s="14"/>
    </row>
    <row r="287" spans="1:14" ht="22.5" customHeight="1">
      <c r="A287" s="8">
        <v>45993.825349837964</v>
      </c>
      <c r="B287" s="9" t="s">
        <v>14</v>
      </c>
      <c r="C287" s="9" t="s">
        <v>15</v>
      </c>
      <c r="D287" s="9" t="s">
        <v>684</v>
      </c>
      <c r="E287" s="10" t="s">
        <v>22</v>
      </c>
      <c r="F287" s="10">
        <v>28</v>
      </c>
      <c r="G287" s="11">
        <v>8140768542</v>
      </c>
      <c r="H287" s="10" t="s">
        <v>685</v>
      </c>
      <c r="I287" s="10" t="s">
        <v>49</v>
      </c>
      <c r="J287" s="10" t="s">
        <v>282</v>
      </c>
      <c r="K287" s="12">
        <v>45993</v>
      </c>
      <c r="L287" s="15" t="s">
        <v>11</v>
      </c>
      <c r="M287" s="14"/>
      <c r="N287" s="14"/>
    </row>
    <row r="288" spans="1:14" ht="22.5" customHeight="1">
      <c r="A288" s="8">
        <v>45993.826415393516</v>
      </c>
      <c r="B288" s="9" t="s">
        <v>14</v>
      </c>
      <c r="C288" s="9" t="s">
        <v>15</v>
      </c>
      <c r="D288" s="9" t="s">
        <v>686</v>
      </c>
      <c r="E288" s="10" t="s">
        <v>22</v>
      </c>
      <c r="F288" s="18">
        <v>24</v>
      </c>
      <c r="G288" s="11">
        <v>8147529154</v>
      </c>
      <c r="H288" s="10" t="s">
        <v>687</v>
      </c>
      <c r="I288" s="10" t="s">
        <v>45</v>
      </c>
      <c r="J288" s="10" t="s">
        <v>688</v>
      </c>
      <c r="K288" s="12">
        <v>45993</v>
      </c>
      <c r="L288" s="15" t="s">
        <v>11</v>
      </c>
      <c r="M288" s="14"/>
      <c r="N288" s="14"/>
    </row>
    <row r="289" spans="1:14" ht="22.5" customHeight="1">
      <c r="A289" s="8">
        <v>45993.834746863431</v>
      </c>
      <c r="B289" s="9" t="s">
        <v>14</v>
      </c>
      <c r="C289" s="9" t="s">
        <v>15</v>
      </c>
      <c r="D289" s="9" t="s">
        <v>689</v>
      </c>
      <c r="E289" s="10" t="s">
        <v>17</v>
      </c>
      <c r="F289" s="10">
        <v>29</v>
      </c>
      <c r="G289" s="11">
        <v>8102933766</v>
      </c>
      <c r="H289" s="10" t="s">
        <v>690</v>
      </c>
      <c r="I289" s="10" t="s">
        <v>45</v>
      </c>
      <c r="J289" s="10" t="s">
        <v>279</v>
      </c>
      <c r="K289" s="12">
        <v>45993</v>
      </c>
      <c r="L289" s="15" t="s">
        <v>11</v>
      </c>
      <c r="M289" s="14"/>
      <c r="N289" s="14"/>
    </row>
    <row r="290" spans="1:14" ht="22.5" customHeight="1">
      <c r="A290" s="8">
        <v>45993.838198599537</v>
      </c>
      <c r="B290" s="9" t="s">
        <v>14</v>
      </c>
      <c r="C290" s="9" t="s">
        <v>15</v>
      </c>
      <c r="D290" s="9" t="s">
        <v>691</v>
      </c>
      <c r="E290" s="10" t="s">
        <v>17</v>
      </c>
      <c r="F290" s="10">
        <v>31</v>
      </c>
      <c r="G290" s="11">
        <f t="shared" ref="G290" si="5">2347061201135</f>
        <v>2347061201135</v>
      </c>
      <c r="H290" s="10" t="s">
        <v>692</v>
      </c>
      <c r="I290" s="10" t="s">
        <v>45</v>
      </c>
      <c r="J290" s="10" t="s">
        <v>46</v>
      </c>
      <c r="K290" s="12">
        <v>45993</v>
      </c>
      <c r="L290" s="15" t="s">
        <v>11</v>
      </c>
      <c r="M290" s="14"/>
      <c r="N290" s="14"/>
    </row>
    <row r="291" spans="1:14" ht="22.5" customHeight="1">
      <c r="A291" s="8">
        <v>45993.838489594906</v>
      </c>
      <c r="B291" s="9" t="s">
        <v>14</v>
      </c>
      <c r="C291" s="9" t="s">
        <v>15</v>
      </c>
      <c r="D291" s="9" t="s">
        <v>693</v>
      </c>
      <c r="E291" s="10" t="s">
        <v>22</v>
      </c>
      <c r="F291" s="10">
        <v>31</v>
      </c>
      <c r="G291" s="11">
        <v>7065014818</v>
      </c>
      <c r="H291" s="10" t="s">
        <v>694</v>
      </c>
      <c r="I291" s="10" t="s">
        <v>49</v>
      </c>
      <c r="J291" s="10" t="s">
        <v>157</v>
      </c>
      <c r="K291" s="12">
        <v>45993</v>
      </c>
      <c r="L291" s="15" t="s">
        <v>11</v>
      </c>
      <c r="M291" s="14"/>
      <c r="N291" s="14"/>
    </row>
    <row r="292" spans="1:14" ht="22.5" customHeight="1">
      <c r="A292" s="8">
        <v>45993.842812152783</v>
      </c>
      <c r="B292" s="9" t="s">
        <v>14</v>
      </c>
      <c r="C292" s="9" t="s">
        <v>15</v>
      </c>
      <c r="D292" s="9" t="s">
        <v>695</v>
      </c>
      <c r="E292" s="10" t="s">
        <v>17</v>
      </c>
      <c r="F292" s="10">
        <v>36</v>
      </c>
      <c r="G292" s="11">
        <v>7039614502</v>
      </c>
      <c r="H292" s="10" t="s">
        <v>696</v>
      </c>
      <c r="I292" s="10" t="s">
        <v>49</v>
      </c>
      <c r="J292" s="10" t="s">
        <v>232</v>
      </c>
      <c r="K292" s="12">
        <v>45993</v>
      </c>
      <c r="L292" s="15" t="s">
        <v>11</v>
      </c>
      <c r="M292" s="14"/>
      <c r="N292" s="14"/>
    </row>
    <row r="293" spans="1:14" ht="22.5" customHeight="1">
      <c r="A293" s="8">
        <v>45993.842966655095</v>
      </c>
      <c r="B293" s="9" t="s">
        <v>14</v>
      </c>
      <c r="C293" s="9" t="s">
        <v>15</v>
      </c>
      <c r="D293" s="9" t="s">
        <v>697</v>
      </c>
      <c r="E293" s="10" t="s">
        <v>17</v>
      </c>
      <c r="F293" s="10">
        <v>34</v>
      </c>
      <c r="G293" s="11">
        <v>9030459546</v>
      </c>
      <c r="H293" s="10" t="s">
        <v>698</v>
      </c>
      <c r="I293" s="10" t="s">
        <v>49</v>
      </c>
      <c r="J293" s="10" t="s">
        <v>109</v>
      </c>
      <c r="K293" s="12">
        <v>45993</v>
      </c>
      <c r="L293" s="15" t="s">
        <v>11</v>
      </c>
      <c r="M293" s="14"/>
      <c r="N293" s="14"/>
    </row>
    <row r="294" spans="1:14" ht="22.5" customHeight="1">
      <c r="A294" s="8">
        <v>45993.8495162037</v>
      </c>
      <c r="B294" s="9" t="s">
        <v>14</v>
      </c>
      <c r="C294" s="9" t="s">
        <v>15</v>
      </c>
      <c r="D294" s="9" t="s">
        <v>699</v>
      </c>
      <c r="E294" s="10" t="s">
        <v>17</v>
      </c>
      <c r="F294" s="10">
        <v>25</v>
      </c>
      <c r="G294" s="11">
        <v>8073367438</v>
      </c>
      <c r="H294" s="10" t="s">
        <v>700</v>
      </c>
      <c r="I294" s="10" t="s">
        <v>49</v>
      </c>
      <c r="J294" s="10" t="s">
        <v>303</v>
      </c>
      <c r="K294" s="12">
        <v>45993</v>
      </c>
      <c r="L294" s="15" t="s">
        <v>11</v>
      </c>
      <c r="M294" s="14"/>
      <c r="N294" s="14"/>
    </row>
    <row r="295" spans="1:14" ht="22.5" customHeight="1">
      <c r="A295" s="8">
        <v>45993.851490972222</v>
      </c>
      <c r="B295" s="9" t="s">
        <v>14</v>
      </c>
      <c r="C295" s="9" t="s">
        <v>15</v>
      </c>
      <c r="D295" s="9" t="s">
        <v>701</v>
      </c>
      <c r="E295" s="10" t="s">
        <v>22</v>
      </c>
      <c r="F295" s="10">
        <v>25</v>
      </c>
      <c r="G295" s="11">
        <v>8148961658</v>
      </c>
      <c r="H295" s="10" t="s">
        <v>702</v>
      </c>
      <c r="I295" s="10" t="s">
        <v>27</v>
      </c>
      <c r="J295" s="10" t="s">
        <v>703</v>
      </c>
      <c r="K295" s="12">
        <v>45993</v>
      </c>
      <c r="L295" s="15" t="s">
        <v>11</v>
      </c>
      <c r="M295" s="14"/>
      <c r="N295" s="14"/>
    </row>
    <row r="296" spans="1:14" ht="22.5" customHeight="1">
      <c r="A296" s="8">
        <v>45993.854570868054</v>
      </c>
      <c r="B296" s="9" t="s">
        <v>14</v>
      </c>
      <c r="C296" s="9" t="s">
        <v>15</v>
      </c>
      <c r="D296" s="9" t="s">
        <v>704</v>
      </c>
      <c r="E296" s="10" t="s">
        <v>22</v>
      </c>
      <c r="F296" s="10">
        <v>27</v>
      </c>
      <c r="G296" s="11">
        <v>8052810033</v>
      </c>
      <c r="H296" s="10" t="s">
        <v>705</v>
      </c>
      <c r="I296" s="10" t="s">
        <v>49</v>
      </c>
      <c r="J296" s="10" t="s">
        <v>73</v>
      </c>
      <c r="K296" s="12">
        <v>45993</v>
      </c>
      <c r="L296" s="15" t="s">
        <v>11</v>
      </c>
      <c r="M296" s="14"/>
      <c r="N296" s="14"/>
    </row>
    <row r="297" spans="1:14" ht="22.5" customHeight="1">
      <c r="A297" s="8">
        <v>45993.854742905096</v>
      </c>
      <c r="B297" s="9" t="s">
        <v>14</v>
      </c>
      <c r="C297" s="9" t="s">
        <v>15</v>
      </c>
      <c r="D297" s="9" t="s">
        <v>706</v>
      </c>
      <c r="E297" s="10" t="s">
        <v>17</v>
      </c>
      <c r="F297" s="10">
        <v>24</v>
      </c>
      <c r="G297" s="11">
        <v>7040711561</v>
      </c>
      <c r="H297" s="10" t="s">
        <v>707</v>
      </c>
      <c r="I297" s="10" t="s">
        <v>49</v>
      </c>
      <c r="J297" s="10" t="s">
        <v>215</v>
      </c>
      <c r="K297" s="12">
        <v>45993</v>
      </c>
      <c r="L297" s="15" t="s">
        <v>11</v>
      </c>
      <c r="M297" s="14"/>
      <c r="N297" s="14"/>
    </row>
    <row r="298" spans="1:14" ht="22.5" customHeight="1">
      <c r="A298" s="8">
        <v>45993.85997740741</v>
      </c>
      <c r="B298" s="9" t="s">
        <v>14</v>
      </c>
      <c r="C298" s="9" t="s">
        <v>15</v>
      </c>
      <c r="D298" s="9" t="s">
        <v>708</v>
      </c>
      <c r="E298" s="10" t="s">
        <v>17</v>
      </c>
      <c r="F298" s="10">
        <v>41</v>
      </c>
      <c r="G298" s="11">
        <v>8069780578</v>
      </c>
      <c r="H298" s="10" t="s">
        <v>709</v>
      </c>
      <c r="I298" s="10" t="s">
        <v>49</v>
      </c>
      <c r="J298" s="10" t="s">
        <v>710</v>
      </c>
      <c r="K298" s="12">
        <v>45993</v>
      </c>
      <c r="L298" s="15" t="s">
        <v>11</v>
      </c>
      <c r="M298" s="14"/>
      <c r="N298" s="14"/>
    </row>
    <row r="299" spans="1:14" ht="22.5" customHeight="1">
      <c r="A299" s="8">
        <v>45993.86348561343</v>
      </c>
      <c r="B299" s="9" t="s">
        <v>14</v>
      </c>
      <c r="C299" s="9" t="s">
        <v>15</v>
      </c>
      <c r="D299" s="9" t="s">
        <v>711</v>
      </c>
      <c r="E299" s="10" t="s">
        <v>22</v>
      </c>
      <c r="F299" s="10">
        <v>26</v>
      </c>
      <c r="G299" s="11">
        <v>8106967695</v>
      </c>
      <c r="H299" s="10" t="s">
        <v>712</v>
      </c>
      <c r="I299" s="10" t="s">
        <v>49</v>
      </c>
      <c r="J299" s="10" t="s">
        <v>106</v>
      </c>
      <c r="K299" s="12">
        <v>45993</v>
      </c>
      <c r="L299" s="15" t="s">
        <v>11</v>
      </c>
      <c r="M299" s="14"/>
      <c r="N299" s="14"/>
    </row>
    <row r="300" spans="1:14" ht="22.5" customHeight="1">
      <c r="A300" s="8">
        <v>45993.86414719907</v>
      </c>
      <c r="B300" s="9" t="s">
        <v>14</v>
      </c>
      <c r="C300" s="9" t="s">
        <v>15</v>
      </c>
      <c r="D300" s="9" t="s">
        <v>713</v>
      </c>
      <c r="E300" s="10" t="s">
        <v>22</v>
      </c>
      <c r="F300" s="10">
        <v>28</v>
      </c>
      <c r="G300" s="11">
        <v>9025659969</v>
      </c>
      <c r="H300" s="10" t="s">
        <v>714</v>
      </c>
      <c r="I300" s="10" t="s">
        <v>49</v>
      </c>
      <c r="J300" s="10" t="s">
        <v>434</v>
      </c>
      <c r="K300" s="12">
        <v>45993</v>
      </c>
      <c r="L300" s="15" t="s">
        <v>11</v>
      </c>
      <c r="M300" s="14"/>
      <c r="N300" s="14"/>
    </row>
    <row r="301" spans="1:14" ht="22.5" customHeight="1">
      <c r="A301" s="8">
        <v>45993.870817025461</v>
      </c>
      <c r="B301" s="9" t="s">
        <v>14</v>
      </c>
      <c r="C301" s="9" t="s">
        <v>15</v>
      </c>
      <c r="D301" s="9" t="s">
        <v>715</v>
      </c>
      <c r="E301" s="10" t="s">
        <v>17</v>
      </c>
      <c r="F301" s="10">
        <v>25</v>
      </c>
      <c r="G301" s="11">
        <v>9010674691</v>
      </c>
      <c r="H301" s="10" t="s">
        <v>716</v>
      </c>
      <c r="I301" s="10" t="s">
        <v>49</v>
      </c>
      <c r="J301" s="10" t="s">
        <v>434</v>
      </c>
      <c r="K301" s="12">
        <v>45993</v>
      </c>
      <c r="L301" s="15" t="s">
        <v>11</v>
      </c>
      <c r="M301" s="14"/>
      <c r="N301" s="14"/>
    </row>
    <row r="302" spans="1:14" ht="22.5" customHeight="1">
      <c r="A302" s="8">
        <v>45993.87103545139</v>
      </c>
      <c r="B302" s="9" t="s">
        <v>14</v>
      </c>
      <c r="C302" s="9" t="s">
        <v>15</v>
      </c>
      <c r="D302" s="9" t="s">
        <v>717</v>
      </c>
      <c r="E302" s="10" t="s">
        <v>17</v>
      </c>
      <c r="F302" s="10">
        <v>25</v>
      </c>
      <c r="G302" s="11">
        <v>8148896596</v>
      </c>
      <c r="H302" s="10" t="s">
        <v>718</v>
      </c>
      <c r="I302" s="10" t="s">
        <v>49</v>
      </c>
      <c r="J302" s="10" t="s">
        <v>599</v>
      </c>
      <c r="K302" s="12">
        <v>45993</v>
      </c>
      <c r="L302" s="15" t="s">
        <v>11</v>
      </c>
      <c r="M302" s="14"/>
      <c r="N302" s="14"/>
    </row>
    <row r="303" spans="1:14" ht="22.5" customHeight="1">
      <c r="A303" s="8">
        <v>45993.875978472221</v>
      </c>
      <c r="B303" s="9" t="s">
        <v>14</v>
      </c>
      <c r="C303" s="9" t="s">
        <v>15</v>
      </c>
      <c r="D303" s="9" t="s">
        <v>719</v>
      </c>
      <c r="E303" s="10" t="s">
        <v>22</v>
      </c>
      <c r="F303" s="10">
        <v>33</v>
      </c>
      <c r="G303" s="11">
        <v>8032696606</v>
      </c>
      <c r="H303" s="10" t="s">
        <v>720</v>
      </c>
      <c r="I303" s="10" t="s">
        <v>49</v>
      </c>
      <c r="J303" s="10" t="s">
        <v>50</v>
      </c>
      <c r="K303" s="12">
        <v>45993</v>
      </c>
      <c r="L303" s="15" t="s">
        <v>11</v>
      </c>
      <c r="M303" s="14"/>
      <c r="N303" s="14"/>
    </row>
    <row r="304" spans="1:14" ht="22.5" customHeight="1">
      <c r="A304" s="8">
        <v>45993.879711886577</v>
      </c>
      <c r="B304" s="9" t="s">
        <v>14</v>
      </c>
      <c r="C304" s="9" t="s">
        <v>15</v>
      </c>
      <c r="D304" s="9" t="s">
        <v>721</v>
      </c>
      <c r="E304" s="10" t="s">
        <v>17</v>
      </c>
      <c r="F304" s="10">
        <v>22</v>
      </c>
      <c r="G304" s="11">
        <v>8135474342</v>
      </c>
      <c r="H304" s="10" t="s">
        <v>722</v>
      </c>
      <c r="I304" s="10" t="s">
        <v>49</v>
      </c>
      <c r="J304" s="10" t="s">
        <v>599</v>
      </c>
      <c r="K304" s="12">
        <v>45993</v>
      </c>
      <c r="L304" s="15" t="s">
        <v>11</v>
      </c>
      <c r="M304" s="14"/>
      <c r="N304" s="14"/>
    </row>
    <row r="305" spans="1:14" ht="22.5" customHeight="1">
      <c r="A305" s="8">
        <v>45993.879880451394</v>
      </c>
      <c r="B305" s="9" t="s">
        <v>14</v>
      </c>
      <c r="C305" s="9" t="s">
        <v>15</v>
      </c>
      <c r="D305" s="9" t="s">
        <v>723</v>
      </c>
      <c r="E305" s="10" t="s">
        <v>17</v>
      </c>
      <c r="F305" s="10">
        <v>34</v>
      </c>
      <c r="G305" s="11">
        <v>7061819475</v>
      </c>
      <c r="H305" s="10" t="s">
        <v>724</v>
      </c>
      <c r="I305" s="10" t="s">
        <v>49</v>
      </c>
      <c r="J305" s="10" t="s">
        <v>50</v>
      </c>
      <c r="K305" s="12">
        <v>45993</v>
      </c>
      <c r="L305" s="15" t="s">
        <v>11</v>
      </c>
      <c r="M305" s="14"/>
      <c r="N305" s="14"/>
    </row>
    <row r="306" spans="1:14" ht="22.5" customHeight="1">
      <c r="A306" s="8">
        <v>45993.882676805559</v>
      </c>
      <c r="B306" s="9" t="s">
        <v>14</v>
      </c>
      <c r="C306" s="9" t="s">
        <v>15</v>
      </c>
      <c r="D306" s="9" t="s">
        <v>725</v>
      </c>
      <c r="E306" s="10" t="s">
        <v>22</v>
      </c>
      <c r="F306" s="10">
        <v>39</v>
      </c>
      <c r="G306" s="11">
        <v>8160318433</v>
      </c>
      <c r="H306" s="10" t="s">
        <v>726</v>
      </c>
      <c r="I306" s="10" t="s">
        <v>49</v>
      </c>
      <c r="J306" s="10" t="s">
        <v>232</v>
      </c>
      <c r="K306" s="12">
        <v>45993</v>
      </c>
      <c r="L306" s="15" t="s">
        <v>11</v>
      </c>
      <c r="M306" s="14"/>
      <c r="N306" s="14"/>
    </row>
    <row r="307" spans="1:14" ht="22.5" customHeight="1">
      <c r="A307" s="8">
        <v>45993.883110115741</v>
      </c>
      <c r="B307" s="9" t="s">
        <v>14</v>
      </c>
      <c r="C307" s="9" t="s">
        <v>15</v>
      </c>
      <c r="D307" s="9" t="s">
        <v>727</v>
      </c>
      <c r="E307" s="10" t="s">
        <v>17</v>
      </c>
      <c r="F307" s="10">
        <v>32</v>
      </c>
      <c r="G307" s="11">
        <v>8064149982</v>
      </c>
      <c r="H307" s="10" t="s">
        <v>728</v>
      </c>
      <c r="I307" s="10" t="s">
        <v>49</v>
      </c>
      <c r="J307" s="10" t="s">
        <v>599</v>
      </c>
      <c r="K307" s="12">
        <v>45993</v>
      </c>
      <c r="L307" s="15" t="s">
        <v>11</v>
      </c>
      <c r="M307" s="14"/>
      <c r="N307" s="14"/>
    </row>
    <row r="308" spans="1:14" ht="22.5" customHeight="1">
      <c r="A308" s="8">
        <v>45993.884808043978</v>
      </c>
      <c r="B308" s="9" t="s">
        <v>14</v>
      </c>
      <c r="C308" s="9" t="s">
        <v>15</v>
      </c>
      <c r="D308" s="9" t="s">
        <v>729</v>
      </c>
      <c r="E308" s="10" t="s">
        <v>22</v>
      </c>
      <c r="F308" s="10">
        <v>27</v>
      </c>
      <c r="G308" s="11">
        <v>8034568767</v>
      </c>
      <c r="H308" s="10" t="s">
        <v>730</v>
      </c>
      <c r="I308" s="10" t="s">
        <v>49</v>
      </c>
      <c r="J308" s="10" t="s">
        <v>731</v>
      </c>
      <c r="K308" s="12">
        <v>45993</v>
      </c>
      <c r="L308" s="15" t="s">
        <v>11</v>
      </c>
      <c r="M308" s="14"/>
      <c r="N308" s="14"/>
    </row>
    <row r="309" spans="1:14" ht="22.5" customHeight="1">
      <c r="A309" s="8">
        <v>45993.88688928241</v>
      </c>
      <c r="B309" s="9" t="s">
        <v>14</v>
      </c>
      <c r="C309" s="9" t="s">
        <v>15</v>
      </c>
      <c r="D309" s="9" t="s">
        <v>732</v>
      </c>
      <c r="E309" s="10" t="s">
        <v>17</v>
      </c>
      <c r="F309" s="10">
        <v>29</v>
      </c>
      <c r="G309" s="11">
        <v>8067636597</v>
      </c>
      <c r="H309" s="10" t="s">
        <v>733</v>
      </c>
      <c r="I309" s="10" t="s">
        <v>49</v>
      </c>
      <c r="J309" s="10" t="s">
        <v>106</v>
      </c>
      <c r="K309" s="12">
        <v>45993</v>
      </c>
      <c r="L309" s="15" t="s">
        <v>11</v>
      </c>
      <c r="M309" s="14"/>
      <c r="N309" s="14"/>
    </row>
    <row r="310" spans="1:14" ht="22.5" customHeight="1">
      <c r="A310" s="8">
        <v>45993.889544270831</v>
      </c>
      <c r="B310" s="9" t="s">
        <v>14</v>
      </c>
      <c r="C310" s="9" t="s">
        <v>15</v>
      </c>
      <c r="D310" s="9" t="s">
        <v>734</v>
      </c>
      <c r="E310" s="10" t="s">
        <v>22</v>
      </c>
      <c r="F310" s="10">
        <v>29</v>
      </c>
      <c r="G310" s="11">
        <v>7039659184</v>
      </c>
      <c r="H310" s="10" t="s">
        <v>735</v>
      </c>
      <c r="I310" s="10" t="s">
        <v>49</v>
      </c>
      <c r="J310" s="10" t="s">
        <v>73</v>
      </c>
      <c r="K310" s="12">
        <v>45993</v>
      </c>
      <c r="L310" s="15" t="s">
        <v>11</v>
      </c>
      <c r="M310" s="14"/>
      <c r="N310" s="14"/>
    </row>
    <row r="311" spans="1:14" ht="22.5" customHeight="1">
      <c r="A311" s="8">
        <v>45993.893198726852</v>
      </c>
      <c r="B311" s="9" t="s">
        <v>14</v>
      </c>
      <c r="C311" s="9" t="s">
        <v>15</v>
      </c>
      <c r="D311" s="9" t="s">
        <v>736</v>
      </c>
      <c r="E311" s="10" t="s">
        <v>22</v>
      </c>
      <c r="F311" s="10">
        <v>21</v>
      </c>
      <c r="G311" s="11">
        <v>9139143126</v>
      </c>
      <c r="H311" s="10" t="s">
        <v>737</v>
      </c>
      <c r="I311" s="10" t="s">
        <v>45</v>
      </c>
      <c r="J311" s="10" t="s">
        <v>738</v>
      </c>
      <c r="K311" s="12">
        <v>45993</v>
      </c>
      <c r="L311" s="15" t="s">
        <v>11</v>
      </c>
      <c r="M311" s="14"/>
      <c r="N311" s="14"/>
    </row>
    <row r="312" spans="1:14" ht="22.5" customHeight="1">
      <c r="A312" s="8">
        <v>45993.894010162039</v>
      </c>
      <c r="B312" s="9" t="s">
        <v>14</v>
      </c>
      <c r="C312" s="9" t="s">
        <v>15</v>
      </c>
      <c r="D312" s="9" t="s">
        <v>739</v>
      </c>
      <c r="E312" s="10" t="s">
        <v>17</v>
      </c>
      <c r="F312" s="10">
        <v>26</v>
      </c>
      <c r="G312" s="11">
        <v>7033925048</v>
      </c>
      <c r="H312" s="10" t="s">
        <v>740</v>
      </c>
      <c r="I312" s="10" t="s">
        <v>49</v>
      </c>
      <c r="J312" s="10" t="s">
        <v>50</v>
      </c>
      <c r="K312" s="12">
        <v>45993</v>
      </c>
      <c r="L312" s="15" t="s">
        <v>11</v>
      </c>
      <c r="M312" s="14"/>
      <c r="N312" s="14"/>
    </row>
    <row r="313" spans="1:14" ht="22.5" customHeight="1">
      <c r="A313" s="8">
        <v>45993.894737812501</v>
      </c>
      <c r="B313" s="9" t="s">
        <v>14</v>
      </c>
      <c r="C313" s="9" t="s">
        <v>15</v>
      </c>
      <c r="D313" s="9" t="s">
        <v>741</v>
      </c>
      <c r="E313" s="10" t="s">
        <v>17</v>
      </c>
      <c r="F313" s="10">
        <v>35</v>
      </c>
      <c r="G313" s="11">
        <v>8162693258</v>
      </c>
      <c r="H313" s="10" t="s">
        <v>742</v>
      </c>
      <c r="I313" s="10" t="s">
        <v>49</v>
      </c>
      <c r="J313" s="10" t="s">
        <v>73</v>
      </c>
      <c r="K313" s="12">
        <v>45993</v>
      </c>
      <c r="L313" s="15" t="s">
        <v>11</v>
      </c>
      <c r="M313" s="14"/>
      <c r="N313" s="14"/>
    </row>
    <row r="314" spans="1:14" ht="22.5" customHeight="1">
      <c r="A314" s="8">
        <v>45993.900545289347</v>
      </c>
      <c r="B314" s="9" t="s">
        <v>14</v>
      </c>
      <c r="C314" s="9" t="s">
        <v>15</v>
      </c>
      <c r="D314" s="9" t="s">
        <v>743</v>
      </c>
      <c r="E314" s="10" t="s">
        <v>22</v>
      </c>
      <c r="F314" s="10">
        <v>25</v>
      </c>
      <c r="G314" s="11">
        <v>9017589188</v>
      </c>
      <c r="H314" s="10" t="s">
        <v>744</v>
      </c>
      <c r="I314" s="10" t="s">
        <v>49</v>
      </c>
      <c r="J314" s="10" t="s">
        <v>50</v>
      </c>
      <c r="K314" s="12">
        <v>45993</v>
      </c>
      <c r="L314" s="15" t="s">
        <v>11</v>
      </c>
      <c r="M314" s="14"/>
      <c r="N314" s="14"/>
    </row>
    <row r="315" spans="1:14" ht="22.5" customHeight="1">
      <c r="A315" s="8">
        <v>45993.907760173606</v>
      </c>
      <c r="B315" s="9" t="s">
        <v>14</v>
      </c>
      <c r="C315" s="9" t="s">
        <v>15</v>
      </c>
      <c r="D315" s="9" t="s">
        <v>745</v>
      </c>
      <c r="E315" s="10" t="s">
        <v>17</v>
      </c>
      <c r="F315" s="10">
        <v>25</v>
      </c>
      <c r="G315" s="11">
        <v>8166726365</v>
      </c>
      <c r="H315" s="10" t="s">
        <v>746</v>
      </c>
      <c r="I315" s="10" t="s">
        <v>49</v>
      </c>
      <c r="J315" s="10" t="s">
        <v>232</v>
      </c>
      <c r="K315" s="12">
        <v>45993</v>
      </c>
      <c r="L315" s="15" t="s">
        <v>11</v>
      </c>
      <c r="M315" s="14"/>
      <c r="N315" s="14"/>
    </row>
    <row r="316" spans="1:14" ht="22.5" customHeight="1">
      <c r="A316" s="8">
        <v>45993.910636319444</v>
      </c>
      <c r="B316" s="9" t="s">
        <v>14</v>
      </c>
      <c r="C316" s="9" t="s">
        <v>15</v>
      </c>
      <c r="D316" s="9" t="s">
        <v>747</v>
      </c>
      <c r="E316" s="10" t="s">
        <v>22</v>
      </c>
      <c r="F316" s="10">
        <v>28</v>
      </c>
      <c r="G316" s="11">
        <v>8166970258</v>
      </c>
      <c r="H316" s="10" t="s">
        <v>748</v>
      </c>
      <c r="I316" s="10" t="s">
        <v>49</v>
      </c>
      <c r="J316" s="10" t="s">
        <v>282</v>
      </c>
      <c r="K316" s="12">
        <v>45993</v>
      </c>
      <c r="L316" s="15" t="s">
        <v>11</v>
      </c>
      <c r="M316" s="14"/>
      <c r="N316" s="14"/>
    </row>
    <row r="317" spans="1:14" ht="22.5" customHeight="1">
      <c r="A317" s="8">
        <v>45993.911182326388</v>
      </c>
      <c r="B317" s="9" t="s">
        <v>14</v>
      </c>
      <c r="C317" s="9" t="s">
        <v>15</v>
      </c>
      <c r="D317" s="9" t="s">
        <v>749</v>
      </c>
      <c r="E317" s="10" t="s">
        <v>17</v>
      </c>
      <c r="F317" s="10">
        <v>22</v>
      </c>
      <c r="G317" s="11">
        <v>9061311771</v>
      </c>
      <c r="H317" s="10" t="s">
        <v>750</v>
      </c>
      <c r="I317" s="10" t="s">
        <v>49</v>
      </c>
      <c r="J317" s="10" t="s">
        <v>232</v>
      </c>
      <c r="K317" s="12">
        <v>45993</v>
      </c>
      <c r="L317" s="15" t="s">
        <v>11</v>
      </c>
      <c r="M317" s="14"/>
      <c r="N317" s="14"/>
    </row>
    <row r="318" spans="1:14" ht="22.5" customHeight="1">
      <c r="A318" s="8">
        <v>45993.913485752317</v>
      </c>
      <c r="B318" s="9" t="s">
        <v>14</v>
      </c>
      <c r="C318" s="9" t="s">
        <v>15</v>
      </c>
      <c r="D318" s="9" t="s">
        <v>751</v>
      </c>
      <c r="E318" s="10" t="s">
        <v>17</v>
      </c>
      <c r="F318" s="10">
        <v>32</v>
      </c>
      <c r="G318" s="11">
        <v>7032187256</v>
      </c>
      <c r="H318" s="10" t="s">
        <v>752</v>
      </c>
      <c r="I318" s="10" t="s">
        <v>49</v>
      </c>
      <c r="J318" s="10" t="s">
        <v>160</v>
      </c>
      <c r="K318" s="12">
        <v>33974</v>
      </c>
      <c r="L318" s="15" t="s">
        <v>11</v>
      </c>
      <c r="M318" s="14"/>
      <c r="N318" s="14"/>
    </row>
    <row r="319" spans="1:14" ht="22.5" customHeight="1">
      <c r="A319" s="8">
        <v>45993.916280347221</v>
      </c>
      <c r="B319" s="9" t="s">
        <v>14</v>
      </c>
      <c r="C319" s="9" t="s">
        <v>15</v>
      </c>
      <c r="D319" s="9" t="s">
        <v>753</v>
      </c>
      <c r="E319" s="10" t="s">
        <v>17</v>
      </c>
      <c r="F319" s="10">
        <v>26</v>
      </c>
      <c r="G319" s="11">
        <v>8132675579</v>
      </c>
      <c r="H319" s="10" t="s">
        <v>754</v>
      </c>
      <c r="I319" s="10" t="s">
        <v>49</v>
      </c>
      <c r="J319" s="10" t="s">
        <v>50</v>
      </c>
      <c r="K319" s="12">
        <v>45993</v>
      </c>
      <c r="L319" s="15" t="s">
        <v>11</v>
      </c>
      <c r="M319" s="14"/>
      <c r="N319" s="14"/>
    </row>
    <row r="320" spans="1:14" ht="22.5" customHeight="1">
      <c r="A320" s="8">
        <v>45993.918878599536</v>
      </c>
      <c r="B320" s="9" t="s">
        <v>14</v>
      </c>
      <c r="C320" s="9" t="s">
        <v>15</v>
      </c>
      <c r="D320" s="9" t="s">
        <v>755</v>
      </c>
      <c r="E320" s="10" t="s">
        <v>17</v>
      </c>
      <c r="F320" s="10">
        <v>27</v>
      </c>
      <c r="G320" s="11">
        <v>7056894201</v>
      </c>
      <c r="H320" s="10" t="s">
        <v>756</v>
      </c>
      <c r="I320" s="10" t="s">
        <v>49</v>
      </c>
      <c r="J320" s="10" t="s">
        <v>757</v>
      </c>
      <c r="K320" s="12">
        <v>45993</v>
      </c>
      <c r="L320" s="15" t="s">
        <v>11</v>
      </c>
      <c r="M320" s="14"/>
      <c r="N320" s="14"/>
    </row>
    <row r="321" spans="1:14" ht="22.5" customHeight="1">
      <c r="A321" s="8">
        <v>45993.920465208328</v>
      </c>
      <c r="B321" s="9" t="s">
        <v>14</v>
      </c>
      <c r="C321" s="9" t="s">
        <v>15</v>
      </c>
      <c r="D321" s="9" t="s">
        <v>758</v>
      </c>
      <c r="E321" s="10" t="s">
        <v>17</v>
      </c>
      <c r="F321" s="10">
        <v>29</v>
      </c>
      <c r="G321" s="11">
        <v>8105953141</v>
      </c>
      <c r="H321" s="10" t="s">
        <v>759</v>
      </c>
      <c r="I321" s="10" t="s">
        <v>31</v>
      </c>
      <c r="J321" s="10" t="s">
        <v>32</v>
      </c>
      <c r="K321" s="12">
        <v>45993</v>
      </c>
      <c r="L321" s="15" t="s">
        <v>11</v>
      </c>
      <c r="M321" s="14"/>
      <c r="N321" s="14"/>
    </row>
    <row r="322" spans="1:14" ht="22.5" customHeight="1">
      <c r="A322" s="8">
        <v>45993.920673425921</v>
      </c>
      <c r="B322" s="9" t="s">
        <v>14</v>
      </c>
      <c r="C322" s="9" t="s">
        <v>15</v>
      </c>
      <c r="D322" s="9" t="s">
        <v>760</v>
      </c>
      <c r="E322" s="10" t="s">
        <v>17</v>
      </c>
      <c r="F322" s="10">
        <v>31</v>
      </c>
      <c r="G322" s="11">
        <v>8138194330</v>
      </c>
      <c r="H322" s="10" t="s">
        <v>761</v>
      </c>
      <c r="I322" s="10" t="s">
        <v>49</v>
      </c>
      <c r="J322" s="10" t="s">
        <v>762</v>
      </c>
      <c r="K322" s="12">
        <v>45993</v>
      </c>
      <c r="L322" s="15" t="s">
        <v>11</v>
      </c>
      <c r="M322" s="14"/>
      <c r="N322" s="14"/>
    </row>
    <row r="323" spans="1:14" ht="22.5" customHeight="1">
      <c r="A323" s="8">
        <v>45993.921477025462</v>
      </c>
      <c r="B323" s="9" t="s">
        <v>14</v>
      </c>
      <c r="C323" s="9" t="s">
        <v>15</v>
      </c>
      <c r="D323" s="9" t="s">
        <v>763</v>
      </c>
      <c r="E323" s="10" t="s">
        <v>17</v>
      </c>
      <c r="F323" s="10">
        <v>32</v>
      </c>
      <c r="G323" s="11">
        <v>7061261177</v>
      </c>
      <c r="H323" s="10" t="s">
        <v>764</v>
      </c>
      <c r="I323" s="10" t="s">
        <v>19</v>
      </c>
      <c r="J323" s="10" t="s">
        <v>765</v>
      </c>
      <c r="K323" s="12">
        <v>45993</v>
      </c>
      <c r="L323" s="15" t="s">
        <v>11</v>
      </c>
      <c r="M323" s="14"/>
      <c r="N323" s="14"/>
    </row>
    <row r="324" spans="1:14" ht="22.5" customHeight="1">
      <c r="A324" s="8">
        <v>45993.927568703701</v>
      </c>
      <c r="B324" s="9" t="s">
        <v>14</v>
      </c>
      <c r="C324" s="9" t="s">
        <v>15</v>
      </c>
      <c r="D324" s="9" t="s">
        <v>766</v>
      </c>
      <c r="E324" s="10" t="s">
        <v>17</v>
      </c>
      <c r="F324" s="10">
        <v>20</v>
      </c>
      <c r="G324" s="11">
        <v>9135832626</v>
      </c>
      <c r="H324" s="10" t="s">
        <v>767</v>
      </c>
      <c r="I324" s="10" t="s">
        <v>49</v>
      </c>
      <c r="J324" s="10" t="s">
        <v>768</v>
      </c>
      <c r="K324" s="12">
        <v>45993</v>
      </c>
      <c r="L324" s="15" t="s">
        <v>11</v>
      </c>
      <c r="M324" s="14"/>
      <c r="N324" s="14"/>
    </row>
    <row r="325" spans="1:14" ht="22.5" customHeight="1">
      <c r="A325" s="8">
        <v>45993.92794115741</v>
      </c>
      <c r="B325" s="9" t="s">
        <v>14</v>
      </c>
      <c r="C325" s="9" t="s">
        <v>15</v>
      </c>
      <c r="D325" s="9" t="s">
        <v>769</v>
      </c>
      <c r="E325" s="10" t="s">
        <v>17</v>
      </c>
      <c r="F325" s="10">
        <v>25</v>
      </c>
      <c r="G325" s="11">
        <v>7081093265</v>
      </c>
      <c r="H325" s="10" t="s">
        <v>770</v>
      </c>
      <c r="I325" s="10" t="s">
        <v>27</v>
      </c>
      <c r="J325" s="10" t="s">
        <v>703</v>
      </c>
      <c r="K325" s="12">
        <v>45993</v>
      </c>
      <c r="L325" s="15" t="s">
        <v>11</v>
      </c>
      <c r="M325" s="14"/>
      <c r="N325" s="14"/>
    </row>
    <row r="326" spans="1:14" ht="22.5" customHeight="1">
      <c r="A326" s="8">
        <v>45993.931519317128</v>
      </c>
      <c r="B326" s="9" t="s">
        <v>14</v>
      </c>
      <c r="C326" s="9" t="s">
        <v>15</v>
      </c>
      <c r="D326" s="9" t="s">
        <v>771</v>
      </c>
      <c r="E326" s="10" t="s">
        <v>17</v>
      </c>
      <c r="F326" s="10">
        <v>30</v>
      </c>
      <c r="G326" s="11">
        <v>8067684347</v>
      </c>
      <c r="H326" s="10" t="s">
        <v>772</v>
      </c>
      <c r="I326" s="10" t="s">
        <v>49</v>
      </c>
      <c r="J326" s="10" t="s">
        <v>50</v>
      </c>
      <c r="K326" s="12">
        <v>45993</v>
      </c>
      <c r="L326" s="15" t="s">
        <v>11</v>
      </c>
      <c r="M326" s="14"/>
      <c r="N326" s="14"/>
    </row>
    <row r="327" spans="1:14" ht="22.5" customHeight="1">
      <c r="A327" s="8">
        <v>45993.93518310185</v>
      </c>
      <c r="B327" s="9" t="s">
        <v>14</v>
      </c>
      <c r="C327" s="9" t="s">
        <v>15</v>
      </c>
      <c r="D327" s="9" t="s">
        <v>773</v>
      </c>
      <c r="E327" s="10" t="s">
        <v>17</v>
      </c>
      <c r="F327" s="10">
        <v>33</v>
      </c>
      <c r="G327" s="11">
        <v>7065656665</v>
      </c>
      <c r="H327" s="10" t="s">
        <v>774</v>
      </c>
      <c r="I327" s="10" t="s">
        <v>49</v>
      </c>
      <c r="J327" s="10" t="s">
        <v>50</v>
      </c>
      <c r="K327" s="12">
        <v>45993</v>
      </c>
      <c r="L327" s="15" t="s">
        <v>11</v>
      </c>
      <c r="M327" s="14"/>
      <c r="N327" s="14"/>
    </row>
    <row r="328" spans="1:14" ht="22.5" customHeight="1">
      <c r="A328" s="8">
        <v>45993.937906898151</v>
      </c>
      <c r="B328" s="9" t="s">
        <v>14</v>
      </c>
      <c r="C328" s="9" t="s">
        <v>15</v>
      </c>
      <c r="D328" s="9" t="s">
        <v>775</v>
      </c>
      <c r="E328" s="10" t="s">
        <v>17</v>
      </c>
      <c r="F328" s="10">
        <v>28</v>
      </c>
      <c r="G328" s="11">
        <v>8166972315</v>
      </c>
      <c r="H328" s="10" t="s">
        <v>776</v>
      </c>
      <c r="I328" s="10" t="s">
        <v>45</v>
      </c>
      <c r="J328" s="10" t="s">
        <v>84</v>
      </c>
      <c r="K328" s="12">
        <v>45993</v>
      </c>
      <c r="L328" s="15" t="s">
        <v>11</v>
      </c>
      <c r="M328" s="14"/>
      <c r="N328" s="14"/>
    </row>
    <row r="329" spans="1:14" ht="22.5" customHeight="1">
      <c r="A329" s="8">
        <v>45993.939108842591</v>
      </c>
      <c r="B329" s="9" t="s">
        <v>14</v>
      </c>
      <c r="C329" s="9" t="s">
        <v>15</v>
      </c>
      <c r="D329" s="9" t="s">
        <v>777</v>
      </c>
      <c r="E329" s="10" t="s">
        <v>17</v>
      </c>
      <c r="F329" s="10">
        <v>28</v>
      </c>
      <c r="G329" s="11">
        <v>7063600924</v>
      </c>
      <c r="H329" s="10" t="s">
        <v>778</v>
      </c>
      <c r="I329" s="10" t="s">
        <v>49</v>
      </c>
      <c r="J329" s="10" t="s">
        <v>232</v>
      </c>
      <c r="K329" s="12">
        <v>35532</v>
      </c>
      <c r="L329" s="15" t="s">
        <v>11</v>
      </c>
      <c r="M329" s="14"/>
      <c r="N329" s="14"/>
    </row>
    <row r="330" spans="1:14" ht="22.5" customHeight="1">
      <c r="A330" s="8">
        <v>45993.940508298612</v>
      </c>
      <c r="B330" s="9" t="s">
        <v>14</v>
      </c>
      <c r="C330" s="9" t="s">
        <v>15</v>
      </c>
      <c r="D330" s="9" t="s">
        <v>779</v>
      </c>
      <c r="E330" s="10" t="s">
        <v>17</v>
      </c>
      <c r="F330" s="10">
        <v>33</v>
      </c>
      <c r="G330" s="11">
        <v>8060604731</v>
      </c>
      <c r="H330" s="10" t="s">
        <v>780</v>
      </c>
      <c r="I330" s="10" t="s">
        <v>49</v>
      </c>
      <c r="J330" s="10" t="s">
        <v>50</v>
      </c>
      <c r="K330" s="12">
        <v>45993</v>
      </c>
      <c r="L330" s="15" t="s">
        <v>11</v>
      </c>
      <c r="M330" s="14"/>
      <c r="N330" s="14"/>
    </row>
    <row r="331" spans="1:14" ht="22.5" customHeight="1">
      <c r="A331" s="8">
        <v>45993.950333518515</v>
      </c>
      <c r="B331" s="9" t="s">
        <v>14</v>
      </c>
      <c r="C331" s="9" t="s">
        <v>15</v>
      </c>
      <c r="D331" s="9" t="s">
        <v>781</v>
      </c>
      <c r="E331" s="10" t="s">
        <v>17</v>
      </c>
      <c r="F331" s="19">
        <v>30</v>
      </c>
      <c r="G331" s="11">
        <v>7061913491</v>
      </c>
      <c r="H331" s="10" t="s">
        <v>782</v>
      </c>
      <c r="I331" s="10" t="s">
        <v>49</v>
      </c>
      <c r="J331" s="10" t="s">
        <v>109</v>
      </c>
      <c r="K331" s="12">
        <v>45993</v>
      </c>
      <c r="L331" s="15" t="s">
        <v>11</v>
      </c>
      <c r="M331" s="14"/>
      <c r="N331" s="14"/>
    </row>
    <row r="332" spans="1:14" ht="22.5" customHeight="1">
      <c r="A332" s="8">
        <v>45993.953233645836</v>
      </c>
      <c r="B332" s="9" t="s">
        <v>14</v>
      </c>
      <c r="C332" s="9" t="s">
        <v>15</v>
      </c>
      <c r="D332" s="9" t="s">
        <v>783</v>
      </c>
      <c r="E332" s="10" t="s">
        <v>17</v>
      </c>
      <c r="F332" s="10">
        <v>30</v>
      </c>
      <c r="G332" s="11">
        <v>7060826727</v>
      </c>
      <c r="H332" s="10" t="s">
        <v>784</v>
      </c>
      <c r="I332" s="10" t="s">
        <v>49</v>
      </c>
      <c r="J332" s="10" t="s">
        <v>539</v>
      </c>
      <c r="K332" s="12">
        <v>45993</v>
      </c>
      <c r="L332" s="15" t="s">
        <v>11</v>
      </c>
      <c r="M332" s="14"/>
      <c r="N332" s="14"/>
    </row>
    <row r="333" spans="1:14" ht="22.5" customHeight="1">
      <c r="A333" s="8">
        <v>45993.965227777779</v>
      </c>
      <c r="B333" s="9" t="s">
        <v>14</v>
      </c>
      <c r="C333" s="9" t="s">
        <v>15</v>
      </c>
      <c r="D333" s="9" t="s">
        <v>785</v>
      </c>
      <c r="E333" s="10" t="s">
        <v>22</v>
      </c>
      <c r="F333" s="10">
        <v>30</v>
      </c>
      <c r="G333" s="11">
        <v>8038447196</v>
      </c>
      <c r="H333" s="10" t="s">
        <v>786</v>
      </c>
      <c r="I333" s="10" t="s">
        <v>49</v>
      </c>
      <c r="J333" s="10" t="s">
        <v>60</v>
      </c>
      <c r="K333" s="12">
        <v>45993</v>
      </c>
      <c r="L333" s="15" t="s">
        <v>11</v>
      </c>
      <c r="M333" s="14"/>
      <c r="N333" s="14"/>
    </row>
    <row r="334" spans="1:14" ht="22.5" customHeight="1">
      <c r="A334" s="8">
        <v>45993.972175694449</v>
      </c>
      <c r="B334" s="9" t="s">
        <v>14</v>
      </c>
      <c r="C334" s="9" t="s">
        <v>15</v>
      </c>
      <c r="D334" s="9" t="s">
        <v>787</v>
      </c>
      <c r="E334" s="10" t="s">
        <v>22</v>
      </c>
      <c r="F334" s="10">
        <v>29</v>
      </c>
      <c r="G334" s="11">
        <v>7068735719</v>
      </c>
      <c r="H334" s="10" t="s">
        <v>788</v>
      </c>
      <c r="I334" s="10" t="s">
        <v>49</v>
      </c>
      <c r="J334" s="10" t="s">
        <v>434</v>
      </c>
      <c r="K334" s="12">
        <v>45993</v>
      </c>
      <c r="L334" s="15" t="s">
        <v>11</v>
      </c>
      <c r="M334" s="14"/>
      <c r="N334" s="14"/>
    </row>
    <row r="335" spans="1:14" ht="22.5" customHeight="1">
      <c r="A335" s="8">
        <v>45993.975046064814</v>
      </c>
      <c r="B335" s="9" t="s">
        <v>14</v>
      </c>
      <c r="C335" s="9" t="s">
        <v>15</v>
      </c>
      <c r="D335" s="9" t="s">
        <v>789</v>
      </c>
      <c r="E335" s="10" t="s">
        <v>17</v>
      </c>
      <c r="F335" s="10">
        <v>30</v>
      </c>
      <c r="G335" s="11">
        <v>8146995533</v>
      </c>
      <c r="H335" s="10" t="s">
        <v>790</v>
      </c>
      <c r="I335" s="10" t="s">
        <v>49</v>
      </c>
      <c r="J335" s="10" t="s">
        <v>599</v>
      </c>
      <c r="K335" s="12">
        <v>45993</v>
      </c>
      <c r="L335" s="15" t="s">
        <v>11</v>
      </c>
      <c r="M335" s="14"/>
      <c r="N335" s="14"/>
    </row>
    <row r="336" spans="1:14" ht="22.5" customHeight="1">
      <c r="A336" s="8">
        <v>45993.976887314813</v>
      </c>
      <c r="B336" s="9" t="s">
        <v>14</v>
      </c>
      <c r="C336" s="9" t="s">
        <v>15</v>
      </c>
      <c r="D336" s="9" t="s">
        <v>791</v>
      </c>
      <c r="E336" s="10" t="s">
        <v>17</v>
      </c>
      <c r="F336" s="10">
        <v>27</v>
      </c>
      <c r="G336" s="11">
        <v>7034387982</v>
      </c>
      <c r="H336" s="10" t="s">
        <v>792</v>
      </c>
      <c r="I336" s="10" t="s">
        <v>49</v>
      </c>
      <c r="J336" s="10" t="s">
        <v>303</v>
      </c>
      <c r="K336" s="12">
        <v>45993</v>
      </c>
      <c r="L336" s="15" t="s">
        <v>11</v>
      </c>
      <c r="M336" s="14"/>
      <c r="N336" s="14"/>
    </row>
    <row r="337" spans="1:20" ht="22.5" customHeight="1">
      <c r="A337" s="8">
        <v>45993.983491423613</v>
      </c>
      <c r="B337" s="9" t="s">
        <v>14</v>
      </c>
      <c r="C337" s="9" t="s">
        <v>15</v>
      </c>
      <c r="D337" s="9" t="s">
        <v>793</v>
      </c>
      <c r="E337" s="10" t="s">
        <v>22</v>
      </c>
      <c r="F337" s="10">
        <v>21</v>
      </c>
      <c r="G337" s="11">
        <v>8131194540</v>
      </c>
      <c r="H337" s="10" t="s">
        <v>794</v>
      </c>
      <c r="I337" s="10" t="s">
        <v>49</v>
      </c>
      <c r="J337" s="10" t="s">
        <v>246</v>
      </c>
      <c r="K337" s="12">
        <v>45993</v>
      </c>
      <c r="L337" s="15" t="s">
        <v>11</v>
      </c>
      <c r="M337" s="14"/>
      <c r="N337" s="14"/>
      <c r="O337" s="26"/>
      <c r="P337" s="27"/>
      <c r="Q337" s="27"/>
      <c r="R337" s="27"/>
      <c r="S337" s="27"/>
      <c r="T337" s="27"/>
    </row>
    <row r="338" spans="1:20" ht="22.5" customHeight="1">
      <c r="A338" s="8">
        <v>45993.989003437498</v>
      </c>
      <c r="B338" s="9" t="s">
        <v>14</v>
      </c>
      <c r="C338" s="9" t="s">
        <v>15</v>
      </c>
      <c r="D338" s="9" t="s">
        <v>795</v>
      </c>
      <c r="E338" s="10" t="s">
        <v>17</v>
      </c>
      <c r="F338" s="10">
        <v>39</v>
      </c>
      <c r="G338" s="11">
        <v>8110302040</v>
      </c>
      <c r="H338" s="10" t="s">
        <v>796</v>
      </c>
      <c r="I338" s="10" t="s">
        <v>49</v>
      </c>
      <c r="J338" s="10" t="s">
        <v>246</v>
      </c>
      <c r="K338" s="12">
        <v>45993</v>
      </c>
      <c r="L338" s="15" t="s">
        <v>11</v>
      </c>
      <c r="M338" s="14"/>
      <c r="N338" s="14"/>
    </row>
    <row r="339" spans="1:20" ht="22.5" customHeight="1">
      <c r="A339" s="8">
        <v>45993.991251481479</v>
      </c>
      <c r="B339" s="9" t="s">
        <v>14</v>
      </c>
      <c r="C339" s="9" t="s">
        <v>15</v>
      </c>
      <c r="D339" s="9" t="s">
        <v>797</v>
      </c>
      <c r="E339" s="10" t="s">
        <v>17</v>
      </c>
      <c r="F339" s="10">
        <v>27</v>
      </c>
      <c r="G339" s="11">
        <v>8066830344</v>
      </c>
      <c r="H339" s="10" t="s">
        <v>798</v>
      </c>
      <c r="I339" s="10" t="s">
        <v>49</v>
      </c>
      <c r="J339" s="10" t="s">
        <v>197</v>
      </c>
      <c r="K339" s="12">
        <v>45993</v>
      </c>
      <c r="L339" s="15" t="s">
        <v>11</v>
      </c>
      <c r="M339" s="14"/>
      <c r="N339" s="14"/>
    </row>
    <row r="340" spans="1:20" ht="22.5" customHeight="1">
      <c r="A340" s="8">
        <v>45993.991606921292</v>
      </c>
      <c r="B340" s="9" t="s">
        <v>14</v>
      </c>
      <c r="C340" s="9" t="s">
        <v>15</v>
      </c>
      <c r="D340" s="9" t="s">
        <v>799</v>
      </c>
      <c r="E340" s="10" t="s">
        <v>22</v>
      </c>
      <c r="F340" s="10">
        <v>32</v>
      </c>
      <c r="G340" s="11">
        <v>8166722679</v>
      </c>
      <c r="H340" s="10" t="s">
        <v>800</v>
      </c>
      <c r="I340" s="10" t="s">
        <v>49</v>
      </c>
      <c r="J340" s="10" t="s">
        <v>50</v>
      </c>
      <c r="K340" s="12">
        <v>45993</v>
      </c>
      <c r="L340" s="15" t="s">
        <v>11</v>
      </c>
      <c r="M340" s="14"/>
      <c r="N340" s="14"/>
    </row>
    <row r="341" spans="1:20" ht="22.5" customHeight="1">
      <c r="A341" s="8">
        <v>45993.991614166662</v>
      </c>
      <c r="B341" s="9" t="s">
        <v>14</v>
      </c>
      <c r="C341" s="9" t="s">
        <v>15</v>
      </c>
      <c r="D341" s="9" t="s">
        <v>801</v>
      </c>
      <c r="E341" s="10" t="s">
        <v>22</v>
      </c>
      <c r="F341" s="18">
        <v>22</v>
      </c>
      <c r="G341" s="11">
        <v>9169533515</v>
      </c>
      <c r="H341" s="10" t="s">
        <v>802</v>
      </c>
      <c r="I341" s="10" t="s">
        <v>49</v>
      </c>
      <c r="J341" s="10" t="s">
        <v>803</v>
      </c>
      <c r="K341" s="12">
        <v>45993</v>
      </c>
      <c r="L341" s="15" t="s">
        <v>11</v>
      </c>
      <c r="M341" s="14"/>
      <c r="N341" s="14"/>
    </row>
    <row r="342" spans="1:20" ht="22.5" customHeight="1">
      <c r="A342" s="8">
        <v>45993.992845416666</v>
      </c>
      <c r="B342" s="9" t="s">
        <v>14</v>
      </c>
      <c r="C342" s="9" t="s">
        <v>15</v>
      </c>
      <c r="D342" s="9" t="s">
        <v>804</v>
      </c>
      <c r="E342" s="10" t="s">
        <v>22</v>
      </c>
      <c r="F342" s="10">
        <v>30</v>
      </c>
      <c r="G342" s="11">
        <v>8057829289</v>
      </c>
      <c r="H342" s="10" t="s">
        <v>805</v>
      </c>
      <c r="I342" s="10" t="s">
        <v>49</v>
      </c>
      <c r="J342" s="10" t="s">
        <v>73</v>
      </c>
      <c r="K342" s="12">
        <v>45993</v>
      </c>
      <c r="L342" s="15" t="s">
        <v>11</v>
      </c>
      <c r="M342" s="14"/>
      <c r="N342" s="14"/>
    </row>
    <row r="343" spans="1:20" ht="22.5" customHeight="1">
      <c r="A343" s="8">
        <v>45993.994733020838</v>
      </c>
      <c r="B343" s="9" t="s">
        <v>14</v>
      </c>
      <c r="C343" s="9" t="s">
        <v>15</v>
      </c>
      <c r="D343" s="9" t="s">
        <v>806</v>
      </c>
      <c r="E343" s="10" t="s">
        <v>22</v>
      </c>
      <c r="F343" s="19">
        <v>22</v>
      </c>
      <c r="G343" s="11">
        <v>8138123307</v>
      </c>
      <c r="H343" s="10" t="s">
        <v>807</v>
      </c>
      <c r="I343" s="10" t="s">
        <v>49</v>
      </c>
      <c r="J343" s="10" t="s">
        <v>246</v>
      </c>
      <c r="K343" s="12">
        <v>45993</v>
      </c>
      <c r="L343" s="15" t="s">
        <v>11</v>
      </c>
      <c r="M343" s="14"/>
      <c r="N343" s="14"/>
    </row>
    <row r="344" spans="1:20" ht="22.5" customHeight="1">
      <c r="A344" s="8">
        <v>45993.997637812499</v>
      </c>
      <c r="B344" s="9" t="s">
        <v>14</v>
      </c>
      <c r="C344" s="9" t="s">
        <v>15</v>
      </c>
      <c r="D344" s="9" t="s">
        <v>808</v>
      </c>
      <c r="E344" s="10" t="s">
        <v>17</v>
      </c>
      <c r="F344" s="10">
        <v>27</v>
      </c>
      <c r="G344" s="11">
        <v>9033231692</v>
      </c>
      <c r="H344" s="10" t="s">
        <v>809</v>
      </c>
      <c r="I344" s="10" t="s">
        <v>49</v>
      </c>
      <c r="J344" s="10" t="s">
        <v>215</v>
      </c>
      <c r="K344" s="12">
        <v>35966</v>
      </c>
      <c r="L344" s="15" t="s">
        <v>11</v>
      </c>
      <c r="M344" s="14"/>
      <c r="N344" s="14"/>
    </row>
    <row r="345" spans="1:20" ht="22.5" customHeight="1">
      <c r="A345" s="8">
        <v>45993.998779074071</v>
      </c>
      <c r="B345" s="9" t="s">
        <v>14</v>
      </c>
      <c r="C345" s="9" t="s">
        <v>15</v>
      </c>
      <c r="D345" s="9" t="s">
        <v>810</v>
      </c>
      <c r="E345" s="10" t="s">
        <v>17</v>
      </c>
      <c r="F345" s="10">
        <v>28</v>
      </c>
      <c r="G345" s="11">
        <v>9074949433</v>
      </c>
      <c r="H345" s="10" t="s">
        <v>811</v>
      </c>
      <c r="I345" s="10" t="s">
        <v>19</v>
      </c>
      <c r="J345" s="10" t="s">
        <v>812</v>
      </c>
      <c r="K345" s="12">
        <v>45993</v>
      </c>
      <c r="L345" s="15" t="s">
        <v>11</v>
      </c>
      <c r="M345" s="14"/>
      <c r="N345" s="14"/>
    </row>
    <row r="346" spans="1:20" ht="22.5" customHeight="1">
      <c r="A346" s="8">
        <v>45993.999802129634</v>
      </c>
      <c r="B346" s="9" t="s">
        <v>14</v>
      </c>
      <c r="C346" s="9" t="s">
        <v>15</v>
      </c>
      <c r="D346" s="9" t="s">
        <v>813</v>
      </c>
      <c r="E346" s="10" t="s">
        <v>17</v>
      </c>
      <c r="F346" s="10">
        <v>34</v>
      </c>
      <c r="G346" s="11">
        <v>8140313357</v>
      </c>
      <c r="H346" s="10" t="s">
        <v>814</v>
      </c>
      <c r="I346" s="10" t="s">
        <v>49</v>
      </c>
      <c r="J346" s="10" t="s">
        <v>215</v>
      </c>
      <c r="K346" s="12">
        <v>45993</v>
      </c>
      <c r="L346" s="15" t="s">
        <v>11</v>
      </c>
      <c r="M346" s="14"/>
      <c r="N346" s="14"/>
    </row>
    <row r="347" spans="1:20" ht="22.5" customHeight="1">
      <c r="A347" s="8">
        <v>45994.007050277782</v>
      </c>
      <c r="B347" s="9" t="s">
        <v>14</v>
      </c>
      <c r="C347" s="9" t="s">
        <v>15</v>
      </c>
      <c r="D347" s="9" t="s">
        <v>697</v>
      </c>
      <c r="E347" s="10" t="s">
        <v>17</v>
      </c>
      <c r="F347" s="10">
        <v>34</v>
      </c>
      <c r="G347" s="11">
        <v>9030459546</v>
      </c>
      <c r="H347" s="10" t="s">
        <v>698</v>
      </c>
      <c r="I347" s="10" t="s">
        <v>49</v>
      </c>
      <c r="J347" s="10" t="s">
        <v>109</v>
      </c>
      <c r="K347" s="12">
        <v>45994</v>
      </c>
      <c r="L347" s="15" t="s">
        <v>11</v>
      </c>
      <c r="M347" s="14"/>
      <c r="N347" s="14"/>
    </row>
    <row r="348" spans="1:20" ht="22.5" customHeight="1">
      <c r="A348" s="8">
        <v>45994.012044374998</v>
      </c>
      <c r="B348" s="9" t="s">
        <v>14</v>
      </c>
      <c r="C348" s="9" t="s">
        <v>15</v>
      </c>
      <c r="D348" s="9" t="s">
        <v>815</v>
      </c>
      <c r="E348" s="10" t="s">
        <v>22</v>
      </c>
      <c r="F348" s="10">
        <v>27</v>
      </c>
      <c r="G348" s="11">
        <v>8108224609</v>
      </c>
      <c r="H348" s="10" t="s">
        <v>816</v>
      </c>
      <c r="I348" s="10" t="s">
        <v>49</v>
      </c>
      <c r="J348" s="10" t="s">
        <v>109</v>
      </c>
      <c r="K348" s="12">
        <v>45994</v>
      </c>
      <c r="L348" s="15" t="s">
        <v>11</v>
      </c>
      <c r="M348" s="14"/>
      <c r="N348" s="14"/>
    </row>
    <row r="349" spans="1:20" ht="22.5" customHeight="1">
      <c r="A349" s="8">
        <v>45994.024058796298</v>
      </c>
      <c r="B349" s="9" t="s">
        <v>14</v>
      </c>
      <c r="C349" s="9" t="s">
        <v>15</v>
      </c>
      <c r="D349" s="9" t="s">
        <v>817</v>
      </c>
      <c r="E349" s="10" t="s">
        <v>22</v>
      </c>
      <c r="F349" s="10">
        <v>28</v>
      </c>
      <c r="G349" s="11">
        <v>9036021105</v>
      </c>
      <c r="H349" s="10" t="s">
        <v>818</v>
      </c>
      <c r="I349" s="10" t="s">
        <v>49</v>
      </c>
      <c r="J349" s="10" t="s">
        <v>50</v>
      </c>
      <c r="K349" s="12">
        <v>45994</v>
      </c>
      <c r="L349" s="15" t="s">
        <v>11</v>
      </c>
      <c r="M349" s="14"/>
      <c r="N349" s="14"/>
    </row>
    <row r="350" spans="1:20" ht="22.5" customHeight="1">
      <c r="A350" s="8">
        <v>45994.024103668984</v>
      </c>
      <c r="B350" s="9" t="s">
        <v>14</v>
      </c>
      <c r="C350" s="9" t="s">
        <v>15</v>
      </c>
      <c r="D350" s="9" t="s">
        <v>819</v>
      </c>
      <c r="E350" s="10" t="s">
        <v>17</v>
      </c>
      <c r="F350" s="10">
        <v>32</v>
      </c>
      <c r="G350" s="11">
        <v>7061688891</v>
      </c>
      <c r="H350" s="10" t="s">
        <v>820</v>
      </c>
      <c r="I350" s="10" t="s">
        <v>49</v>
      </c>
      <c r="J350" s="10" t="s">
        <v>50</v>
      </c>
      <c r="K350" s="12">
        <v>45994</v>
      </c>
      <c r="L350" s="15" t="s">
        <v>11</v>
      </c>
      <c r="M350" s="14"/>
      <c r="N350" s="14"/>
    </row>
    <row r="351" spans="1:20" ht="22.5" customHeight="1">
      <c r="A351" s="8">
        <v>45994.033296493057</v>
      </c>
      <c r="B351" s="9" t="s">
        <v>14</v>
      </c>
      <c r="C351" s="9" t="s">
        <v>15</v>
      </c>
      <c r="D351" s="9" t="s">
        <v>821</v>
      </c>
      <c r="E351" s="10" t="s">
        <v>22</v>
      </c>
      <c r="F351" s="10">
        <v>27</v>
      </c>
      <c r="G351" s="11">
        <v>9068469841</v>
      </c>
      <c r="H351" s="10" t="s">
        <v>822</v>
      </c>
      <c r="I351" s="10" t="s">
        <v>49</v>
      </c>
      <c r="J351" s="10" t="s">
        <v>232</v>
      </c>
      <c r="K351" s="12">
        <v>45994</v>
      </c>
      <c r="L351" s="15" t="s">
        <v>11</v>
      </c>
      <c r="M351" s="14"/>
      <c r="N351" s="14"/>
    </row>
    <row r="352" spans="1:20" ht="22.5" customHeight="1">
      <c r="A352" s="8">
        <v>45994.033604872689</v>
      </c>
      <c r="B352" s="9" t="s">
        <v>14</v>
      </c>
      <c r="C352" s="9" t="s">
        <v>15</v>
      </c>
      <c r="D352" s="9" t="s">
        <v>823</v>
      </c>
      <c r="E352" s="10" t="s">
        <v>17</v>
      </c>
      <c r="F352" s="10">
        <v>23</v>
      </c>
      <c r="G352" s="11">
        <v>9138763113</v>
      </c>
      <c r="H352" s="10" t="s">
        <v>824</v>
      </c>
      <c r="I352" s="10" t="s">
        <v>49</v>
      </c>
      <c r="J352" s="10" t="s">
        <v>106</v>
      </c>
      <c r="K352" s="12">
        <v>45994</v>
      </c>
      <c r="L352" s="15" t="s">
        <v>11</v>
      </c>
      <c r="M352" s="14"/>
      <c r="N352" s="14"/>
    </row>
    <row r="353" spans="1:14" ht="22.5" customHeight="1">
      <c r="A353" s="8">
        <v>45994.037582037039</v>
      </c>
      <c r="B353" s="9" t="s">
        <v>14</v>
      </c>
      <c r="C353" s="9" t="s">
        <v>15</v>
      </c>
      <c r="D353" s="9" t="s">
        <v>825</v>
      </c>
      <c r="E353" s="10" t="s">
        <v>17</v>
      </c>
      <c r="F353" s="10">
        <v>28</v>
      </c>
      <c r="G353" s="11">
        <v>8105814587</v>
      </c>
      <c r="H353" s="10" t="s">
        <v>826</v>
      </c>
      <c r="I353" s="10" t="s">
        <v>49</v>
      </c>
      <c r="J353" s="10" t="s">
        <v>827</v>
      </c>
      <c r="K353" s="12">
        <v>45994</v>
      </c>
      <c r="L353" s="15" t="s">
        <v>11</v>
      </c>
      <c r="M353" s="14"/>
      <c r="N353" s="14"/>
    </row>
    <row r="354" spans="1:14" ht="22.5" customHeight="1">
      <c r="A354" s="8">
        <v>45994.048892118051</v>
      </c>
      <c r="B354" s="9" t="s">
        <v>14</v>
      </c>
      <c r="C354" s="9" t="s">
        <v>15</v>
      </c>
      <c r="D354" s="9" t="s">
        <v>828</v>
      </c>
      <c r="E354" s="10" t="s">
        <v>17</v>
      </c>
      <c r="F354" s="10">
        <v>30</v>
      </c>
      <c r="G354" s="11">
        <v>9034052060</v>
      </c>
      <c r="H354" s="10" t="s">
        <v>829</v>
      </c>
      <c r="I354" s="10" t="s">
        <v>49</v>
      </c>
      <c r="J354" s="10" t="s">
        <v>50</v>
      </c>
      <c r="K354" s="12">
        <v>45727</v>
      </c>
      <c r="L354" s="15" t="s">
        <v>11</v>
      </c>
      <c r="M354" s="14"/>
      <c r="N354" s="14"/>
    </row>
    <row r="355" spans="1:14" ht="22.5" customHeight="1">
      <c r="A355" s="8">
        <v>45994.049777222222</v>
      </c>
      <c r="B355" s="9" t="s">
        <v>14</v>
      </c>
      <c r="C355" s="9" t="s">
        <v>15</v>
      </c>
      <c r="D355" s="9" t="s">
        <v>830</v>
      </c>
      <c r="E355" s="10" t="s">
        <v>22</v>
      </c>
      <c r="F355" s="10">
        <v>20</v>
      </c>
      <c r="G355" s="11">
        <v>8123086651</v>
      </c>
      <c r="H355" s="10" t="s">
        <v>831</v>
      </c>
      <c r="I355" s="10" t="s">
        <v>49</v>
      </c>
      <c r="J355" s="10" t="s">
        <v>606</v>
      </c>
      <c r="K355" s="12">
        <v>45994</v>
      </c>
      <c r="L355" s="15" t="s">
        <v>11</v>
      </c>
      <c r="M355" s="14"/>
      <c r="N355" s="14"/>
    </row>
    <row r="356" spans="1:14" ht="22.5" customHeight="1">
      <c r="A356" s="8">
        <v>45994.056244074076</v>
      </c>
      <c r="B356" s="9" t="s">
        <v>14</v>
      </c>
      <c r="C356" s="9" t="s">
        <v>15</v>
      </c>
      <c r="D356" s="9" t="s">
        <v>832</v>
      </c>
      <c r="E356" s="10" t="s">
        <v>17</v>
      </c>
      <c r="F356" s="10">
        <v>31</v>
      </c>
      <c r="G356" s="11">
        <v>8064915932</v>
      </c>
      <c r="H356" s="10" t="s">
        <v>833</v>
      </c>
      <c r="I356" s="10" t="s">
        <v>49</v>
      </c>
      <c r="J356" s="10" t="s">
        <v>103</v>
      </c>
      <c r="K356" s="12">
        <v>45994</v>
      </c>
      <c r="L356" s="15" t="s">
        <v>11</v>
      </c>
      <c r="M356" s="14"/>
      <c r="N356" s="14"/>
    </row>
    <row r="357" spans="1:14" ht="22.5" customHeight="1">
      <c r="A357" s="8">
        <v>45994.058913634261</v>
      </c>
      <c r="B357" s="9" t="s">
        <v>14</v>
      </c>
      <c r="C357" s="9" t="s">
        <v>15</v>
      </c>
      <c r="D357" s="9" t="s">
        <v>834</v>
      </c>
      <c r="E357" s="10" t="s">
        <v>17</v>
      </c>
      <c r="F357" s="10">
        <v>25</v>
      </c>
      <c r="G357" s="11">
        <v>7037207542</v>
      </c>
      <c r="H357" s="10" t="s">
        <v>835</v>
      </c>
      <c r="I357" s="10" t="s">
        <v>49</v>
      </c>
      <c r="J357" s="10" t="s">
        <v>282</v>
      </c>
      <c r="K357" s="12">
        <v>45994</v>
      </c>
      <c r="L357" s="15" t="s">
        <v>11</v>
      </c>
      <c r="M357" s="14"/>
      <c r="N357" s="14"/>
    </row>
    <row r="358" spans="1:14" ht="22.5" customHeight="1">
      <c r="A358" s="8">
        <v>45994.091912361109</v>
      </c>
      <c r="B358" s="9" t="s">
        <v>14</v>
      </c>
      <c r="C358" s="9" t="s">
        <v>15</v>
      </c>
      <c r="D358" s="9" t="s">
        <v>836</v>
      </c>
      <c r="E358" s="10" t="s">
        <v>17</v>
      </c>
      <c r="F358" s="10">
        <v>31</v>
      </c>
      <c r="G358" s="11">
        <v>8131377313</v>
      </c>
      <c r="H358" s="10" t="s">
        <v>837</v>
      </c>
      <c r="I358" s="10" t="s">
        <v>49</v>
      </c>
      <c r="J358" s="10" t="s">
        <v>106</v>
      </c>
      <c r="K358" s="12">
        <v>34486</v>
      </c>
      <c r="L358" s="15" t="s">
        <v>11</v>
      </c>
      <c r="M358" s="14"/>
      <c r="N358" s="14"/>
    </row>
    <row r="359" spans="1:14" ht="22.5" customHeight="1">
      <c r="A359" s="8">
        <v>45994.095478067131</v>
      </c>
      <c r="B359" s="9" t="s">
        <v>14</v>
      </c>
      <c r="C359" s="9" t="s">
        <v>15</v>
      </c>
      <c r="D359" s="9" t="s">
        <v>838</v>
      </c>
      <c r="E359" s="10" t="s">
        <v>17</v>
      </c>
      <c r="F359" s="10">
        <v>28</v>
      </c>
      <c r="G359" s="11">
        <f t="shared" ref="G359" si="6">2347017587921</f>
        <v>2347017587921</v>
      </c>
      <c r="H359" s="10" t="s">
        <v>839</v>
      </c>
      <c r="I359" s="10" t="s">
        <v>19</v>
      </c>
      <c r="J359" s="10" t="s">
        <v>812</v>
      </c>
      <c r="K359" s="12">
        <v>45994</v>
      </c>
      <c r="L359" s="15" t="s">
        <v>11</v>
      </c>
      <c r="M359" s="14"/>
      <c r="N359" s="14"/>
    </row>
    <row r="360" spans="1:14" ht="22.5" customHeight="1">
      <c r="A360" s="8">
        <v>45994.144742291668</v>
      </c>
      <c r="B360" s="9" t="s">
        <v>14</v>
      </c>
      <c r="C360" s="9" t="s">
        <v>15</v>
      </c>
      <c r="D360" s="9" t="s">
        <v>840</v>
      </c>
      <c r="E360" s="10" t="s">
        <v>22</v>
      </c>
      <c r="F360" s="10">
        <v>38</v>
      </c>
      <c r="G360" s="11">
        <v>8060387302</v>
      </c>
      <c r="H360" s="10" t="s">
        <v>841</v>
      </c>
      <c r="I360" s="10" t="s">
        <v>49</v>
      </c>
      <c r="J360" s="10" t="s">
        <v>50</v>
      </c>
      <c r="K360" s="12">
        <v>45994</v>
      </c>
      <c r="L360" s="15" t="s">
        <v>11</v>
      </c>
      <c r="M360" s="14"/>
      <c r="N360" s="14"/>
    </row>
    <row r="361" spans="1:14" ht="22.5" customHeight="1">
      <c r="A361" s="8">
        <v>45994.201204212965</v>
      </c>
      <c r="B361" s="9" t="s">
        <v>14</v>
      </c>
      <c r="C361" s="9" t="s">
        <v>15</v>
      </c>
      <c r="D361" s="9" t="s">
        <v>842</v>
      </c>
      <c r="E361" s="10" t="s">
        <v>17</v>
      </c>
      <c r="F361" s="10">
        <v>30</v>
      </c>
      <c r="G361" s="11">
        <v>7033784491</v>
      </c>
      <c r="H361" s="10" t="s">
        <v>843</v>
      </c>
      <c r="I361" s="10" t="s">
        <v>49</v>
      </c>
      <c r="J361" s="10" t="s">
        <v>160</v>
      </c>
      <c r="K361" s="12">
        <v>45994</v>
      </c>
      <c r="L361" s="15" t="s">
        <v>11</v>
      </c>
      <c r="M361" s="14"/>
      <c r="N361" s="14"/>
    </row>
    <row r="362" spans="1:14" ht="22.5" customHeight="1">
      <c r="A362" s="8">
        <v>45994.205621041663</v>
      </c>
      <c r="B362" s="9" t="s">
        <v>14</v>
      </c>
      <c r="C362" s="9" t="s">
        <v>15</v>
      </c>
      <c r="D362" s="9" t="s">
        <v>844</v>
      </c>
      <c r="E362" s="10" t="s">
        <v>22</v>
      </c>
      <c r="F362" s="10">
        <v>35</v>
      </c>
      <c r="G362" s="11">
        <v>8936559880</v>
      </c>
      <c r="H362" s="10" t="s">
        <v>846</v>
      </c>
      <c r="I362" s="10" t="s">
        <v>49</v>
      </c>
      <c r="J362" s="10" t="s">
        <v>160</v>
      </c>
      <c r="K362" s="12">
        <v>45994</v>
      </c>
      <c r="L362" s="15" t="s">
        <v>11</v>
      </c>
      <c r="M362" s="14"/>
      <c r="N362" s="14"/>
    </row>
    <row r="363" spans="1:14" ht="22.5" customHeight="1">
      <c r="A363" s="8">
        <v>45994.218264016206</v>
      </c>
      <c r="B363" s="9" t="s">
        <v>14</v>
      </c>
      <c r="C363" s="9" t="s">
        <v>15</v>
      </c>
      <c r="D363" s="9" t="s">
        <v>847</v>
      </c>
      <c r="E363" s="10" t="s">
        <v>17</v>
      </c>
      <c r="F363" s="10">
        <v>29</v>
      </c>
      <c r="G363" s="11">
        <v>7040199998</v>
      </c>
      <c r="H363" s="10" t="s">
        <v>848</v>
      </c>
      <c r="I363" s="10" t="s">
        <v>49</v>
      </c>
      <c r="J363" s="10" t="s">
        <v>849</v>
      </c>
      <c r="K363" s="12">
        <v>45994</v>
      </c>
      <c r="L363" s="15" t="s">
        <v>11</v>
      </c>
      <c r="M363" s="14"/>
      <c r="N363" s="14"/>
    </row>
    <row r="364" spans="1:14" ht="22.5" customHeight="1">
      <c r="A364" s="8">
        <v>45994.242113738423</v>
      </c>
      <c r="B364" s="9" t="s">
        <v>14</v>
      </c>
      <c r="C364" s="9" t="s">
        <v>15</v>
      </c>
      <c r="D364" s="9" t="s">
        <v>850</v>
      </c>
      <c r="E364" s="10" t="s">
        <v>17</v>
      </c>
      <c r="F364" s="10">
        <v>30</v>
      </c>
      <c r="G364" s="11">
        <v>8141971080</v>
      </c>
      <c r="H364" s="10" t="s">
        <v>851</v>
      </c>
      <c r="I364" s="10" t="s">
        <v>49</v>
      </c>
      <c r="J364" s="10" t="s">
        <v>365</v>
      </c>
      <c r="K364" s="12">
        <v>45994</v>
      </c>
      <c r="L364" s="15" t="s">
        <v>11</v>
      </c>
      <c r="M364" s="14"/>
      <c r="N364" s="14"/>
    </row>
    <row r="365" spans="1:14" ht="22.5" customHeight="1">
      <c r="A365" s="8">
        <v>45994.246423518518</v>
      </c>
      <c r="B365" s="9" t="s">
        <v>14</v>
      </c>
      <c r="C365" s="9" t="s">
        <v>15</v>
      </c>
      <c r="D365" s="9" t="s">
        <v>852</v>
      </c>
      <c r="E365" s="10" t="s">
        <v>17</v>
      </c>
      <c r="F365" s="10">
        <v>31</v>
      </c>
      <c r="G365" s="11">
        <v>8130472519</v>
      </c>
      <c r="H365" s="10" t="s">
        <v>853</v>
      </c>
      <c r="I365" s="10" t="s">
        <v>49</v>
      </c>
      <c r="J365" s="10" t="s">
        <v>50</v>
      </c>
      <c r="K365" s="12">
        <v>45994</v>
      </c>
      <c r="L365" s="15" t="s">
        <v>11</v>
      </c>
      <c r="M365" s="14"/>
      <c r="N365" s="14"/>
    </row>
    <row r="366" spans="1:14" ht="22.5" customHeight="1">
      <c r="A366" s="8">
        <v>45994.252753692126</v>
      </c>
      <c r="B366" s="9" t="s">
        <v>14</v>
      </c>
      <c r="C366" s="9" t="s">
        <v>15</v>
      </c>
      <c r="D366" s="9" t="s">
        <v>854</v>
      </c>
      <c r="E366" s="10" t="s">
        <v>17</v>
      </c>
      <c r="F366" s="10">
        <v>22</v>
      </c>
      <c r="G366" s="11">
        <v>7012690021</v>
      </c>
      <c r="H366" s="10" t="s">
        <v>855</v>
      </c>
      <c r="I366" s="10" t="s">
        <v>27</v>
      </c>
      <c r="J366" s="10" t="s">
        <v>27</v>
      </c>
      <c r="K366" s="12">
        <v>45994</v>
      </c>
      <c r="L366" s="15" t="s">
        <v>11</v>
      </c>
      <c r="M366" s="14"/>
      <c r="N366" s="14"/>
    </row>
    <row r="367" spans="1:14" ht="22.5" customHeight="1">
      <c r="A367" s="8">
        <v>45994.256209861109</v>
      </c>
      <c r="B367" s="9" t="s">
        <v>14</v>
      </c>
      <c r="C367" s="9" t="s">
        <v>15</v>
      </c>
      <c r="D367" s="9" t="s">
        <v>856</v>
      </c>
      <c r="E367" s="10" t="s">
        <v>17</v>
      </c>
      <c r="F367" s="10">
        <v>35</v>
      </c>
      <c r="G367" s="11">
        <v>7060881386</v>
      </c>
      <c r="H367" s="10" t="s">
        <v>857</v>
      </c>
      <c r="I367" s="10" t="s">
        <v>49</v>
      </c>
      <c r="J367" s="10" t="s">
        <v>160</v>
      </c>
      <c r="K367" s="12">
        <v>33013</v>
      </c>
      <c r="L367" s="15" t="s">
        <v>11</v>
      </c>
      <c r="M367" s="14"/>
      <c r="N367" s="14"/>
    </row>
    <row r="368" spans="1:14" ht="22.5" customHeight="1">
      <c r="A368" s="8">
        <v>45994.259063379628</v>
      </c>
      <c r="B368" s="9" t="s">
        <v>14</v>
      </c>
      <c r="C368" s="9" t="s">
        <v>15</v>
      </c>
      <c r="D368" s="9" t="s">
        <v>858</v>
      </c>
      <c r="E368" s="10" t="s">
        <v>17</v>
      </c>
      <c r="F368" s="10">
        <v>31</v>
      </c>
      <c r="G368" s="11">
        <v>9074219070</v>
      </c>
      <c r="H368" s="10" t="s">
        <v>859</v>
      </c>
      <c r="I368" s="10" t="s">
        <v>49</v>
      </c>
      <c r="J368" s="10" t="s">
        <v>303</v>
      </c>
      <c r="K368" s="12">
        <v>45994</v>
      </c>
      <c r="L368" s="15" t="s">
        <v>11</v>
      </c>
      <c r="M368" s="14"/>
      <c r="N368" s="14"/>
    </row>
    <row r="369" spans="1:20" ht="22.5" customHeight="1">
      <c r="A369" s="8">
        <v>45994.259444930554</v>
      </c>
      <c r="B369" s="9" t="s">
        <v>14</v>
      </c>
      <c r="C369" s="9" t="s">
        <v>15</v>
      </c>
      <c r="D369" s="9" t="s">
        <v>860</v>
      </c>
      <c r="E369" s="10" t="s">
        <v>17</v>
      </c>
      <c r="F369" s="10">
        <v>32</v>
      </c>
      <c r="G369" s="11">
        <v>8108728763</v>
      </c>
      <c r="H369" s="10" t="s">
        <v>861</v>
      </c>
      <c r="I369" s="10" t="s">
        <v>49</v>
      </c>
      <c r="J369" s="10" t="s">
        <v>282</v>
      </c>
      <c r="K369" s="12">
        <v>45994</v>
      </c>
      <c r="L369" s="15" t="s">
        <v>11</v>
      </c>
      <c r="M369" s="14"/>
      <c r="N369" s="14"/>
    </row>
    <row r="370" spans="1:20" ht="22.5" customHeight="1">
      <c r="A370" s="8">
        <v>45994.26056440972</v>
      </c>
      <c r="B370" s="9" t="s">
        <v>14</v>
      </c>
      <c r="C370" s="9" t="s">
        <v>15</v>
      </c>
      <c r="D370" s="9" t="s">
        <v>862</v>
      </c>
      <c r="E370" s="10" t="s">
        <v>22</v>
      </c>
      <c r="F370" s="10">
        <v>26</v>
      </c>
      <c r="G370" s="11">
        <v>9035598976</v>
      </c>
      <c r="H370" s="10" t="s">
        <v>863</v>
      </c>
      <c r="I370" s="10" t="s">
        <v>49</v>
      </c>
      <c r="J370" s="10" t="s">
        <v>599</v>
      </c>
      <c r="K370" s="12">
        <v>45994</v>
      </c>
      <c r="L370" s="15" t="s">
        <v>11</v>
      </c>
      <c r="M370" s="14"/>
      <c r="N370" s="14"/>
    </row>
    <row r="371" spans="1:20" ht="22.5" customHeight="1">
      <c r="A371" s="8">
        <v>45994.262726712965</v>
      </c>
      <c r="B371" s="9" t="s">
        <v>14</v>
      </c>
      <c r="C371" s="9" t="s">
        <v>15</v>
      </c>
      <c r="D371" s="9" t="s">
        <v>864</v>
      </c>
      <c r="E371" s="10" t="s">
        <v>17</v>
      </c>
      <c r="F371" s="10">
        <v>26</v>
      </c>
      <c r="G371" s="11">
        <v>8156034725</v>
      </c>
      <c r="H371" s="10" t="s">
        <v>865</v>
      </c>
      <c r="I371" s="10" t="s">
        <v>49</v>
      </c>
      <c r="J371" s="10" t="s">
        <v>215</v>
      </c>
      <c r="K371" s="12">
        <v>45994</v>
      </c>
      <c r="L371" s="15" t="s">
        <v>11</v>
      </c>
      <c r="M371" s="14"/>
      <c r="N371" s="14"/>
    </row>
    <row r="372" spans="1:20" ht="22.5" customHeight="1">
      <c r="A372" s="8">
        <v>45994.262785393519</v>
      </c>
      <c r="B372" s="9" t="s">
        <v>14</v>
      </c>
      <c r="C372" s="9" t="s">
        <v>15</v>
      </c>
      <c r="D372" s="9" t="s">
        <v>866</v>
      </c>
      <c r="E372" s="10" t="s">
        <v>17</v>
      </c>
      <c r="F372" s="10">
        <v>29</v>
      </c>
      <c r="G372" s="11">
        <v>7033471346</v>
      </c>
      <c r="H372" s="10" t="s">
        <v>867</v>
      </c>
      <c r="I372" s="10" t="s">
        <v>49</v>
      </c>
      <c r="J372" s="10" t="s">
        <v>868</v>
      </c>
      <c r="K372" s="12">
        <v>45994</v>
      </c>
      <c r="L372" s="15" t="s">
        <v>11</v>
      </c>
      <c r="M372" s="14"/>
      <c r="N372" s="14"/>
    </row>
    <row r="373" spans="1:20" ht="22.5" customHeight="1">
      <c r="A373" s="8">
        <v>45994.265686967592</v>
      </c>
      <c r="B373" s="9" t="s">
        <v>14</v>
      </c>
      <c r="C373" s="9" t="s">
        <v>15</v>
      </c>
      <c r="D373" s="9" t="s">
        <v>869</v>
      </c>
      <c r="E373" s="10" t="s">
        <v>22</v>
      </c>
      <c r="F373" s="10">
        <v>25</v>
      </c>
      <c r="G373" s="11">
        <v>7061283171</v>
      </c>
      <c r="H373" s="10" t="s">
        <v>870</v>
      </c>
      <c r="I373" s="10" t="s">
        <v>49</v>
      </c>
      <c r="J373" s="10" t="s">
        <v>106</v>
      </c>
      <c r="K373" s="12">
        <v>45994</v>
      </c>
      <c r="L373" s="15" t="s">
        <v>11</v>
      </c>
      <c r="M373" s="14"/>
      <c r="N373" s="14"/>
    </row>
    <row r="374" spans="1:20" ht="22.5" customHeight="1">
      <c r="A374" s="8">
        <v>45994.271177997682</v>
      </c>
      <c r="B374" s="9" t="s">
        <v>14</v>
      </c>
      <c r="C374" s="9" t="s">
        <v>15</v>
      </c>
      <c r="D374" s="9" t="s">
        <v>871</v>
      </c>
      <c r="E374" s="10" t="s">
        <v>17</v>
      </c>
      <c r="F374" s="10">
        <v>20</v>
      </c>
      <c r="G374" s="11">
        <v>8113537504</v>
      </c>
      <c r="H374" s="10" t="s">
        <v>872</v>
      </c>
      <c r="I374" s="10" t="s">
        <v>45</v>
      </c>
      <c r="J374" s="10" t="s">
        <v>131</v>
      </c>
      <c r="K374" s="12">
        <v>45728</v>
      </c>
      <c r="L374" s="15" t="s">
        <v>11</v>
      </c>
      <c r="M374" s="14"/>
      <c r="N374" s="14"/>
    </row>
    <row r="375" spans="1:20" ht="22.5" customHeight="1">
      <c r="A375" s="8">
        <v>45994.271408807872</v>
      </c>
      <c r="B375" s="9" t="s">
        <v>14</v>
      </c>
      <c r="C375" s="9" t="s">
        <v>15</v>
      </c>
      <c r="D375" s="9" t="s">
        <v>873</v>
      </c>
      <c r="E375" s="10" t="s">
        <v>17</v>
      </c>
      <c r="F375" s="10">
        <v>29</v>
      </c>
      <c r="G375" s="11">
        <v>8142809243</v>
      </c>
      <c r="H375" s="10" t="s">
        <v>874</v>
      </c>
      <c r="I375" s="10" t="s">
        <v>49</v>
      </c>
      <c r="J375" s="10" t="s">
        <v>362</v>
      </c>
      <c r="K375" s="12">
        <v>34789</v>
      </c>
      <c r="L375" s="15" t="s">
        <v>11</v>
      </c>
      <c r="M375" s="14"/>
      <c r="N375" s="14"/>
    </row>
    <row r="376" spans="1:20" ht="22.5" customHeight="1">
      <c r="A376" s="8">
        <v>45994.273457789357</v>
      </c>
      <c r="B376" s="9" t="s">
        <v>14</v>
      </c>
      <c r="C376" s="9" t="s">
        <v>15</v>
      </c>
      <c r="D376" s="9" t="s">
        <v>875</v>
      </c>
      <c r="E376" s="10" t="s">
        <v>17</v>
      </c>
      <c r="F376" s="10">
        <v>31</v>
      </c>
      <c r="G376" s="11">
        <v>8037001710</v>
      </c>
      <c r="H376" s="10" t="s">
        <v>876</v>
      </c>
      <c r="I376" s="10" t="s">
        <v>49</v>
      </c>
      <c r="J376" s="10" t="s">
        <v>229</v>
      </c>
      <c r="K376" s="12">
        <v>45994</v>
      </c>
      <c r="L376" s="15" t="s">
        <v>11</v>
      </c>
      <c r="M376" s="14"/>
      <c r="N376" s="14"/>
      <c r="O376" s="24"/>
      <c r="P376" s="25"/>
      <c r="Q376" s="25"/>
      <c r="R376" s="25"/>
      <c r="S376" s="25"/>
      <c r="T376" s="25"/>
    </row>
    <row r="377" spans="1:20" ht="22.5" customHeight="1">
      <c r="A377" s="8">
        <v>45994.276651736116</v>
      </c>
      <c r="B377" s="9" t="s">
        <v>14</v>
      </c>
      <c r="C377" s="9" t="s">
        <v>15</v>
      </c>
      <c r="D377" s="9" t="s">
        <v>877</v>
      </c>
      <c r="E377" s="10" t="s">
        <v>17</v>
      </c>
      <c r="F377" s="10">
        <v>31</v>
      </c>
      <c r="G377" s="11">
        <v>8135573564</v>
      </c>
      <c r="H377" s="10" t="s">
        <v>878</v>
      </c>
      <c r="I377" s="10" t="s">
        <v>49</v>
      </c>
      <c r="J377" s="10" t="s">
        <v>303</v>
      </c>
      <c r="K377" s="12">
        <v>45994</v>
      </c>
      <c r="L377" s="15" t="s">
        <v>11</v>
      </c>
      <c r="M377" s="14"/>
      <c r="N377" s="14"/>
    </row>
    <row r="378" spans="1:20" ht="22.5" customHeight="1">
      <c r="A378" s="8">
        <v>45994.282500324072</v>
      </c>
      <c r="B378" s="9" t="s">
        <v>14</v>
      </c>
      <c r="C378" s="9" t="s">
        <v>15</v>
      </c>
      <c r="D378" s="9" t="s">
        <v>879</v>
      </c>
      <c r="E378" s="10" t="s">
        <v>17</v>
      </c>
      <c r="F378" s="10">
        <v>30</v>
      </c>
      <c r="G378" s="11">
        <v>8039591808</v>
      </c>
      <c r="H378" s="10" t="s">
        <v>880</v>
      </c>
      <c r="I378" s="10" t="s">
        <v>49</v>
      </c>
      <c r="J378" s="10" t="s">
        <v>229</v>
      </c>
      <c r="K378" s="12">
        <v>45994</v>
      </c>
      <c r="L378" s="15" t="s">
        <v>11</v>
      </c>
      <c r="M378" s="14"/>
      <c r="N378" s="14"/>
    </row>
    <row r="379" spans="1:20" ht="22.5" customHeight="1">
      <c r="A379" s="8">
        <v>45994.282936550924</v>
      </c>
      <c r="B379" s="9" t="s">
        <v>14</v>
      </c>
      <c r="C379" s="9" t="s">
        <v>15</v>
      </c>
      <c r="D379" s="9" t="s">
        <v>881</v>
      </c>
      <c r="E379" s="10" t="s">
        <v>17</v>
      </c>
      <c r="F379" s="10">
        <v>21</v>
      </c>
      <c r="G379" s="11">
        <v>7049475581</v>
      </c>
      <c r="H379" s="10" t="s">
        <v>882</v>
      </c>
      <c r="I379" s="10" t="s">
        <v>49</v>
      </c>
      <c r="J379" s="10" t="s">
        <v>883</v>
      </c>
      <c r="K379" s="12">
        <v>45994</v>
      </c>
      <c r="L379" s="15" t="s">
        <v>11</v>
      </c>
      <c r="M379" s="14"/>
      <c r="N379" s="14"/>
    </row>
    <row r="380" spans="1:20" ht="22.5" customHeight="1">
      <c r="A380" s="8">
        <v>45994.287266782412</v>
      </c>
      <c r="B380" s="9" t="s">
        <v>14</v>
      </c>
      <c r="C380" s="9" t="s">
        <v>15</v>
      </c>
      <c r="D380" s="9" t="s">
        <v>884</v>
      </c>
      <c r="E380" s="10" t="s">
        <v>17</v>
      </c>
      <c r="F380" s="10">
        <v>25</v>
      </c>
      <c r="G380" s="11">
        <v>9065204430</v>
      </c>
      <c r="H380" s="10" t="s">
        <v>885</v>
      </c>
      <c r="I380" s="10" t="s">
        <v>49</v>
      </c>
      <c r="J380" s="10" t="s">
        <v>50</v>
      </c>
      <c r="K380" s="12">
        <v>45994</v>
      </c>
      <c r="L380" s="15" t="s">
        <v>11</v>
      </c>
      <c r="M380" s="14"/>
      <c r="N380" s="14"/>
    </row>
    <row r="381" spans="1:20" ht="22.5" customHeight="1">
      <c r="A381" s="8">
        <v>45994.289091643514</v>
      </c>
      <c r="B381" s="9" t="s">
        <v>14</v>
      </c>
      <c r="C381" s="9" t="s">
        <v>15</v>
      </c>
      <c r="D381" s="9" t="s">
        <v>801</v>
      </c>
      <c r="E381" s="10" t="s">
        <v>22</v>
      </c>
      <c r="F381" s="18">
        <v>22</v>
      </c>
      <c r="G381" s="11">
        <v>9169533515</v>
      </c>
      <c r="H381" s="10" t="s">
        <v>802</v>
      </c>
      <c r="I381" s="10" t="s">
        <v>49</v>
      </c>
      <c r="J381" s="10" t="s">
        <v>246</v>
      </c>
      <c r="K381" s="12">
        <v>45994</v>
      </c>
      <c r="L381" s="15" t="s">
        <v>11</v>
      </c>
      <c r="M381" s="14"/>
      <c r="N381" s="14"/>
    </row>
    <row r="382" spans="1:20" ht="22.5" customHeight="1">
      <c r="A382" s="8">
        <v>45994.290889895834</v>
      </c>
      <c r="B382" s="9" t="s">
        <v>14</v>
      </c>
      <c r="C382" s="9" t="s">
        <v>15</v>
      </c>
      <c r="D382" s="9" t="s">
        <v>886</v>
      </c>
      <c r="E382" s="10" t="s">
        <v>17</v>
      </c>
      <c r="F382" s="10">
        <v>25</v>
      </c>
      <c r="G382" s="11">
        <v>7026670359</v>
      </c>
      <c r="H382" s="10" t="s">
        <v>887</v>
      </c>
      <c r="I382" s="10" t="s">
        <v>49</v>
      </c>
      <c r="J382" s="10" t="s">
        <v>160</v>
      </c>
      <c r="K382" s="12">
        <v>45994</v>
      </c>
      <c r="L382" s="15" t="s">
        <v>11</v>
      </c>
      <c r="M382" s="14"/>
      <c r="N382" s="14"/>
    </row>
    <row r="383" spans="1:20" ht="22.5" customHeight="1">
      <c r="A383" s="8">
        <v>45994.291292314811</v>
      </c>
      <c r="B383" s="9" t="s">
        <v>14</v>
      </c>
      <c r="C383" s="9" t="s">
        <v>15</v>
      </c>
      <c r="D383" s="9" t="s">
        <v>888</v>
      </c>
      <c r="E383" s="10" t="s">
        <v>17</v>
      </c>
      <c r="F383" s="10">
        <v>25</v>
      </c>
      <c r="G383" s="11">
        <v>8082735003</v>
      </c>
      <c r="H383" s="10" t="s">
        <v>889</v>
      </c>
      <c r="I383" s="10" t="s">
        <v>49</v>
      </c>
      <c r="J383" s="10" t="s">
        <v>109</v>
      </c>
      <c r="K383" s="12">
        <v>45994</v>
      </c>
      <c r="L383" s="15" t="s">
        <v>11</v>
      </c>
      <c r="M383" s="14"/>
      <c r="N383" s="14"/>
    </row>
    <row r="384" spans="1:20" ht="22.5" customHeight="1">
      <c r="A384" s="8">
        <v>45994.297121979165</v>
      </c>
      <c r="B384" s="9" t="s">
        <v>14</v>
      </c>
      <c r="C384" s="9" t="s">
        <v>15</v>
      </c>
      <c r="D384" s="9" t="s">
        <v>890</v>
      </c>
      <c r="E384" s="10" t="s">
        <v>17</v>
      </c>
      <c r="F384" s="10">
        <v>24</v>
      </c>
      <c r="G384" s="11">
        <v>7046607984</v>
      </c>
      <c r="H384" s="10" t="s">
        <v>891</v>
      </c>
      <c r="I384" s="10" t="s">
        <v>45</v>
      </c>
      <c r="J384" s="10" t="s">
        <v>892</v>
      </c>
      <c r="K384" s="12">
        <v>45994</v>
      </c>
      <c r="L384" s="15" t="s">
        <v>11</v>
      </c>
      <c r="M384" s="14"/>
      <c r="N384" s="14"/>
    </row>
    <row r="385" spans="1:14" ht="22.5" customHeight="1">
      <c r="A385" s="8">
        <v>45994.297413622684</v>
      </c>
      <c r="B385" s="9" t="s">
        <v>14</v>
      </c>
      <c r="C385" s="9" t="s">
        <v>15</v>
      </c>
      <c r="D385" s="9" t="s">
        <v>893</v>
      </c>
      <c r="E385" s="10" t="s">
        <v>22</v>
      </c>
      <c r="F385" s="10">
        <v>34</v>
      </c>
      <c r="G385" s="11">
        <v>8069024434</v>
      </c>
      <c r="H385" s="10" t="s">
        <v>894</v>
      </c>
      <c r="I385" s="10" t="s">
        <v>49</v>
      </c>
      <c r="J385" s="10" t="s">
        <v>50</v>
      </c>
      <c r="K385" s="12">
        <v>45994</v>
      </c>
      <c r="L385" s="15" t="s">
        <v>11</v>
      </c>
      <c r="M385" s="14"/>
      <c r="N385" s="14"/>
    </row>
    <row r="386" spans="1:14" ht="22.5" customHeight="1">
      <c r="A386" s="8">
        <v>45994.305282534726</v>
      </c>
      <c r="B386" s="9" t="s">
        <v>14</v>
      </c>
      <c r="C386" s="9" t="s">
        <v>15</v>
      </c>
      <c r="D386" s="9" t="s">
        <v>895</v>
      </c>
      <c r="E386" s="10" t="s">
        <v>17</v>
      </c>
      <c r="F386" s="10">
        <v>28</v>
      </c>
      <c r="G386" s="11">
        <v>7038007541</v>
      </c>
      <c r="H386" s="10" t="s">
        <v>896</v>
      </c>
      <c r="I386" s="10" t="s">
        <v>49</v>
      </c>
      <c r="J386" s="10" t="s">
        <v>109</v>
      </c>
      <c r="K386" s="12">
        <v>45994</v>
      </c>
      <c r="L386" s="15" t="s">
        <v>11</v>
      </c>
      <c r="M386" s="14"/>
      <c r="N386" s="14"/>
    </row>
    <row r="387" spans="1:14" ht="22.5" customHeight="1">
      <c r="A387" s="8">
        <v>45994.306598090276</v>
      </c>
      <c r="B387" s="9" t="s">
        <v>14</v>
      </c>
      <c r="C387" s="9" t="s">
        <v>15</v>
      </c>
      <c r="D387" s="9" t="s">
        <v>897</v>
      </c>
      <c r="E387" s="10" t="s">
        <v>17</v>
      </c>
      <c r="F387" s="10">
        <v>20</v>
      </c>
      <c r="G387" s="11">
        <v>8165221333</v>
      </c>
      <c r="H387" s="10" t="s">
        <v>898</v>
      </c>
      <c r="I387" s="10" t="s">
        <v>49</v>
      </c>
      <c r="J387" s="10" t="s">
        <v>106</v>
      </c>
      <c r="K387" s="12">
        <v>45994</v>
      </c>
      <c r="L387" s="15" t="s">
        <v>11</v>
      </c>
      <c r="M387" s="14"/>
      <c r="N387" s="14"/>
    </row>
    <row r="388" spans="1:14" ht="22.5" customHeight="1">
      <c r="A388" s="8">
        <v>45994.307370798611</v>
      </c>
      <c r="B388" s="9" t="s">
        <v>14</v>
      </c>
      <c r="C388" s="9" t="s">
        <v>15</v>
      </c>
      <c r="D388" s="9" t="s">
        <v>899</v>
      </c>
      <c r="E388" s="10" t="s">
        <v>17</v>
      </c>
      <c r="F388" s="10">
        <v>36</v>
      </c>
      <c r="G388" s="11">
        <v>8135308369</v>
      </c>
      <c r="H388" s="10" t="s">
        <v>900</v>
      </c>
      <c r="I388" s="10" t="s">
        <v>45</v>
      </c>
      <c r="J388" s="10" t="s">
        <v>901</v>
      </c>
      <c r="K388" s="12">
        <v>45994</v>
      </c>
      <c r="L388" s="15" t="s">
        <v>11</v>
      </c>
      <c r="M388" s="14"/>
      <c r="N388" s="14"/>
    </row>
    <row r="389" spans="1:14" ht="22.5" customHeight="1">
      <c r="A389" s="8">
        <v>45994.30961582176</v>
      </c>
      <c r="B389" s="9" t="s">
        <v>14</v>
      </c>
      <c r="C389" s="9" t="s">
        <v>15</v>
      </c>
      <c r="D389" s="9" t="s">
        <v>902</v>
      </c>
      <c r="E389" s="10" t="s">
        <v>17</v>
      </c>
      <c r="F389" s="10">
        <v>29</v>
      </c>
      <c r="G389" s="11">
        <v>8101197717</v>
      </c>
      <c r="H389" s="10" t="s">
        <v>903</v>
      </c>
      <c r="I389" s="10" t="s">
        <v>49</v>
      </c>
      <c r="J389" s="10" t="s">
        <v>181</v>
      </c>
      <c r="K389" s="12">
        <v>35311</v>
      </c>
      <c r="L389" s="15" t="s">
        <v>11</v>
      </c>
      <c r="M389" s="14"/>
      <c r="N389" s="14"/>
    </row>
    <row r="390" spans="1:14" ht="22.5" customHeight="1">
      <c r="A390" s="8">
        <v>45994.314737094908</v>
      </c>
      <c r="B390" s="9" t="s">
        <v>14</v>
      </c>
      <c r="C390" s="9" t="s">
        <v>15</v>
      </c>
      <c r="D390" s="9" t="s">
        <v>904</v>
      </c>
      <c r="E390" s="10" t="s">
        <v>17</v>
      </c>
      <c r="F390" s="10">
        <v>23</v>
      </c>
      <c r="G390" s="11">
        <v>8026231455</v>
      </c>
      <c r="H390" s="10" t="s">
        <v>905</v>
      </c>
      <c r="I390" s="10" t="s">
        <v>49</v>
      </c>
      <c r="J390" s="10" t="s">
        <v>906</v>
      </c>
      <c r="K390" s="12">
        <v>45994</v>
      </c>
      <c r="L390" s="15" t="s">
        <v>11</v>
      </c>
      <c r="M390" s="14"/>
      <c r="N390" s="14"/>
    </row>
    <row r="391" spans="1:14" ht="22.5" customHeight="1">
      <c r="A391" s="8">
        <v>45994.315935995372</v>
      </c>
      <c r="B391" s="9" t="s">
        <v>14</v>
      </c>
      <c r="C391" s="9" t="s">
        <v>15</v>
      </c>
      <c r="D391" s="9" t="s">
        <v>583</v>
      </c>
      <c r="E391" s="10" t="s">
        <v>17</v>
      </c>
      <c r="F391" s="10">
        <v>34</v>
      </c>
      <c r="G391" s="11">
        <v>7067355493</v>
      </c>
      <c r="H391" s="10" t="s">
        <v>907</v>
      </c>
      <c r="I391" s="10" t="s">
        <v>49</v>
      </c>
      <c r="J391" s="10" t="s">
        <v>229</v>
      </c>
      <c r="K391" s="12">
        <v>45994</v>
      </c>
      <c r="L391" s="15" t="s">
        <v>11</v>
      </c>
      <c r="M391" s="14"/>
      <c r="N391" s="14"/>
    </row>
    <row r="392" spans="1:14" ht="22.5" customHeight="1">
      <c r="A392" s="8">
        <v>45994.316737696761</v>
      </c>
      <c r="B392" s="9" t="s">
        <v>14</v>
      </c>
      <c r="C392" s="9" t="s">
        <v>15</v>
      </c>
      <c r="D392" s="9" t="s">
        <v>908</v>
      </c>
      <c r="E392" s="10" t="s">
        <v>22</v>
      </c>
      <c r="F392" s="10">
        <v>24</v>
      </c>
      <c r="G392" s="11">
        <v>7035963837</v>
      </c>
      <c r="H392" s="10" t="s">
        <v>909</v>
      </c>
      <c r="I392" s="10" t="s">
        <v>49</v>
      </c>
      <c r="J392" s="10" t="s">
        <v>229</v>
      </c>
      <c r="K392" s="12">
        <v>45994</v>
      </c>
      <c r="L392" s="15" t="s">
        <v>11</v>
      </c>
      <c r="M392" s="14"/>
      <c r="N392" s="14"/>
    </row>
    <row r="393" spans="1:14" ht="22.5" customHeight="1">
      <c r="A393" s="8">
        <v>45994.317366226853</v>
      </c>
      <c r="B393" s="9" t="s">
        <v>14</v>
      </c>
      <c r="C393" s="9" t="s">
        <v>15</v>
      </c>
      <c r="D393" s="9" t="s">
        <v>910</v>
      </c>
      <c r="E393" s="10" t="s">
        <v>22</v>
      </c>
      <c r="F393" s="10">
        <v>36</v>
      </c>
      <c r="G393" s="11">
        <v>7063060542</v>
      </c>
      <c r="H393" s="10" t="s">
        <v>911</v>
      </c>
      <c r="I393" s="10" t="s">
        <v>49</v>
      </c>
      <c r="J393" s="10" t="s">
        <v>50</v>
      </c>
      <c r="K393" s="12">
        <v>45994</v>
      </c>
      <c r="L393" s="15" t="s">
        <v>11</v>
      </c>
      <c r="M393" s="14"/>
      <c r="N393" s="14"/>
    </row>
    <row r="394" spans="1:14" ht="22.5" customHeight="1">
      <c r="A394" s="8">
        <v>45994.319897557871</v>
      </c>
      <c r="B394" s="9" t="s">
        <v>14</v>
      </c>
      <c r="C394" s="9" t="s">
        <v>15</v>
      </c>
      <c r="D394" s="9" t="s">
        <v>912</v>
      </c>
      <c r="E394" s="10" t="s">
        <v>17</v>
      </c>
      <c r="F394" s="10">
        <v>35</v>
      </c>
      <c r="G394" s="11">
        <v>9033388899</v>
      </c>
      <c r="H394" s="10" t="s">
        <v>913</v>
      </c>
      <c r="I394" s="10" t="s">
        <v>49</v>
      </c>
      <c r="J394" s="10" t="s">
        <v>914</v>
      </c>
      <c r="K394" s="12">
        <v>45994</v>
      </c>
      <c r="L394" s="15" t="s">
        <v>11</v>
      </c>
      <c r="M394" s="14"/>
      <c r="N394" s="14"/>
    </row>
    <row r="395" spans="1:14" ht="22.5" customHeight="1">
      <c r="A395" s="8">
        <v>45994.324527673612</v>
      </c>
      <c r="B395" s="9" t="s">
        <v>14</v>
      </c>
      <c r="C395" s="9" t="s">
        <v>15</v>
      </c>
      <c r="D395" s="9" t="s">
        <v>915</v>
      </c>
      <c r="E395" s="10" t="s">
        <v>17</v>
      </c>
      <c r="F395" s="10">
        <v>22</v>
      </c>
      <c r="G395" s="11">
        <v>8055083133</v>
      </c>
      <c r="H395" s="10" t="s">
        <v>916</v>
      </c>
      <c r="I395" s="10" t="s">
        <v>49</v>
      </c>
      <c r="J395" s="10" t="s">
        <v>215</v>
      </c>
      <c r="K395" s="12">
        <v>45994</v>
      </c>
      <c r="L395" s="15" t="s">
        <v>11</v>
      </c>
      <c r="M395" s="14"/>
      <c r="N395" s="14"/>
    </row>
    <row r="396" spans="1:14" ht="22.5" customHeight="1">
      <c r="A396" s="8">
        <v>45994.328564050928</v>
      </c>
      <c r="B396" s="9" t="s">
        <v>14</v>
      </c>
      <c r="C396" s="9" t="s">
        <v>15</v>
      </c>
      <c r="D396" s="9" t="s">
        <v>917</v>
      </c>
      <c r="E396" s="10" t="s">
        <v>17</v>
      </c>
      <c r="F396" s="10">
        <v>27</v>
      </c>
      <c r="G396" s="11">
        <v>7036843378</v>
      </c>
      <c r="H396" s="10" t="s">
        <v>918</v>
      </c>
      <c r="I396" s="10" t="s">
        <v>49</v>
      </c>
      <c r="J396" s="10" t="s">
        <v>106</v>
      </c>
      <c r="K396" s="12">
        <v>45994</v>
      </c>
      <c r="L396" s="15" t="s">
        <v>11</v>
      </c>
      <c r="M396" s="14"/>
      <c r="N396" s="14"/>
    </row>
    <row r="397" spans="1:14" ht="22.5" customHeight="1">
      <c r="A397" s="8">
        <v>45994.332190601854</v>
      </c>
      <c r="B397" s="9" t="s">
        <v>14</v>
      </c>
      <c r="C397" s="9" t="s">
        <v>15</v>
      </c>
      <c r="D397" s="9" t="s">
        <v>919</v>
      </c>
      <c r="E397" s="10" t="s">
        <v>17</v>
      </c>
      <c r="F397" s="10">
        <v>23</v>
      </c>
      <c r="G397" s="11">
        <v>9061571114</v>
      </c>
      <c r="H397" s="10" t="s">
        <v>920</v>
      </c>
      <c r="I397" s="10" t="s">
        <v>49</v>
      </c>
      <c r="J397" s="10" t="s">
        <v>921</v>
      </c>
      <c r="K397" s="12">
        <v>45994</v>
      </c>
      <c r="L397" s="15" t="s">
        <v>11</v>
      </c>
      <c r="M397" s="14"/>
      <c r="N397" s="14"/>
    </row>
    <row r="398" spans="1:14" ht="22.5" customHeight="1">
      <c r="A398" s="8">
        <v>45994.334959548607</v>
      </c>
      <c r="B398" s="9" t="s">
        <v>14</v>
      </c>
      <c r="C398" s="9" t="s">
        <v>15</v>
      </c>
      <c r="D398" s="9" t="s">
        <v>922</v>
      </c>
      <c r="E398" s="10" t="s">
        <v>17</v>
      </c>
      <c r="F398" s="10">
        <v>18</v>
      </c>
      <c r="G398" s="11">
        <v>7079203981</v>
      </c>
      <c r="H398" s="10" t="s">
        <v>923</v>
      </c>
      <c r="I398" s="10" t="s">
        <v>49</v>
      </c>
      <c r="J398" s="10" t="s">
        <v>50</v>
      </c>
      <c r="K398" s="12">
        <v>45994</v>
      </c>
      <c r="L398" s="15" t="s">
        <v>11</v>
      </c>
      <c r="M398" s="14"/>
      <c r="N398" s="14"/>
    </row>
    <row r="399" spans="1:14" ht="22.5" customHeight="1">
      <c r="A399" s="8">
        <v>45994.336194733798</v>
      </c>
      <c r="B399" s="9" t="s">
        <v>14</v>
      </c>
      <c r="C399" s="9" t="s">
        <v>15</v>
      </c>
      <c r="D399" s="9" t="s">
        <v>924</v>
      </c>
      <c r="E399" s="10" t="s">
        <v>17</v>
      </c>
      <c r="F399" s="10">
        <v>25</v>
      </c>
      <c r="G399" s="11">
        <v>9026141644</v>
      </c>
      <c r="H399" s="10" t="s">
        <v>925</v>
      </c>
      <c r="I399" s="10" t="s">
        <v>49</v>
      </c>
      <c r="J399" s="10" t="s">
        <v>762</v>
      </c>
      <c r="K399" s="12">
        <v>45994</v>
      </c>
      <c r="L399" s="15" t="s">
        <v>11</v>
      </c>
      <c r="M399" s="14"/>
      <c r="N399" s="14"/>
    </row>
    <row r="400" spans="1:14" ht="22.5" customHeight="1">
      <c r="A400" s="8">
        <v>45994.337617546291</v>
      </c>
      <c r="B400" s="9" t="s">
        <v>14</v>
      </c>
      <c r="C400" s="9" t="s">
        <v>15</v>
      </c>
      <c r="D400" s="9" t="s">
        <v>926</v>
      </c>
      <c r="E400" s="10" t="s">
        <v>17</v>
      </c>
      <c r="F400" s="10">
        <v>32</v>
      </c>
      <c r="G400" s="11">
        <v>8064075517</v>
      </c>
      <c r="H400" s="10" t="s">
        <v>927</v>
      </c>
      <c r="I400" s="10" t="s">
        <v>49</v>
      </c>
      <c r="J400" s="10" t="s">
        <v>109</v>
      </c>
      <c r="K400" s="12">
        <v>45994</v>
      </c>
      <c r="L400" s="15" t="s">
        <v>11</v>
      </c>
      <c r="M400" s="14"/>
      <c r="N400" s="14"/>
    </row>
    <row r="401" spans="1:14" ht="22.5" customHeight="1">
      <c r="A401" s="8">
        <v>45994.337806006944</v>
      </c>
      <c r="B401" s="9" t="s">
        <v>14</v>
      </c>
      <c r="C401" s="9" t="s">
        <v>15</v>
      </c>
      <c r="D401" s="9" t="s">
        <v>928</v>
      </c>
      <c r="E401" s="10" t="s">
        <v>17</v>
      </c>
      <c r="F401" s="10">
        <v>31</v>
      </c>
      <c r="G401" s="11">
        <v>8100029764</v>
      </c>
      <c r="H401" s="10" t="s">
        <v>929</v>
      </c>
      <c r="I401" s="10" t="s">
        <v>49</v>
      </c>
      <c r="J401" s="10" t="s">
        <v>109</v>
      </c>
      <c r="K401" s="12">
        <v>45994</v>
      </c>
      <c r="L401" s="15" t="s">
        <v>11</v>
      </c>
      <c r="M401" s="14"/>
      <c r="N401" s="14"/>
    </row>
    <row r="402" spans="1:14" ht="22.5" customHeight="1">
      <c r="A402" s="8">
        <v>45994.34081765046</v>
      </c>
      <c r="B402" s="9" t="s">
        <v>14</v>
      </c>
      <c r="C402" s="9" t="s">
        <v>15</v>
      </c>
      <c r="D402" s="9" t="s">
        <v>930</v>
      </c>
      <c r="E402" s="10" t="s">
        <v>22</v>
      </c>
      <c r="F402" s="10">
        <v>23</v>
      </c>
      <c r="G402" s="11">
        <v>8060962355</v>
      </c>
      <c r="H402" s="10" t="s">
        <v>931</v>
      </c>
      <c r="I402" s="10" t="s">
        <v>45</v>
      </c>
      <c r="J402" s="10" t="s">
        <v>932</v>
      </c>
      <c r="K402" s="12">
        <v>45994</v>
      </c>
      <c r="L402" s="15" t="s">
        <v>11</v>
      </c>
      <c r="M402" s="14"/>
      <c r="N402" s="14"/>
    </row>
    <row r="403" spans="1:14" ht="22.5" customHeight="1">
      <c r="A403" s="8">
        <v>45994.344318518517</v>
      </c>
      <c r="B403" s="9" t="s">
        <v>14</v>
      </c>
      <c r="C403" s="9" t="s">
        <v>15</v>
      </c>
      <c r="D403" s="9" t="s">
        <v>933</v>
      </c>
      <c r="E403" s="10" t="s">
        <v>22</v>
      </c>
      <c r="F403" s="10">
        <v>32</v>
      </c>
      <c r="G403" s="11">
        <v>8055503105</v>
      </c>
      <c r="H403" s="10" t="s">
        <v>934</v>
      </c>
      <c r="I403" s="10" t="s">
        <v>49</v>
      </c>
      <c r="J403" s="10" t="s">
        <v>50</v>
      </c>
      <c r="K403" s="12">
        <v>45994</v>
      </c>
      <c r="L403" s="15" t="s">
        <v>11</v>
      </c>
      <c r="M403" s="14"/>
      <c r="N403" s="14"/>
    </row>
    <row r="404" spans="1:14" ht="22.5" customHeight="1">
      <c r="A404" s="8">
        <v>45994.348324247687</v>
      </c>
      <c r="B404" s="9" t="s">
        <v>14</v>
      </c>
      <c r="C404" s="9" t="s">
        <v>15</v>
      </c>
      <c r="D404" s="9" t="s">
        <v>935</v>
      </c>
      <c r="E404" s="10" t="s">
        <v>22</v>
      </c>
      <c r="F404" s="10">
        <v>28</v>
      </c>
      <c r="G404" s="11">
        <v>8035203307</v>
      </c>
      <c r="H404" s="10" t="s">
        <v>936</v>
      </c>
      <c r="I404" s="10" t="s">
        <v>49</v>
      </c>
      <c r="J404" s="10" t="s">
        <v>362</v>
      </c>
      <c r="K404" s="12">
        <v>45994</v>
      </c>
      <c r="L404" s="15" t="s">
        <v>11</v>
      </c>
      <c r="M404" s="14"/>
      <c r="N404" s="14"/>
    </row>
    <row r="405" spans="1:14" ht="22.5" customHeight="1">
      <c r="A405" s="8">
        <v>45994.349174976851</v>
      </c>
      <c r="B405" s="9" t="s">
        <v>14</v>
      </c>
      <c r="C405" s="9" t="s">
        <v>15</v>
      </c>
      <c r="D405" s="9" t="s">
        <v>937</v>
      </c>
      <c r="E405" s="10" t="s">
        <v>17</v>
      </c>
      <c r="F405" s="10">
        <v>44</v>
      </c>
      <c r="G405" s="11">
        <v>8121412566</v>
      </c>
      <c r="H405" s="10" t="s">
        <v>938</v>
      </c>
      <c r="I405" s="10" t="s">
        <v>49</v>
      </c>
      <c r="J405" s="10" t="s">
        <v>160</v>
      </c>
      <c r="K405" s="12">
        <v>45994</v>
      </c>
      <c r="L405" s="15" t="s">
        <v>11</v>
      </c>
      <c r="M405" s="14"/>
      <c r="N405" s="14"/>
    </row>
    <row r="406" spans="1:14" ht="22.5" customHeight="1">
      <c r="A406" s="8">
        <v>45994.350933032409</v>
      </c>
      <c r="B406" s="9" t="s">
        <v>14</v>
      </c>
      <c r="C406" s="9" t="s">
        <v>15</v>
      </c>
      <c r="D406" s="9" t="s">
        <v>939</v>
      </c>
      <c r="E406" s="10" t="s">
        <v>22</v>
      </c>
      <c r="F406" s="10">
        <v>25</v>
      </c>
      <c r="G406" s="11">
        <v>7043009767</v>
      </c>
      <c r="H406" s="10" t="s">
        <v>940</v>
      </c>
      <c r="I406" s="10" t="s">
        <v>49</v>
      </c>
      <c r="J406" s="10" t="s">
        <v>109</v>
      </c>
      <c r="K406" s="12">
        <v>45994</v>
      </c>
      <c r="L406" s="15" t="s">
        <v>11</v>
      </c>
      <c r="M406" s="14"/>
      <c r="N406" s="14"/>
    </row>
    <row r="407" spans="1:14" ht="22.5" customHeight="1">
      <c r="A407" s="8">
        <v>45994.354071041671</v>
      </c>
      <c r="B407" s="9" t="s">
        <v>14</v>
      </c>
      <c r="C407" s="9" t="s">
        <v>15</v>
      </c>
      <c r="D407" s="9" t="s">
        <v>941</v>
      </c>
      <c r="E407" s="10" t="s">
        <v>22</v>
      </c>
      <c r="F407" s="10">
        <v>26</v>
      </c>
      <c r="G407" s="11">
        <v>7062584101</v>
      </c>
      <c r="H407" s="10" t="s">
        <v>942</v>
      </c>
      <c r="I407" s="10" t="s">
        <v>49</v>
      </c>
      <c r="J407" s="10" t="s">
        <v>106</v>
      </c>
      <c r="K407" s="12">
        <v>45994</v>
      </c>
      <c r="L407" s="15" t="s">
        <v>11</v>
      </c>
      <c r="M407" s="14"/>
      <c r="N407" s="14"/>
    </row>
    <row r="408" spans="1:14" ht="22.5" customHeight="1">
      <c r="A408" s="8">
        <v>45994.360921793981</v>
      </c>
      <c r="B408" s="9" t="s">
        <v>14</v>
      </c>
      <c r="C408" s="9" t="s">
        <v>15</v>
      </c>
      <c r="D408" s="9" t="s">
        <v>943</v>
      </c>
      <c r="E408" s="10" t="s">
        <v>22</v>
      </c>
      <c r="F408" s="10">
        <v>35</v>
      </c>
      <c r="G408" s="11">
        <v>8065753004</v>
      </c>
      <c r="H408" s="10" t="s">
        <v>944</v>
      </c>
      <c r="I408" s="10" t="s">
        <v>49</v>
      </c>
      <c r="J408" s="10" t="s">
        <v>109</v>
      </c>
      <c r="K408" s="12">
        <v>45994</v>
      </c>
      <c r="L408" s="15" t="s">
        <v>11</v>
      </c>
      <c r="M408" s="14"/>
      <c r="N408" s="14"/>
    </row>
    <row r="409" spans="1:14" ht="22.5" customHeight="1">
      <c r="A409" s="8">
        <v>45994.36348453704</v>
      </c>
      <c r="B409" s="9" t="s">
        <v>14</v>
      </c>
      <c r="C409" s="9" t="s">
        <v>15</v>
      </c>
      <c r="D409" s="9" t="s">
        <v>945</v>
      </c>
      <c r="E409" s="10" t="s">
        <v>17</v>
      </c>
      <c r="F409" s="10">
        <v>30</v>
      </c>
      <c r="G409" s="11">
        <v>7041425700</v>
      </c>
      <c r="H409" s="10" t="s">
        <v>946</v>
      </c>
      <c r="I409" s="10" t="s">
        <v>49</v>
      </c>
      <c r="J409" s="10" t="s">
        <v>947</v>
      </c>
      <c r="K409" s="12">
        <v>34731</v>
      </c>
      <c r="L409" s="15" t="s">
        <v>11</v>
      </c>
      <c r="M409" s="14"/>
      <c r="N409" s="14"/>
    </row>
    <row r="410" spans="1:14" ht="22.5" customHeight="1">
      <c r="A410" s="8">
        <v>45994.375626643523</v>
      </c>
      <c r="B410" s="9" t="s">
        <v>14</v>
      </c>
      <c r="C410" s="9" t="s">
        <v>15</v>
      </c>
      <c r="D410" s="9" t="s">
        <v>948</v>
      </c>
      <c r="E410" s="10" t="s">
        <v>22</v>
      </c>
      <c r="F410" s="10">
        <v>31</v>
      </c>
      <c r="G410" s="11">
        <v>9034154183</v>
      </c>
      <c r="H410" s="10" t="s">
        <v>949</v>
      </c>
      <c r="I410" s="10" t="s">
        <v>49</v>
      </c>
      <c r="J410" s="10" t="s">
        <v>50</v>
      </c>
      <c r="K410" s="12">
        <v>45994</v>
      </c>
      <c r="L410" s="15" t="s">
        <v>11</v>
      </c>
      <c r="M410" s="14"/>
      <c r="N410" s="14"/>
    </row>
    <row r="411" spans="1:14" ht="22.5" customHeight="1">
      <c r="A411" s="8">
        <v>45994.375697465279</v>
      </c>
      <c r="B411" s="9" t="s">
        <v>14</v>
      </c>
      <c r="C411" s="9" t="s">
        <v>15</v>
      </c>
      <c r="D411" s="9" t="s">
        <v>347</v>
      </c>
      <c r="E411" s="10" t="s">
        <v>17</v>
      </c>
      <c r="F411" s="10">
        <v>25</v>
      </c>
      <c r="G411" s="11">
        <v>8136943352</v>
      </c>
      <c r="H411" s="10" t="s">
        <v>950</v>
      </c>
      <c r="I411" s="10" t="s">
        <v>49</v>
      </c>
      <c r="J411" s="10" t="s">
        <v>599</v>
      </c>
      <c r="K411" s="12">
        <v>45994</v>
      </c>
      <c r="L411" s="15" t="s">
        <v>11</v>
      </c>
      <c r="M411" s="14"/>
      <c r="N411" s="14"/>
    </row>
    <row r="412" spans="1:14" ht="22.5" customHeight="1">
      <c r="A412" s="8">
        <v>45994.379809039354</v>
      </c>
      <c r="B412" s="9" t="s">
        <v>14</v>
      </c>
      <c r="C412" s="9" t="s">
        <v>15</v>
      </c>
      <c r="D412" s="9" t="s">
        <v>951</v>
      </c>
      <c r="E412" s="10" t="s">
        <v>17</v>
      </c>
      <c r="F412" s="10">
        <v>30</v>
      </c>
      <c r="G412" s="11">
        <v>8067614854</v>
      </c>
      <c r="H412" s="10" t="s">
        <v>952</v>
      </c>
      <c r="I412" s="10" t="s">
        <v>49</v>
      </c>
      <c r="J412" s="10" t="s">
        <v>953</v>
      </c>
      <c r="K412" s="12">
        <v>45994</v>
      </c>
      <c r="L412" s="15" t="s">
        <v>11</v>
      </c>
      <c r="M412" s="14"/>
      <c r="N412" s="14"/>
    </row>
    <row r="413" spans="1:14" ht="22.5" customHeight="1">
      <c r="A413" s="8">
        <v>45994.38054377315</v>
      </c>
      <c r="B413" s="9" t="s">
        <v>14</v>
      </c>
      <c r="C413" s="9" t="s">
        <v>15</v>
      </c>
      <c r="D413" s="9" t="s">
        <v>954</v>
      </c>
      <c r="E413" s="10" t="s">
        <v>22</v>
      </c>
      <c r="F413" s="19">
        <v>20</v>
      </c>
      <c r="G413" s="11">
        <v>7047441035</v>
      </c>
      <c r="H413" s="10" t="s">
        <v>648</v>
      </c>
      <c r="I413" s="10" t="s">
        <v>49</v>
      </c>
      <c r="J413" s="10" t="s">
        <v>109</v>
      </c>
      <c r="K413" s="12">
        <v>45994</v>
      </c>
      <c r="L413" s="15" t="s">
        <v>11</v>
      </c>
      <c r="M413" s="14"/>
      <c r="N413" s="14"/>
    </row>
    <row r="414" spans="1:14" ht="22.5" customHeight="1">
      <c r="A414" s="8">
        <v>45994.383390752315</v>
      </c>
      <c r="B414" s="9" t="s">
        <v>14</v>
      </c>
      <c r="C414" s="9" t="s">
        <v>15</v>
      </c>
      <c r="D414" s="9" t="s">
        <v>955</v>
      </c>
      <c r="E414" s="10" t="s">
        <v>22</v>
      </c>
      <c r="F414" s="10">
        <v>33</v>
      </c>
      <c r="G414" s="11">
        <v>9066705007</v>
      </c>
      <c r="H414" s="10" t="s">
        <v>956</v>
      </c>
      <c r="I414" s="10" t="s">
        <v>49</v>
      </c>
      <c r="J414" s="10" t="s">
        <v>246</v>
      </c>
      <c r="K414" s="12">
        <v>45994</v>
      </c>
      <c r="L414" s="15" t="s">
        <v>11</v>
      </c>
      <c r="M414" s="14"/>
      <c r="N414" s="14"/>
    </row>
    <row r="415" spans="1:14" ht="22.5" customHeight="1">
      <c r="A415" s="8">
        <v>45994.383681851847</v>
      </c>
      <c r="B415" s="9" t="s">
        <v>14</v>
      </c>
      <c r="C415" s="9" t="s">
        <v>15</v>
      </c>
      <c r="D415" s="9" t="s">
        <v>957</v>
      </c>
      <c r="E415" s="10" t="s">
        <v>22</v>
      </c>
      <c r="F415" s="10">
        <v>32</v>
      </c>
      <c r="G415" s="11">
        <v>7038318824</v>
      </c>
      <c r="H415" s="10" t="s">
        <v>958</v>
      </c>
      <c r="I415" s="10" t="s">
        <v>49</v>
      </c>
      <c r="J415" s="10" t="s">
        <v>232</v>
      </c>
      <c r="K415" s="12">
        <v>45994</v>
      </c>
      <c r="L415" s="15" t="s">
        <v>11</v>
      </c>
      <c r="M415" s="14"/>
      <c r="N415" s="14"/>
    </row>
    <row r="416" spans="1:14" ht="22.5" customHeight="1">
      <c r="A416" s="8">
        <v>45994.384444664349</v>
      </c>
      <c r="B416" s="9" t="s">
        <v>14</v>
      </c>
      <c r="C416" s="9" t="s">
        <v>15</v>
      </c>
      <c r="D416" s="9" t="s">
        <v>959</v>
      </c>
      <c r="E416" s="10" t="s">
        <v>17</v>
      </c>
      <c r="F416" s="10">
        <v>29</v>
      </c>
      <c r="G416" s="11">
        <v>7061913664</v>
      </c>
      <c r="H416" s="10" t="s">
        <v>960</v>
      </c>
      <c r="I416" s="10" t="s">
        <v>49</v>
      </c>
      <c r="J416" s="10" t="s">
        <v>303</v>
      </c>
      <c r="K416" s="12">
        <v>35491</v>
      </c>
      <c r="L416" s="15" t="s">
        <v>11</v>
      </c>
      <c r="M416" s="14"/>
      <c r="N416" s="14"/>
    </row>
    <row r="417" spans="1:14" ht="22.5" customHeight="1">
      <c r="A417" s="8">
        <v>45994.385927581017</v>
      </c>
      <c r="B417" s="9" t="s">
        <v>14</v>
      </c>
      <c r="C417" s="9" t="s">
        <v>15</v>
      </c>
      <c r="D417" s="9" t="s">
        <v>961</v>
      </c>
      <c r="E417" s="10" t="s">
        <v>17</v>
      </c>
      <c r="F417" s="10">
        <v>28</v>
      </c>
      <c r="G417" s="11">
        <v>8109050228</v>
      </c>
      <c r="H417" s="10" t="s">
        <v>962</v>
      </c>
      <c r="I417" s="10" t="s">
        <v>49</v>
      </c>
      <c r="J417" s="10" t="s">
        <v>50</v>
      </c>
      <c r="K417" s="12">
        <v>45994</v>
      </c>
      <c r="L417" s="15" t="s">
        <v>11</v>
      </c>
      <c r="M417" s="14"/>
      <c r="N417" s="14"/>
    </row>
    <row r="418" spans="1:14" ht="22.5" customHeight="1">
      <c r="A418" s="8">
        <v>45994.390153645829</v>
      </c>
      <c r="B418" s="9" t="s">
        <v>14</v>
      </c>
      <c r="C418" s="9" t="s">
        <v>15</v>
      </c>
      <c r="D418" s="9" t="s">
        <v>963</v>
      </c>
      <c r="E418" s="10" t="s">
        <v>17</v>
      </c>
      <c r="F418" s="10">
        <v>44</v>
      </c>
      <c r="G418" s="11">
        <v>8032812708</v>
      </c>
      <c r="H418" s="10" t="s">
        <v>964</v>
      </c>
      <c r="I418" s="10" t="s">
        <v>45</v>
      </c>
      <c r="J418" s="10" t="s">
        <v>84</v>
      </c>
      <c r="K418" s="12">
        <v>45994</v>
      </c>
      <c r="L418" s="15" t="s">
        <v>11</v>
      </c>
      <c r="M418" s="14"/>
      <c r="N418" s="14"/>
    </row>
    <row r="419" spans="1:14" ht="22.5" customHeight="1">
      <c r="A419" s="8">
        <v>45994.397634108798</v>
      </c>
      <c r="B419" s="9" t="s">
        <v>14</v>
      </c>
      <c r="C419" s="9" t="s">
        <v>15</v>
      </c>
      <c r="D419" s="9" t="s">
        <v>965</v>
      </c>
      <c r="E419" s="10" t="s">
        <v>17</v>
      </c>
      <c r="F419" s="10">
        <v>42</v>
      </c>
      <c r="G419" s="11">
        <v>8065521481</v>
      </c>
      <c r="H419" s="10" t="s">
        <v>966</v>
      </c>
      <c r="I419" s="10" t="s">
        <v>49</v>
      </c>
      <c r="J419" s="10" t="s">
        <v>73</v>
      </c>
      <c r="K419" s="12">
        <v>45994</v>
      </c>
      <c r="L419" s="15" t="s">
        <v>11</v>
      </c>
      <c r="M419" s="14"/>
      <c r="N419" s="14"/>
    </row>
    <row r="420" spans="1:14" ht="22.5" customHeight="1">
      <c r="A420" s="8">
        <v>45994.401295520831</v>
      </c>
      <c r="B420" s="9" t="s">
        <v>14</v>
      </c>
      <c r="C420" s="9" t="s">
        <v>15</v>
      </c>
      <c r="D420" s="9" t="s">
        <v>967</v>
      </c>
      <c r="E420" s="10" t="s">
        <v>22</v>
      </c>
      <c r="F420" s="10">
        <v>27</v>
      </c>
      <c r="G420" s="11">
        <v>9038959109</v>
      </c>
      <c r="H420" s="10" t="s">
        <v>968</v>
      </c>
      <c r="I420" s="10" t="s">
        <v>49</v>
      </c>
      <c r="J420" s="10" t="s">
        <v>109</v>
      </c>
      <c r="K420" s="12">
        <v>45994</v>
      </c>
      <c r="L420" s="15" t="s">
        <v>11</v>
      </c>
      <c r="M420" s="14"/>
      <c r="N420" s="14"/>
    </row>
    <row r="421" spans="1:14" ht="22.5" customHeight="1">
      <c r="A421" s="8">
        <v>45994.406824108795</v>
      </c>
      <c r="B421" s="9" t="s">
        <v>14</v>
      </c>
      <c r="C421" s="9" t="s">
        <v>15</v>
      </c>
      <c r="D421" s="9" t="s">
        <v>969</v>
      </c>
      <c r="E421" s="10" t="s">
        <v>17</v>
      </c>
      <c r="F421" s="10">
        <v>22</v>
      </c>
      <c r="G421" s="11">
        <v>9162612377</v>
      </c>
      <c r="H421" s="10" t="s">
        <v>970</v>
      </c>
      <c r="I421" s="10" t="s">
        <v>49</v>
      </c>
      <c r="J421" s="10" t="s">
        <v>109</v>
      </c>
      <c r="K421" s="12">
        <v>45994</v>
      </c>
      <c r="L421" s="15" t="s">
        <v>11</v>
      </c>
      <c r="M421" s="14"/>
      <c r="N421" s="14"/>
    </row>
    <row r="422" spans="1:14" ht="22.5" customHeight="1">
      <c r="A422" s="8">
        <v>45994.410626180557</v>
      </c>
      <c r="B422" s="9" t="s">
        <v>14</v>
      </c>
      <c r="C422" s="9" t="s">
        <v>15</v>
      </c>
      <c r="D422" s="9" t="s">
        <v>971</v>
      </c>
      <c r="E422" s="10" t="s">
        <v>22</v>
      </c>
      <c r="F422" s="10">
        <v>25</v>
      </c>
      <c r="G422" s="11">
        <v>7017715736</v>
      </c>
      <c r="H422" s="10" t="s">
        <v>972</v>
      </c>
      <c r="I422" s="10" t="s">
        <v>49</v>
      </c>
      <c r="J422" s="10" t="s">
        <v>73</v>
      </c>
      <c r="K422" s="12">
        <v>45994</v>
      </c>
      <c r="L422" s="15" t="s">
        <v>11</v>
      </c>
      <c r="M422" s="14"/>
      <c r="N422" s="14"/>
    </row>
    <row r="423" spans="1:14" ht="22.5" customHeight="1">
      <c r="A423" s="8">
        <v>45994.410807997687</v>
      </c>
      <c r="B423" s="9" t="s">
        <v>14</v>
      </c>
      <c r="C423" s="9" t="s">
        <v>15</v>
      </c>
      <c r="D423" s="9" t="s">
        <v>973</v>
      </c>
      <c r="E423" s="10" t="s">
        <v>22</v>
      </c>
      <c r="F423" s="10">
        <v>25</v>
      </c>
      <c r="G423" s="11">
        <v>7030057140</v>
      </c>
      <c r="H423" s="10" t="s">
        <v>974</v>
      </c>
      <c r="I423" s="10" t="s">
        <v>45</v>
      </c>
      <c r="J423" s="10" t="s">
        <v>975</v>
      </c>
      <c r="K423" s="12">
        <v>36509</v>
      </c>
      <c r="L423" s="15" t="s">
        <v>11</v>
      </c>
      <c r="M423" s="14"/>
      <c r="N423" s="14"/>
    </row>
    <row r="424" spans="1:14" ht="22.5" customHeight="1">
      <c r="A424" s="8">
        <v>45994.412039270828</v>
      </c>
      <c r="B424" s="9" t="s">
        <v>14</v>
      </c>
      <c r="C424" s="9" t="s">
        <v>15</v>
      </c>
      <c r="D424" s="9" t="s">
        <v>976</v>
      </c>
      <c r="E424" s="10" t="s">
        <v>17</v>
      </c>
      <c r="F424" s="10">
        <v>21</v>
      </c>
      <c r="G424" s="11">
        <v>8060559760</v>
      </c>
      <c r="H424" s="10" t="s">
        <v>977</v>
      </c>
      <c r="I424" s="10" t="s">
        <v>49</v>
      </c>
      <c r="J424" s="10" t="s">
        <v>106</v>
      </c>
      <c r="K424" s="12">
        <v>45994</v>
      </c>
      <c r="L424" s="15" t="s">
        <v>11</v>
      </c>
      <c r="M424" s="14"/>
      <c r="N424" s="14"/>
    </row>
    <row r="425" spans="1:14" ht="22.5" customHeight="1">
      <c r="A425" s="8">
        <v>45994.415403738429</v>
      </c>
      <c r="B425" s="9" t="s">
        <v>14</v>
      </c>
      <c r="C425" s="9" t="s">
        <v>15</v>
      </c>
      <c r="D425" s="9" t="s">
        <v>978</v>
      </c>
      <c r="E425" s="10" t="s">
        <v>17</v>
      </c>
      <c r="F425" s="10">
        <v>26</v>
      </c>
      <c r="G425" s="11">
        <v>8022177286</v>
      </c>
      <c r="H425" s="10" t="s">
        <v>979</v>
      </c>
      <c r="I425" s="10" t="s">
        <v>45</v>
      </c>
      <c r="J425" s="10" t="s">
        <v>980</v>
      </c>
      <c r="K425" s="12">
        <v>45994</v>
      </c>
      <c r="L425" s="15" t="s">
        <v>11</v>
      </c>
      <c r="M425" s="14"/>
      <c r="N425" s="14"/>
    </row>
    <row r="426" spans="1:14" ht="22.5" customHeight="1">
      <c r="A426" s="8">
        <v>45994.419371307871</v>
      </c>
      <c r="B426" s="9" t="s">
        <v>14</v>
      </c>
      <c r="C426" s="9" t="s">
        <v>15</v>
      </c>
      <c r="D426" s="9" t="s">
        <v>981</v>
      </c>
      <c r="E426" s="10" t="s">
        <v>17</v>
      </c>
      <c r="F426" s="10">
        <v>34</v>
      </c>
      <c r="G426" s="11">
        <v>7069528455</v>
      </c>
      <c r="H426" s="10" t="s">
        <v>982</v>
      </c>
      <c r="I426" s="10" t="s">
        <v>49</v>
      </c>
      <c r="J426" s="10" t="s">
        <v>73</v>
      </c>
      <c r="K426" s="12">
        <v>45994</v>
      </c>
      <c r="L426" s="15" t="s">
        <v>11</v>
      </c>
      <c r="M426" s="14"/>
      <c r="N426" s="14"/>
    </row>
    <row r="427" spans="1:14" ht="22.5" customHeight="1">
      <c r="A427" s="8">
        <v>45994.420338738426</v>
      </c>
      <c r="B427" s="9" t="s">
        <v>14</v>
      </c>
      <c r="C427" s="9" t="s">
        <v>15</v>
      </c>
      <c r="D427" s="9" t="s">
        <v>983</v>
      </c>
      <c r="E427" s="10" t="s">
        <v>22</v>
      </c>
      <c r="F427" s="10">
        <v>39</v>
      </c>
      <c r="G427" s="11">
        <v>7061913489</v>
      </c>
      <c r="H427" s="10" t="s">
        <v>984</v>
      </c>
      <c r="I427" s="10" t="s">
        <v>49</v>
      </c>
      <c r="J427" s="10" t="s">
        <v>282</v>
      </c>
      <c r="K427" s="12">
        <v>45994</v>
      </c>
      <c r="L427" s="15" t="s">
        <v>11</v>
      </c>
      <c r="M427" s="14"/>
      <c r="N427" s="14"/>
    </row>
    <row r="428" spans="1:14" ht="22.5" customHeight="1">
      <c r="A428" s="8">
        <v>45994.42968987269</v>
      </c>
      <c r="B428" s="9" t="s">
        <v>14</v>
      </c>
      <c r="C428" s="9" t="s">
        <v>15</v>
      </c>
      <c r="D428" s="9" t="s">
        <v>985</v>
      </c>
      <c r="E428" s="10" t="s">
        <v>22</v>
      </c>
      <c r="F428" s="10">
        <v>26</v>
      </c>
      <c r="G428" s="11">
        <v>7061072656</v>
      </c>
      <c r="H428" s="10" t="s">
        <v>986</v>
      </c>
      <c r="I428" s="10" t="s">
        <v>45</v>
      </c>
      <c r="J428" s="10" t="s">
        <v>987</v>
      </c>
      <c r="K428" s="12">
        <v>45994</v>
      </c>
      <c r="L428" s="15" t="s">
        <v>11</v>
      </c>
      <c r="M428" s="14"/>
      <c r="N428" s="14"/>
    </row>
    <row r="429" spans="1:14" ht="22.5" customHeight="1">
      <c r="A429" s="8">
        <v>45994.430986446758</v>
      </c>
      <c r="B429" s="9" t="s">
        <v>14</v>
      </c>
      <c r="C429" s="9" t="s">
        <v>15</v>
      </c>
      <c r="D429" s="9" t="s">
        <v>988</v>
      </c>
      <c r="E429" s="10" t="s">
        <v>22</v>
      </c>
      <c r="F429" s="10">
        <v>30</v>
      </c>
      <c r="G429" s="11">
        <v>8160075472</v>
      </c>
      <c r="H429" s="10" t="s">
        <v>989</v>
      </c>
      <c r="I429" s="10" t="s">
        <v>49</v>
      </c>
      <c r="J429" s="10" t="s">
        <v>445</v>
      </c>
      <c r="K429" s="12">
        <v>45994</v>
      </c>
      <c r="L429" s="15" t="s">
        <v>11</v>
      </c>
      <c r="M429" s="14"/>
      <c r="N429" s="14"/>
    </row>
    <row r="430" spans="1:14" ht="22.5" customHeight="1">
      <c r="A430" s="8">
        <v>45994.437123043987</v>
      </c>
      <c r="B430" s="9" t="s">
        <v>14</v>
      </c>
      <c r="C430" s="9" t="s">
        <v>15</v>
      </c>
      <c r="D430" s="9" t="s">
        <v>990</v>
      </c>
      <c r="E430" s="10" t="s">
        <v>22</v>
      </c>
      <c r="F430" s="10">
        <v>34</v>
      </c>
      <c r="G430" s="11">
        <v>8160318980</v>
      </c>
      <c r="H430" s="10" t="s">
        <v>991</v>
      </c>
      <c r="I430" s="10" t="s">
        <v>49</v>
      </c>
      <c r="J430" s="10" t="s">
        <v>106</v>
      </c>
      <c r="K430" s="12">
        <v>33291</v>
      </c>
      <c r="L430" s="15" t="s">
        <v>11</v>
      </c>
      <c r="M430" s="14"/>
      <c r="N430" s="14"/>
    </row>
    <row r="431" spans="1:14" ht="22.5" customHeight="1">
      <c r="A431" s="8">
        <v>45994.438271030092</v>
      </c>
      <c r="B431" s="9" t="s">
        <v>14</v>
      </c>
      <c r="C431" s="9" t="s">
        <v>15</v>
      </c>
      <c r="D431" s="9" t="s">
        <v>992</v>
      </c>
      <c r="E431" s="10" t="s">
        <v>17</v>
      </c>
      <c r="F431" s="18">
        <v>31</v>
      </c>
      <c r="G431" s="11">
        <v>8108725662</v>
      </c>
      <c r="H431" s="10" t="s">
        <v>993</v>
      </c>
      <c r="I431" s="10" t="s">
        <v>49</v>
      </c>
      <c r="J431" s="10" t="s">
        <v>246</v>
      </c>
      <c r="K431" s="12">
        <v>45994</v>
      </c>
      <c r="L431" s="15" t="s">
        <v>11</v>
      </c>
      <c r="M431" s="14"/>
      <c r="N431" s="14"/>
    </row>
    <row r="432" spans="1:14" ht="22.5" customHeight="1">
      <c r="A432" s="8">
        <v>45994.438495752314</v>
      </c>
      <c r="B432" s="9" t="s">
        <v>14</v>
      </c>
      <c r="C432" s="9" t="s">
        <v>15</v>
      </c>
      <c r="D432" s="9" t="s">
        <v>994</v>
      </c>
      <c r="E432" s="10" t="s">
        <v>22</v>
      </c>
      <c r="F432" s="10">
        <v>28</v>
      </c>
      <c r="G432" s="11">
        <v>9037713100</v>
      </c>
      <c r="H432" s="10" t="s">
        <v>995</v>
      </c>
      <c r="I432" s="10" t="s">
        <v>49</v>
      </c>
      <c r="J432" s="10" t="s">
        <v>996</v>
      </c>
      <c r="K432" s="12">
        <v>45994</v>
      </c>
      <c r="L432" s="15" t="s">
        <v>11</v>
      </c>
      <c r="M432" s="14"/>
      <c r="N432" s="14"/>
    </row>
    <row r="433" spans="1:14" ht="22.5" customHeight="1">
      <c r="A433" s="8">
        <v>45994.441811550925</v>
      </c>
      <c r="B433" s="9" t="s">
        <v>14</v>
      </c>
      <c r="C433" s="9" t="s">
        <v>15</v>
      </c>
      <c r="D433" s="9" t="s">
        <v>997</v>
      </c>
      <c r="E433" s="10" t="s">
        <v>22</v>
      </c>
      <c r="F433" s="10">
        <v>34</v>
      </c>
      <c r="G433" s="11">
        <v>7031381123</v>
      </c>
      <c r="H433" s="10" t="s">
        <v>998</v>
      </c>
      <c r="I433" s="10" t="s">
        <v>49</v>
      </c>
      <c r="J433" s="10" t="s">
        <v>50</v>
      </c>
      <c r="K433" s="12">
        <v>45994</v>
      </c>
      <c r="L433" s="15" t="s">
        <v>11</v>
      </c>
      <c r="M433" s="14"/>
      <c r="N433" s="14"/>
    </row>
    <row r="434" spans="1:14" ht="22.5" customHeight="1">
      <c r="A434" s="8">
        <v>45994.448394074076</v>
      </c>
      <c r="B434" s="9" t="s">
        <v>14</v>
      </c>
      <c r="C434" s="9" t="s">
        <v>15</v>
      </c>
      <c r="D434" s="9" t="s">
        <v>999</v>
      </c>
      <c r="E434" s="10" t="s">
        <v>17</v>
      </c>
      <c r="F434" s="10">
        <v>29</v>
      </c>
      <c r="G434" s="11">
        <v>8145379267</v>
      </c>
      <c r="H434" s="10" t="s">
        <v>1000</v>
      </c>
      <c r="I434" s="10" t="s">
        <v>49</v>
      </c>
      <c r="J434" s="10" t="s">
        <v>1001</v>
      </c>
      <c r="K434" s="12">
        <v>45994</v>
      </c>
      <c r="L434" s="15" t="s">
        <v>11</v>
      </c>
      <c r="M434" s="14"/>
      <c r="N434" s="14"/>
    </row>
    <row r="435" spans="1:14" ht="22.5" customHeight="1">
      <c r="A435" s="8">
        <v>45994.4487796412</v>
      </c>
      <c r="B435" s="9" t="s">
        <v>14</v>
      </c>
      <c r="C435" s="9" t="s">
        <v>15</v>
      </c>
      <c r="D435" s="9" t="s">
        <v>1002</v>
      </c>
      <c r="E435" s="10" t="s">
        <v>17</v>
      </c>
      <c r="F435" s="10">
        <v>27</v>
      </c>
      <c r="G435" s="11">
        <v>9060289499</v>
      </c>
      <c r="H435" s="10" t="s">
        <v>1003</v>
      </c>
      <c r="I435" s="10" t="s">
        <v>49</v>
      </c>
      <c r="J435" s="10" t="s">
        <v>1004</v>
      </c>
      <c r="K435" s="12">
        <v>45994</v>
      </c>
      <c r="L435" s="15" t="s">
        <v>11</v>
      </c>
      <c r="M435" s="14"/>
      <c r="N435" s="14"/>
    </row>
    <row r="436" spans="1:14" ht="22.5" customHeight="1">
      <c r="A436" s="8">
        <v>45994.451028587966</v>
      </c>
      <c r="B436" s="9" t="s">
        <v>14</v>
      </c>
      <c r="C436" s="9" t="s">
        <v>15</v>
      </c>
      <c r="D436" s="9" t="s">
        <v>1005</v>
      </c>
      <c r="E436" s="10" t="s">
        <v>22</v>
      </c>
      <c r="F436" s="10">
        <v>30</v>
      </c>
      <c r="G436" s="11">
        <v>7061602575</v>
      </c>
      <c r="H436" s="10" t="s">
        <v>1006</v>
      </c>
      <c r="I436" s="10" t="s">
        <v>45</v>
      </c>
      <c r="J436" s="10" t="s">
        <v>46</v>
      </c>
      <c r="K436" s="12">
        <v>45994</v>
      </c>
      <c r="L436" s="15" t="s">
        <v>11</v>
      </c>
      <c r="M436" s="14"/>
      <c r="N436" s="14"/>
    </row>
    <row r="437" spans="1:14" ht="22.5" customHeight="1">
      <c r="A437" s="8">
        <v>45994.454814467594</v>
      </c>
      <c r="B437" s="9" t="s">
        <v>14</v>
      </c>
      <c r="C437" s="9" t="s">
        <v>15</v>
      </c>
      <c r="D437" s="9" t="s">
        <v>1007</v>
      </c>
      <c r="E437" s="10" t="s">
        <v>22</v>
      </c>
      <c r="F437" s="10">
        <v>30</v>
      </c>
      <c r="G437" s="11">
        <v>8106460397</v>
      </c>
      <c r="H437" s="10" t="s">
        <v>1008</v>
      </c>
      <c r="I437" s="10" t="s">
        <v>49</v>
      </c>
      <c r="J437" s="10" t="s">
        <v>50</v>
      </c>
      <c r="K437" s="12">
        <v>45994</v>
      </c>
      <c r="L437" s="15" t="s">
        <v>11</v>
      </c>
      <c r="M437" s="14"/>
      <c r="N437" s="14"/>
    </row>
    <row r="438" spans="1:14" ht="22.5" customHeight="1">
      <c r="A438" s="8">
        <v>45994.456275590273</v>
      </c>
      <c r="B438" s="9" t="s">
        <v>14</v>
      </c>
      <c r="C438" s="9" t="s">
        <v>15</v>
      </c>
      <c r="D438" s="9" t="s">
        <v>1009</v>
      </c>
      <c r="E438" s="10" t="s">
        <v>22</v>
      </c>
      <c r="F438" s="10">
        <v>21</v>
      </c>
      <c r="G438" s="11">
        <v>8160368834</v>
      </c>
      <c r="H438" s="10" t="s">
        <v>1010</v>
      </c>
      <c r="I438" s="10" t="s">
        <v>49</v>
      </c>
      <c r="J438" s="10" t="s">
        <v>1011</v>
      </c>
      <c r="K438" s="12">
        <v>45994</v>
      </c>
      <c r="L438" s="15" t="s">
        <v>11</v>
      </c>
      <c r="M438" s="14"/>
      <c r="N438" s="14"/>
    </row>
    <row r="439" spans="1:14" ht="22.5" customHeight="1">
      <c r="A439" s="8">
        <v>45994.457908530094</v>
      </c>
      <c r="B439" s="9" t="s">
        <v>14</v>
      </c>
      <c r="C439" s="9" t="s">
        <v>15</v>
      </c>
      <c r="D439" s="9" t="s">
        <v>1012</v>
      </c>
      <c r="E439" s="10" t="s">
        <v>17</v>
      </c>
      <c r="F439" s="10">
        <v>19</v>
      </c>
      <c r="G439" s="11">
        <v>9015082756</v>
      </c>
      <c r="H439" s="10" t="s">
        <v>1013</v>
      </c>
      <c r="I439" s="10" t="s">
        <v>49</v>
      </c>
      <c r="J439" s="10" t="s">
        <v>73</v>
      </c>
      <c r="K439" s="12">
        <v>45994</v>
      </c>
      <c r="L439" s="15" t="s">
        <v>11</v>
      </c>
      <c r="M439" s="14"/>
      <c r="N439" s="14"/>
    </row>
    <row r="440" spans="1:14" ht="22.5" customHeight="1">
      <c r="A440" s="8">
        <v>45994.459541226854</v>
      </c>
      <c r="B440" s="9" t="s">
        <v>14</v>
      </c>
      <c r="C440" s="9" t="s">
        <v>15</v>
      </c>
      <c r="D440" s="9" t="s">
        <v>1014</v>
      </c>
      <c r="E440" s="10" t="s">
        <v>22</v>
      </c>
      <c r="F440" s="10">
        <v>27</v>
      </c>
      <c r="G440" s="11">
        <v>9069277467</v>
      </c>
      <c r="H440" s="10" t="s">
        <v>1015</v>
      </c>
      <c r="I440" s="10" t="s">
        <v>49</v>
      </c>
      <c r="J440" s="10" t="s">
        <v>208</v>
      </c>
      <c r="K440" s="12">
        <v>45994</v>
      </c>
      <c r="L440" s="15" t="s">
        <v>11</v>
      </c>
      <c r="M440" s="14"/>
      <c r="N440" s="14"/>
    </row>
    <row r="441" spans="1:14" ht="22.5" customHeight="1">
      <c r="A441" s="8">
        <v>45994.465291157409</v>
      </c>
      <c r="B441" s="9" t="s">
        <v>14</v>
      </c>
      <c r="C441" s="9" t="s">
        <v>15</v>
      </c>
      <c r="D441" s="9" t="s">
        <v>1016</v>
      </c>
      <c r="E441" s="10" t="s">
        <v>17</v>
      </c>
      <c r="F441" s="10">
        <v>25</v>
      </c>
      <c r="G441" s="11">
        <v>9039494699</v>
      </c>
      <c r="H441" s="10" t="s">
        <v>1017</v>
      </c>
      <c r="I441" s="10" t="s">
        <v>27</v>
      </c>
      <c r="J441" s="10" t="s">
        <v>70</v>
      </c>
      <c r="K441" s="12">
        <v>45994</v>
      </c>
      <c r="L441" s="15" t="s">
        <v>11</v>
      </c>
      <c r="M441" s="14"/>
      <c r="N441" s="14"/>
    </row>
    <row r="442" spans="1:14" ht="22.5" customHeight="1">
      <c r="A442" s="8">
        <v>45994.466037777776</v>
      </c>
      <c r="B442" s="9" t="s">
        <v>14</v>
      </c>
      <c r="C442" s="9" t="s">
        <v>15</v>
      </c>
      <c r="D442" s="9" t="s">
        <v>1018</v>
      </c>
      <c r="E442" s="10" t="s">
        <v>17</v>
      </c>
      <c r="F442" s="10">
        <v>29</v>
      </c>
      <c r="G442" s="11">
        <v>8032869553</v>
      </c>
      <c r="H442" s="10" t="s">
        <v>1019</v>
      </c>
      <c r="I442" s="10" t="s">
        <v>49</v>
      </c>
      <c r="J442" s="10" t="s">
        <v>109</v>
      </c>
      <c r="K442" s="12">
        <v>45994</v>
      </c>
      <c r="L442" s="15" t="s">
        <v>11</v>
      </c>
      <c r="M442" s="14"/>
      <c r="N442" s="14"/>
    </row>
    <row r="443" spans="1:14" ht="22.5" customHeight="1">
      <c r="A443" s="8">
        <v>45994.471685150464</v>
      </c>
      <c r="B443" s="9" t="s">
        <v>14</v>
      </c>
      <c r="C443" s="9" t="s">
        <v>15</v>
      </c>
      <c r="D443" s="9" t="s">
        <v>1020</v>
      </c>
      <c r="E443" s="10" t="s">
        <v>17</v>
      </c>
      <c r="F443" s="10">
        <v>23</v>
      </c>
      <c r="G443" s="11">
        <v>8074541959</v>
      </c>
      <c r="H443" s="10" t="s">
        <v>1021</v>
      </c>
      <c r="I443" s="10" t="s">
        <v>49</v>
      </c>
      <c r="J443" s="10" t="s">
        <v>434</v>
      </c>
      <c r="K443" s="12">
        <v>45994</v>
      </c>
      <c r="L443" s="15" t="s">
        <v>11</v>
      </c>
      <c r="M443" s="14"/>
      <c r="N443" s="14"/>
    </row>
    <row r="444" spans="1:14" ht="22.5" customHeight="1">
      <c r="A444" s="8">
        <v>45994.47640373843</v>
      </c>
      <c r="B444" s="9" t="s">
        <v>14</v>
      </c>
      <c r="C444" s="9" t="s">
        <v>15</v>
      </c>
      <c r="D444" s="9" t="s">
        <v>1022</v>
      </c>
      <c r="E444" s="10" t="s">
        <v>22</v>
      </c>
      <c r="F444" s="10">
        <v>30</v>
      </c>
      <c r="G444" s="11">
        <v>9034375696</v>
      </c>
      <c r="H444" s="10" t="s">
        <v>1023</v>
      </c>
      <c r="I444" s="10" t="s">
        <v>49</v>
      </c>
      <c r="J444" s="10" t="s">
        <v>50</v>
      </c>
      <c r="K444" s="12">
        <v>45994</v>
      </c>
      <c r="L444" s="15" t="s">
        <v>11</v>
      </c>
      <c r="M444" s="14"/>
      <c r="N444" s="14"/>
    </row>
    <row r="445" spans="1:14" ht="22.5" customHeight="1">
      <c r="A445" s="8">
        <v>45994.486439062501</v>
      </c>
      <c r="B445" s="9" t="s">
        <v>14</v>
      </c>
      <c r="C445" s="9" t="s">
        <v>15</v>
      </c>
      <c r="D445" s="9" t="s">
        <v>1024</v>
      </c>
      <c r="E445" s="10" t="s">
        <v>17</v>
      </c>
      <c r="F445" s="10">
        <v>33</v>
      </c>
      <c r="G445" s="11">
        <v>9060432828</v>
      </c>
      <c r="H445" s="10" t="s">
        <v>1025</v>
      </c>
      <c r="I445" s="10" t="s">
        <v>27</v>
      </c>
      <c r="J445" s="10" t="s">
        <v>67</v>
      </c>
      <c r="K445" s="12">
        <v>33702</v>
      </c>
      <c r="L445" s="15" t="s">
        <v>11</v>
      </c>
      <c r="M445" s="10"/>
      <c r="N445" s="14"/>
    </row>
    <row r="446" spans="1:14" ht="22.5" customHeight="1">
      <c r="A446" s="8">
        <v>45994.496779108798</v>
      </c>
      <c r="B446" s="9" t="s">
        <v>14</v>
      </c>
      <c r="C446" s="9" t="s">
        <v>15</v>
      </c>
      <c r="D446" s="9" t="s">
        <v>1026</v>
      </c>
      <c r="E446" s="10" t="s">
        <v>17</v>
      </c>
      <c r="F446" s="10">
        <v>32</v>
      </c>
      <c r="G446" s="11">
        <v>7034224624</v>
      </c>
      <c r="H446" s="10" t="s">
        <v>1027</v>
      </c>
      <c r="I446" s="10" t="s">
        <v>49</v>
      </c>
      <c r="J446" s="10" t="s">
        <v>232</v>
      </c>
      <c r="K446" s="12">
        <v>45994</v>
      </c>
      <c r="L446" s="15" t="s">
        <v>11</v>
      </c>
      <c r="M446" s="14"/>
      <c r="N446" s="10" t="s">
        <v>1028</v>
      </c>
    </row>
    <row r="447" spans="1:14" ht="22.5" customHeight="1">
      <c r="A447" s="8">
        <v>45994.500643344909</v>
      </c>
      <c r="B447" s="9" t="s">
        <v>14</v>
      </c>
      <c r="C447" s="9" t="s">
        <v>15</v>
      </c>
      <c r="D447" s="9" t="s">
        <v>1029</v>
      </c>
      <c r="E447" s="10" t="s">
        <v>17</v>
      </c>
      <c r="F447" s="10">
        <v>26</v>
      </c>
      <c r="G447" s="11">
        <v>9063700043</v>
      </c>
      <c r="H447" s="10" t="s">
        <v>1030</v>
      </c>
      <c r="I447" s="10" t="s">
        <v>49</v>
      </c>
      <c r="J447" s="10" t="s">
        <v>362</v>
      </c>
      <c r="K447" s="12">
        <v>45994</v>
      </c>
      <c r="L447" s="15" t="s">
        <v>11</v>
      </c>
      <c r="M447" s="14"/>
      <c r="N447" s="10" t="s">
        <v>1028</v>
      </c>
    </row>
    <row r="448" spans="1:14" ht="22.5" customHeight="1">
      <c r="A448" s="8">
        <v>45994.50353736111</v>
      </c>
      <c r="B448" s="9" t="s">
        <v>14</v>
      </c>
      <c r="C448" s="9" t="s">
        <v>15</v>
      </c>
      <c r="D448" s="9" t="s">
        <v>888</v>
      </c>
      <c r="E448" s="10" t="s">
        <v>17</v>
      </c>
      <c r="F448" s="10">
        <v>25</v>
      </c>
      <c r="G448" s="11">
        <v>8082735003</v>
      </c>
      <c r="H448" s="10" t="s">
        <v>889</v>
      </c>
      <c r="I448" s="10" t="s">
        <v>49</v>
      </c>
      <c r="J448" s="10" t="s">
        <v>109</v>
      </c>
      <c r="K448" s="12">
        <v>45994</v>
      </c>
      <c r="L448" s="15" t="s">
        <v>11</v>
      </c>
      <c r="M448" s="14"/>
      <c r="N448" s="10" t="s">
        <v>1028</v>
      </c>
    </row>
    <row r="449" spans="1:14" ht="22.5" customHeight="1">
      <c r="A449" s="8">
        <v>45994.507490856486</v>
      </c>
      <c r="B449" s="9" t="s">
        <v>14</v>
      </c>
      <c r="C449" s="9" t="s">
        <v>15</v>
      </c>
      <c r="D449" s="9" t="s">
        <v>1031</v>
      </c>
      <c r="E449" s="10" t="s">
        <v>17</v>
      </c>
      <c r="F449" s="10">
        <v>39</v>
      </c>
      <c r="G449" s="11">
        <v>8166006108</v>
      </c>
      <c r="H449" s="10" t="s">
        <v>1032</v>
      </c>
      <c r="I449" s="10" t="s">
        <v>49</v>
      </c>
      <c r="J449" s="10" t="s">
        <v>106</v>
      </c>
      <c r="K449" s="12">
        <v>45994</v>
      </c>
      <c r="L449" s="15" t="s">
        <v>11</v>
      </c>
      <c r="M449" s="10"/>
      <c r="N449" s="10" t="s">
        <v>1028</v>
      </c>
    </row>
    <row r="450" spans="1:14" ht="22.5" customHeight="1">
      <c r="A450" s="8">
        <v>45994.526156319444</v>
      </c>
      <c r="B450" s="9" t="s">
        <v>14</v>
      </c>
      <c r="C450" s="9" t="s">
        <v>15</v>
      </c>
      <c r="D450" s="9" t="s">
        <v>1033</v>
      </c>
      <c r="E450" s="10" t="s">
        <v>17</v>
      </c>
      <c r="F450" s="10">
        <v>25</v>
      </c>
      <c r="G450" s="11">
        <f t="shared" ref="G450" si="7">2348119835154</f>
        <v>2348119835154</v>
      </c>
      <c r="H450" s="10" t="s">
        <v>1034</v>
      </c>
      <c r="I450" s="10" t="s">
        <v>49</v>
      </c>
      <c r="J450" s="10" t="s">
        <v>106</v>
      </c>
      <c r="K450" s="12">
        <v>45994</v>
      </c>
      <c r="L450" s="15" t="s">
        <v>11</v>
      </c>
      <c r="M450" s="14"/>
      <c r="N450" s="10" t="s">
        <v>1035</v>
      </c>
    </row>
    <row r="451" spans="1:14" ht="22.5" customHeight="1">
      <c r="A451" s="8">
        <v>45994.575546539352</v>
      </c>
      <c r="B451" s="9" t="s">
        <v>14</v>
      </c>
      <c r="C451" s="9" t="s">
        <v>15</v>
      </c>
      <c r="D451" s="9" t="s">
        <v>1036</v>
      </c>
      <c r="E451" s="10" t="s">
        <v>22</v>
      </c>
      <c r="F451" s="10">
        <v>31</v>
      </c>
      <c r="G451" s="11">
        <v>7061182291</v>
      </c>
      <c r="H451" s="10" t="s">
        <v>1037</v>
      </c>
      <c r="I451" s="10" t="s">
        <v>49</v>
      </c>
      <c r="J451" s="10" t="s">
        <v>50</v>
      </c>
      <c r="K451" s="12">
        <v>45994</v>
      </c>
      <c r="L451" s="15" t="s">
        <v>11</v>
      </c>
      <c r="M451" s="14"/>
      <c r="N451" s="10" t="s">
        <v>1028</v>
      </c>
    </row>
    <row r="452" spans="1:14" ht="22.5" customHeight="1">
      <c r="A452" s="8">
        <v>45994.581725891199</v>
      </c>
      <c r="B452" s="9" t="s">
        <v>14</v>
      </c>
      <c r="C452" s="9" t="s">
        <v>15</v>
      </c>
      <c r="D452" s="9" t="s">
        <v>1038</v>
      </c>
      <c r="E452" s="10" t="s">
        <v>17</v>
      </c>
      <c r="F452" s="10">
        <v>38</v>
      </c>
      <c r="G452" s="11">
        <v>7065918713</v>
      </c>
      <c r="H452" s="10" t="s">
        <v>1039</v>
      </c>
      <c r="I452" s="10" t="s">
        <v>49</v>
      </c>
      <c r="J452" s="10" t="s">
        <v>246</v>
      </c>
      <c r="K452" s="12">
        <v>45994</v>
      </c>
      <c r="L452" s="15" t="s">
        <v>11</v>
      </c>
      <c r="M452" s="14"/>
      <c r="N452" s="10" t="s">
        <v>1028</v>
      </c>
    </row>
    <row r="453" spans="1:14" ht="22.5" customHeight="1">
      <c r="A453" s="8">
        <v>45994.581779328699</v>
      </c>
      <c r="B453" s="9" t="s">
        <v>14</v>
      </c>
      <c r="C453" s="9" t="s">
        <v>15</v>
      </c>
      <c r="D453" s="9" t="s">
        <v>1040</v>
      </c>
      <c r="E453" s="10" t="s">
        <v>22</v>
      </c>
      <c r="F453" s="10">
        <v>25</v>
      </c>
      <c r="G453" s="11">
        <v>9035863148</v>
      </c>
      <c r="H453" s="10" t="s">
        <v>1041</v>
      </c>
      <c r="I453" s="10" t="s">
        <v>49</v>
      </c>
      <c r="J453" s="10" t="s">
        <v>50</v>
      </c>
      <c r="K453" s="12">
        <v>45994</v>
      </c>
      <c r="L453" s="15" t="s">
        <v>11</v>
      </c>
      <c r="M453" s="14"/>
      <c r="N453" s="10" t="s">
        <v>1028</v>
      </c>
    </row>
    <row r="454" spans="1:14" ht="22.5" customHeight="1">
      <c r="A454" s="8">
        <v>45994.58486855324</v>
      </c>
      <c r="B454" s="9" t="s">
        <v>14</v>
      </c>
      <c r="C454" s="9" t="s">
        <v>15</v>
      </c>
      <c r="D454" s="9" t="s">
        <v>1042</v>
      </c>
      <c r="E454" s="10" t="s">
        <v>22</v>
      </c>
      <c r="F454" s="10">
        <v>29</v>
      </c>
      <c r="G454" s="11">
        <v>9134845905</v>
      </c>
      <c r="H454" s="10" t="s">
        <v>1043</v>
      </c>
      <c r="I454" s="10" t="s">
        <v>45</v>
      </c>
      <c r="J454" s="10" t="s">
        <v>1044</v>
      </c>
      <c r="K454" s="12">
        <v>45994</v>
      </c>
      <c r="L454" s="15" t="s">
        <v>11</v>
      </c>
      <c r="M454" s="14"/>
      <c r="N454" s="10" t="s">
        <v>1028</v>
      </c>
    </row>
    <row r="455" spans="1:14" ht="22.5" customHeight="1">
      <c r="A455" s="8">
        <v>45994.599876111111</v>
      </c>
      <c r="B455" s="9" t="s">
        <v>14</v>
      </c>
      <c r="C455" s="9" t="s">
        <v>15</v>
      </c>
      <c r="D455" s="9" t="s">
        <v>1045</v>
      </c>
      <c r="E455" s="10" t="s">
        <v>17</v>
      </c>
      <c r="F455" s="10">
        <v>31</v>
      </c>
      <c r="G455" s="11">
        <v>8032675266</v>
      </c>
      <c r="H455" s="10" t="s">
        <v>1046</v>
      </c>
      <c r="I455" s="10" t="s">
        <v>49</v>
      </c>
      <c r="J455" s="10" t="s">
        <v>232</v>
      </c>
      <c r="K455" s="12">
        <v>45994</v>
      </c>
      <c r="L455" s="15" t="s">
        <v>11</v>
      </c>
      <c r="M455" s="14"/>
      <c r="N455" s="10" t="s">
        <v>1028</v>
      </c>
    </row>
    <row r="456" spans="1:14" ht="22.5" customHeight="1">
      <c r="A456" s="8">
        <v>45994.616649201387</v>
      </c>
      <c r="B456" s="9" t="s">
        <v>14</v>
      </c>
      <c r="C456" s="9" t="s">
        <v>15</v>
      </c>
      <c r="D456" s="9" t="s">
        <v>1047</v>
      </c>
      <c r="E456" s="10" t="s">
        <v>22</v>
      </c>
      <c r="F456" s="10">
        <v>25</v>
      </c>
      <c r="G456" s="11">
        <v>9034017295</v>
      </c>
      <c r="H456" s="10" t="s">
        <v>1048</v>
      </c>
      <c r="I456" s="10" t="s">
        <v>45</v>
      </c>
      <c r="J456" s="10" t="s">
        <v>1049</v>
      </c>
      <c r="K456" s="12">
        <v>45994</v>
      </c>
      <c r="L456" s="15" t="s">
        <v>11</v>
      </c>
      <c r="M456" s="14"/>
      <c r="N456" s="10" t="s">
        <v>1028</v>
      </c>
    </row>
    <row r="457" spans="1:14" ht="22.5" customHeight="1">
      <c r="A457" s="8">
        <v>45994.625969224537</v>
      </c>
      <c r="B457" s="9" t="s">
        <v>14</v>
      </c>
      <c r="C457" s="9" t="s">
        <v>15</v>
      </c>
      <c r="D457" s="9" t="s">
        <v>1050</v>
      </c>
      <c r="E457" s="10" t="s">
        <v>17</v>
      </c>
      <c r="F457" s="10">
        <v>39</v>
      </c>
      <c r="G457" s="11">
        <v>8135710349</v>
      </c>
      <c r="H457" s="10" t="s">
        <v>1051</v>
      </c>
      <c r="I457" s="10" t="s">
        <v>49</v>
      </c>
      <c r="J457" s="10" t="s">
        <v>1052</v>
      </c>
      <c r="K457" s="12">
        <v>31478</v>
      </c>
      <c r="L457" s="15" t="s">
        <v>11</v>
      </c>
      <c r="M457" s="14"/>
      <c r="N457" s="10" t="s">
        <v>1028</v>
      </c>
    </row>
    <row r="458" spans="1:14" ht="22.5" customHeight="1">
      <c r="A458" s="8">
        <v>45994.63907193287</v>
      </c>
      <c r="B458" s="9" t="s">
        <v>14</v>
      </c>
      <c r="C458" s="9" t="s">
        <v>15</v>
      </c>
      <c r="D458" s="9" t="s">
        <v>1053</v>
      </c>
      <c r="E458" s="10" t="s">
        <v>17</v>
      </c>
      <c r="F458" s="10">
        <v>24</v>
      </c>
      <c r="G458" s="11">
        <v>7061720426</v>
      </c>
      <c r="H458" s="10" t="s">
        <v>1054</v>
      </c>
      <c r="I458" s="10" t="s">
        <v>27</v>
      </c>
      <c r="J458" s="10" t="s">
        <v>1055</v>
      </c>
      <c r="K458" s="12">
        <v>45994</v>
      </c>
      <c r="L458" s="15" t="s">
        <v>11</v>
      </c>
      <c r="M458" s="14"/>
      <c r="N458" s="10" t="s">
        <v>1028</v>
      </c>
    </row>
    <row r="459" spans="1:14" ht="22.5" customHeight="1">
      <c r="A459" s="8">
        <v>45994.639688379626</v>
      </c>
      <c r="B459" s="9" t="s">
        <v>14</v>
      </c>
      <c r="C459" s="9" t="s">
        <v>15</v>
      </c>
      <c r="D459" s="9" t="s">
        <v>1056</v>
      </c>
      <c r="E459" s="10" t="s">
        <v>22</v>
      </c>
      <c r="F459" s="10">
        <v>52</v>
      </c>
      <c r="G459" s="11">
        <v>8036915022</v>
      </c>
      <c r="H459" s="10" t="s">
        <v>1057</v>
      </c>
      <c r="I459" s="10" t="s">
        <v>49</v>
      </c>
      <c r="J459" s="10" t="s">
        <v>106</v>
      </c>
      <c r="K459" s="12">
        <v>45994</v>
      </c>
      <c r="L459" s="15" t="s">
        <v>11</v>
      </c>
      <c r="M459" s="14"/>
      <c r="N459" s="10" t="s">
        <v>1028</v>
      </c>
    </row>
    <row r="460" spans="1:14" ht="22.5" customHeight="1">
      <c r="A460" s="8">
        <v>45994.642957812495</v>
      </c>
      <c r="B460" s="9" t="s">
        <v>14</v>
      </c>
      <c r="C460" s="9" t="s">
        <v>15</v>
      </c>
      <c r="D460" s="9" t="s">
        <v>1058</v>
      </c>
      <c r="E460" s="10" t="s">
        <v>22</v>
      </c>
      <c r="F460" s="10">
        <v>18</v>
      </c>
      <c r="G460" s="11">
        <v>7040288743</v>
      </c>
      <c r="H460" s="10" t="s">
        <v>1059</v>
      </c>
      <c r="I460" s="10" t="s">
        <v>49</v>
      </c>
      <c r="J460" s="10" t="s">
        <v>160</v>
      </c>
      <c r="K460" s="12">
        <v>45994</v>
      </c>
      <c r="L460" s="15" t="s">
        <v>11</v>
      </c>
      <c r="M460" s="14"/>
      <c r="N460" s="10" t="s">
        <v>1028</v>
      </c>
    </row>
    <row r="461" spans="1:14" ht="22.5" customHeight="1">
      <c r="A461" s="8">
        <v>45994.671376145838</v>
      </c>
      <c r="B461" s="9" t="s">
        <v>14</v>
      </c>
      <c r="C461" s="9" t="s">
        <v>15</v>
      </c>
      <c r="D461" s="9" t="s">
        <v>1060</v>
      </c>
      <c r="E461" s="10" t="s">
        <v>22</v>
      </c>
      <c r="F461" s="10">
        <v>18</v>
      </c>
      <c r="G461" s="11">
        <v>8109010023</v>
      </c>
      <c r="H461" s="10" t="s">
        <v>1061</v>
      </c>
      <c r="I461" s="10" t="s">
        <v>49</v>
      </c>
      <c r="J461" s="10" t="s">
        <v>197</v>
      </c>
      <c r="K461" s="12">
        <v>45994</v>
      </c>
      <c r="L461" s="15" t="s">
        <v>11</v>
      </c>
      <c r="M461" s="14"/>
      <c r="N461" s="10" t="s">
        <v>1028</v>
      </c>
    </row>
    <row r="462" spans="1:14" ht="22.5" customHeight="1">
      <c r="A462" s="8">
        <v>45994.679059814815</v>
      </c>
      <c r="B462" s="9" t="s">
        <v>14</v>
      </c>
      <c r="C462" s="9" t="s">
        <v>15</v>
      </c>
      <c r="D462" s="9" t="s">
        <v>1062</v>
      </c>
      <c r="E462" s="10" t="s">
        <v>17</v>
      </c>
      <c r="F462" s="10">
        <v>25</v>
      </c>
      <c r="G462" s="11">
        <v>8138835461</v>
      </c>
      <c r="H462" s="10" t="s">
        <v>1063</v>
      </c>
      <c r="I462" s="10" t="s">
        <v>49</v>
      </c>
      <c r="J462" s="10" t="s">
        <v>103</v>
      </c>
      <c r="K462" s="12">
        <v>45994</v>
      </c>
      <c r="L462" s="15" t="s">
        <v>11</v>
      </c>
      <c r="M462" s="14"/>
      <c r="N462" s="10" t="s">
        <v>1028</v>
      </c>
    </row>
    <row r="463" spans="1:14" ht="22.5" customHeight="1">
      <c r="A463" s="8">
        <v>45994.691198749999</v>
      </c>
      <c r="B463" s="9" t="s">
        <v>14</v>
      </c>
      <c r="C463" s="9" t="s">
        <v>15</v>
      </c>
      <c r="D463" s="9" t="s">
        <v>1064</v>
      </c>
      <c r="E463" s="10" t="s">
        <v>22</v>
      </c>
      <c r="F463" s="10">
        <v>24</v>
      </c>
      <c r="G463" s="11">
        <v>9076186149</v>
      </c>
      <c r="H463" s="10" t="s">
        <v>1065</v>
      </c>
      <c r="I463" s="10" t="s">
        <v>49</v>
      </c>
      <c r="J463" s="10" t="s">
        <v>362</v>
      </c>
      <c r="K463" s="12">
        <v>45994</v>
      </c>
      <c r="L463" s="15" t="s">
        <v>11</v>
      </c>
      <c r="M463" s="14"/>
      <c r="N463" s="10" t="s">
        <v>1028</v>
      </c>
    </row>
    <row r="464" spans="1:14" ht="22.5" customHeight="1">
      <c r="A464" s="8">
        <v>45994.698945555559</v>
      </c>
      <c r="B464" s="9" t="s">
        <v>14</v>
      </c>
      <c r="C464" s="9" t="s">
        <v>15</v>
      </c>
      <c r="D464" s="9" t="s">
        <v>1066</v>
      </c>
      <c r="E464" s="10" t="s">
        <v>22</v>
      </c>
      <c r="F464" s="19">
        <v>18</v>
      </c>
      <c r="G464" s="11">
        <v>8106967256</v>
      </c>
      <c r="H464" s="10" t="s">
        <v>1067</v>
      </c>
      <c r="I464" s="10" t="s">
        <v>49</v>
      </c>
      <c r="J464" s="10" t="s">
        <v>160</v>
      </c>
      <c r="K464" s="12">
        <v>45994</v>
      </c>
      <c r="L464" s="15" t="s">
        <v>11</v>
      </c>
      <c r="M464" s="10"/>
      <c r="N464" s="10" t="s">
        <v>1028</v>
      </c>
    </row>
    <row r="465" spans="1:14" ht="22.5" customHeight="1">
      <c r="A465" s="8">
        <v>45994.704837939818</v>
      </c>
      <c r="B465" s="9" t="s">
        <v>14</v>
      </c>
      <c r="C465" s="9" t="s">
        <v>15</v>
      </c>
      <c r="D465" s="9" t="s">
        <v>1068</v>
      </c>
      <c r="E465" s="10" t="s">
        <v>17</v>
      </c>
      <c r="F465" s="10">
        <v>35</v>
      </c>
      <c r="G465" s="11">
        <v>8060885996</v>
      </c>
      <c r="H465" s="10" t="s">
        <v>1069</v>
      </c>
      <c r="I465" s="10" t="s">
        <v>49</v>
      </c>
      <c r="J465" s="10" t="s">
        <v>1070</v>
      </c>
      <c r="K465" s="12">
        <v>45994</v>
      </c>
      <c r="L465" s="15" t="s">
        <v>11</v>
      </c>
      <c r="M465" s="14"/>
      <c r="N465" s="10" t="s">
        <v>1028</v>
      </c>
    </row>
    <row r="466" spans="1:14" ht="22.5" customHeight="1">
      <c r="A466" s="8">
        <v>45994.72950883102</v>
      </c>
      <c r="B466" s="9" t="s">
        <v>14</v>
      </c>
      <c r="C466" s="9" t="s">
        <v>15</v>
      </c>
      <c r="D466" s="9" t="s">
        <v>1071</v>
      </c>
      <c r="E466" s="10" t="s">
        <v>22</v>
      </c>
      <c r="F466" s="10">
        <v>25</v>
      </c>
      <c r="G466" s="11">
        <v>9034318759</v>
      </c>
      <c r="H466" s="10" t="s">
        <v>1072</v>
      </c>
      <c r="I466" s="10" t="s">
        <v>49</v>
      </c>
      <c r="J466" s="10" t="s">
        <v>282</v>
      </c>
      <c r="K466" s="12">
        <v>45994</v>
      </c>
      <c r="L466" s="15" t="s">
        <v>11</v>
      </c>
      <c r="M466" s="10"/>
      <c r="N466" s="10" t="s">
        <v>1028</v>
      </c>
    </row>
    <row r="467" spans="1:14" ht="22.5" customHeight="1">
      <c r="A467" s="8">
        <v>45994.733581770837</v>
      </c>
      <c r="B467" s="9" t="s">
        <v>14</v>
      </c>
      <c r="C467" s="9" t="s">
        <v>15</v>
      </c>
      <c r="D467" s="9" t="s">
        <v>1073</v>
      </c>
      <c r="E467" s="10" t="s">
        <v>17</v>
      </c>
      <c r="F467" s="10">
        <v>34</v>
      </c>
      <c r="G467" s="11">
        <v>7036035490</v>
      </c>
      <c r="H467" s="10" t="s">
        <v>1074</v>
      </c>
      <c r="I467" s="10" t="s">
        <v>49</v>
      </c>
      <c r="J467" s="10" t="s">
        <v>229</v>
      </c>
      <c r="K467" s="12">
        <v>45994</v>
      </c>
      <c r="L467" s="15" t="s">
        <v>11</v>
      </c>
      <c r="M467" s="14"/>
      <c r="N467" s="10" t="s">
        <v>1028</v>
      </c>
    </row>
    <row r="468" spans="1:14" ht="22.5" customHeight="1">
      <c r="A468" s="8">
        <v>45994.735978414348</v>
      </c>
      <c r="B468" s="9" t="s">
        <v>14</v>
      </c>
      <c r="C468" s="9" t="s">
        <v>15</v>
      </c>
      <c r="D468" s="9" t="s">
        <v>1075</v>
      </c>
      <c r="E468" s="10" t="s">
        <v>22</v>
      </c>
      <c r="F468" s="10">
        <v>33</v>
      </c>
      <c r="G468" s="11">
        <v>7035294631</v>
      </c>
      <c r="H468" s="10" t="s">
        <v>1076</v>
      </c>
      <c r="I468" s="10" t="s">
        <v>49</v>
      </c>
      <c r="J468" s="10" t="s">
        <v>1077</v>
      </c>
      <c r="K468" s="12">
        <v>45994</v>
      </c>
      <c r="L468" s="15" t="s">
        <v>11</v>
      </c>
      <c r="M468" s="14"/>
      <c r="N468" s="10" t="s">
        <v>1028</v>
      </c>
    </row>
    <row r="469" spans="1:14" ht="22.5" customHeight="1">
      <c r="A469" s="8">
        <v>45994.737199039351</v>
      </c>
      <c r="B469" s="9" t="s">
        <v>14</v>
      </c>
      <c r="C469" s="9" t="s">
        <v>15</v>
      </c>
      <c r="D469" s="9" t="s">
        <v>1078</v>
      </c>
      <c r="E469" s="10" t="s">
        <v>17</v>
      </c>
      <c r="F469" s="10">
        <v>30</v>
      </c>
      <c r="G469" s="11">
        <v>7026905776</v>
      </c>
      <c r="H469" s="10" t="s">
        <v>1079</v>
      </c>
      <c r="I469" s="10" t="s">
        <v>49</v>
      </c>
      <c r="J469" s="10" t="s">
        <v>757</v>
      </c>
      <c r="K469" s="12">
        <v>45994</v>
      </c>
      <c r="L469" s="15" t="s">
        <v>11</v>
      </c>
      <c r="M469" s="14"/>
      <c r="N469" s="10" t="s">
        <v>1028</v>
      </c>
    </row>
    <row r="470" spans="1:14" ht="22.5" customHeight="1">
      <c r="A470" s="8">
        <v>45994.743349421296</v>
      </c>
      <c r="B470" s="9" t="s">
        <v>14</v>
      </c>
      <c r="C470" s="9" t="s">
        <v>15</v>
      </c>
      <c r="D470" s="9" t="s">
        <v>1080</v>
      </c>
      <c r="E470" s="10" t="s">
        <v>22</v>
      </c>
      <c r="F470" s="10">
        <v>24</v>
      </c>
      <c r="G470" s="11">
        <v>8148251828</v>
      </c>
      <c r="H470" s="10" t="s">
        <v>1081</v>
      </c>
      <c r="I470" s="10" t="s">
        <v>49</v>
      </c>
      <c r="J470" s="10" t="s">
        <v>229</v>
      </c>
      <c r="K470" s="12">
        <v>45728</v>
      </c>
      <c r="L470" s="15" t="s">
        <v>11</v>
      </c>
      <c r="M470" s="14"/>
      <c r="N470" s="10" t="s">
        <v>1028</v>
      </c>
    </row>
    <row r="471" spans="1:14" ht="22.5" customHeight="1">
      <c r="A471" s="8">
        <v>45994.758628275464</v>
      </c>
      <c r="B471" s="9" t="s">
        <v>14</v>
      </c>
      <c r="C471" s="9" t="s">
        <v>15</v>
      </c>
      <c r="D471" s="9" t="s">
        <v>1082</v>
      </c>
      <c r="E471" s="10" t="s">
        <v>17</v>
      </c>
      <c r="F471" s="10">
        <v>27</v>
      </c>
      <c r="G471" s="11">
        <v>8167275593</v>
      </c>
      <c r="H471" s="10" t="s">
        <v>1083</v>
      </c>
      <c r="I471" s="10" t="s">
        <v>27</v>
      </c>
      <c r="J471" s="10" t="s">
        <v>372</v>
      </c>
      <c r="K471" s="12">
        <v>45994</v>
      </c>
      <c r="L471" s="15" t="s">
        <v>11</v>
      </c>
      <c r="M471" s="14"/>
      <c r="N471" s="10" t="s">
        <v>1028</v>
      </c>
    </row>
    <row r="472" spans="1:14" ht="22.5" customHeight="1">
      <c r="A472" s="8">
        <v>45994.780937997682</v>
      </c>
      <c r="B472" s="9" t="s">
        <v>14</v>
      </c>
      <c r="C472" s="9" t="s">
        <v>15</v>
      </c>
      <c r="D472" s="9" t="s">
        <v>1084</v>
      </c>
      <c r="E472" s="10" t="s">
        <v>17</v>
      </c>
      <c r="F472" s="10">
        <v>35</v>
      </c>
      <c r="G472" s="11">
        <v>7066435070</v>
      </c>
      <c r="H472" s="10" t="s">
        <v>1085</v>
      </c>
      <c r="I472" s="10" t="s">
        <v>49</v>
      </c>
      <c r="J472" s="10" t="s">
        <v>106</v>
      </c>
      <c r="K472" s="12">
        <v>45994</v>
      </c>
      <c r="L472" s="15" t="s">
        <v>11</v>
      </c>
      <c r="M472" s="14"/>
      <c r="N472" s="10" t="s">
        <v>1028</v>
      </c>
    </row>
    <row r="473" spans="1:14" ht="22.5" customHeight="1">
      <c r="A473" s="8">
        <v>45994.783674189814</v>
      </c>
      <c r="B473" s="9" t="s">
        <v>14</v>
      </c>
      <c r="C473" s="9" t="s">
        <v>15</v>
      </c>
      <c r="D473" s="9" t="s">
        <v>1086</v>
      </c>
      <c r="E473" s="10" t="s">
        <v>17</v>
      </c>
      <c r="F473" s="10">
        <v>29</v>
      </c>
      <c r="G473" s="11">
        <v>9126244125</v>
      </c>
      <c r="H473" s="10" t="s">
        <v>1087</v>
      </c>
      <c r="I473" s="10" t="s">
        <v>49</v>
      </c>
      <c r="J473" s="10" t="s">
        <v>60</v>
      </c>
      <c r="K473" s="12">
        <v>45994</v>
      </c>
      <c r="L473" s="15" t="s">
        <v>11</v>
      </c>
      <c r="M473" s="14"/>
      <c r="N473" s="10" t="s">
        <v>1028</v>
      </c>
    </row>
    <row r="474" spans="1:14" ht="22.5" customHeight="1">
      <c r="A474" s="8">
        <v>45994.791887002313</v>
      </c>
      <c r="B474" s="9" t="s">
        <v>14</v>
      </c>
      <c r="C474" s="9" t="s">
        <v>15</v>
      </c>
      <c r="D474" s="9" t="s">
        <v>1088</v>
      </c>
      <c r="E474" s="10" t="s">
        <v>17</v>
      </c>
      <c r="F474" s="10">
        <v>39</v>
      </c>
      <c r="G474" s="11">
        <v>8037433148</v>
      </c>
      <c r="H474" s="10" t="s">
        <v>1089</v>
      </c>
      <c r="I474" s="10" t="s">
        <v>49</v>
      </c>
      <c r="J474" s="10" t="s">
        <v>106</v>
      </c>
      <c r="K474" s="12">
        <v>45994</v>
      </c>
      <c r="L474" s="15" t="s">
        <v>11</v>
      </c>
      <c r="M474" s="10"/>
      <c r="N474" s="10" t="s">
        <v>1028</v>
      </c>
    </row>
    <row r="475" spans="1:14" ht="22.5" customHeight="1">
      <c r="A475" s="8">
        <v>45994.807130532412</v>
      </c>
      <c r="B475" s="9" t="s">
        <v>14</v>
      </c>
      <c r="C475" s="9" t="s">
        <v>15</v>
      </c>
      <c r="D475" s="9" t="s">
        <v>1090</v>
      </c>
      <c r="E475" s="10" t="s">
        <v>17</v>
      </c>
      <c r="F475" s="10">
        <v>35</v>
      </c>
      <c r="G475" s="11">
        <v>8068592215</v>
      </c>
      <c r="H475" s="10" t="s">
        <v>1091</v>
      </c>
      <c r="I475" s="10" t="s">
        <v>49</v>
      </c>
      <c r="J475" s="10" t="s">
        <v>292</v>
      </c>
      <c r="K475" s="12">
        <v>45994</v>
      </c>
      <c r="L475" s="15" t="s">
        <v>11</v>
      </c>
      <c r="M475" s="14"/>
      <c r="N475" s="10" t="s">
        <v>1028</v>
      </c>
    </row>
    <row r="476" spans="1:14" ht="22.5" customHeight="1">
      <c r="A476" s="8">
        <v>45994.80750087963</v>
      </c>
      <c r="B476" s="9" t="s">
        <v>14</v>
      </c>
      <c r="C476" s="9" t="s">
        <v>15</v>
      </c>
      <c r="D476" s="9" t="s">
        <v>1092</v>
      </c>
      <c r="E476" s="10" t="s">
        <v>17</v>
      </c>
      <c r="F476" s="10">
        <v>30</v>
      </c>
      <c r="G476" s="11">
        <v>7084538921</v>
      </c>
      <c r="H476" s="10" t="s">
        <v>1093</v>
      </c>
      <c r="I476" s="10" t="s">
        <v>49</v>
      </c>
      <c r="J476" s="10" t="s">
        <v>103</v>
      </c>
      <c r="K476" s="12">
        <v>45994</v>
      </c>
      <c r="L476" s="15" t="s">
        <v>11</v>
      </c>
      <c r="M476" s="14"/>
      <c r="N476" s="10" t="s">
        <v>1028</v>
      </c>
    </row>
    <row r="477" spans="1:14" ht="22.5" customHeight="1">
      <c r="A477" s="8">
        <v>45994.810586689811</v>
      </c>
      <c r="B477" s="9" t="s">
        <v>14</v>
      </c>
      <c r="C477" s="9" t="s">
        <v>15</v>
      </c>
      <c r="D477" s="9" t="s">
        <v>1094</v>
      </c>
      <c r="E477" s="10" t="s">
        <v>22</v>
      </c>
      <c r="F477" s="10">
        <v>30</v>
      </c>
      <c r="G477" s="11">
        <v>8160662899</v>
      </c>
      <c r="H477" s="10" t="s">
        <v>1095</v>
      </c>
      <c r="I477" s="10" t="s">
        <v>45</v>
      </c>
      <c r="J477" s="10" t="s">
        <v>46</v>
      </c>
      <c r="K477" s="12">
        <v>45994</v>
      </c>
      <c r="L477" s="15" t="s">
        <v>11</v>
      </c>
      <c r="M477" s="14"/>
      <c r="N477" s="10" t="s">
        <v>1096</v>
      </c>
    </row>
    <row r="478" spans="1:14" ht="22.5" customHeight="1">
      <c r="A478" s="8">
        <v>45994.825425208328</v>
      </c>
      <c r="B478" s="9" t="s">
        <v>14</v>
      </c>
      <c r="C478" s="9" t="s">
        <v>15</v>
      </c>
      <c r="D478" s="9" t="s">
        <v>363</v>
      </c>
      <c r="E478" s="10" t="s">
        <v>17</v>
      </c>
      <c r="F478" s="10">
        <v>24</v>
      </c>
      <c r="G478" s="11">
        <v>8163940423</v>
      </c>
      <c r="H478" s="10" t="s">
        <v>1097</v>
      </c>
      <c r="I478" s="10" t="s">
        <v>49</v>
      </c>
      <c r="J478" s="10" t="s">
        <v>109</v>
      </c>
      <c r="K478" s="12">
        <v>45994</v>
      </c>
      <c r="L478" s="15" t="s">
        <v>11</v>
      </c>
      <c r="M478" s="14"/>
      <c r="N478" s="10" t="s">
        <v>1028</v>
      </c>
    </row>
    <row r="479" spans="1:14" ht="22.5" customHeight="1">
      <c r="A479" s="8">
        <v>45994.831758206019</v>
      </c>
      <c r="B479" s="9" t="s">
        <v>14</v>
      </c>
      <c r="C479" s="9" t="s">
        <v>15</v>
      </c>
      <c r="D479" s="9" t="s">
        <v>1098</v>
      </c>
      <c r="E479" s="10" t="s">
        <v>17</v>
      </c>
      <c r="F479" s="10">
        <v>28</v>
      </c>
      <c r="G479" s="11">
        <v>8069664599</v>
      </c>
      <c r="H479" s="10" t="s">
        <v>1099</v>
      </c>
      <c r="I479" s="10" t="s">
        <v>49</v>
      </c>
      <c r="J479" s="10" t="s">
        <v>50</v>
      </c>
      <c r="K479" s="12">
        <v>45994</v>
      </c>
      <c r="L479" s="15" t="s">
        <v>11</v>
      </c>
      <c r="M479" s="14"/>
      <c r="N479" s="10" t="s">
        <v>1028</v>
      </c>
    </row>
    <row r="480" spans="1:14" ht="22.5" customHeight="1">
      <c r="A480" s="8">
        <v>45994.845936423611</v>
      </c>
      <c r="B480" s="9" t="s">
        <v>14</v>
      </c>
      <c r="C480" s="9" t="s">
        <v>15</v>
      </c>
      <c r="D480" s="9" t="s">
        <v>1100</v>
      </c>
      <c r="E480" s="10" t="s">
        <v>22</v>
      </c>
      <c r="F480" s="10">
        <v>25</v>
      </c>
      <c r="G480" s="11">
        <v>8166383223</v>
      </c>
      <c r="H480" s="10" t="s">
        <v>1101</v>
      </c>
      <c r="I480" s="10" t="s">
        <v>49</v>
      </c>
      <c r="J480" s="10" t="s">
        <v>50</v>
      </c>
      <c r="K480" s="12" t="s">
        <v>1102</v>
      </c>
      <c r="L480" s="15" t="s">
        <v>11</v>
      </c>
      <c r="M480" s="14"/>
      <c r="N480" s="10" t="s">
        <v>1028</v>
      </c>
    </row>
    <row r="481" spans="1:14" ht="22.5" customHeight="1">
      <c r="A481" s="8">
        <v>45994.857868865744</v>
      </c>
      <c r="B481" s="9" t="s">
        <v>14</v>
      </c>
      <c r="C481" s="9" t="s">
        <v>15</v>
      </c>
      <c r="D481" s="9" t="s">
        <v>1103</v>
      </c>
      <c r="E481" s="10" t="s">
        <v>17</v>
      </c>
      <c r="F481" s="10">
        <v>27</v>
      </c>
      <c r="G481" s="11">
        <v>8063652348</v>
      </c>
      <c r="H481" s="10" t="s">
        <v>1104</v>
      </c>
      <c r="I481" s="10" t="s">
        <v>49</v>
      </c>
      <c r="J481" s="10" t="s">
        <v>60</v>
      </c>
      <c r="K481" s="12">
        <v>45994</v>
      </c>
      <c r="L481" s="15" t="s">
        <v>11</v>
      </c>
      <c r="M481" s="14"/>
      <c r="N481" s="10" t="s">
        <v>1028</v>
      </c>
    </row>
    <row r="482" spans="1:14" ht="22.5" customHeight="1">
      <c r="A482" s="8">
        <v>45994.874327280093</v>
      </c>
      <c r="B482" s="9" t="s">
        <v>14</v>
      </c>
      <c r="C482" s="9" t="s">
        <v>15</v>
      </c>
      <c r="D482" s="9" t="s">
        <v>1105</v>
      </c>
      <c r="E482" s="10" t="s">
        <v>17</v>
      </c>
      <c r="F482" s="10">
        <v>27</v>
      </c>
      <c r="G482" s="11">
        <v>8131018902</v>
      </c>
      <c r="H482" s="10" t="s">
        <v>1106</v>
      </c>
      <c r="I482" s="10" t="s">
        <v>49</v>
      </c>
      <c r="J482" s="10" t="s">
        <v>232</v>
      </c>
      <c r="K482" s="12">
        <v>45994</v>
      </c>
      <c r="L482" s="15" t="s">
        <v>11</v>
      </c>
      <c r="M482" s="14"/>
      <c r="N482" s="10" t="s">
        <v>1028</v>
      </c>
    </row>
    <row r="483" spans="1:14" ht="22.5" customHeight="1">
      <c r="A483" s="8">
        <v>45994.877869363423</v>
      </c>
      <c r="B483" s="9" t="s">
        <v>14</v>
      </c>
      <c r="C483" s="9" t="s">
        <v>15</v>
      </c>
      <c r="D483" s="9" t="s">
        <v>1107</v>
      </c>
      <c r="E483" s="10" t="s">
        <v>17</v>
      </c>
      <c r="F483" s="10">
        <v>21</v>
      </c>
      <c r="G483" s="11">
        <v>9153323262</v>
      </c>
      <c r="H483" s="10" t="s">
        <v>1108</v>
      </c>
      <c r="I483" s="10" t="s">
        <v>49</v>
      </c>
      <c r="J483" s="10" t="s">
        <v>362</v>
      </c>
      <c r="K483" s="12">
        <v>45994</v>
      </c>
      <c r="L483" s="15" t="s">
        <v>11</v>
      </c>
      <c r="M483" s="14"/>
      <c r="N483" s="10" t="s">
        <v>1096</v>
      </c>
    </row>
    <row r="484" spans="1:14" ht="22.5" customHeight="1">
      <c r="A484" s="8">
        <v>45994.88204329861</v>
      </c>
      <c r="B484" s="9" t="s">
        <v>14</v>
      </c>
      <c r="C484" s="9" t="s">
        <v>15</v>
      </c>
      <c r="D484" s="9" t="s">
        <v>1109</v>
      </c>
      <c r="E484" s="10" t="s">
        <v>17</v>
      </c>
      <c r="F484" s="10">
        <v>28</v>
      </c>
      <c r="G484" s="11">
        <v>8169590916</v>
      </c>
      <c r="H484" s="10" t="s">
        <v>1110</v>
      </c>
      <c r="I484" s="10" t="s">
        <v>49</v>
      </c>
      <c r="J484" s="10" t="s">
        <v>157</v>
      </c>
      <c r="K484" s="12">
        <v>45994</v>
      </c>
      <c r="L484" s="15" t="s">
        <v>11</v>
      </c>
      <c r="M484" s="14"/>
      <c r="N484" s="10" t="s">
        <v>1028</v>
      </c>
    </row>
    <row r="485" spans="1:14" ht="22.5" customHeight="1">
      <c r="A485" s="8">
        <v>45994.88408265046</v>
      </c>
      <c r="B485" s="9" t="s">
        <v>14</v>
      </c>
      <c r="C485" s="9" t="s">
        <v>15</v>
      </c>
      <c r="D485" s="9" t="s">
        <v>1111</v>
      </c>
      <c r="E485" s="10" t="s">
        <v>22</v>
      </c>
      <c r="F485" s="10">
        <v>49</v>
      </c>
      <c r="G485" s="11">
        <v>9151008234</v>
      </c>
      <c r="H485" s="10" t="s">
        <v>1112</v>
      </c>
      <c r="I485" s="10" t="s">
        <v>49</v>
      </c>
      <c r="J485" s="10" t="s">
        <v>60</v>
      </c>
      <c r="K485" s="12">
        <v>45994</v>
      </c>
      <c r="L485" s="15" t="s">
        <v>11</v>
      </c>
      <c r="M485" s="14"/>
      <c r="N485" s="10" t="s">
        <v>1028</v>
      </c>
    </row>
    <row r="486" spans="1:14" ht="22.5" customHeight="1">
      <c r="A486" s="8">
        <v>45994.890025092594</v>
      </c>
      <c r="B486" s="9" t="s">
        <v>14</v>
      </c>
      <c r="C486" s="9" t="s">
        <v>15</v>
      </c>
      <c r="D486" s="9" t="s">
        <v>758</v>
      </c>
      <c r="E486" s="10" t="s">
        <v>17</v>
      </c>
      <c r="F486" s="10">
        <v>29</v>
      </c>
      <c r="G486" s="11">
        <v>8105953141</v>
      </c>
      <c r="H486" s="10" t="s">
        <v>759</v>
      </c>
      <c r="I486" s="10" t="s">
        <v>31</v>
      </c>
      <c r="J486" s="10" t="s">
        <v>32</v>
      </c>
      <c r="K486" s="12">
        <v>45994</v>
      </c>
      <c r="L486" s="15" t="s">
        <v>11</v>
      </c>
      <c r="M486" s="14"/>
      <c r="N486" s="10" t="s">
        <v>1028</v>
      </c>
    </row>
    <row r="487" spans="1:14" ht="22.5" customHeight="1">
      <c r="A487" s="8">
        <v>45994.890225601848</v>
      </c>
      <c r="B487" s="9" t="s">
        <v>14</v>
      </c>
      <c r="C487" s="9" t="s">
        <v>15</v>
      </c>
      <c r="D487" s="9" t="s">
        <v>1113</v>
      </c>
      <c r="E487" s="10" t="s">
        <v>22</v>
      </c>
      <c r="F487" s="10">
        <v>40</v>
      </c>
      <c r="G487" s="11">
        <v>9033217649</v>
      </c>
      <c r="H487" s="10" t="s">
        <v>1114</v>
      </c>
      <c r="I487" s="10" t="s">
        <v>49</v>
      </c>
      <c r="J487" s="10" t="s">
        <v>1115</v>
      </c>
      <c r="K487" s="12">
        <v>45728</v>
      </c>
      <c r="L487" s="15" t="s">
        <v>11</v>
      </c>
      <c r="M487" s="14"/>
      <c r="N487" s="10" t="s">
        <v>1028</v>
      </c>
    </row>
    <row r="488" spans="1:14" ht="22.5" customHeight="1">
      <c r="A488" s="8">
        <v>45994.893697152773</v>
      </c>
      <c r="B488" s="9" t="s">
        <v>14</v>
      </c>
      <c r="C488" s="9" t="s">
        <v>15</v>
      </c>
      <c r="D488" s="9" t="s">
        <v>1116</v>
      </c>
      <c r="E488" s="10" t="s">
        <v>17</v>
      </c>
      <c r="F488" s="10">
        <v>31</v>
      </c>
      <c r="G488" s="11">
        <v>8075420580</v>
      </c>
      <c r="H488" s="10" t="s">
        <v>1117</v>
      </c>
      <c r="I488" s="10" t="s">
        <v>49</v>
      </c>
      <c r="J488" s="10" t="s">
        <v>109</v>
      </c>
      <c r="K488" s="12">
        <v>45994</v>
      </c>
      <c r="L488" s="15" t="s">
        <v>11</v>
      </c>
      <c r="M488" s="14"/>
      <c r="N488" s="10" t="s">
        <v>1028</v>
      </c>
    </row>
    <row r="489" spans="1:14" ht="22.5" customHeight="1">
      <c r="A489" s="8">
        <v>45994.915384074076</v>
      </c>
      <c r="B489" s="9" t="s">
        <v>14</v>
      </c>
      <c r="C489" s="9" t="s">
        <v>15</v>
      </c>
      <c r="D489" s="9" t="s">
        <v>1118</v>
      </c>
      <c r="E489" s="10" t="s">
        <v>17</v>
      </c>
      <c r="F489" s="10">
        <v>35</v>
      </c>
      <c r="G489" s="11">
        <v>8036412258</v>
      </c>
      <c r="H489" s="10" t="s">
        <v>1119</v>
      </c>
      <c r="I489" s="10" t="s">
        <v>49</v>
      </c>
      <c r="J489" s="10" t="s">
        <v>849</v>
      </c>
      <c r="K489" s="12">
        <v>45994</v>
      </c>
      <c r="L489" s="15" t="s">
        <v>11</v>
      </c>
      <c r="M489" s="14"/>
      <c r="N489" s="10" t="s">
        <v>1028</v>
      </c>
    </row>
    <row r="490" spans="1:14" ht="22.5" customHeight="1">
      <c r="A490" s="8">
        <v>45994.930300474538</v>
      </c>
      <c r="B490" s="9" t="s">
        <v>14</v>
      </c>
      <c r="C490" s="9" t="s">
        <v>15</v>
      </c>
      <c r="D490" s="9" t="s">
        <v>1120</v>
      </c>
      <c r="E490" s="10" t="s">
        <v>22</v>
      </c>
      <c r="F490" s="10">
        <v>25</v>
      </c>
      <c r="G490" s="11">
        <v>9033426526</v>
      </c>
      <c r="H490" s="10" t="s">
        <v>1121</v>
      </c>
      <c r="I490" s="10" t="s">
        <v>49</v>
      </c>
      <c r="J490" s="10" t="s">
        <v>606</v>
      </c>
      <c r="K490" s="12">
        <v>45994</v>
      </c>
      <c r="L490" s="15" t="s">
        <v>11</v>
      </c>
      <c r="M490" s="14"/>
      <c r="N490" s="10" t="s">
        <v>1028</v>
      </c>
    </row>
    <row r="491" spans="1:14" ht="22.5" customHeight="1">
      <c r="A491" s="8">
        <v>45994.951983217594</v>
      </c>
      <c r="B491" s="9" t="s">
        <v>14</v>
      </c>
      <c r="C491" s="9" t="s">
        <v>15</v>
      </c>
      <c r="D491" s="9" t="s">
        <v>1122</v>
      </c>
      <c r="E491" s="10" t="s">
        <v>22</v>
      </c>
      <c r="F491" s="10">
        <v>25</v>
      </c>
      <c r="G491" s="11">
        <v>9038881115</v>
      </c>
      <c r="H491" s="10" t="s">
        <v>1123</v>
      </c>
      <c r="I491" s="10" t="s">
        <v>49</v>
      </c>
      <c r="J491" s="10" t="s">
        <v>50</v>
      </c>
      <c r="K491" s="12">
        <v>45994</v>
      </c>
      <c r="L491" s="15" t="s">
        <v>11</v>
      </c>
      <c r="M491" s="14"/>
      <c r="N491" s="10" t="s">
        <v>1028</v>
      </c>
    </row>
    <row r="492" spans="1:14" ht="22.5" customHeight="1">
      <c r="A492" s="8">
        <v>45994.952581597223</v>
      </c>
      <c r="B492" s="9" t="s">
        <v>14</v>
      </c>
      <c r="C492" s="9" t="s">
        <v>15</v>
      </c>
      <c r="D492" s="9" t="s">
        <v>1124</v>
      </c>
      <c r="E492" s="10" t="s">
        <v>17</v>
      </c>
      <c r="F492" s="10">
        <v>31</v>
      </c>
      <c r="G492" s="11">
        <v>8064503752</v>
      </c>
      <c r="H492" s="10" t="s">
        <v>1125</v>
      </c>
      <c r="I492" s="10" t="s">
        <v>49</v>
      </c>
      <c r="J492" s="10" t="s">
        <v>50</v>
      </c>
      <c r="K492" s="12">
        <v>45994</v>
      </c>
      <c r="L492" s="15" t="s">
        <v>11</v>
      </c>
      <c r="M492" s="14"/>
      <c r="N492" s="10" t="s">
        <v>1028</v>
      </c>
    </row>
    <row r="493" spans="1:14" ht="22.5" customHeight="1">
      <c r="A493" s="8">
        <v>45994.953485706021</v>
      </c>
      <c r="B493" s="9" t="s">
        <v>14</v>
      </c>
      <c r="C493" s="9" t="s">
        <v>15</v>
      </c>
      <c r="D493" s="9" t="s">
        <v>1126</v>
      </c>
      <c r="E493" s="10" t="s">
        <v>22</v>
      </c>
      <c r="F493" s="10">
        <v>25</v>
      </c>
      <c r="G493" s="11">
        <v>7064344787</v>
      </c>
      <c r="H493" s="10" t="s">
        <v>1127</v>
      </c>
      <c r="I493" s="10" t="s">
        <v>49</v>
      </c>
      <c r="J493" s="10" t="s">
        <v>229</v>
      </c>
      <c r="K493" s="12">
        <v>45994</v>
      </c>
      <c r="L493" s="15" t="s">
        <v>11</v>
      </c>
      <c r="M493" s="14"/>
      <c r="N493" s="10" t="s">
        <v>1028</v>
      </c>
    </row>
    <row r="494" spans="1:14" ht="22.5" customHeight="1">
      <c r="A494" s="8">
        <v>45994.955604467592</v>
      </c>
      <c r="B494" s="9" t="s">
        <v>14</v>
      </c>
      <c r="C494" s="9" t="s">
        <v>15</v>
      </c>
      <c r="D494" s="9" t="s">
        <v>1128</v>
      </c>
      <c r="E494" s="10" t="s">
        <v>22</v>
      </c>
      <c r="F494" s="10">
        <v>25</v>
      </c>
      <c r="G494" s="11">
        <v>9112602790</v>
      </c>
      <c r="H494" s="10" t="s">
        <v>1129</v>
      </c>
      <c r="I494" s="10" t="s">
        <v>49</v>
      </c>
      <c r="J494" s="10" t="s">
        <v>539</v>
      </c>
      <c r="K494" s="12">
        <v>45994</v>
      </c>
      <c r="L494" s="15" t="s">
        <v>11</v>
      </c>
      <c r="M494" s="14"/>
      <c r="N494" s="10" t="s">
        <v>1028</v>
      </c>
    </row>
    <row r="495" spans="1:14" ht="22.5" customHeight="1">
      <c r="A495" s="8">
        <v>45994.960889791662</v>
      </c>
      <c r="B495" s="9" t="s">
        <v>14</v>
      </c>
      <c r="C495" s="9" t="s">
        <v>15</v>
      </c>
      <c r="D495" s="9" t="s">
        <v>1130</v>
      </c>
      <c r="E495" s="10" t="s">
        <v>17</v>
      </c>
      <c r="F495" s="10">
        <v>26</v>
      </c>
      <c r="G495" s="11">
        <v>9048974733</v>
      </c>
      <c r="H495" s="10" t="s">
        <v>1131</v>
      </c>
      <c r="I495" s="10" t="s">
        <v>49</v>
      </c>
      <c r="J495" s="10" t="s">
        <v>103</v>
      </c>
      <c r="K495" s="12">
        <v>45994</v>
      </c>
      <c r="L495" s="15" t="s">
        <v>11</v>
      </c>
      <c r="M495" s="14"/>
      <c r="N495" s="10" t="s">
        <v>1028</v>
      </c>
    </row>
    <row r="496" spans="1:14" ht="22.5" customHeight="1">
      <c r="A496" s="8">
        <v>45994.971961331015</v>
      </c>
      <c r="B496" s="9" t="s">
        <v>14</v>
      </c>
      <c r="C496" s="9" t="s">
        <v>15</v>
      </c>
      <c r="D496" s="9" t="s">
        <v>1132</v>
      </c>
      <c r="E496" s="10" t="s">
        <v>22</v>
      </c>
      <c r="F496" s="10">
        <v>30</v>
      </c>
      <c r="G496" s="11">
        <v>7032129715</v>
      </c>
      <c r="H496" s="10" t="s">
        <v>1133</v>
      </c>
      <c r="I496" s="10" t="s">
        <v>49</v>
      </c>
      <c r="J496" s="10" t="s">
        <v>282</v>
      </c>
      <c r="K496" s="12">
        <v>45994</v>
      </c>
      <c r="L496" s="15" t="s">
        <v>11</v>
      </c>
      <c r="M496" s="14"/>
      <c r="N496" s="10" t="s">
        <v>1028</v>
      </c>
    </row>
    <row r="497" spans="1:14" ht="22.5" customHeight="1">
      <c r="A497" s="8">
        <v>45994.979075196759</v>
      </c>
      <c r="B497" s="9" t="s">
        <v>14</v>
      </c>
      <c r="C497" s="9" t="s">
        <v>15</v>
      </c>
      <c r="D497" s="9" t="s">
        <v>1134</v>
      </c>
      <c r="E497" s="10" t="s">
        <v>17</v>
      </c>
      <c r="F497" s="10">
        <v>24</v>
      </c>
      <c r="G497" s="11">
        <v>7038573708</v>
      </c>
      <c r="H497" s="10" t="s">
        <v>1135</v>
      </c>
      <c r="I497" s="10" t="s">
        <v>49</v>
      </c>
      <c r="J497" s="10" t="s">
        <v>50</v>
      </c>
      <c r="K497" s="12">
        <v>37043</v>
      </c>
      <c r="L497" s="15" t="s">
        <v>11</v>
      </c>
      <c r="M497" s="10"/>
      <c r="N497" s="10" t="s">
        <v>1028</v>
      </c>
    </row>
    <row r="498" spans="1:14" ht="22.5" customHeight="1">
      <c r="A498" s="8">
        <v>45994.986573553237</v>
      </c>
      <c r="B498" s="9" t="s">
        <v>14</v>
      </c>
      <c r="C498" s="9" t="s">
        <v>15</v>
      </c>
      <c r="D498" s="9" t="s">
        <v>1136</v>
      </c>
      <c r="E498" s="10" t="s">
        <v>17</v>
      </c>
      <c r="F498" s="10">
        <v>30</v>
      </c>
      <c r="G498" s="11">
        <v>8164060056</v>
      </c>
      <c r="H498" s="10" t="s">
        <v>1137</v>
      </c>
      <c r="I498" s="10" t="s">
        <v>49</v>
      </c>
      <c r="J498" s="10" t="s">
        <v>50</v>
      </c>
      <c r="K498" s="12">
        <v>34955</v>
      </c>
      <c r="L498" s="15" t="s">
        <v>11</v>
      </c>
      <c r="M498" s="14"/>
      <c r="N498" s="10" t="s">
        <v>1028</v>
      </c>
    </row>
    <row r="499" spans="1:14" ht="22.5" customHeight="1">
      <c r="A499" s="8">
        <v>45994.987452187503</v>
      </c>
      <c r="B499" s="9" t="s">
        <v>14</v>
      </c>
      <c r="C499" s="9" t="s">
        <v>15</v>
      </c>
      <c r="D499" s="9" t="s">
        <v>1138</v>
      </c>
      <c r="E499" s="10" t="s">
        <v>22</v>
      </c>
      <c r="F499" s="10">
        <v>22</v>
      </c>
      <c r="G499" s="11">
        <v>8066615211</v>
      </c>
      <c r="H499" s="10" t="s">
        <v>1139</v>
      </c>
      <c r="I499" s="10" t="s">
        <v>45</v>
      </c>
      <c r="J499" s="10" t="s">
        <v>932</v>
      </c>
      <c r="K499" s="12">
        <v>45994</v>
      </c>
      <c r="L499" s="15" t="s">
        <v>11</v>
      </c>
      <c r="M499" s="14"/>
      <c r="N499" s="10" t="s">
        <v>1140</v>
      </c>
    </row>
    <row r="500" spans="1:14" ht="22.5" customHeight="1">
      <c r="A500" s="8">
        <v>45994.992159942129</v>
      </c>
      <c r="B500" s="9" t="s">
        <v>14</v>
      </c>
      <c r="C500" s="9" t="s">
        <v>15</v>
      </c>
      <c r="D500" s="9" t="s">
        <v>1141</v>
      </c>
      <c r="E500" s="10" t="s">
        <v>22</v>
      </c>
      <c r="F500" s="10">
        <v>24</v>
      </c>
      <c r="G500" s="11">
        <v>9060131702</v>
      </c>
      <c r="H500" s="10" t="s">
        <v>1142</v>
      </c>
      <c r="I500" s="10" t="s">
        <v>45</v>
      </c>
      <c r="J500" s="10" t="s">
        <v>901</v>
      </c>
      <c r="K500" s="12">
        <v>45994</v>
      </c>
      <c r="L500" s="15" t="s">
        <v>11</v>
      </c>
      <c r="M500" s="14"/>
      <c r="N500" s="10" t="s">
        <v>1096</v>
      </c>
    </row>
    <row r="501" spans="1:14" ht="22.5" customHeight="1">
      <c r="A501" s="8">
        <v>45994.992804131944</v>
      </c>
      <c r="B501" s="9" t="s">
        <v>14</v>
      </c>
      <c r="C501" s="9" t="s">
        <v>15</v>
      </c>
      <c r="D501" s="9" t="s">
        <v>1143</v>
      </c>
      <c r="E501" s="10" t="s">
        <v>22</v>
      </c>
      <c r="F501" s="10">
        <v>31</v>
      </c>
      <c r="G501" s="11">
        <v>8162953636</v>
      </c>
      <c r="H501" s="10" t="s">
        <v>1144</v>
      </c>
      <c r="I501" s="10" t="s">
        <v>49</v>
      </c>
      <c r="J501" s="10" t="s">
        <v>292</v>
      </c>
      <c r="K501" s="12">
        <v>45995</v>
      </c>
      <c r="L501" s="15" t="s">
        <v>11</v>
      </c>
      <c r="M501" s="10"/>
      <c r="N501" s="10" t="s">
        <v>1028</v>
      </c>
    </row>
    <row r="502" spans="1:14" ht="22.5" customHeight="1">
      <c r="A502" s="8">
        <v>45995.030536759259</v>
      </c>
      <c r="B502" s="9" t="s">
        <v>14</v>
      </c>
      <c r="C502" s="9" t="s">
        <v>15</v>
      </c>
      <c r="D502" s="9" t="s">
        <v>1145</v>
      </c>
      <c r="E502" s="10" t="s">
        <v>17</v>
      </c>
      <c r="F502" s="10">
        <v>18</v>
      </c>
      <c r="G502" s="11">
        <v>7045809655</v>
      </c>
      <c r="H502" s="10" t="s">
        <v>1146</v>
      </c>
      <c r="I502" s="10" t="s">
        <v>49</v>
      </c>
      <c r="J502" s="10" t="s">
        <v>1147</v>
      </c>
      <c r="K502" s="12">
        <v>45995</v>
      </c>
      <c r="L502" s="15" t="s">
        <v>11</v>
      </c>
      <c r="M502" s="14"/>
      <c r="N502" s="10" t="s">
        <v>1028</v>
      </c>
    </row>
    <row r="503" spans="1:14" ht="22.5" customHeight="1">
      <c r="A503" s="8">
        <v>45995.03905467593</v>
      </c>
      <c r="B503" s="9" t="s">
        <v>14</v>
      </c>
      <c r="C503" s="9" t="s">
        <v>15</v>
      </c>
      <c r="D503" s="9" t="s">
        <v>1148</v>
      </c>
      <c r="E503" s="10" t="s">
        <v>22</v>
      </c>
      <c r="F503" s="10">
        <v>29</v>
      </c>
      <c r="G503" s="11">
        <v>8074732138</v>
      </c>
      <c r="H503" s="10" t="s">
        <v>1149</v>
      </c>
      <c r="I503" s="10" t="s">
        <v>49</v>
      </c>
      <c r="J503" s="10" t="s">
        <v>109</v>
      </c>
      <c r="K503" s="12">
        <v>45995</v>
      </c>
      <c r="L503" s="15" t="s">
        <v>11</v>
      </c>
      <c r="M503" s="14"/>
      <c r="N503" s="10" t="s">
        <v>1140</v>
      </c>
    </row>
    <row r="504" spans="1:14" ht="22.5" customHeight="1">
      <c r="A504" s="8">
        <v>45995.087187800927</v>
      </c>
      <c r="B504" s="9" t="s">
        <v>14</v>
      </c>
      <c r="C504" s="9" t="s">
        <v>15</v>
      </c>
      <c r="D504" s="9" t="s">
        <v>1150</v>
      </c>
      <c r="E504" s="10" t="s">
        <v>22</v>
      </c>
      <c r="F504" s="10">
        <v>27</v>
      </c>
      <c r="G504" s="11">
        <v>9080379854</v>
      </c>
      <c r="H504" s="10" t="s">
        <v>1151</v>
      </c>
      <c r="I504" s="10" t="s">
        <v>45</v>
      </c>
      <c r="J504" s="10" t="s">
        <v>1152</v>
      </c>
      <c r="K504" s="12">
        <v>45995</v>
      </c>
      <c r="L504" s="15" t="s">
        <v>11</v>
      </c>
      <c r="M504" s="10"/>
      <c r="N504" s="10" t="s">
        <v>1028</v>
      </c>
    </row>
    <row r="505" spans="1:14" ht="22.5" customHeight="1">
      <c r="A505" s="8">
        <v>45995.115253194439</v>
      </c>
      <c r="B505" s="9" t="s">
        <v>14</v>
      </c>
      <c r="C505" s="9" t="s">
        <v>15</v>
      </c>
      <c r="D505" s="9" t="s">
        <v>1153</v>
      </c>
      <c r="E505" s="10" t="s">
        <v>17</v>
      </c>
      <c r="F505" s="10">
        <v>25</v>
      </c>
      <c r="G505" s="11">
        <v>8133234404</v>
      </c>
      <c r="H505" s="10" t="s">
        <v>1154</v>
      </c>
      <c r="I505" s="10" t="s">
        <v>49</v>
      </c>
      <c r="J505" s="10" t="s">
        <v>434</v>
      </c>
      <c r="K505" s="12">
        <v>45995</v>
      </c>
      <c r="L505" s="15" t="s">
        <v>11</v>
      </c>
      <c r="M505" s="14"/>
      <c r="N505" s="10" t="s">
        <v>1028</v>
      </c>
    </row>
    <row r="506" spans="1:14" ht="22.5" customHeight="1">
      <c r="A506" s="8">
        <v>45995.215270081018</v>
      </c>
      <c r="B506" s="9" t="s">
        <v>14</v>
      </c>
      <c r="C506" s="9" t="s">
        <v>15</v>
      </c>
      <c r="D506" s="9" t="s">
        <v>1155</v>
      </c>
      <c r="E506" s="10" t="s">
        <v>17</v>
      </c>
      <c r="F506" s="10">
        <v>33</v>
      </c>
      <c r="G506" s="11">
        <v>7032322689</v>
      </c>
      <c r="H506" s="10" t="s">
        <v>1156</v>
      </c>
      <c r="I506" s="10" t="s">
        <v>49</v>
      </c>
      <c r="J506" s="10" t="s">
        <v>106</v>
      </c>
      <c r="K506" s="12">
        <v>45995</v>
      </c>
      <c r="L506" s="15" t="s">
        <v>11</v>
      </c>
      <c r="M506" s="14"/>
      <c r="N506" s="10" t="s">
        <v>1028</v>
      </c>
    </row>
    <row r="507" spans="1:14" ht="22.5" customHeight="1">
      <c r="A507" s="8">
        <v>45995.268087662036</v>
      </c>
      <c r="B507" s="9" t="s">
        <v>14</v>
      </c>
      <c r="C507" s="9" t="s">
        <v>15</v>
      </c>
      <c r="D507" s="9" t="s">
        <v>1157</v>
      </c>
      <c r="E507" s="10" t="s">
        <v>17</v>
      </c>
      <c r="F507" s="10">
        <v>31</v>
      </c>
      <c r="G507" s="11">
        <v>8037514404</v>
      </c>
      <c r="H507" s="10" t="s">
        <v>1158</v>
      </c>
      <c r="I507" s="10" t="s">
        <v>49</v>
      </c>
      <c r="J507" s="10" t="s">
        <v>160</v>
      </c>
      <c r="K507" s="12">
        <v>45995</v>
      </c>
      <c r="L507" s="15" t="s">
        <v>11</v>
      </c>
      <c r="M507" s="14"/>
      <c r="N507" s="10" t="s">
        <v>1028</v>
      </c>
    </row>
    <row r="508" spans="1:14" ht="22.5" hidden="1" customHeight="1">
      <c r="A508" s="8">
        <v>45995.287046435187</v>
      </c>
      <c r="B508" s="9" t="s">
        <v>14</v>
      </c>
      <c r="C508" s="9" t="s">
        <v>15</v>
      </c>
      <c r="D508" s="9" t="s">
        <v>1159</v>
      </c>
      <c r="E508" s="10" t="s">
        <v>17</v>
      </c>
      <c r="F508" s="10">
        <v>31</v>
      </c>
      <c r="G508" s="11">
        <v>8149028158</v>
      </c>
      <c r="H508" s="10" t="s">
        <v>1160</v>
      </c>
      <c r="I508" s="10" t="s">
        <v>49</v>
      </c>
      <c r="J508" s="10" t="s">
        <v>157</v>
      </c>
      <c r="K508" s="12">
        <v>45995</v>
      </c>
      <c r="L508" s="10" t="s">
        <v>441</v>
      </c>
      <c r="M508" s="10" t="s">
        <v>1161</v>
      </c>
      <c r="N508" s="10" t="s">
        <v>1096</v>
      </c>
    </row>
    <row r="509" spans="1:14" ht="22.5" customHeight="1">
      <c r="A509" s="8">
        <v>45995.322297164355</v>
      </c>
      <c r="B509" s="9" t="s">
        <v>14</v>
      </c>
      <c r="C509" s="9" t="s">
        <v>15</v>
      </c>
      <c r="D509" s="9" t="s">
        <v>1162</v>
      </c>
      <c r="E509" s="10" t="s">
        <v>17</v>
      </c>
      <c r="F509" s="10">
        <v>24</v>
      </c>
      <c r="G509" s="11">
        <v>8065653268</v>
      </c>
      <c r="H509" s="10" t="s">
        <v>1163</v>
      </c>
      <c r="I509" s="10" t="s">
        <v>49</v>
      </c>
      <c r="J509" s="10" t="s">
        <v>106</v>
      </c>
      <c r="K509" s="12">
        <v>45995</v>
      </c>
      <c r="L509" s="10" t="s">
        <v>11</v>
      </c>
      <c r="M509" s="14"/>
      <c r="N509" s="10" t="s">
        <v>1028</v>
      </c>
    </row>
    <row r="510" spans="1:14" ht="22.5" customHeight="1">
      <c r="A510" s="8">
        <v>45995.340415370374</v>
      </c>
      <c r="B510" s="9" t="s">
        <v>14</v>
      </c>
      <c r="C510" s="9" t="s">
        <v>15</v>
      </c>
      <c r="D510" s="9" t="s">
        <v>1164</v>
      </c>
      <c r="E510" s="10" t="s">
        <v>22</v>
      </c>
      <c r="F510" s="10">
        <v>29</v>
      </c>
      <c r="G510" s="11">
        <v>7032409660</v>
      </c>
      <c r="H510" s="10" t="s">
        <v>1165</v>
      </c>
      <c r="I510" s="10" t="s">
        <v>49</v>
      </c>
      <c r="J510" s="10" t="s">
        <v>1166</v>
      </c>
      <c r="K510" s="12">
        <v>45994</v>
      </c>
      <c r="L510" s="10" t="s">
        <v>11</v>
      </c>
      <c r="M510" s="14"/>
      <c r="N510" s="10" t="s">
        <v>1028</v>
      </c>
    </row>
    <row r="511" spans="1:14" ht="22.5" customHeight="1">
      <c r="A511" s="8">
        <v>45995.350380300923</v>
      </c>
      <c r="B511" s="9" t="s">
        <v>14</v>
      </c>
      <c r="C511" s="9" t="s">
        <v>15</v>
      </c>
      <c r="D511" s="9" t="s">
        <v>1167</v>
      </c>
      <c r="E511" s="10" t="s">
        <v>22</v>
      </c>
      <c r="F511" s="10">
        <v>32</v>
      </c>
      <c r="G511" s="11">
        <v>8148578872</v>
      </c>
      <c r="H511" s="10" t="s">
        <v>1168</v>
      </c>
      <c r="I511" s="10" t="s">
        <v>49</v>
      </c>
      <c r="J511" s="10" t="s">
        <v>762</v>
      </c>
      <c r="K511" s="12">
        <v>45995</v>
      </c>
      <c r="L511" s="10" t="s">
        <v>11</v>
      </c>
      <c r="M511" s="14"/>
      <c r="N511" s="10" t="s">
        <v>1028</v>
      </c>
    </row>
    <row r="512" spans="1:14" ht="22.5" customHeight="1">
      <c r="A512" s="8">
        <v>45995.367807743052</v>
      </c>
      <c r="B512" s="9" t="s">
        <v>14</v>
      </c>
      <c r="C512" s="9" t="s">
        <v>15</v>
      </c>
      <c r="D512" s="9" t="s">
        <v>1169</v>
      </c>
      <c r="E512" s="10" t="s">
        <v>17</v>
      </c>
      <c r="F512" s="10">
        <v>37</v>
      </c>
      <c r="G512" s="11">
        <v>8064390673</v>
      </c>
      <c r="H512" s="10" t="s">
        <v>1170</v>
      </c>
      <c r="I512" s="10" t="s">
        <v>49</v>
      </c>
      <c r="J512" s="10" t="s">
        <v>215</v>
      </c>
      <c r="K512" s="12">
        <v>45995</v>
      </c>
      <c r="L512" s="10" t="s">
        <v>11</v>
      </c>
      <c r="M512" s="10"/>
      <c r="N512" s="10" t="s">
        <v>1028</v>
      </c>
    </row>
    <row r="513" spans="1:14" ht="22.5" customHeight="1">
      <c r="A513" s="8">
        <v>45995.376592488421</v>
      </c>
      <c r="B513" s="9" t="s">
        <v>14</v>
      </c>
      <c r="C513" s="9" t="s">
        <v>15</v>
      </c>
      <c r="D513" s="9" t="s">
        <v>1171</v>
      </c>
      <c r="E513" s="10" t="s">
        <v>17</v>
      </c>
      <c r="F513" s="10">
        <v>25</v>
      </c>
      <c r="G513" s="11">
        <v>9065789099</v>
      </c>
      <c r="H513" s="10" t="s">
        <v>1172</v>
      </c>
      <c r="I513" s="10" t="s">
        <v>45</v>
      </c>
      <c r="J513" s="10" t="s">
        <v>1173</v>
      </c>
      <c r="K513" s="12">
        <v>45995</v>
      </c>
      <c r="L513" s="10" t="s">
        <v>11</v>
      </c>
      <c r="M513" s="14"/>
      <c r="N513" s="10" t="s">
        <v>1028</v>
      </c>
    </row>
    <row r="514" spans="1:14" ht="22.5" customHeight="1">
      <c r="A514" s="8">
        <v>45995.379076631943</v>
      </c>
      <c r="B514" s="9" t="s">
        <v>14</v>
      </c>
      <c r="C514" s="9" t="s">
        <v>15</v>
      </c>
      <c r="D514" s="9" t="s">
        <v>1174</v>
      </c>
      <c r="E514" s="10" t="s">
        <v>22</v>
      </c>
      <c r="F514" s="10">
        <v>27</v>
      </c>
      <c r="G514" s="11">
        <v>9025302684</v>
      </c>
      <c r="H514" s="10" t="s">
        <v>1175</v>
      </c>
      <c r="I514" s="10" t="s">
        <v>49</v>
      </c>
      <c r="J514" s="10" t="s">
        <v>434</v>
      </c>
      <c r="K514" s="12">
        <v>45995</v>
      </c>
      <c r="L514" s="10" t="s">
        <v>11</v>
      </c>
      <c r="M514" s="14"/>
      <c r="N514" s="10" t="s">
        <v>1028</v>
      </c>
    </row>
    <row r="515" spans="1:14" ht="22.5" customHeight="1">
      <c r="A515" s="8">
        <v>45995.39732103009</v>
      </c>
      <c r="B515" s="9" t="s">
        <v>14</v>
      </c>
      <c r="C515" s="9" t="s">
        <v>15</v>
      </c>
      <c r="D515" s="9" t="s">
        <v>1176</v>
      </c>
      <c r="E515" s="10" t="s">
        <v>22</v>
      </c>
      <c r="F515" s="10">
        <v>24</v>
      </c>
      <c r="G515" s="11">
        <v>8050217568</v>
      </c>
      <c r="H515" s="10" t="s">
        <v>1177</v>
      </c>
      <c r="I515" s="10" t="s">
        <v>49</v>
      </c>
      <c r="J515" s="10" t="s">
        <v>1178</v>
      </c>
      <c r="K515" s="12">
        <v>45995</v>
      </c>
      <c r="L515" s="10" t="s">
        <v>11</v>
      </c>
      <c r="M515" s="14"/>
      <c r="N515" s="10" t="s">
        <v>1028</v>
      </c>
    </row>
    <row r="516" spans="1:14" ht="22.5" customHeight="1">
      <c r="A516" s="8">
        <v>45995.403278391204</v>
      </c>
      <c r="B516" s="9" t="s">
        <v>14</v>
      </c>
      <c r="C516" s="9" t="s">
        <v>15</v>
      </c>
      <c r="D516" s="9" t="s">
        <v>1179</v>
      </c>
      <c r="E516" s="10" t="s">
        <v>22</v>
      </c>
      <c r="F516" s="10">
        <v>21</v>
      </c>
      <c r="G516" s="11">
        <v>7064371272</v>
      </c>
      <c r="H516" s="10" t="s">
        <v>1180</v>
      </c>
      <c r="I516" s="10" t="s">
        <v>49</v>
      </c>
      <c r="J516" s="10" t="s">
        <v>849</v>
      </c>
      <c r="K516" s="12">
        <v>45995</v>
      </c>
      <c r="L516" s="10" t="s">
        <v>11</v>
      </c>
      <c r="M516" s="14"/>
      <c r="N516" s="10" t="s">
        <v>1028</v>
      </c>
    </row>
    <row r="517" spans="1:14" ht="22.5" customHeight="1">
      <c r="A517" s="8">
        <v>45995.405590787035</v>
      </c>
      <c r="B517" s="9" t="s">
        <v>14</v>
      </c>
      <c r="C517" s="9" t="s">
        <v>15</v>
      </c>
      <c r="D517" s="9" t="s">
        <v>1181</v>
      </c>
      <c r="E517" s="10" t="s">
        <v>22</v>
      </c>
      <c r="F517" s="10">
        <v>30</v>
      </c>
      <c r="G517" s="11">
        <v>7039291771</v>
      </c>
      <c r="H517" s="10" t="s">
        <v>1182</v>
      </c>
      <c r="I517" s="10" t="s">
        <v>49</v>
      </c>
      <c r="J517" s="10" t="s">
        <v>106</v>
      </c>
      <c r="K517" s="12">
        <v>45995</v>
      </c>
      <c r="L517" s="10" t="s">
        <v>11</v>
      </c>
      <c r="M517" s="14"/>
      <c r="N517" s="10" t="s">
        <v>1028</v>
      </c>
    </row>
    <row r="518" spans="1:14" ht="22.5" customHeight="1">
      <c r="A518" s="8">
        <v>45995.474234201392</v>
      </c>
      <c r="B518" s="9" t="s">
        <v>14</v>
      </c>
      <c r="C518" s="9" t="s">
        <v>15</v>
      </c>
      <c r="D518" s="9" t="s">
        <v>1183</v>
      </c>
      <c r="E518" s="10" t="s">
        <v>17</v>
      </c>
      <c r="F518" s="10">
        <v>25</v>
      </c>
      <c r="G518" s="11">
        <v>9037163771</v>
      </c>
      <c r="H518" s="10" t="s">
        <v>1184</v>
      </c>
      <c r="I518" s="10" t="s">
        <v>45</v>
      </c>
      <c r="J518" s="10" t="s">
        <v>901</v>
      </c>
      <c r="K518" s="12">
        <v>45995</v>
      </c>
      <c r="L518" s="10" t="s">
        <v>11</v>
      </c>
      <c r="M518" s="14"/>
      <c r="N518" s="10" t="s">
        <v>1096</v>
      </c>
    </row>
    <row r="519" spans="1:14" ht="22.5" customHeight="1">
      <c r="A519" s="8">
        <v>45995.495814583337</v>
      </c>
      <c r="B519" s="9" t="s">
        <v>14</v>
      </c>
      <c r="C519" s="9" t="s">
        <v>15</v>
      </c>
      <c r="D519" s="9" t="s">
        <v>1185</v>
      </c>
      <c r="E519" s="10" t="s">
        <v>22</v>
      </c>
      <c r="F519" s="10">
        <v>38</v>
      </c>
      <c r="G519" s="11">
        <v>8144739914</v>
      </c>
      <c r="H519" s="10" t="s">
        <v>1186</v>
      </c>
      <c r="I519" s="10" t="s">
        <v>49</v>
      </c>
      <c r="J519" s="10" t="s">
        <v>50</v>
      </c>
      <c r="K519" s="12">
        <v>45995</v>
      </c>
      <c r="L519" s="10" t="s">
        <v>11</v>
      </c>
      <c r="M519" s="14"/>
      <c r="N519" s="10" t="s">
        <v>1028</v>
      </c>
    </row>
    <row r="520" spans="1:14" ht="22.5" customHeight="1">
      <c r="A520" s="8">
        <v>45995.514851168977</v>
      </c>
      <c r="B520" s="9" t="s">
        <v>14</v>
      </c>
      <c r="C520" s="9" t="s">
        <v>15</v>
      </c>
      <c r="D520" s="9" t="s">
        <v>1187</v>
      </c>
      <c r="E520" s="10" t="s">
        <v>17</v>
      </c>
      <c r="F520" s="10">
        <v>39</v>
      </c>
      <c r="G520" s="11">
        <v>7030871769</v>
      </c>
      <c r="H520" s="10" t="s">
        <v>1188</v>
      </c>
      <c r="I520" s="10" t="s">
        <v>49</v>
      </c>
      <c r="J520" s="10" t="s">
        <v>914</v>
      </c>
      <c r="K520" s="12">
        <v>45995</v>
      </c>
      <c r="L520" s="10" t="s">
        <v>11</v>
      </c>
      <c r="M520" s="14"/>
      <c r="N520" s="10" t="s">
        <v>1028</v>
      </c>
    </row>
    <row r="521" spans="1:14" ht="22.5" customHeight="1">
      <c r="A521" s="8">
        <v>45995.517010405092</v>
      </c>
      <c r="B521" s="9" t="s">
        <v>14</v>
      </c>
      <c r="C521" s="9" t="s">
        <v>15</v>
      </c>
      <c r="D521" s="9" t="s">
        <v>1189</v>
      </c>
      <c r="E521" s="10" t="s">
        <v>17</v>
      </c>
      <c r="F521" s="10">
        <v>28</v>
      </c>
      <c r="G521" s="11">
        <v>7067726110</v>
      </c>
      <c r="H521" s="10" t="s">
        <v>1190</v>
      </c>
      <c r="I521" s="10" t="s">
        <v>45</v>
      </c>
      <c r="J521" s="10" t="s">
        <v>1191</v>
      </c>
      <c r="K521" s="12">
        <v>45995</v>
      </c>
      <c r="L521" s="10" t="s">
        <v>11</v>
      </c>
      <c r="M521" s="14"/>
      <c r="N521" s="10" t="s">
        <v>1028</v>
      </c>
    </row>
    <row r="522" spans="1:14" ht="22.5" customHeight="1">
      <c r="A522" s="8">
        <v>45995.519659027777</v>
      </c>
      <c r="B522" s="9" t="s">
        <v>14</v>
      </c>
      <c r="C522" s="9" t="s">
        <v>15</v>
      </c>
      <c r="D522" s="9" t="s">
        <v>1192</v>
      </c>
      <c r="E522" s="10" t="s">
        <v>17</v>
      </c>
      <c r="F522" s="10">
        <v>27</v>
      </c>
      <c r="G522" s="11">
        <v>8106073411</v>
      </c>
      <c r="H522" s="10" t="s">
        <v>1193</v>
      </c>
      <c r="I522" s="10" t="s">
        <v>27</v>
      </c>
      <c r="J522" s="10" t="s">
        <v>1194</v>
      </c>
      <c r="K522" s="12">
        <v>45995</v>
      </c>
      <c r="L522" s="10" t="s">
        <v>11</v>
      </c>
      <c r="M522" s="14"/>
      <c r="N522" s="10" t="s">
        <v>1096</v>
      </c>
    </row>
    <row r="523" spans="1:14" ht="22.5" customHeight="1">
      <c r="A523" s="8">
        <v>45995.530888715279</v>
      </c>
      <c r="B523" s="9" t="s">
        <v>14</v>
      </c>
      <c r="C523" s="9" t="s">
        <v>15</v>
      </c>
      <c r="D523" s="9" t="s">
        <v>1195</v>
      </c>
      <c r="E523" s="10" t="s">
        <v>22</v>
      </c>
      <c r="F523" s="10">
        <v>30</v>
      </c>
      <c r="G523" s="11">
        <v>7063417200</v>
      </c>
      <c r="H523" s="10" t="s">
        <v>1196</v>
      </c>
      <c r="I523" s="10" t="s">
        <v>27</v>
      </c>
      <c r="J523" s="10" t="s">
        <v>1197</v>
      </c>
      <c r="K523" s="12">
        <v>45995</v>
      </c>
      <c r="L523" s="10" t="s">
        <v>11</v>
      </c>
      <c r="M523" s="14"/>
      <c r="N523" s="10" t="s">
        <v>1140</v>
      </c>
    </row>
    <row r="524" spans="1:14" ht="22.5" customHeight="1">
      <c r="A524" s="8">
        <v>45995.548738055557</v>
      </c>
      <c r="B524" s="9" t="s">
        <v>14</v>
      </c>
      <c r="C524" s="9" t="s">
        <v>15</v>
      </c>
      <c r="D524" s="9" t="s">
        <v>1198</v>
      </c>
      <c r="E524" s="10" t="s">
        <v>17</v>
      </c>
      <c r="F524" s="10">
        <v>24</v>
      </c>
      <c r="G524" s="11">
        <v>9060573050</v>
      </c>
      <c r="H524" s="10" t="s">
        <v>1199</v>
      </c>
      <c r="I524" s="10" t="s">
        <v>49</v>
      </c>
      <c r="J524" s="10" t="s">
        <v>282</v>
      </c>
      <c r="K524" s="12">
        <v>45995</v>
      </c>
      <c r="L524" s="10" t="s">
        <v>11</v>
      </c>
      <c r="M524" s="14"/>
      <c r="N524" s="10" t="s">
        <v>1028</v>
      </c>
    </row>
    <row r="525" spans="1:14" ht="22.5" customHeight="1">
      <c r="A525" s="8">
        <v>45995.574510706021</v>
      </c>
      <c r="B525" s="9" t="s">
        <v>14</v>
      </c>
      <c r="C525" s="9" t="s">
        <v>15</v>
      </c>
      <c r="D525" s="9" t="s">
        <v>1200</v>
      </c>
      <c r="E525" s="10" t="s">
        <v>17</v>
      </c>
      <c r="F525" s="10">
        <v>30</v>
      </c>
      <c r="G525" s="11">
        <v>7031996005</v>
      </c>
      <c r="H525" s="10" t="s">
        <v>1201</v>
      </c>
      <c r="I525" s="10" t="s">
        <v>49</v>
      </c>
      <c r="J525" s="10" t="s">
        <v>1202</v>
      </c>
      <c r="K525" s="12">
        <v>45995</v>
      </c>
      <c r="L525" s="10" t="s">
        <v>11</v>
      </c>
      <c r="M525" s="14"/>
      <c r="N525" s="10" t="s">
        <v>1028</v>
      </c>
    </row>
    <row r="526" spans="1:14" ht="22.5" customHeight="1">
      <c r="A526" s="8">
        <v>45995.605279965283</v>
      </c>
      <c r="B526" s="9" t="s">
        <v>14</v>
      </c>
      <c r="C526" s="9" t="s">
        <v>15</v>
      </c>
      <c r="D526" s="9" t="s">
        <v>1203</v>
      </c>
      <c r="E526" s="10" t="s">
        <v>17</v>
      </c>
      <c r="F526" s="10">
        <v>26</v>
      </c>
      <c r="G526" s="11">
        <v>7041521938</v>
      </c>
      <c r="H526" s="10" t="s">
        <v>1204</v>
      </c>
      <c r="I526" s="10" t="s">
        <v>45</v>
      </c>
      <c r="J526" s="10" t="s">
        <v>1205</v>
      </c>
      <c r="K526" s="12">
        <v>45995</v>
      </c>
      <c r="L526" s="10" t="s">
        <v>11</v>
      </c>
      <c r="M526" s="14"/>
      <c r="N526" s="10" t="s">
        <v>1028</v>
      </c>
    </row>
    <row r="527" spans="1:14" ht="22.5" customHeight="1">
      <c r="A527" s="8">
        <v>45995.616973796292</v>
      </c>
      <c r="B527" s="9" t="s">
        <v>14</v>
      </c>
      <c r="C527" s="9" t="s">
        <v>15</v>
      </c>
      <c r="D527" s="9" t="s">
        <v>1206</v>
      </c>
      <c r="E527" s="10" t="s">
        <v>17</v>
      </c>
      <c r="F527" s="10">
        <v>34</v>
      </c>
      <c r="G527" s="11">
        <v>8035596699</v>
      </c>
      <c r="H527" s="10" t="s">
        <v>1207</v>
      </c>
      <c r="I527" s="10" t="s">
        <v>49</v>
      </c>
      <c r="J527" s="10" t="s">
        <v>1208</v>
      </c>
      <c r="K527" s="12">
        <v>33338</v>
      </c>
      <c r="L527" s="10" t="s">
        <v>11</v>
      </c>
      <c r="M527" s="10"/>
      <c r="N527" s="10" t="s">
        <v>1209</v>
      </c>
    </row>
    <row r="528" spans="1:14" ht="22.5" customHeight="1">
      <c r="A528" s="8">
        <v>45995.687881041667</v>
      </c>
      <c r="B528" s="9" t="s">
        <v>14</v>
      </c>
      <c r="C528" s="9" t="s">
        <v>15</v>
      </c>
      <c r="D528" s="9" t="s">
        <v>1210</v>
      </c>
      <c r="E528" s="10" t="s">
        <v>17</v>
      </c>
      <c r="F528" s="10">
        <v>33</v>
      </c>
      <c r="G528" s="11">
        <v>8075054473</v>
      </c>
      <c r="H528" s="10" t="s">
        <v>1211</v>
      </c>
      <c r="I528" s="10" t="s">
        <v>49</v>
      </c>
      <c r="J528" s="10" t="s">
        <v>215</v>
      </c>
      <c r="K528" s="12">
        <v>33721</v>
      </c>
      <c r="L528" s="10" t="s">
        <v>11</v>
      </c>
      <c r="M528" s="14"/>
      <c r="N528" s="10" t="s">
        <v>1028</v>
      </c>
    </row>
    <row r="529" spans="1:14" ht="22.5" customHeight="1">
      <c r="A529" s="8">
        <v>45995.69340178241</v>
      </c>
      <c r="B529" s="9" t="s">
        <v>14</v>
      </c>
      <c r="C529" s="9" t="s">
        <v>15</v>
      </c>
      <c r="D529" s="9" t="s">
        <v>1212</v>
      </c>
      <c r="E529" s="10" t="s">
        <v>22</v>
      </c>
      <c r="F529" s="10">
        <v>29</v>
      </c>
      <c r="G529" s="11">
        <v>9134263344</v>
      </c>
      <c r="H529" s="10" t="s">
        <v>1213</v>
      </c>
      <c r="I529" s="10" t="s">
        <v>49</v>
      </c>
      <c r="J529" s="10" t="s">
        <v>106</v>
      </c>
      <c r="K529" s="12">
        <v>45995</v>
      </c>
      <c r="L529" s="10" t="s">
        <v>11</v>
      </c>
      <c r="M529" s="10"/>
      <c r="N529" s="10" t="s">
        <v>1028</v>
      </c>
    </row>
    <row r="530" spans="1:14" ht="22.5" customHeight="1">
      <c r="A530" s="8">
        <v>45995.699256284723</v>
      </c>
      <c r="B530" s="9" t="s">
        <v>14</v>
      </c>
      <c r="C530" s="9" t="s">
        <v>15</v>
      </c>
      <c r="D530" s="9" t="s">
        <v>1214</v>
      </c>
      <c r="E530" s="10" t="s">
        <v>22</v>
      </c>
      <c r="F530" s="10">
        <v>25</v>
      </c>
      <c r="G530" s="11">
        <v>7039941625</v>
      </c>
      <c r="H530" s="10" t="s">
        <v>1215</v>
      </c>
      <c r="I530" s="10" t="s">
        <v>49</v>
      </c>
      <c r="J530" s="10" t="s">
        <v>109</v>
      </c>
      <c r="K530" s="12">
        <v>45995</v>
      </c>
      <c r="L530" s="10" t="s">
        <v>11</v>
      </c>
      <c r="M530" s="14"/>
      <c r="N530" s="10" t="s">
        <v>1028</v>
      </c>
    </row>
    <row r="531" spans="1:14" ht="22.5" customHeight="1">
      <c r="A531" s="8">
        <v>45995.702297604163</v>
      </c>
      <c r="B531" s="9" t="s">
        <v>14</v>
      </c>
      <c r="C531" s="9" t="s">
        <v>15</v>
      </c>
      <c r="D531" s="9" t="s">
        <v>1216</v>
      </c>
      <c r="E531" s="10" t="s">
        <v>17</v>
      </c>
      <c r="F531" s="10">
        <v>27</v>
      </c>
      <c r="G531" s="11">
        <v>7062903180</v>
      </c>
      <c r="H531" s="10" t="s">
        <v>1217</v>
      </c>
      <c r="I531" s="10" t="s">
        <v>49</v>
      </c>
      <c r="J531" s="10" t="s">
        <v>60</v>
      </c>
      <c r="K531" s="12">
        <v>45995</v>
      </c>
      <c r="L531" s="10" t="s">
        <v>11</v>
      </c>
      <c r="M531" s="14"/>
      <c r="N531" s="10" t="s">
        <v>1028</v>
      </c>
    </row>
    <row r="532" spans="1:14" ht="22.5" customHeight="1">
      <c r="A532" s="8">
        <v>45995.715606365746</v>
      </c>
      <c r="B532" s="9" t="s">
        <v>14</v>
      </c>
      <c r="C532" s="9" t="s">
        <v>15</v>
      </c>
      <c r="D532" s="9" t="s">
        <v>1218</v>
      </c>
      <c r="E532" s="10" t="s">
        <v>17</v>
      </c>
      <c r="F532" s="10">
        <v>26</v>
      </c>
      <c r="G532" s="11">
        <v>8134992581</v>
      </c>
      <c r="H532" s="10" t="s">
        <v>1219</v>
      </c>
      <c r="I532" s="10" t="s">
        <v>49</v>
      </c>
      <c r="J532" s="10" t="s">
        <v>253</v>
      </c>
      <c r="K532" s="12">
        <v>45995</v>
      </c>
      <c r="L532" s="10" t="s">
        <v>11</v>
      </c>
      <c r="M532" s="14"/>
      <c r="N532" s="10" t="s">
        <v>1028</v>
      </c>
    </row>
    <row r="533" spans="1:14" ht="22.5" customHeight="1">
      <c r="A533" s="8">
        <v>45995.718159837968</v>
      </c>
      <c r="B533" s="9" t="s">
        <v>14</v>
      </c>
      <c r="C533" s="9" t="s">
        <v>15</v>
      </c>
      <c r="D533" s="9" t="s">
        <v>1220</v>
      </c>
      <c r="E533" s="10" t="s">
        <v>22</v>
      </c>
      <c r="F533" s="10">
        <v>21</v>
      </c>
      <c r="G533" s="11">
        <v>9072790380</v>
      </c>
      <c r="H533" s="10" t="s">
        <v>1221</v>
      </c>
      <c r="I533" s="10" t="s">
        <v>45</v>
      </c>
      <c r="J533" s="10" t="s">
        <v>1222</v>
      </c>
      <c r="K533" s="12">
        <v>45995</v>
      </c>
      <c r="L533" s="10" t="s">
        <v>11</v>
      </c>
      <c r="M533" s="14"/>
      <c r="N533" s="10" t="s">
        <v>1223</v>
      </c>
    </row>
    <row r="534" spans="1:14" ht="22.5" customHeight="1">
      <c r="A534" s="8">
        <v>45995.721198356478</v>
      </c>
      <c r="B534" s="9" t="s">
        <v>14</v>
      </c>
      <c r="C534" s="9" t="s">
        <v>15</v>
      </c>
      <c r="D534" s="9" t="s">
        <v>1224</v>
      </c>
      <c r="E534" s="10" t="s">
        <v>17</v>
      </c>
      <c r="F534" s="10">
        <v>32</v>
      </c>
      <c r="G534" s="11">
        <v>8038309601</v>
      </c>
      <c r="H534" s="10" t="s">
        <v>1225</v>
      </c>
      <c r="I534" s="10" t="s">
        <v>49</v>
      </c>
      <c r="J534" s="10" t="s">
        <v>60</v>
      </c>
      <c r="K534" s="12">
        <v>45995</v>
      </c>
      <c r="L534" s="10" t="s">
        <v>11</v>
      </c>
      <c r="M534" s="14"/>
      <c r="N534" s="10" t="s">
        <v>1028</v>
      </c>
    </row>
    <row r="535" spans="1:14" ht="22.5" customHeight="1">
      <c r="A535" s="8">
        <v>45995.738387141202</v>
      </c>
      <c r="B535" s="9" t="s">
        <v>14</v>
      </c>
      <c r="C535" s="9" t="s">
        <v>15</v>
      </c>
      <c r="D535" s="9" t="s">
        <v>1226</v>
      </c>
      <c r="E535" s="10" t="s">
        <v>17</v>
      </c>
      <c r="F535" s="10">
        <v>37</v>
      </c>
      <c r="G535" s="11">
        <v>806975803</v>
      </c>
      <c r="H535" s="10" t="s">
        <v>1227</v>
      </c>
      <c r="I535" s="10" t="s">
        <v>19</v>
      </c>
      <c r="J535" s="10" t="s">
        <v>1228</v>
      </c>
      <c r="K535" s="12">
        <v>45995</v>
      </c>
      <c r="L535" s="10" t="s">
        <v>11</v>
      </c>
      <c r="M535" s="14"/>
      <c r="N535" s="10" t="s">
        <v>1028</v>
      </c>
    </row>
    <row r="536" spans="1:14" ht="22.5" customHeight="1">
      <c r="A536" s="8">
        <v>45995.74967740741</v>
      </c>
      <c r="B536" s="9" t="s">
        <v>14</v>
      </c>
      <c r="C536" s="9" t="s">
        <v>15</v>
      </c>
      <c r="D536" s="9" t="s">
        <v>1229</v>
      </c>
      <c r="E536" s="10" t="s">
        <v>17</v>
      </c>
      <c r="F536" s="10">
        <v>34</v>
      </c>
      <c r="G536" s="11">
        <v>8069613133</v>
      </c>
      <c r="H536" s="10" t="s">
        <v>1230</v>
      </c>
      <c r="I536" s="10" t="s">
        <v>49</v>
      </c>
      <c r="J536" s="10" t="s">
        <v>106</v>
      </c>
      <c r="K536" s="12">
        <v>45995</v>
      </c>
      <c r="L536" s="10" t="s">
        <v>11</v>
      </c>
      <c r="M536" s="14"/>
      <c r="N536" s="10" t="s">
        <v>1028</v>
      </c>
    </row>
    <row r="537" spans="1:14" ht="22.5" customHeight="1">
      <c r="A537" s="8">
        <v>45995.764327627316</v>
      </c>
      <c r="B537" s="9" t="s">
        <v>14</v>
      </c>
      <c r="C537" s="9" t="s">
        <v>15</v>
      </c>
      <c r="D537" s="9" t="s">
        <v>1231</v>
      </c>
      <c r="E537" s="10" t="s">
        <v>22</v>
      </c>
      <c r="F537" s="10">
        <v>28</v>
      </c>
      <c r="G537" s="11">
        <v>7069409432</v>
      </c>
      <c r="H537" s="10" t="s">
        <v>1232</v>
      </c>
      <c r="I537" s="10" t="s">
        <v>45</v>
      </c>
      <c r="J537" s="10" t="s">
        <v>521</v>
      </c>
      <c r="K537" s="12">
        <v>45995</v>
      </c>
      <c r="L537" s="10" t="s">
        <v>11</v>
      </c>
      <c r="M537" s="14"/>
      <c r="N537" s="10" t="s">
        <v>1140</v>
      </c>
    </row>
    <row r="538" spans="1:14" ht="22.5" customHeight="1">
      <c r="A538" s="8">
        <v>45995.764855474539</v>
      </c>
      <c r="B538" s="9" t="s">
        <v>14</v>
      </c>
      <c r="C538" s="9" t="s">
        <v>15</v>
      </c>
      <c r="D538" s="9" t="s">
        <v>1233</v>
      </c>
      <c r="E538" s="10" t="s">
        <v>17</v>
      </c>
      <c r="F538" s="10">
        <v>30</v>
      </c>
      <c r="G538" s="11">
        <v>8169822922</v>
      </c>
      <c r="H538" s="10" t="s">
        <v>1234</v>
      </c>
      <c r="I538" s="10" t="s">
        <v>49</v>
      </c>
      <c r="J538" s="10" t="s">
        <v>434</v>
      </c>
      <c r="K538" s="12">
        <v>45995</v>
      </c>
      <c r="L538" s="10" t="s">
        <v>11</v>
      </c>
      <c r="M538" s="14"/>
      <c r="N538" s="10" t="s">
        <v>1028</v>
      </c>
    </row>
    <row r="539" spans="1:14" ht="22.5" customHeight="1">
      <c r="A539" s="8">
        <v>45995.766393796293</v>
      </c>
      <c r="B539" s="9" t="s">
        <v>14</v>
      </c>
      <c r="C539" s="9" t="s">
        <v>15</v>
      </c>
      <c r="D539" s="9" t="s">
        <v>1235</v>
      </c>
      <c r="E539" s="10" t="s">
        <v>17</v>
      </c>
      <c r="F539" s="10">
        <v>28</v>
      </c>
      <c r="G539" s="11">
        <v>8137864609</v>
      </c>
      <c r="H539" s="10" t="s">
        <v>1236</v>
      </c>
      <c r="I539" s="10" t="s">
        <v>49</v>
      </c>
      <c r="J539" s="10" t="s">
        <v>246</v>
      </c>
      <c r="K539" s="12">
        <v>45995</v>
      </c>
      <c r="L539" s="10" t="s">
        <v>11</v>
      </c>
      <c r="M539" s="14"/>
      <c r="N539" s="10" t="s">
        <v>1028</v>
      </c>
    </row>
    <row r="540" spans="1:14" ht="22.5" customHeight="1">
      <c r="A540" s="8">
        <v>45995.781216423609</v>
      </c>
      <c r="B540" s="9" t="s">
        <v>14</v>
      </c>
      <c r="C540" s="9" t="s">
        <v>15</v>
      </c>
      <c r="D540" s="9" t="s">
        <v>1237</v>
      </c>
      <c r="E540" s="10" t="s">
        <v>17</v>
      </c>
      <c r="F540" s="10">
        <v>26</v>
      </c>
      <c r="G540" s="11">
        <v>9034817299</v>
      </c>
      <c r="H540" s="10" t="s">
        <v>1238</v>
      </c>
      <c r="I540" s="10" t="s">
        <v>49</v>
      </c>
      <c r="J540" s="10" t="s">
        <v>246</v>
      </c>
      <c r="K540" s="12">
        <v>45995</v>
      </c>
      <c r="L540" s="10" t="s">
        <v>11</v>
      </c>
      <c r="M540" s="14"/>
      <c r="N540" s="10" t="s">
        <v>1028</v>
      </c>
    </row>
    <row r="541" spans="1:14" ht="22.5" customHeight="1">
      <c r="A541" s="8">
        <v>45995.781469756941</v>
      </c>
      <c r="B541" s="9" t="s">
        <v>14</v>
      </c>
      <c r="C541" s="9" t="s">
        <v>15</v>
      </c>
      <c r="D541" s="9" t="s">
        <v>1239</v>
      </c>
      <c r="E541" s="10" t="s">
        <v>22</v>
      </c>
      <c r="F541" s="10">
        <v>18</v>
      </c>
      <c r="G541" s="11">
        <v>8052280665</v>
      </c>
      <c r="H541" s="10" t="s">
        <v>1240</v>
      </c>
      <c r="I541" s="10" t="s">
        <v>49</v>
      </c>
      <c r="J541" s="10" t="s">
        <v>362</v>
      </c>
      <c r="K541" s="12">
        <v>45995</v>
      </c>
      <c r="L541" s="10" t="s">
        <v>11</v>
      </c>
      <c r="M541" s="14"/>
      <c r="N541" s="10" t="s">
        <v>1028</v>
      </c>
    </row>
    <row r="542" spans="1:14" ht="22.5" customHeight="1">
      <c r="A542" s="8">
        <v>45995.799971886576</v>
      </c>
      <c r="B542" s="9" t="s">
        <v>14</v>
      </c>
      <c r="C542" s="9" t="s">
        <v>15</v>
      </c>
      <c r="D542" s="9" t="s">
        <v>1241</v>
      </c>
      <c r="E542" s="10" t="s">
        <v>22</v>
      </c>
      <c r="F542" s="10">
        <v>20</v>
      </c>
      <c r="G542" s="11">
        <v>8122982390</v>
      </c>
      <c r="H542" s="10" t="s">
        <v>1242</v>
      </c>
      <c r="I542" s="10" t="s">
        <v>49</v>
      </c>
      <c r="J542" s="10" t="s">
        <v>246</v>
      </c>
      <c r="K542" s="12">
        <v>45995</v>
      </c>
      <c r="L542" s="10" t="s">
        <v>11</v>
      </c>
      <c r="M542" s="14"/>
      <c r="N542" s="10" t="s">
        <v>1140</v>
      </c>
    </row>
    <row r="543" spans="1:14" ht="22.5" customHeight="1">
      <c r="A543" s="8">
        <v>45995.819900787035</v>
      </c>
      <c r="B543" s="9" t="s">
        <v>14</v>
      </c>
      <c r="C543" s="9" t="s">
        <v>15</v>
      </c>
      <c r="D543" s="9" t="s">
        <v>1243</v>
      </c>
      <c r="E543" s="10" t="s">
        <v>17</v>
      </c>
      <c r="F543" s="10">
        <v>27</v>
      </c>
      <c r="G543" s="11">
        <v>7039402276</v>
      </c>
      <c r="H543" s="10" t="s">
        <v>1244</v>
      </c>
      <c r="I543" s="10" t="s">
        <v>45</v>
      </c>
      <c r="J543" s="10" t="s">
        <v>279</v>
      </c>
      <c r="K543" s="12">
        <v>45995</v>
      </c>
      <c r="L543" s="10" t="s">
        <v>11</v>
      </c>
      <c r="M543" s="14"/>
      <c r="N543" s="10" t="s">
        <v>1028</v>
      </c>
    </row>
    <row r="544" spans="1:14" ht="22.5" customHeight="1">
      <c r="A544" s="8">
        <v>45995.820831689816</v>
      </c>
      <c r="B544" s="9" t="s">
        <v>14</v>
      </c>
      <c r="C544" s="9" t="s">
        <v>15</v>
      </c>
      <c r="D544" s="9" t="s">
        <v>1245</v>
      </c>
      <c r="E544" s="10" t="s">
        <v>17</v>
      </c>
      <c r="F544" s="10">
        <v>20</v>
      </c>
      <c r="G544" s="11">
        <v>7035051883</v>
      </c>
      <c r="H544" s="10" t="s">
        <v>1246</v>
      </c>
      <c r="I544" s="10" t="s">
        <v>45</v>
      </c>
      <c r="J544" s="10" t="s">
        <v>1247</v>
      </c>
      <c r="K544" s="12">
        <v>45995</v>
      </c>
      <c r="L544" s="10" t="s">
        <v>11</v>
      </c>
      <c r="M544" s="14"/>
      <c r="N544" s="10" t="s">
        <v>1028</v>
      </c>
    </row>
    <row r="545" spans="1:14" ht="22.5" customHeight="1">
      <c r="A545" s="8">
        <v>45995.827045254628</v>
      </c>
      <c r="B545" s="9" t="s">
        <v>14</v>
      </c>
      <c r="C545" s="9" t="s">
        <v>15</v>
      </c>
      <c r="D545" s="9" t="s">
        <v>1248</v>
      </c>
      <c r="E545" s="10" t="s">
        <v>22</v>
      </c>
      <c r="F545" s="10">
        <v>27</v>
      </c>
      <c r="G545" s="11">
        <v>7039160215</v>
      </c>
      <c r="H545" s="10" t="s">
        <v>1249</v>
      </c>
      <c r="I545" s="10" t="s">
        <v>27</v>
      </c>
      <c r="J545" s="10" t="s">
        <v>703</v>
      </c>
      <c r="K545" s="12">
        <v>45995</v>
      </c>
      <c r="L545" s="10" t="s">
        <v>11</v>
      </c>
      <c r="M545" s="14"/>
      <c r="N545" s="10" t="s">
        <v>1028</v>
      </c>
    </row>
    <row r="546" spans="1:14" ht="22.5" customHeight="1">
      <c r="A546" s="8">
        <v>45995.857710659722</v>
      </c>
      <c r="B546" s="9" t="s">
        <v>14</v>
      </c>
      <c r="C546" s="9" t="s">
        <v>15</v>
      </c>
      <c r="D546" s="9" t="s">
        <v>1250</v>
      </c>
      <c r="E546" s="10" t="s">
        <v>22</v>
      </c>
      <c r="F546" s="10">
        <v>26</v>
      </c>
      <c r="G546" s="11">
        <v>8107450148</v>
      </c>
      <c r="H546" s="10" t="s">
        <v>1251</v>
      </c>
      <c r="I546" s="10" t="s">
        <v>49</v>
      </c>
      <c r="J546" s="10" t="s">
        <v>1252</v>
      </c>
      <c r="K546" s="12">
        <v>45995</v>
      </c>
      <c r="L546" s="10" t="s">
        <v>11</v>
      </c>
      <c r="M546" s="14"/>
      <c r="N546" s="10" t="s">
        <v>1140</v>
      </c>
    </row>
    <row r="547" spans="1:14" ht="22.5" customHeight="1">
      <c r="A547" s="8">
        <v>45995.8682371412</v>
      </c>
      <c r="B547" s="9" t="s">
        <v>14</v>
      </c>
      <c r="C547" s="9" t="s">
        <v>15</v>
      </c>
      <c r="D547" s="9" t="s">
        <v>1253</v>
      </c>
      <c r="E547" s="10" t="s">
        <v>17</v>
      </c>
      <c r="F547" s="10">
        <v>31</v>
      </c>
      <c r="G547" s="11">
        <v>8060362840</v>
      </c>
      <c r="H547" s="10" t="s">
        <v>1254</v>
      </c>
      <c r="I547" s="10" t="s">
        <v>145</v>
      </c>
      <c r="J547" s="10" t="s">
        <v>530</v>
      </c>
      <c r="K547" s="12">
        <v>45995</v>
      </c>
      <c r="L547" s="10" t="s">
        <v>11</v>
      </c>
      <c r="M547" s="14"/>
      <c r="N547" s="10" t="s">
        <v>1028</v>
      </c>
    </row>
    <row r="548" spans="1:14" ht="22.5" customHeight="1">
      <c r="A548" s="8">
        <v>45995.868958321764</v>
      </c>
      <c r="B548" s="9" t="s">
        <v>14</v>
      </c>
      <c r="C548" s="9" t="s">
        <v>15</v>
      </c>
      <c r="D548" s="9" t="s">
        <v>1255</v>
      </c>
      <c r="E548" s="10" t="s">
        <v>17</v>
      </c>
      <c r="F548" s="10">
        <v>27</v>
      </c>
      <c r="G548" s="11">
        <v>8130243411</v>
      </c>
      <c r="H548" s="10" t="s">
        <v>1256</v>
      </c>
      <c r="I548" s="10" t="s">
        <v>49</v>
      </c>
      <c r="J548" s="10" t="s">
        <v>246</v>
      </c>
      <c r="K548" s="12">
        <v>45995</v>
      </c>
      <c r="L548" s="10" t="s">
        <v>11</v>
      </c>
      <c r="M548" s="14"/>
      <c r="N548" s="10" t="s">
        <v>1028</v>
      </c>
    </row>
    <row r="549" spans="1:14" ht="22.5" customHeight="1">
      <c r="A549" s="8">
        <v>45995.922090879627</v>
      </c>
      <c r="B549" s="9" t="s">
        <v>14</v>
      </c>
      <c r="C549" s="9" t="s">
        <v>15</v>
      </c>
      <c r="D549" s="9" t="s">
        <v>1257</v>
      </c>
      <c r="E549" s="10" t="s">
        <v>22</v>
      </c>
      <c r="F549" s="10">
        <v>35</v>
      </c>
      <c r="G549" s="11">
        <v>7067604979</v>
      </c>
      <c r="H549" s="10" t="s">
        <v>1258</v>
      </c>
      <c r="I549" s="10" t="s">
        <v>49</v>
      </c>
      <c r="J549" s="10" t="s">
        <v>445</v>
      </c>
      <c r="K549" s="12">
        <v>45995</v>
      </c>
      <c r="L549" s="10" t="s">
        <v>11</v>
      </c>
      <c r="M549" s="14"/>
      <c r="N549" s="10" t="s">
        <v>1028</v>
      </c>
    </row>
    <row r="550" spans="1:14" ht="22.5" customHeight="1">
      <c r="A550" s="8">
        <v>45995.965143680558</v>
      </c>
      <c r="B550" s="9" t="s">
        <v>14</v>
      </c>
      <c r="C550" s="9" t="s">
        <v>15</v>
      </c>
      <c r="D550" s="9" t="s">
        <v>1259</v>
      </c>
      <c r="E550" s="10" t="s">
        <v>22</v>
      </c>
      <c r="F550" s="10">
        <v>35</v>
      </c>
      <c r="G550" s="11">
        <v>8135590228</v>
      </c>
      <c r="H550" s="10" t="s">
        <v>1260</v>
      </c>
      <c r="I550" s="10" t="s">
        <v>49</v>
      </c>
      <c r="J550" s="10" t="s">
        <v>50</v>
      </c>
      <c r="K550" s="12">
        <v>45995</v>
      </c>
      <c r="L550" s="10" t="s">
        <v>11</v>
      </c>
      <c r="M550" s="14"/>
      <c r="N550" s="10" t="s">
        <v>1096</v>
      </c>
    </row>
    <row r="551" spans="1:14" ht="22.5" customHeight="1">
      <c r="A551" s="8">
        <v>45995.96715556713</v>
      </c>
      <c r="B551" s="9" t="s">
        <v>14</v>
      </c>
      <c r="C551" s="9" t="s">
        <v>15</v>
      </c>
      <c r="D551" s="9" t="s">
        <v>1261</v>
      </c>
      <c r="E551" s="10" t="s">
        <v>17</v>
      </c>
      <c r="F551" s="10">
        <v>25</v>
      </c>
      <c r="G551" s="11">
        <v>9065111737</v>
      </c>
      <c r="H551" s="10" t="s">
        <v>1262</v>
      </c>
      <c r="I551" s="10" t="s">
        <v>49</v>
      </c>
      <c r="J551" s="10" t="s">
        <v>1263</v>
      </c>
      <c r="K551" s="12">
        <v>45995</v>
      </c>
      <c r="L551" s="10" t="s">
        <v>11</v>
      </c>
      <c r="M551" s="14"/>
      <c r="N551" s="10" t="s">
        <v>1096</v>
      </c>
    </row>
    <row r="552" spans="1:14" ht="22.5" customHeight="1">
      <c r="A552" s="8">
        <v>45995.980950034718</v>
      </c>
      <c r="B552" s="9" t="s">
        <v>14</v>
      </c>
      <c r="C552" s="9" t="s">
        <v>15</v>
      </c>
      <c r="D552" s="9" t="s">
        <v>1264</v>
      </c>
      <c r="E552" s="10" t="s">
        <v>17</v>
      </c>
      <c r="F552" s="10">
        <v>35</v>
      </c>
      <c r="G552" s="11">
        <v>8114542737</v>
      </c>
      <c r="H552" s="10" t="s">
        <v>1265</v>
      </c>
      <c r="I552" s="10" t="s">
        <v>49</v>
      </c>
      <c r="J552" s="10" t="s">
        <v>103</v>
      </c>
      <c r="K552" s="12">
        <v>45995</v>
      </c>
      <c r="L552" s="10" t="s">
        <v>11</v>
      </c>
      <c r="M552" s="14"/>
      <c r="N552" s="10" t="s">
        <v>1028</v>
      </c>
    </row>
    <row r="553" spans="1:14" ht="22.5" customHeight="1">
      <c r="A553" s="8">
        <v>45995.981159351853</v>
      </c>
      <c r="B553" s="9" t="s">
        <v>14</v>
      </c>
      <c r="C553" s="9" t="s">
        <v>15</v>
      </c>
      <c r="D553" s="9" t="s">
        <v>1266</v>
      </c>
      <c r="E553" s="10" t="s">
        <v>17</v>
      </c>
      <c r="F553" s="10">
        <v>26</v>
      </c>
      <c r="G553" s="11">
        <v>9056594831</v>
      </c>
      <c r="H553" s="10" t="s">
        <v>1267</v>
      </c>
      <c r="I553" s="10" t="s">
        <v>49</v>
      </c>
      <c r="J553" s="10" t="s">
        <v>215</v>
      </c>
      <c r="K553" s="12">
        <v>45995</v>
      </c>
      <c r="L553" s="10" t="s">
        <v>11</v>
      </c>
      <c r="M553" s="14"/>
      <c r="N553" s="10" t="s">
        <v>1028</v>
      </c>
    </row>
    <row r="554" spans="1:14" ht="22.5" customHeight="1">
      <c r="A554" s="8">
        <v>45995.986873182876</v>
      </c>
      <c r="B554" s="9" t="s">
        <v>14</v>
      </c>
      <c r="C554" s="9" t="s">
        <v>15</v>
      </c>
      <c r="D554" s="9" t="s">
        <v>1268</v>
      </c>
      <c r="E554" s="10" t="s">
        <v>22</v>
      </c>
      <c r="F554" s="10">
        <v>33</v>
      </c>
      <c r="G554" s="11">
        <v>9131763434</v>
      </c>
      <c r="H554" s="10" t="s">
        <v>1269</v>
      </c>
      <c r="I554" s="10" t="s">
        <v>49</v>
      </c>
      <c r="J554" s="10" t="s">
        <v>914</v>
      </c>
      <c r="K554" s="12">
        <v>45995</v>
      </c>
      <c r="L554" s="10" t="s">
        <v>11</v>
      </c>
      <c r="M554" s="14"/>
      <c r="N554" s="10" t="s">
        <v>1028</v>
      </c>
    </row>
    <row r="555" spans="1:14" ht="22.5" customHeight="1">
      <c r="A555" s="8">
        <v>45995.989168229164</v>
      </c>
      <c r="B555" s="9" t="s">
        <v>14</v>
      </c>
      <c r="C555" s="9" t="s">
        <v>15</v>
      </c>
      <c r="D555" s="9" t="s">
        <v>1270</v>
      </c>
      <c r="E555" s="10" t="s">
        <v>17</v>
      </c>
      <c r="F555" s="10">
        <v>22</v>
      </c>
      <c r="G555" s="11">
        <v>7049996288</v>
      </c>
      <c r="H555" s="10" t="s">
        <v>1271</v>
      </c>
      <c r="I555" s="10" t="s">
        <v>45</v>
      </c>
      <c r="J555" s="10" t="s">
        <v>46</v>
      </c>
      <c r="K555" s="12">
        <v>45995</v>
      </c>
      <c r="L555" s="10" t="s">
        <v>11</v>
      </c>
      <c r="M555" s="14"/>
      <c r="N555" s="10" t="s">
        <v>1028</v>
      </c>
    </row>
    <row r="556" spans="1:14" ht="22.5" customHeight="1">
      <c r="A556" s="8">
        <v>45995.995739050923</v>
      </c>
      <c r="B556" s="9" t="s">
        <v>14</v>
      </c>
      <c r="C556" s="9" t="s">
        <v>15</v>
      </c>
      <c r="D556" s="9" t="s">
        <v>1272</v>
      </c>
      <c r="E556" s="10" t="s">
        <v>17</v>
      </c>
      <c r="F556" s="10">
        <v>21</v>
      </c>
      <c r="G556" s="11">
        <v>8022595165</v>
      </c>
      <c r="H556" s="10" t="s">
        <v>1273</v>
      </c>
      <c r="I556" s="10" t="s">
        <v>49</v>
      </c>
      <c r="J556" s="10" t="s">
        <v>106</v>
      </c>
      <c r="K556" s="12">
        <v>37996</v>
      </c>
      <c r="L556" s="10" t="s">
        <v>11</v>
      </c>
      <c r="M556" s="14"/>
      <c r="N556" s="10" t="s">
        <v>1028</v>
      </c>
    </row>
    <row r="557" spans="1:14" ht="22.5" customHeight="1">
      <c r="A557" s="8">
        <v>45996.000134120375</v>
      </c>
      <c r="B557" s="9" t="s">
        <v>14</v>
      </c>
      <c r="C557" s="9" t="s">
        <v>15</v>
      </c>
      <c r="D557" s="9" t="s">
        <v>1274</v>
      </c>
      <c r="E557" s="10" t="s">
        <v>22</v>
      </c>
      <c r="F557" s="10">
        <v>25</v>
      </c>
      <c r="G557" s="11">
        <v>8122970304</v>
      </c>
      <c r="H557" s="10" t="s">
        <v>1275</v>
      </c>
      <c r="I557" s="10" t="s">
        <v>45</v>
      </c>
      <c r="J557" s="10" t="s">
        <v>46</v>
      </c>
      <c r="K557" s="12">
        <v>45996</v>
      </c>
      <c r="L557" s="10" t="s">
        <v>11</v>
      </c>
      <c r="M557" s="14"/>
      <c r="N557" s="10" t="s">
        <v>1096</v>
      </c>
    </row>
    <row r="558" spans="1:14" ht="22.5" customHeight="1">
      <c r="A558" s="8">
        <v>45996.034623159721</v>
      </c>
      <c r="B558" s="9" t="s">
        <v>14</v>
      </c>
      <c r="C558" s="9" t="s">
        <v>15</v>
      </c>
      <c r="D558" s="9" t="s">
        <v>1276</v>
      </c>
      <c r="E558" s="10" t="s">
        <v>22</v>
      </c>
      <c r="F558" s="10">
        <v>19</v>
      </c>
      <c r="G558" s="11">
        <v>8071713016</v>
      </c>
      <c r="H558" s="10" t="s">
        <v>1277</v>
      </c>
      <c r="I558" s="10" t="s">
        <v>45</v>
      </c>
      <c r="J558" s="10" t="s">
        <v>84</v>
      </c>
      <c r="K558" s="12">
        <v>45996</v>
      </c>
      <c r="L558" s="10" t="s">
        <v>11</v>
      </c>
      <c r="M558" s="14"/>
      <c r="N558" s="10" t="s">
        <v>1028</v>
      </c>
    </row>
    <row r="559" spans="1:14" ht="22.5" customHeight="1">
      <c r="A559" s="8">
        <v>45996.043668298611</v>
      </c>
      <c r="B559" s="9" t="s">
        <v>14</v>
      </c>
      <c r="C559" s="9" t="s">
        <v>15</v>
      </c>
      <c r="D559" s="9" t="s">
        <v>1278</v>
      </c>
      <c r="E559" s="10" t="s">
        <v>17</v>
      </c>
      <c r="F559" s="10">
        <v>29</v>
      </c>
      <c r="G559" s="11">
        <v>7037110034</v>
      </c>
      <c r="H559" s="10" t="s">
        <v>1279</v>
      </c>
      <c r="I559" s="10" t="s">
        <v>49</v>
      </c>
      <c r="J559" s="10" t="s">
        <v>1280</v>
      </c>
      <c r="K559" s="12">
        <v>45996</v>
      </c>
      <c r="L559" s="10" t="s">
        <v>11</v>
      </c>
      <c r="M559" s="14"/>
      <c r="N559" s="10" t="s">
        <v>1096</v>
      </c>
    </row>
    <row r="560" spans="1:14" ht="22.5" customHeight="1">
      <c r="A560" s="8">
        <v>45996.043762337962</v>
      </c>
      <c r="B560" s="9" t="s">
        <v>14</v>
      </c>
      <c r="C560" s="9" t="s">
        <v>15</v>
      </c>
      <c r="D560" s="9" t="s">
        <v>1281</v>
      </c>
      <c r="E560" s="10" t="s">
        <v>22</v>
      </c>
      <c r="F560" s="10">
        <v>20</v>
      </c>
      <c r="G560" s="11">
        <v>9158657165</v>
      </c>
      <c r="H560" s="10" t="s">
        <v>1282</v>
      </c>
      <c r="I560" s="10" t="s">
        <v>49</v>
      </c>
      <c r="J560" s="10" t="s">
        <v>160</v>
      </c>
      <c r="K560" s="12">
        <v>45996</v>
      </c>
      <c r="L560" s="10" t="s">
        <v>11</v>
      </c>
      <c r="M560" s="14"/>
      <c r="N560" s="10" t="s">
        <v>1028</v>
      </c>
    </row>
    <row r="561" spans="1:14" ht="22.5" customHeight="1">
      <c r="A561" s="8">
        <v>45996.053237534725</v>
      </c>
      <c r="B561" s="9" t="s">
        <v>14</v>
      </c>
      <c r="C561" s="9" t="s">
        <v>15</v>
      </c>
      <c r="D561" s="9" t="s">
        <v>1283</v>
      </c>
      <c r="E561" s="10" t="s">
        <v>17</v>
      </c>
      <c r="F561" s="10">
        <v>21</v>
      </c>
      <c r="G561" s="11">
        <v>9037343145</v>
      </c>
      <c r="H561" s="10" t="s">
        <v>1284</v>
      </c>
      <c r="I561" s="10" t="s">
        <v>45</v>
      </c>
      <c r="J561" s="10" t="s">
        <v>1285</v>
      </c>
      <c r="K561" s="12">
        <v>45996</v>
      </c>
      <c r="L561" s="10" t="s">
        <v>11</v>
      </c>
      <c r="M561" s="14"/>
      <c r="N561" s="10" t="s">
        <v>1028</v>
      </c>
    </row>
    <row r="562" spans="1:14" ht="22.5" customHeight="1">
      <c r="A562" s="8">
        <v>45996.198371238424</v>
      </c>
      <c r="B562" s="9" t="s">
        <v>14</v>
      </c>
      <c r="C562" s="9" t="s">
        <v>15</v>
      </c>
      <c r="D562" s="9" t="s">
        <v>1286</v>
      </c>
      <c r="E562" s="10" t="s">
        <v>17</v>
      </c>
      <c r="F562" s="10">
        <v>23</v>
      </c>
      <c r="G562" s="11">
        <v>7038256607</v>
      </c>
      <c r="H562" s="10" t="s">
        <v>1287</v>
      </c>
      <c r="I562" s="10" t="s">
        <v>27</v>
      </c>
      <c r="J562" s="10" t="s">
        <v>1288</v>
      </c>
      <c r="K562" s="12">
        <v>45996</v>
      </c>
      <c r="L562" s="10" t="s">
        <v>11</v>
      </c>
      <c r="M562" s="14"/>
      <c r="N562" s="10" t="s">
        <v>1096</v>
      </c>
    </row>
    <row r="563" spans="1:14" ht="22.5" customHeight="1">
      <c r="A563" s="8">
        <v>45996.199873124999</v>
      </c>
      <c r="B563" s="9" t="s">
        <v>14</v>
      </c>
      <c r="C563" s="9" t="s">
        <v>15</v>
      </c>
      <c r="D563" s="9" t="s">
        <v>1289</v>
      </c>
      <c r="E563" s="10" t="s">
        <v>17</v>
      </c>
      <c r="F563" s="10">
        <v>37</v>
      </c>
      <c r="G563" s="11">
        <v>7069088686</v>
      </c>
      <c r="H563" s="10" t="s">
        <v>1290</v>
      </c>
      <c r="I563" s="10" t="s">
        <v>49</v>
      </c>
      <c r="J563" s="10" t="s">
        <v>103</v>
      </c>
      <c r="K563" s="12">
        <v>32283</v>
      </c>
      <c r="L563" s="10" t="s">
        <v>11</v>
      </c>
      <c r="M563" s="14"/>
      <c r="N563" s="10" t="s">
        <v>1028</v>
      </c>
    </row>
    <row r="564" spans="1:14" ht="22.5" customHeight="1">
      <c r="A564" s="8">
        <v>45996.226664224538</v>
      </c>
      <c r="B564" s="9" t="s">
        <v>14</v>
      </c>
      <c r="C564" s="9" t="s">
        <v>15</v>
      </c>
      <c r="D564" s="9" t="s">
        <v>1291</v>
      </c>
      <c r="E564" s="10" t="s">
        <v>17</v>
      </c>
      <c r="F564" s="10">
        <v>32</v>
      </c>
      <c r="G564" s="11">
        <v>7066095568</v>
      </c>
      <c r="H564" s="10" t="s">
        <v>1292</v>
      </c>
      <c r="I564" s="10" t="s">
        <v>27</v>
      </c>
      <c r="J564" s="10" t="s">
        <v>1293</v>
      </c>
      <c r="K564" s="12">
        <v>45996</v>
      </c>
      <c r="L564" s="10" t="s">
        <v>11</v>
      </c>
      <c r="M564" s="14"/>
      <c r="N564" s="10" t="s">
        <v>1028</v>
      </c>
    </row>
    <row r="565" spans="1:14" ht="22.5" customHeight="1">
      <c r="A565" s="8">
        <v>45996.241035775463</v>
      </c>
      <c r="B565" s="9" t="s">
        <v>14</v>
      </c>
      <c r="C565" s="9" t="s">
        <v>15</v>
      </c>
      <c r="D565" s="9" t="s">
        <v>1294</v>
      </c>
      <c r="E565" s="10" t="s">
        <v>17</v>
      </c>
      <c r="F565" s="10">
        <v>38</v>
      </c>
      <c r="G565" s="11">
        <v>8066480365</v>
      </c>
      <c r="H565" s="10" t="s">
        <v>1295</v>
      </c>
      <c r="I565" s="10" t="s">
        <v>49</v>
      </c>
      <c r="J565" s="10" t="s">
        <v>1296</v>
      </c>
      <c r="K565" s="12">
        <v>45996</v>
      </c>
      <c r="L565" s="10" t="s">
        <v>11</v>
      </c>
      <c r="M565" s="14"/>
      <c r="N565" s="10" t="s">
        <v>1028</v>
      </c>
    </row>
    <row r="566" spans="1:14" ht="22.5" customHeight="1">
      <c r="A566" s="8">
        <v>45996.268534097224</v>
      </c>
      <c r="B566" s="9" t="s">
        <v>14</v>
      </c>
      <c r="C566" s="9" t="s">
        <v>15</v>
      </c>
      <c r="D566" s="9" t="s">
        <v>1297</v>
      </c>
      <c r="E566" s="10" t="s">
        <v>22</v>
      </c>
      <c r="F566" s="18">
        <v>25</v>
      </c>
      <c r="G566" s="11">
        <v>9037337481</v>
      </c>
      <c r="H566" s="10" t="s">
        <v>1298</v>
      </c>
      <c r="I566" s="10" t="s">
        <v>49</v>
      </c>
      <c r="J566" s="10" t="s">
        <v>1299</v>
      </c>
      <c r="K566" s="12">
        <v>45996</v>
      </c>
      <c r="L566" s="10" t="s">
        <v>11</v>
      </c>
      <c r="M566" s="10"/>
      <c r="N566" s="10" t="s">
        <v>1028</v>
      </c>
    </row>
    <row r="567" spans="1:14" ht="22.5" customHeight="1">
      <c r="A567" s="8">
        <v>45996.26949230324</v>
      </c>
      <c r="B567" s="9" t="s">
        <v>14</v>
      </c>
      <c r="C567" s="9" t="s">
        <v>15</v>
      </c>
      <c r="D567" s="9" t="s">
        <v>1300</v>
      </c>
      <c r="E567" s="10" t="s">
        <v>22</v>
      </c>
      <c r="F567" s="10">
        <v>23</v>
      </c>
      <c r="G567" s="11">
        <v>8165185514</v>
      </c>
      <c r="H567" s="10" t="s">
        <v>1301</v>
      </c>
      <c r="I567" s="10" t="s">
        <v>49</v>
      </c>
      <c r="J567" s="10" t="s">
        <v>73</v>
      </c>
      <c r="K567" s="12">
        <v>45996</v>
      </c>
      <c r="L567" s="10" t="s">
        <v>11</v>
      </c>
      <c r="M567" s="14"/>
      <c r="N567" s="10" t="s">
        <v>1096</v>
      </c>
    </row>
    <row r="568" spans="1:14" ht="22.5" customHeight="1">
      <c r="A568" s="8">
        <v>45996.291060081014</v>
      </c>
      <c r="B568" s="9" t="s">
        <v>14</v>
      </c>
      <c r="C568" s="9" t="s">
        <v>15</v>
      </c>
      <c r="D568" s="9" t="s">
        <v>1302</v>
      </c>
      <c r="E568" s="10" t="s">
        <v>22</v>
      </c>
      <c r="F568" s="10">
        <v>29</v>
      </c>
      <c r="G568" s="11">
        <v>7065525430</v>
      </c>
      <c r="H568" s="10" t="s">
        <v>1303</v>
      </c>
      <c r="I568" s="10" t="s">
        <v>49</v>
      </c>
      <c r="J568" s="10" t="s">
        <v>606</v>
      </c>
      <c r="K568" s="12">
        <v>45996</v>
      </c>
      <c r="L568" s="10" t="s">
        <v>11</v>
      </c>
      <c r="M568" s="14"/>
      <c r="N568" s="10" t="s">
        <v>1028</v>
      </c>
    </row>
    <row r="569" spans="1:14" ht="22.5" customHeight="1">
      <c r="A569" s="8">
        <v>45996.310404305557</v>
      </c>
      <c r="B569" s="9" t="s">
        <v>14</v>
      </c>
      <c r="C569" s="9" t="s">
        <v>15</v>
      </c>
      <c r="D569" s="9" t="s">
        <v>1304</v>
      </c>
      <c r="E569" s="10" t="s">
        <v>22</v>
      </c>
      <c r="F569" s="10">
        <v>27</v>
      </c>
      <c r="G569" s="11">
        <v>9067324546</v>
      </c>
      <c r="H569" s="10" t="s">
        <v>1305</v>
      </c>
      <c r="I569" s="10" t="s">
        <v>49</v>
      </c>
      <c r="J569" s="10" t="s">
        <v>246</v>
      </c>
      <c r="K569" s="12">
        <v>45996</v>
      </c>
      <c r="L569" s="10" t="s">
        <v>11</v>
      </c>
      <c r="M569" s="14"/>
      <c r="N569" s="10" t="s">
        <v>1028</v>
      </c>
    </row>
    <row r="570" spans="1:14" ht="22.5" customHeight="1">
      <c r="A570" s="8">
        <v>45996.311740127319</v>
      </c>
      <c r="B570" s="9" t="s">
        <v>14</v>
      </c>
      <c r="C570" s="9" t="s">
        <v>15</v>
      </c>
      <c r="D570" s="9" t="s">
        <v>1306</v>
      </c>
      <c r="E570" s="10" t="s">
        <v>17</v>
      </c>
      <c r="F570" s="10">
        <v>28</v>
      </c>
      <c r="G570" s="11">
        <v>8167980173</v>
      </c>
      <c r="H570" s="10" t="s">
        <v>1307</v>
      </c>
      <c r="I570" s="10" t="s">
        <v>45</v>
      </c>
      <c r="J570" s="10" t="s">
        <v>901</v>
      </c>
      <c r="K570" s="12">
        <v>45996</v>
      </c>
      <c r="L570" s="10" t="s">
        <v>11</v>
      </c>
      <c r="M570" s="14"/>
      <c r="N570" s="10" t="s">
        <v>1028</v>
      </c>
    </row>
    <row r="571" spans="1:14" ht="22.5" customHeight="1">
      <c r="A571" s="8">
        <v>45996.341577534724</v>
      </c>
      <c r="B571" s="9" t="s">
        <v>14</v>
      </c>
      <c r="C571" s="9" t="s">
        <v>15</v>
      </c>
      <c r="D571" s="9" t="s">
        <v>1308</v>
      </c>
      <c r="E571" s="10" t="s">
        <v>17</v>
      </c>
      <c r="F571" s="10">
        <v>29</v>
      </c>
      <c r="G571" s="11">
        <v>8161609044</v>
      </c>
      <c r="H571" s="10" t="s">
        <v>1309</v>
      </c>
      <c r="I571" s="10" t="s">
        <v>49</v>
      </c>
      <c r="J571" s="10" t="s">
        <v>365</v>
      </c>
      <c r="K571" s="12">
        <v>45996</v>
      </c>
      <c r="L571" s="10" t="s">
        <v>11</v>
      </c>
      <c r="M571" s="14"/>
      <c r="N571" s="10" t="s">
        <v>1028</v>
      </c>
    </row>
    <row r="572" spans="1:14" ht="22.5" customHeight="1">
      <c r="A572" s="8">
        <v>45996.367836168982</v>
      </c>
      <c r="B572" s="9" t="s">
        <v>14</v>
      </c>
      <c r="C572" s="9" t="s">
        <v>15</v>
      </c>
      <c r="D572" s="9" t="s">
        <v>1310</v>
      </c>
      <c r="E572" s="10" t="s">
        <v>17</v>
      </c>
      <c r="F572" s="10">
        <v>26</v>
      </c>
      <c r="G572" s="11">
        <v>8159560803</v>
      </c>
      <c r="H572" s="10" t="s">
        <v>1311</v>
      </c>
      <c r="I572" s="10" t="s">
        <v>49</v>
      </c>
      <c r="J572" s="10" t="s">
        <v>109</v>
      </c>
      <c r="K572" s="12">
        <v>45996</v>
      </c>
      <c r="L572" s="10" t="s">
        <v>11</v>
      </c>
      <c r="M572" s="14"/>
      <c r="N572" s="10" t="s">
        <v>1096</v>
      </c>
    </row>
    <row r="573" spans="1:14" ht="22.5" customHeight="1">
      <c r="A573" s="8">
        <v>45996.395252824077</v>
      </c>
      <c r="B573" s="9" t="s">
        <v>14</v>
      </c>
      <c r="C573" s="9" t="s">
        <v>15</v>
      </c>
      <c r="D573" s="9" t="s">
        <v>1312</v>
      </c>
      <c r="E573" s="10" t="s">
        <v>22</v>
      </c>
      <c r="F573" s="10">
        <v>28</v>
      </c>
      <c r="G573" s="11">
        <v>8101355749</v>
      </c>
      <c r="H573" s="10" t="s">
        <v>1313</v>
      </c>
      <c r="I573" s="10" t="s">
        <v>27</v>
      </c>
      <c r="J573" s="10" t="s">
        <v>1314</v>
      </c>
      <c r="K573" s="12">
        <v>35769</v>
      </c>
      <c r="L573" s="10" t="s">
        <v>11</v>
      </c>
      <c r="M573" s="14"/>
      <c r="N573" s="10" t="s">
        <v>1028</v>
      </c>
    </row>
    <row r="574" spans="1:14" ht="22.5" customHeight="1">
      <c r="A574" s="8">
        <v>45996.395348113423</v>
      </c>
      <c r="B574" s="9" t="s">
        <v>14</v>
      </c>
      <c r="C574" s="9" t="s">
        <v>15</v>
      </c>
      <c r="D574" s="9" t="s">
        <v>1315</v>
      </c>
      <c r="E574" s="10" t="s">
        <v>17</v>
      </c>
      <c r="F574" s="10">
        <v>28</v>
      </c>
      <c r="G574" s="11">
        <v>7063836631</v>
      </c>
      <c r="H574" s="10" t="s">
        <v>1316</v>
      </c>
      <c r="I574" s="10" t="s">
        <v>27</v>
      </c>
      <c r="J574" s="10" t="s">
        <v>1317</v>
      </c>
      <c r="K574" s="12">
        <v>45996</v>
      </c>
      <c r="L574" s="10" t="s">
        <v>11</v>
      </c>
      <c r="M574" s="14"/>
      <c r="N574" s="10" t="s">
        <v>1028</v>
      </c>
    </row>
    <row r="575" spans="1:14" ht="355.5" customHeight="1">
      <c r="A575" s="8">
        <v>45996.402391446754</v>
      </c>
      <c r="B575" s="9" t="s">
        <v>14</v>
      </c>
      <c r="C575" s="9" t="s">
        <v>15</v>
      </c>
      <c r="D575" s="9" t="s">
        <v>1318</v>
      </c>
      <c r="E575" s="10" t="s">
        <v>17</v>
      </c>
      <c r="F575" s="10">
        <v>24</v>
      </c>
      <c r="G575" s="11">
        <v>8136070785</v>
      </c>
      <c r="H575" s="10" t="s">
        <v>1319</v>
      </c>
      <c r="I575" s="10" t="s">
        <v>49</v>
      </c>
      <c r="J575" s="10" t="s">
        <v>606</v>
      </c>
      <c r="K575" s="12">
        <v>45996</v>
      </c>
      <c r="L575" s="10" t="s">
        <v>11</v>
      </c>
      <c r="M575" s="14"/>
      <c r="N575" s="10" t="s">
        <v>1028</v>
      </c>
    </row>
    <row r="576" spans="1:14" ht="22.5" customHeight="1">
      <c r="A576" s="8">
        <v>45996.40877519676</v>
      </c>
      <c r="B576" s="9" t="s">
        <v>14</v>
      </c>
      <c r="C576" s="9" t="s">
        <v>15</v>
      </c>
      <c r="D576" s="9" t="s">
        <v>1320</v>
      </c>
      <c r="E576" s="10" t="s">
        <v>22</v>
      </c>
      <c r="F576" s="10">
        <v>25</v>
      </c>
      <c r="G576" s="11">
        <v>8100855529</v>
      </c>
      <c r="H576" s="10" t="s">
        <v>1321</v>
      </c>
      <c r="I576" s="10" t="s">
        <v>49</v>
      </c>
      <c r="J576" s="10" t="s">
        <v>109</v>
      </c>
      <c r="K576" s="12">
        <v>45996</v>
      </c>
      <c r="L576" s="10" t="s">
        <v>11</v>
      </c>
      <c r="M576" s="14"/>
      <c r="N576" s="10" t="s">
        <v>1028</v>
      </c>
    </row>
    <row r="577" spans="1:14" ht="22.5" customHeight="1">
      <c r="A577" s="8">
        <v>45996.432600729167</v>
      </c>
      <c r="B577" s="9" t="s">
        <v>14</v>
      </c>
      <c r="C577" s="9" t="s">
        <v>15</v>
      </c>
      <c r="D577" s="9" t="s">
        <v>1322</v>
      </c>
      <c r="E577" s="10" t="s">
        <v>22</v>
      </c>
      <c r="F577" s="10">
        <v>29</v>
      </c>
      <c r="G577" s="11">
        <v>8131684485</v>
      </c>
      <c r="H577" s="10" t="s">
        <v>1323</v>
      </c>
      <c r="I577" s="10" t="s">
        <v>27</v>
      </c>
      <c r="J577" s="10" t="s">
        <v>1324</v>
      </c>
      <c r="K577" s="12">
        <v>45996</v>
      </c>
      <c r="L577" s="10" t="s">
        <v>11</v>
      </c>
      <c r="M577" s="14"/>
      <c r="N577" s="10" t="s">
        <v>1096</v>
      </c>
    </row>
    <row r="578" spans="1:14" ht="22.5" customHeight="1">
      <c r="A578" s="8">
        <v>45996.439647928244</v>
      </c>
      <c r="B578" s="9" t="s">
        <v>14</v>
      </c>
      <c r="C578" s="9" t="s">
        <v>15</v>
      </c>
      <c r="D578" s="9" t="s">
        <v>1325</v>
      </c>
      <c r="E578" s="10" t="s">
        <v>17</v>
      </c>
      <c r="F578" s="10">
        <v>22</v>
      </c>
      <c r="G578" s="11">
        <v>8145688261</v>
      </c>
      <c r="H578" s="10" t="s">
        <v>1326</v>
      </c>
      <c r="I578" s="10" t="s">
        <v>49</v>
      </c>
      <c r="J578" s="10" t="s">
        <v>50</v>
      </c>
      <c r="K578" s="12">
        <v>45996</v>
      </c>
      <c r="L578" s="10" t="s">
        <v>11</v>
      </c>
      <c r="M578" s="14"/>
      <c r="N578" s="10" t="s">
        <v>1096</v>
      </c>
    </row>
    <row r="579" spans="1:14" ht="22.5" customHeight="1">
      <c r="A579" s="8">
        <v>45996.452457581021</v>
      </c>
      <c r="B579" s="9" t="s">
        <v>14</v>
      </c>
      <c r="C579" s="9" t="s">
        <v>15</v>
      </c>
      <c r="D579" s="9" t="s">
        <v>1327</v>
      </c>
      <c r="E579" s="10" t="s">
        <v>17</v>
      </c>
      <c r="F579" s="10">
        <v>43</v>
      </c>
      <c r="G579" s="11">
        <v>8166326594</v>
      </c>
      <c r="H579" s="10" t="s">
        <v>1328</v>
      </c>
      <c r="I579" s="10" t="s">
        <v>49</v>
      </c>
      <c r="J579" s="10" t="s">
        <v>1329</v>
      </c>
      <c r="K579" s="12">
        <v>45996</v>
      </c>
      <c r="L579" s="10" t="s">
        <v>11</v>
      </c>
      <c r="M579" s="14"/>
      <c r="N579" s="10" t="s">
        <v>1028</v>
      </c>
    </row>
    <row r="580" spans="1:14" ht="22.5" customHeight="1">
      <c r="A580" s="8">
        <v>45996.453378113423</v>
      </c>
      <c r="B580" s="9" t="s">
        <v>14</v>
      </c>
      <c r="C580" s="9" t="s">
        <v>15</v>
      </c>
      <c r="D580" s="9" t="s">
        <v>1330</v>
      </c>
      <c r="E580" s="10" t="s">
        <v>22</v>
      </c>
      <c r="F580" s="10">
        <v>22</v>
      </c>
      <c r="G580" s="11">
        <v>9160904806</v>
      </c>
      <c r="H580" s="10" t="s">
        <v>1331</v>
      </c>
      <c r="I580" s="10" t="s">
        <v>49</v>
      </c>
      <c r="J580" s="10" t="s">
        <v>246</v>
      </c>
      <c r="K580" s="12">
        <v>45996</v>
      </c>
      <c r="L580" s="10" t="s">
        <v>11</v>
      </c>
      <c r="M580" s="14"/>
      <c r="N580" s="10" t="s">
        <v>1028</v>
      </c>
    </row>
    <row r="581" spans="1:14" ht="22.5" customHeight="1">
      <c r="A581" s="8">
        <v>45996.463344085649</v>
      </c>
      <c r="B581" s="9" t="s">
        <v>14</v>
      </c>
      <c r="C581" s="9" t="s">
        <v>15</v>
      </c>
      <c r="D581" s="9" t="s">
        <v>1332</v>
      </c>
      <c r="E581" s="10" t="s">
        <v>22</v>
      </c>
      <c r="F581" s="10">
        <v>31</v>
      </c>
      <c r="G581" s="11">
        <v>9030387044</v>
      </c>
      <c r="H581" s="10" t="s">
        <v>1333</v>
      </c>
      <c r="I581" s="10" t="s">
        <v>27</v>
      </c>
      <c r="J581" s="10" t="s">
        <v>1334</v>
      </c>
      <c r="K581" s="12">
        <v>45996</v>
      </c>
      <c r="L581" s="10" t="s">
        <v>11</v>
      </c>
      <c r="M581" s="14"/>
      <c r="N581" s="10" t="s">
        <v>1028</v>
      </c>
    </row>
    <row r="582" spans="1:14" ht="22.5" customHeight="1">
      <c r="A582" s="8">
        <v>45996.473209675925</v>
      </c>
      <c r="B582" s="9" t="s">
        <v>14</v>
      </c>
      <c r="C582" s="9" t="s">
        <v>15</v>
      </c>
      <c r="D582" s="9" t="s">
        <v>1335</v>
      </c>
      <c r="E582" s="10" t="s">
        <v>17</v>
      </c>
      <c r="F582" s="10">
        <v>23</v>
      </c>
      <c r="G582" s="11">
        <v>7038528954</v>
      </c>
      <c r="H582" s="10" t="s">
        <v>1336</v>
      </c>
      <c r="I582" s="10" t="s">
        <v>45</v>
      </c>
      <c r="J582" s="10" t="s">
        <v>688</v>
      </c>
      <c r="K582" s="12">
        <v>45996</v>
      </c>
      <c r="L582" s="10" t="s">
        <v>11</v>
      </c>
      <c r="M582" s="14"/>
      <c r="N582" s="10" t="s">
        <v>1096</v>
      </c>
    </row>
    <row r="583" spans="1:14" ht="22.5" customHeight="1">
      <c r="A583" s="8">
        <v>45996.478500543977</v>
      </c>
      <c r="B583" s="9" t="s">
        <v>14</v>
      </c>
      <c r="C583" s="9" t="s">
        <v>15</v>
      </c>
      <c r="D583" s="9" t="s">
        <v>1337</v>
      </c>
      <c r="E583" s="10" t="s">
        <v>17</v>
      </c>
      <c r="F583" s="10">
        <v>30</v>
      </c>
      <c r="G583" s="11">
        <v>7036006357</v>
      </c>
      <c r="H583" s="10" t="s">
        <v>1338</v>
      </c>
      <c r="I583" s="10" t="s">
        <v>45</v>
      </c>
      <c r="J583" s="10" t="s">
        <v>1339</v>
      </c>
      <c r="K583" s="12">
        <v>45996</v>
      </c>
      <c r="L583" s="10" t="s">
        <v>11</v>
      </c>
      <c r="M583" s="14"/>
      <c r="N583" s="10" t="s">
        <v>1028</v>
      </c>
    </row>
    <row r="584" spans="1:14" ht="22.5" customHeight="1">
      <c r="A584" s="8">
        <v>45996.479889618058</v>
      </c>
      <c r="B584" s="9" t="s">
        <v>14</v>
      </c>
      <c r="C584" s="9" t="s">
        <v>15</v>
      </c>
      <c r="D584" s="9" t="s">
        <v>1340</v>
      </c>
      <c r="E584" s="10" t="s">
        <v>17</v>
      </c>
      <c r="F584" s="10">
        <v>29</v>
      </c>
      <c r="G584" s="11">
        <v>8143326896</v>
      </c>
      <c r="H584" s="10" t="s">
        <v>1341</v>
      </c>
      <c r="I584" s="10" t="s">
        <v>27</v>
      </c>
      <c r="J584" s="10" t="s">
        <v>1342</v>
      </c>
      <c r="K584" s="12">
        <v>45996</v>
      </c>
      <c r="L584" s="10" t="s">
        <v>11</v>
      </c>
      <c r="M584" s="14"/>
      <c r="N584" s="10" t="s">
        <v>1028</v>
      </c>
    </row>
    <row r="585" spans="1:14" ht="22.5" customHeight="1">
      <c r="A585" s="8">
        <v>45996.484097025459</v>
      </c>
      <c r="B585" s="9" t="s">
        <v>14</v>
      </c>
      <c r="C585" s="9" t="s">
        <v>15</v>
      </c>
      <c r="D585" s="9" t="s">
        <v>1343</v>
      </c>
      <c r="E585" s="10" t="s">
        <v>22</v>
      </c>
      <c r="F585" s="10">
        <v>22</v>
      </c>
      <c r="G585" s="11">
        <v>9021121752</v>
      </c>
      <c r="H585" s="10" t="s">
        <v>1344</v>
      </c>
      <c r="I585" s="10" t="s">
        <v>27</v>
      </c>
      <c r="J585" s="10" t="s">
        <v>1345</v>
      </c>
      <c r="K585" s="12">
        <v>45996</v>
      </c>
      <c r="L585" s="10" t="s">
        <v>11</v>
      </c>
      <c r="M585" s="14"/>
      <c r="N585" s="10" t="s">
        <v>1028</v>
      </c>
    </row>
    <row r="586" spans="1:14" ht="22.5" customHeight="1">
      <c r="A586" s="8">
        <v>45996.484573495371</v>
      </c>
      <c r="B586" s="9" t="s">
        <v>14</v>
      </c>
      <c r="C586" s="9" t="s">
        <v>15</v>
      </c>
      <c r="D586" s="9" t="s">
        <v>1346</v>
      </c>
      <c r="E586" s="10" t="s">
        <v>22</v>
      </c>
      <c r="F586" s="10">
        <v>32</v>
      </c>
      <c r="G586" s="11">
        <v>8065245961</v>
      </c>
      <c r="H586" s="10" t="s">
        <v>1347</v>
      </c>
      <c r="I586" s="10" t="s">
        <v>27</v>
      </c>
      <c r="J586" s="10" t="s">
        <v>703</v>
      </c>
      <c r="K586" s="12">
        <v>45996</v>
      </c>
      <c r="L586" s="10" t="s">
        <v>11</v>
      </c>
      <c r="M586" s="10"/>
      <c r="N586" s="10" t="s">
        <v>1028</v>
      </c>
    </row>
    <row r="587" spans="1:14" ht="22.5" customHeight="1">
      <c r="A587" s="8">
        <v>45996.488872731483</v>
      </c>
      <c r="B587" s="9" t="s">
        <v>14</v>
      </c>
      <c r="C587" s="9" t="s">
        <v>15</v>
      </c>
      <c r="D587" s="9" t="s">
        <v>1348</v>
      </c>
      <c r="E587" s="10" t="s">
        <v>22</v>
      </c>
      <c r="F587" s="10">
        <v>26</v>
      </c>
      <c r="G587" s="11">
        <v>9026352663</v>
      </c>
      <c r="H587" s="10" t="s">
        <v>1349</v>
      </c>
      <c r="I587" s="10" t="s">
        <v>45</v>
      </c>
      <c r="J587" s="10" t="s">
        <v>901</v>
      </c>
      <c r="K587" s="12">
        <v>45996</v>
      </c>
      <c r="L587" s="10" t="s">
        <v>11</v>
      </c>
      <c r="M587" s="14"/>
      <c r="N587" s="10" t="s">
        <v>1028</v>
      </c>
    </row>
    <row r="588" spans="1:14" ht="22.5" customHeight="1">
      <c r="A588" s="8">
        <v>45996.502402303246</v>
      </c>
      <c r="B588" s="9" t="s">
        <v>14</v>
      </c>
      <c r="C588" s="9" t="s">
        <v>15</v>
      </c>
      <c r="D588" s="9" t="s">
        <v>1350</v>
      </c>
      <c r="E588" s="10" t="s">
        <v>22</v>
      </c>
      <c r="F588" s="10">
        <v>27</v>
      </c>
      <c r="G588" s="11">
        <v>8086141586</v>
      </c>
      <c r="H588" s="10" t="s">
        <v>1351</v>
      </c>
      <c r="I588" s="10" t="s">
        <v>27</v>
      </c>
      <c r="J588" s="10" t="s">
        <v>172</v>
      </c>
      <c r="K588" s="12">
        <v>45996</v>
      </c>
      <c r="L588" s="10" t="s">
        <v>11</v>
      </c>
      <c r="M588" s="14"/>
      <c r="N588" s="10" t="s">
        <v>1096</v>
      </c>
    </row>
    <row r="589" spans="1:14" ht="22.5" customHeight="1">
      <c r="A589" s="8">
        <v>45996.507029942135</v>
      </c>
      <c r="B589" s="9" t="s">
        <v>14</v>
      </c>
      <c r="C589" s="9" t="s">
        <v>15</v>
      </c>
      <c r="D589" s="9" t="s">
        <v>1352</v>
      </c>
      <c r="E589" s="10" t="s">
        <v>17</v>
      </c>
      <c r="F589" s="10">
        <v>35</v>
      </c>
      <c r="G589" s="11">
        <v>7037298677</v>
      </c>
      <c r="H589" s="10" t="s">
        <v>1353</v>
      </c>
      <c r="I589" s="10" t="s">
        <v>49</v>
      </c>
      <c r="J589" s="10" t="s">
        <v>232</v>
      </c>
      <c r="K589" s="12">
        <v>45996</v>
      </c>
      <c r="L589" s="10" t="s">
        <v>11</v>
      </c>
      <c r="M589" s="14"/>
      <c r="N589" s="10" t="s">
        <v>1028</v>
      </c>
    </row>
    <row r="590" spans="1:14" ht="22.5" hidden="1" customHeight="1">
      <c r="A590" s="8">
        <v>45996.514763807871</v>
      </c>
      <c r="B590" s="9" t="s">
        <v>14</v>
      </c>
      <c r="C590" s="9" t="s">
        <v>15</v>
      </c>
      <c r="D590" s="9" t="s">
        <v>1354</v>
      </c>
      <c r="E590" s="10" t="s">
        <v>17</v>
      </c>
      <c r="F590" s="10">
        <v>30</v>
      </c>
      <c r="G590" s="11">
        <v>9075827982</v>
      </c>
      <c r="H590" s="10" t="s">
        <v>1355</v>
      </c>
      <c r="I590" s="10" t="s">
        <v>49</v>
      </c>
      <c r="J590" s="10" t="s">
        <v>181</v>
      </c>
      <c r="K590" s="12">
        <v>45820</v>
      </c>
      <c r="L590" s="10" t="s">
        <v>441</v>
      </c>
      <c r="M590" s="10" t="s">
        <v>1356</v>
      </c>
      <c r="N590" s="10" t="s">
        <v>1028</v>
      </c>
    </row>
    <row r="591" spans="1:14" ht="22.5" customHeight="1">
      <c r="A591" s="8">
        <v>45996.523467175924</v>
      </c>
      <c r="B591" s="9" t="s">
        <v>14</v>
      </c>
      <c r="C591" s="9" t="s">
        <v>15</v>
      </c>
      <c r="D591" s="9" t="s">
        <v>1357</v>
      </c>
      <c r="E591" s="10" t="s">
        <v>22</v>
      </c>
      <c r="F591" s="10">
        <v>33</v>
      </c>
      <c r="G591" s="11">
        <v>9031655556</v>
      </c>
      <c r="H591" s="10" t="s">
        <v>1358</v>
      </c>
      <c r="I591" s="10" t="s">
        <v>49</v>
      </c>
      <c r="J591" s="10" t="s">
        <v>914</v>
      </c>
      <c r="K591" s="12">
        <v>45995</v>
      </c>
      <c r="L591" s="28" t="s">
        <v>11</v>
      </c>
      <c r="M591" s="14"/>
      <c r="N591" s="10" t="s">
        <v>1028</v>
      </c>
    </row>
    <row r="592" spans="1:14" ht="22.5" hidden="1" customHeight="1">
      <c r="A592" s="8">
        <v>45996.524456504631</v>
      </c>
      <c r="B592" s="9" t="s">
        <v>14</v>
      </c>
      <c r="C592" s="9" t="s">
        <v>15</v>
      </c>
      <c r="D592" s="9" t="s">
        <v>1359</v>
      </c>
      <c r="E592" s="10" t="s">
        <v>22</v>
      </c>
      <c r="F592" s="10">
        <v>25</v>
      </c>
      <c r="G592" s="11">
        <v>8139170591</v>
      </c>
      <c r="H592" s="10" t="s">
        <v>1360</v>
      </c>
      <c r="I592" s="10" t="s">
        <v>49</v>
      </c>
      <c r="J592" s="10" t="s">
        <v>50</v>
      </c>
      <c r="K592" s="12">
        <v>45996</v>
      </c>
      <c r="L592" s="10" t="s">
        <v>441</v>
      </c>
      <c r="M592" s="10" t="s">
        <v>1361</v>
      </c>
      <c r="N592" s="10" t="s">
        <v>1028</v>
      </c>
    </row>
    <row r="593" spans="1:14" ht="22.5" customHeight="1">
      <c r="A593" s="8">
        <v>45996.548999791667</v>
      </c>
      <c r="B593" s="9" t="s">
        <v>14</v>
      </c>
      <c r="C593" s="9" t="s">
        <v>15</v>
      </c>
      <c r="D593" s="9" t="s">
        <v>1362</v>
      </c>
      <c r="E593" s="10" t="s">
        <v>22</v>
      </c>
      <c r="F593" s="10">
        <v>30</v>
      </c>
      <c r="G593" s="11">
        <v>9137990429</v>
      </c>
      <c r="H593" s="10" t="s">
        <v>1363</v>
      </c>
      <c r="I593" s="10" t="s">
        <v>49</v>
      </c>
      <c r="J593" s="10" t="s">
        <v>50</v>
      </c>
      <c r="K593" s="12">
        <v>45996</v>
      </c>
      <c r="L593" s="28" t="s">
        <v>11</v>
      </c>
      <c r="M593" s="14"/>
      <c r="N593" s="10" t="s">
        <v>1096</v>
      </c>
    </row>
    <row r="594" spans="1:14" ht="22.5" customHeight="1">
      <c r="A594" s="8">
        <v>45996.559916342594</v>
      </c>
      <c r="B594" s="9" t="s">
        <v>14</v>
      </c>
      <c r="C594" s="9" t="s">
        <v>15</v>
      </c>
      <c r="D594" s="9" t="s">
        <v>1364</v>
      </c>
      <c r="E594" s="10" t="s">
        <v>17</v>
      </c>
      <c r="F594" s="10">
        <v>30</v>
      </c>
      <c r="G594" s="11">
        <v>7040169312</v>
      </c>
      <c r="H594" s="10" t="s">
        <v>1365</v>
      </c>
      <c r="I594" s="10" t="s">
        <v>45</v>
      </c>
      <c r="J594" s="10" t="s">
        <v>901</v>
      </c>
      <c r="K594" s="12">
        <v>45996</v>
      </c>
      <c r="L594" s="28" t="s">
        <v>11</v>
      </c>
      <c r="M594" s="14"/>
      <c r="N594" s="10" t="s">
        <v>1028</v>
      </c>
    </row>
    <row r="595" spans="1:14" ht="22.5" customHeight="1">
      <c r="A595" s="8">
        <v>45996.643214270836</v>
      </c>
      <c r="B595" s="9" t="s">
        <v>14</v>
      </c>
      <c r="C595" s="9" t="s">
        <v>15</v>
      </c>
      <c r="D595" s="9" t="s">
        <v>1366</v>
      </c>
      <c r="E595" s="10" t="s">
        <v>17</v>
      </c>
      <c r="F595" s="10">
        <v>28</v>
      </c>
      <c r="G595" s="11">
        <v>8105703029</v>
      </c>
      <c r="H595" s="10" t="s">
        <v>1367</v>
      </c>
      <c r="I595" s="10" t="s">
        <v>49</v>
      </c>
      <c r="J595" s="10" t="s">
        <v>606</v>
      </c>
      <c r="K595" s="12">
        <v>45996</v>
      </c>
      <c r="L595" s="28" t="s">
        <v>11</v>
      </c>
      <c r="M595" s="14"/>
      <c r="N595" s="10" t="s">
        <v>1028</v>
      </c>
    </row>
    <row r="596" spans="1:14" ht="22.5" customHeight="1">
      <c r="A596" s="8">
        <v>45996.64399788194</v>
      </c>
      <c r="B596" s="9" t="s">
        <v>14</v>
      </c>
      <c r="C596" s="9" t="s">
        <v>15</v>
      </c>
      <c r="D596" s="9" t="s">
        <v>1368</v>
      </c>
      <c r="E596" s="10" t="s">
        <v>17</v>
      </c>
      <c r="F596" s="10">
        <v>26</v>
      </c>
      <c r="G596" s="11">
        <v>8069442762</v>
      </c>
      <c r="H596" s="10" t="s">
        <v>1369</v>
      </c>
      <c r="I596" s="10" t="s">
        <v>45</v>
      </c>
      <c r="J596" s="10" t="s">
        <v>287</v>
      </c>
      <c r="K596" s="12">
        <v>45996</v>
      </c>
      <c r="L596" s="28" t="s">
        <v>11</v>
      </c>
      <c r="M596" s="14"/>
      <c r="N596" s="10" t="s">
        <v>1028</v>
      </c>
    </row>
    <row r="597" spans="1:14" ht="22.5" customHeight="1">
      <c r="A597" s="8">
        <v>45996.705303043986</v>
      </c>
      <c r="B597" s="9" t="s">
        <v>14</v>
      </c>
      <c r="C597" s="9" t="s">
        <v>15</v>
      </c>
      <c r="D597" s="9" t="s">
        <v>1370</v>
      </c>
      <c r="E597" s="10" t="s">
        <v>17</v>
      </c>
      <c r="F597" s="10">
        <v>31</v>
      </c>
      <c r="G597" s="11">
        <v>7081123830</v>
      </c>
      <c r="H597" s="10" t="s">
        <v>1371</v>
      </c>
      <c r="I597" s="10" t="s">
        <v>49</v>
      </c>
      <c r="J597" s="10" t="s">
        <v>246</v>
      </c>
      <c r="K597" s="12">
        <v>45996</v>
      </c>
      <c r="L597" s="28" t="s">
        <v>11</v>
      </c>
      <c r="M597" s="14"/>
      <c r="N597" s="10" t="s">
        <v>1028</v>
      </c>
    </row>
    <row r="598" spans="1:14" ht="22.5" customHeight="1">
      <c r="A598" s="8">
        <v>45996.722466307867</v>
      </c>
      <c r="B598" s="9" t="s">
        <v>14</v>
      </c>
      <c r="C598" s="9" t="s">
        <v>15</v>
      </c>
      <c r="D598" s="9" t="s">
        <v>1372</v>
      </c>
      <c r="E598" s="10" t="s">
        <v>22</v>
      </c>
      <c r="F598" s="10">
        <v>19</v>
      </c>
      <c r="G598" s="11">
        <v>8051171747</v>
      </c>
      <c r="H598" s="10" t="s">
        <v>1373</v>
      </c>
      <c r="I598" s="10" t="s">
        <v>49</v>
      </c>
      <c r="J598" s="10" t="s">
        <v>50</v>
      </c>
      <c r="K598" s="12">
        <v>45996</v>
      </c>
      <c r="L598" s="28" t="s">
        <v>11</v>
      </c>
      <c r="M598" s="14"/>
      <c r="N598" s="10" t="s">
        <v>1028</v>
      </c>
    </row>
    <row r="599" spans="1:14" ht="22.5" customHeight="1">
      <c r="A599" s="8">
        <v>45996.732178877312</v>
      </c>
      <c r="B599" s="9" t="s">
        <v>14</v>
      </c>
      <c r="C599" s="9" t="s">
        <v>15</v>
      </c>
      <c r="D599" s="9" t="s">
        <v>1374</v>
      </c>
      <c r="E599" s="10" t="s">
        <v>22</v>
      </c>
      <c r="F599" s="10">
        <v>23</v>
      </c>
      <c r="G599" s="11">
        <v>9039548257</v>
      </c>
      <c r="H599" s="10" t="s">
        <v>1375</v>
      </c>
      <c r="I599" s="10" t="s">
        <v>49</v>
      </c>
      <c r="J599" s="10" t="s">
        <v>50</v>
      </c>
      <c r="K599" s="12">
        <v>45996</v>
      </c>
      <c r="L599" s="28" t="s">
        <v>11</v>
      </c>
      <c r="M599" s="14"/>
      <c r="N599" s="10" t="s">
        <v>1028</v>
      </c>
    </row>
    <row r="600" spans="1:14" ht="22.5" customHeight="1">
      <c r="A600" s="8">
        <v>45996.739243877309</v>
      </c>
      <c r="B600" s="9" t="s">
        <v>14</v>
      </c>
      <c r="C600" s="9" t="s">
        <v>15</v>
      </c>
      <c r="D600" s="9" t="s">
        <v>1376</v>
      </c>
      <c r="E600" s="10" t="s">
        <v>22</v>
      </c>
      <c r="F600" s="10">
        <v>35</v>
      </c>
      <c r="G600" s="11">
        <v>8130876010</v>
      </c>
      <c r="H600" s="10" t="s">
        <v>1377</v>
      </c>
      <c r="I600" s="10" t="s">
        <v>49</v>
      </c>
      <c r="J600" s="10" t="s">
        <v>50</v>
      </c>
      <c r="K600" s="12">
        <v>45996</v>
      </c>
      <c r="L600" s="28" t="s">
        <v>11</v>
      </c>
      <c r="M600" s="14"/>
      <c r="N600" s="10" t="s">
        <v>1028</v>
      </c>
    </row>
    <row r="601" spans="1:14" ht="22.5" customHeight="1">
      <c r="A601" s="8">
        <v>45996.739948981485</v>
      </c>
      <c r="B601" s="9" t="s">
        <v>14</v>
      </c>
      <c r="C601" s="9" t="s">
        <v>15</v>
      </c>
      <c r="D601" s="9" t="s">
        <v>1378</v>
      </c>
      <c r="E601" s="10" t="s">
        <v>17</v>
      </c>
      <c r="F601" s="10">
        <v>27</v>
      </c>
      <c r="G601" s="11">
        <v>7066566839</v>
      </c>
      <c r="H601" s="10" t="s">
        <v>1379</v>
      </c>
      <c r="I601" s="10" t="s">
        <v>49</v>
      </c>
      <c r="J601" s="10" t="s">
        <v>106</v>
      </c>
      <c r="K601" s="12">
        <v>45996</v>
      </c>
      <c r="L601" s="28" t="s">
        <v>11</v>
      </c>
      <c r="M601" s="14"/>
      <c r="N601" s="10" t="s">
        <v>1028</v>
      </c>
    </row>
    <row r="602" spans="1:14" ht="22.5" customHeight="1">
      <c r="A602" s="8">
        <v>45996.748650243055</v>
      </c>
      <c r="B602" s="9" t="s">
        <v>14</v>
      </c>
      <c r="C602" s="9" t="s">
        <v>15</v>
      </c>
      <c r="D602" s="9" t="s">
        <v>1380</v>
      </c>
      <c r="E602" s="10" t="s">
        <v>17</v>
      </c>
      <c r="F602" s="10">
        <v>34</v>
      </c>
      <c r="G602" s="11">
        <v>8064483861</v>
      </c>
      <c r="H602" s="10" t="s">
        <v>1381</v>
      </c>
      <c r="I602" s="10" t="s">
        <v>49</v>
      </c>
      <c r="J602" s="10" t="s">
        <v>109</v>
      </c>
      <c r="K602" s="12">
        <v>45996</v>
      </c>
      <c r="L602" s="28" t="s">
        <v>11</v>
      </c>
      <c r="M602" s="14"/>
      <c r="N602" s="10" t="s">
        <v>1382</v>
      </c>
    </row>
    <row r="603" spans="1:14" ht="22.5" customHeight="1">
      <c r="A603" s="8">
        <v>45996.766901678246</v>
      </c>
      <c r="B603" s="9" t="s">
        <v>14</v>
      </c>
      <c r="C603" s="9" t="s">
        <v>15</v>
      </c>
      <c r="D603" s="9" t="s">
        <v>1383</v>
      </c>
      <c r="E603" s="10" t="s">
        <v>17</v>
      </c>
      <c r="F603" s="10">
        <v>27</v>
      </c>
      <c r="G603" s="11">
        <v>8067795794</v>
      </c>
      <c r="H603" s="10" t="s">
        <v>1384</v>
      </c>
      <c r="I603" s="10" t="s">
        <v>49</v>
      </c>
      <c r="J603" s="10" t="s">
        <v>106</v>
      </c>
      <c r="K603" s="12">
        <v>45996</v>
      </c>
      <c r="L603" s="28" t="s">
        <v>11</v>
      </c>
      <c r="M603" s="14"/>
      <c r="N603" s="10" t="s">
        <v>1028</v>
      </c>
    </row>
    <row r="604" spans="1:14" ht="22.5" customHeight="1">
      <c r="A604" s="8">
        <v>45996.790610370372</v>
      </c>
      <c r="B604" s="9" t="s">
        <v>14</v>
      </c>
      <c r="C604" s="9" t="s">
        <v>15</v>
      </c>
      <c r="D604" s="9" t="s">
        <v>1385</v>
      </c>
      <c r="E604" s="10" t="s">
        <v>17</v>
      </c>
      <c r="F604" s="10">
        <v>32</v>
      </c>
      <c r="G604" s="11">
        <v>8066113888</v>
      </c>
      <c r="H604" s="10" t="s">
        <v>1386</v>
      </c>
      <c r="I604" s="10" t="s">
        <v>49</v>
      </c>
      <c r="J604" s="10" t="s">
        <v>106</v>
      </c>
      <c r="K604" s="12">
        <v>45996</v>
      </c>
      <c r="L604" s="28" t="s">
        <v>11</v>
      </c>
      <c r="M604" s="14"/>
      <c r="N604" s="10" t="s">
        <v>1028</v>
      </c>
    </row>
    <row r="605" spans="1:14" ht="22.5" customHeight="1">
      <c r="A605" s="8">
        <v>45996.805043599539</v>
      </c>
      <c r="B605" s="9" t="s">
        <v>14</v>
      </c>
      <c r="C605" s="9" t="s">
        <v>15</v>
      </c>
      <c r="D605" s="9" t="s">
        <v>1387</v>
      </c>
      <c r="E605" s="10" t="s">
        <v>22</v>
      </c>
      <c r="F605" s="10">
        <v>26</v>
      </c>
      <c r="G605" s="11">
        <v>9164847545</v>
      </c>
      <c r="H605" s="10" t="s">
        <v>1388</v>
      </c>
      <c r="I605" s="10" t="s">
        <v>49</v>
      </c>
      <c r="J605" s="10" t="s">
        <v>50</v>
      </c>
      <c r="K605" s="12">
        <v>45996</v>
      </c>
      <c r="L605" s="28" t="s">
        <v>11</v>
      </c>
      <c r="M605" s="14"/>
      <c r="N605" s="10" t="s">
        <v>1389</v>
      </c>
    </row>
    <row r="606" spans="1:14" ht="22.5" customHeight="1">
      <c r="A606" s="8">
        <v>45996.811023171293</v>
      </c>
      <c r="B606" s="9" t="s">
        <v>14</v>
      </c>
      <c r="C606" s="9" t="s">
        <v>15</v>
      </c>
      <c r="D606" s="9" t="s">
        <v>1390</v>
      </c>
      <c r="E606" s="10" t="s">
        <v>17</v>
      </c>
      <c r="F606" s="10">
        <v>31</v>
      </c>
      <c r="G606" s="11">
        <v>8164311302</v>
      </c>
      <c r="H606" s="10" t="s">
        <v>1391</v>
      </c>
      <c r="I606" s="10" t="s">
        <v>49</v>
      </c>
      <c r="J606" s="10" t="s">
        <v>50</v>
      </c>
      <c r="K606" s="12">
        <v>45996</v>
      </c>
      <c r="L606" s="28" t="s">
        <v>11</v>
      </c>
      <c r="M606" s="14"/>
      <c r="N606" s="10" t="s">
        <v>1096</v>
      </c>
    </row>
    <row r="607" spans="1:14" ht="22.5" hidden="1" customHeight="1">
      <c r="A607" s="8">
        <v>45996.825851435184</v>
      </c>
      <c r="B607" s="9" t="s">
        <v>14</v>
      </c>
      <c r="C607" s="9" t="s">
        <v>15</v>
      </c>
      <c r="D607" s="9" t="s">
        <v>1392</v>
      </c>
      <c r="E607" s="10" t="s">
        <v>17</v>
      </c>
      <c r="F607" s="10">
        <v>29</v>
      </c>
      <c r="G607" s="11">
        <v>9133131982</v>
      </c>
      <c r="H607" s="10" t="s">
        <v>1393</v>
      </c>
      <c r="I607" s="10" t="s">
        <v>49</v>
      </c>
      <c r="J607" s="10" t="s">
        <v>282</v>
      </c>
      <c r="K607" s="12">
        <v>45996</v>
      </c>
      <c r="L607" s="10" t="s">
        <v>441</v>
      </c>
      <c r="M607" s="10" t="s">
        <v>1361</v>
      </c>
      <c r="N607" s="10" t="s">
        <v>1028</v>
      </c>
    </row>
    <row r="608" spans="1:14" ht="22.5" customHeight="1">
      <c r="A608" s="8">
        <v>45996.839879305553</v>
      </c>
      <c r="B608" s="9" t="s">
        <v>14</v>
      </c>
      <c r="C608" s="9" t="s">
        <v>15</v>
      </c>
      <c r="D608" s="9" t="s">
        <v>1394</v>
      </c>
      <c r="E608" s="10" t="s">
        <v>22</v>
      </c>
      <c r="F608" s="10">
        <v>23</v>
      </c>
      <c r="G608" s="11">
        <v>8024313123</v>
      </c>
      <c r="H608" s="10" t="s">
        <v>1395</v>
      </c>
      <c r="I608" s="10" t="s">
        <v>27</v>
      </c>
      <c r="J608" s="10" t="s">
        <v>1396</v>
      </c>
      <c r="K608" s="12">
        <v>45996</v>
      </c>
      <c r="L608" s="28" t="s">
        <v>11</v>
      </c>
      <c r="M608" s="14"/>
      <c r="N608" s="10" t="s">
        <v>1028</v>
      </c>
    </row>
    <row r="609" spans="1:14" ht="22.5" customHeight="1">
      <c r="A609" s="8">
        <v>45996.86450625</v>
      </c>
      <c r="B609" s="9" t="s">
        <v>14</v>
      </c>
      <c r="C609" s="9" t="s">
        <v>15</v>
      </c>
      <c r="D609" s="9" t="s">
        <v>1397</v>
      </c>
      <c r="E609" s="10" t="s">
        <v>22</v>
      </c>
      <c r="F609" s="10">
        <v>38</v>
      </c>
      <c r="G609" s="11">
        <v>8061181793</v>
      </c>
      <c r="H609" s="10" t="s">
        <v>1398</v>
      </c>
      <c r="I609" s="10" t="s">
        <v>49</v>
      </c>
      <c r="J609" s="10" t="s">
        <v>109</v>
      </c>
      <c r="K609" s="12">
        <v>45996</v>
      </c>
      <c r="L609" s="28" t="s">
        <v>11</v>
      </c>
      <c r="M609" s="14"/>
      <c r="N609" s="10" t="s">
        <v>1096</v>
      </c>
    </row>
    <row r="610" spans="1:14" ht="22.5" customHeight="1">
      <c r="A610" s="8">
        <v>45996.872734583332</v>
      </c>
      <c r="B610" s="9" t="s">
        <v>14</v>
      </c>
      <c r="C610" s="9" t="s">
        <v>15</v>
      </c>
      <c r="D610" s="9" t="s">
        <v>1399</v>
      </c>
      <c r="E610" s="10" t="s">
        <v>17</v>
      </c>
      <c r="F610" s="10">
        <v>33</v>
      </c>
      <c r="G610" s="11">
        <v>8039698016</v>
      </c>
      <c r="H610" s="10" t="s">
        <v>1400</v>
      </c>
      <c r="I610" s="10" t="s">
        <v>49</v>
      </c>
      <c r="J610" s="10" t="s">
        <v>1401</v>
      </c>
      <c r="K610" s="12">
        <v>45996</v>
      </c>
      <c r="L610" s="28" t="s">
        <v>11</v>
      </c>
      <c r="M610" s="14"/>
      <c r="N610" s="10" t="s">
        <v>1028</v>
      </c>
    </row>
    <row r="611" spans="1:14" ht="22.5" customHeight="1">
      <c r="A611" s="8">
        <v>45996.887017569446</v>
      </c>
      <c r="B611" s="9" t="s">
        <v>14</v>
      </c>
      <c r="C611" s="9" t="s">
        <v>15</v>
      </c>
      <c r="D611" s="9" t="s">
        <v>1402</v>
      </c>
      <c r="E611" s="10" t="s">
        <v>17</v>
      </c>
      <c r="F611" s="10">
        <v>32</v>
      </c>
      <c r="G611" s="11">
        <v>7052425014</v>
      </c>
      <c r="H611" s="10" t="s">
        <v>1403</v>
      </c>
      <c r="I611" s="10" t="s">
        <v>45</v>
      </c>
      <c r="J611" s="10" t="s">
        <v>521</v>
      </c>
      <c r="K611" s="12">
        <v>45996</v>
      </c>
      <c r="L611" s="28" t="s">
        <v>11</v>
      </c>
      <c r="M611" s="14"/>
      <c r="N611" s="10" t="s">
        <v>1096</v>
      </c>
    </row>
    <row r="612" spans="1:14" ht="22.5" customHeight="1">
      <c r="A612" s="8">
        <v>45996.898432037036</v>
      </c>
      <c r="B612" s="9" t="s">
        <v>14</v>
      </c>
      <c r="C612" s="9" t="s">
        <v>15</v>
      </c>
      <c r="D612" s="9" t="s">
        <v>1404</v>
      </c>
      <c r="E612" s="10" t="s">
        <v>17</v>
      </c>
      <c r="F612" s="10">
        <v>32</v>
      </c>
      <c r="G612" s="11">
        <v>8100362738</v>
      </c>
      <c r="H612" s="10" t="s">
        <v>1405</v>
      </c>
      <c r="I612" s="10" t="s">
        <v>49</v>
      </c>
      <c r="J612" s="10" t="s">
        <v>109</v>
      </c>
      <c r="K612" s="12">
        <v>45996</v>
      </c>
      <c r="L612" s="28" t="s">
        <v>11</v>
      </c>
      <c r="M612" s="14"/>
      <c r="N612" s="10" t="s">
        <v>1028</v>
      </c>
    </row>
    <row r="613" spans="1:14" ht="22.5" customHeight="1">
      <c r="A613" s="8">
        <v>45996.914314988426</v>
      </c>
      <c r="B613" s="9" t="s">
        <v>14</v>
      </c>
      <c r="C613" s="9" t="s">
        <v>15</v>
      </c>
      <c r="D613" s="9" t="s">
        <v>1406</v>
      </c>
      <c r="E613" s="10" t="s">
        <v>22</v>
      </c>
      <c r="F613" s="10">
        <v>31</v>
      </c>
      <c r="G613" s="11">
        <v>9069311502</v>
      </c>
      <c r="H613" s="10" t="s">
        <v>1407</v>
      </c>
      <c r="I613" s="10" t="s">
        <v>49</v>
      </c>
      <c r="J613" s="10" t="s">
        <v>666</v>
      </c>
      <c r="K613" s="12">
        <v>45996</v>
      </c>
      <c r="L613" s="28" t="s">
        <v>11</v>
      </c>
      <c r="M613" s="14"/>
      <c r="N613" s="10" t="s">
        <v>1028</v>
      </c>
    </row>
    <row r="614" spans="1:14" ht="22.5" customHeight="1">
      <c r="A614" s="8">
        <v>45996.975870335649</v>
      </c>
      <c r="B614" s="9" t="s">
        <v>14</v>
      </c>
      <c r="C614" s="9" t="s">
        <v>15</v>
      </c>
      <c r="D614" s="9" t="s">
        <v>1408</v>
      </c>
      <c r="E614" s="10" t="s">
        <v>22</v>
      </c>
      <c r="F614" s="10">
        <v>41</v>
      </c>
      <c r="G614" s="11">
        <v>8134605020</v>
      </c>
      <c r="H614" s="10" t="s">
        <v>1409</v>
      </c>
      <c r="I614" s="10" t="s">
        <v>49</v>
      </c>
      <c r="J614" s="10" t="s">
        <v>109</v>
      </c>
      <c r="K614" s="12">
        <v>45996</v>
      </c>
      <c r="L614" s="28" t="s">
        <v>11</v>
      </c>
      <c r="M614" s="14"/>
      <c r="N614" s="10" t="s">
        <v>1028</v>
      </c>
    </row>
    <row r="615" spans="1:14" ht="22.5" customHeight="1">
      <c r="A615" s="8">
        <v>45996.980264120371</v>
      </c>
      <c r="B615" s="9" t="s">
        <v>14</v>
      </c>
      <c r="C615" s="9" t="s">
        <v>15</v>
      </c>
      <c r="D615" s="9" t="s">
        <v>1410</v>
      </c>
      <c r="E615" s="10" t="s">
        <v>22</v>
      </c>
      <c r="F615" s="10">
        <v>20</v>
      </c>
      <c r="G615" s="11">
        <v>9034572084</v>
      </c>
      <c r="H615" s="10" t="s">
        <v>1411</v>
      </c>
      <c r="I615" s="10" t="s">
        <v>45</v>
      </c>
      <c r="J615" s="10" t="s">
        <v>1412</v>
      </c>
      <c r="K615" s="12">
        <v>45996</v>
      </c>
      <c r="L615" s="28" t="s">
        <v>11</v>
      </c>
      <c r="M615" s="14"/>
      <c r="N615" s="10" t="s">
        <v>1028</v>
      </c>
    </row>
    <row r="616" spans="1:14" ht="22.5" customHeight="1">
      <c r="A616" s="8">
        <v>45997.258224375</v>
      </c>
      <c r="B616" s="9" t="s">
        <v>14</v>
      </c>
      <c r="C616" s="9" t="s">
        <v>15</v>
      </c>
      <c r="D616" s="9" t="s">
        <v>1413</v>
      </c>
      <c r="E616" s="10" t="s">
        <v>17</v>
      </c>
      <c r="F616" s="10">
        <v>35</v>
      </c>
      <c r="G616" s="11">
        <v>7067366776</v>
      </c>
      <c r="H616" s="10" t="s">
        <v>1414</v>
      </c>
      <c r="I616" s="10" t="s">
        <v>27</v>
      </c>
      <c r="J616" s="10" t="s">
        <v>1415</v>
      </c>
      <c r="K616" s="12">
        <v>45997</v>
      </c>
      <c r="L616" s="28" t="s">
        <v>11</v>
      </c>
      <c r="M616" s="14"/>
      <c r="N616" s="10" t="s">
        <v>1028</v>
      </c>
    </row>
    <row r="617" spans="1:14" ht="22.5" customHeight="1">
      <c r="A617" s="8">
        <v>45997.265755057873</v>
      </c>
      <c r="B617" s="9" t="s">
        <v>14</v>
      </c>
      <c r="C617" s="9" t="s">
        <v>15</v>
      </c>
      <c r="D617" s="9" t="s">
        <v>1416</v>
      </c>
      <c r="E617" s="10" t="s">
        <v>17</v>
      </c>
      <c r="F617" s="10">
        <v>32</v>
      </c>
      <c r="G617" s="11">
        <v>7010397069</v>
      </c>
      <c r="H617" s="10" t="s">
        <v>1417</v>
      </c>
      <c r="I617" s="10" t="s">
        <v>19</v>
      </c>
      <c r="J617" s="10" t="s">
        <v>1418</v>
      </c>
      <c r="K617" s="12">
        <v>45997</v>
      </c>
      <c r="L617" s="28" t="s">
        <v>11</v>
      </c>
      <c r="M617" s="14"/>
      <c r="N617" s="10" t="s">
        <v>1096</v>
      </c>
    </row>
    <row r="618" spans="1:14" ht="22.5" customHeight="1">
      <c r="A618" s="8">
        <v>45997.275622326386</v>
      </c>
      <c r="B618" s="9" t="s">
        <v>14</v>
      </c>
      <c r="C618" s="9" t="s">
        <v>15</v>
      </c>
      <c r="D618" s="9" t="s">
        <v>1419</v>
      </c>
      <c r="E618" s="10" t="s">
        <v>17</v>
      </c>
      <c r="F618" s="10">
        <v>29</v>
      </c>
      <c r="G618" s="11">
        <v>8151953408</v>
      </c>
      <c r="H618" s="10" t="s">
        <v>1420</v>
      </c>
      <c r="I618" s="10" t="s">
        <v>45</v>
      </c>
      <c r="J618" s="10" t="s">
        <v>1421</v>
      </c>
      <c r="K618" s="12">
        <v>45997</v>
      </c>
      <c r="L618" s="28" t="s">
        <v>11</v>
      </c>
      <c r="M618" s="14"/>
      <c r="N618" s="10" t="s">
        <v>1028</v>
      </c>
    </row>
    <row r="619" spans="1:14" ht="22.5" customHeight="1">
      <c r="A619" s="8">
        <v>45997.280702881944</v>
      </c>
      <c r="B619" s="9" t="s">
        <v>14</v>
      </c>
      <c r="C619" s="9" t="s">
        <v>15</v>
      </c>
      <c r="D619" s="9" t="s">
        <v>834</v>
      </c>
      <c r="E619" s="10" t="s">
        <v>17</v>
      </c>
      <c r="F619" s="10">
        <v>35</v>
      </c>
      <c r="G619" s="11">
        <v>7032363589</v>
      </c>
      <c r="H619" s="10" t="s">
        <v>1422</v>
      </c>
      <c r="I619" s="10" t="s">
        <v>49</v>
      </c>
      <c r="J619" s="10" t="s">
        <v>106</v>
      </c>
      <c r="K619" s="12">
        <v>45997</v>
      </c>
      <c r="L619" s="28" t="s">
        <v>11</v>
      </c>
      <c r="M619" s="14"/>
      <c r="N619" s="10" t="s">
        <v>1028</v>
      </c>
    </row>
    <row r="620" spans="1:14" ht="22.5" customHeight="1">
      <c r="A620" s="8">
        <v>45997.307122928236</v>
      </c>
      <c r="B620" s="9" t="s">
        <v>14</v>
      </c>
      <c r="C620" s="9" t="s">
        <v>15</v>
      </c>
      <c r="D620" s="9" t="s">
        <v>1423</v>
      </c>
      <c r="E620" s="10" t="s">
        <v>22</v>
      </c>
      <c r="F620" s="10">
        <v>24</v>
      </c>
      <c r="G620" s="11">
        <v>8165663181</v>
      </c>
      <c r="H620" s="10" t="s">
        <v>1424</v>
      </c>
      <c r="I620" s="10" t="s">
        <v>45</v>
      </c>
      <c r="J620" s="10" t="s">
        <v>1425</v>
      </c>
      <c r="K620" s="12">
        <v>45997</v>
      </c>
      <c r="L620" s="28" t="s">
        <v>11</v>
      </c>
      <c r="M620" s="14"/>
      <c r="N620" s="10" t="s">
        <v>1096</v>
      </c>
    </row>
    <row r="621" spans="1:14" ht="22.5" customHeight="1">
      <c r="A621" s="8">
        <v>45997.351790266199</v>
      </c>
      <c r="B621" s="9" t="s">
        <v>14</v>
      </c>
      <c r="C621" s="9" t="s">
        <v>15</v>
      </c>
      <c r="D621" s="9" t="s">
        <v>1426</v>
      </c>
      <c r="E621" s="10" t="s">
        <v>22</v>
      </c>
      <c r="F621" s="10">
        <v>24</v>
      </c>
      <c r="G621" s="11">
        <v>9125301321</v>
      </c>
      <c r="H621" s="10" t="s">
        <v>1427</v>
      </c>
      <c r="I621" s="10" t="s">
        <v>49</v>
      </c>
      <c r="J621" s="10" t="s">
        <v>362</v>
      </c>
      <c r="K621" s="12">
        <v>45997</v>
      </c>
      <c r="L621" s="28" t="s">
        <v>11</v>
      </c>
      <c r="M621" s="14"/>
      <c r="N621" s="10" t="s">
        <v>1028</v>
      </c>
    </row>
    <row r="622" spans="1:14" ht="22.5" customHeight="1">
      <c r="A622" s="8">
        <v>45997.356799942128</v>
      </c>
      <c r="B622" s="9" t="s">
        <v>14</v>
      </c>
      <c r="C622" s="9" t="s">
        <v>15</v>
      </c>
      <c r="D622" s="9" t="s">
        <v>1428</v>
      </c>
      <c r="E622" s="10" t="s">
        <v>17</v>
      </c>
      <c r="F622" s="10">
        <v>26</v>
      </c>
      <c r="G622" s="11">
        <v>9032572708</v>
      </c>
      <c r="H622" s="10" t="s">
        <v>1429</v>
      </c>
      <c r="I622" s="10" t="s">
        <v>49</v>
      </c>
      <c r="J622" s="10" t="s">
        <v>50</v>
      </c>
      <c r="K622" s="12">
        <v>45997</v>
      </c>
      <c r="L622" s="28" t="s">
        <v>11</v>
      </c>
      <c r="M622" s="14"/>
      <c r="N622" s="10" t="s">
        <v>1028</v>
      </c>
    </row>
    <row r="623" spans="1:14" ht="22.5" customHeight="1">
      <c r="A623" s="8">
        <v>45997.370081122688</v>
      </c>
      <c r="B623" s="9" t="s">
        <v>14</v>
      </c>
      <c r="C623" s="9" t="s">
        <v>15</v>
      </c>
      <c r="D623" s="9" t="s">
        <v>1430</v>
      </c>
      <c r="E623" s="10" t="s">
        <v>22</v>
      </c>
      <c r="F623" s="19">
        <v>24</v>
      </c>
      <c r="G623" s="11">
        <v>7043495462</v>
      </c>
      <c r="H623" s="10" t="s">
        <v>1431</v>
      </c>
      <c r="I623" s="10" t="s">
        <v>45</v>
      </c>
      <c r="J623" s="10" t="s">
        <v>131</v>
      </c>
      <c r="K623" s="12">
        <v>45997</v>
      </c>
      <c r="L623" s="28" t="s">
        <v>11</v>
      </c>
      <c r="M623" s="14"/>
      <c r="N623" s="10" t="s">
        <v>1028</v>
      </c>
    </row>
    <row r="624" spans="1:14" ht="22.5" customHeight="1">
      <c r="A624" s="8">
        <v>45997.379133634255</v>
      </c>
      <c r="B624" s="9" t="s">
        <v>14</v>
      </c>
      <c r="C624" s="9" t="s">
        <v>15</v>
      </c>
      <c r="D624" s="9" t="s">
        <v>1432</v>
      </c>
      <c r="E624" s="10" t="s">
        <v>22</v>
      </c>
      <c r="F624" s="10">
        <v>33</v>
      </c>
      <c r="G624" s="11">
        <v>7062863526</v>
      </c>
      <c r="H624" s="10" t="s">
        <v>1433</v>
      </c>
      <c r="I624" s="10" t="s">
        <v>49</v>
      </c>
      <c r="J624" s="10" t="s">
        <v>50</v>
      </c>
      <c r="K624" s="12">
        <v>45997</v>
      </c>
      <c r="L624" s="28" t="s">
        <v>11</v>
      </c>
      <c r="M624" s="14"/>
      <c r="N624" s="10" t="s">
        <v>1434</v>
      </c>
    </row>
    <row r="625" spans="1:14" ht="22.5" customHeight="1">
      <c r="A625" s="8">
        <v>45997.381986365741</v>
      </c>
      <c r="B625" s="9" t="s">
        <v>14</v>
      </c>
      <c r="C625" s="9" t="s">
        <v>15</v>
      </c>
      <c r="D625" s="9" t="s">
        <v>1435</v>
      </c>
      <c r="E625" s="10" t="s">
        <v>22</v>
      </c>
      <c r="F625" s="10">
        <v>26</v>
      </c>
      <c r="G625" s="11">
        <v>8144601939</v>
      </c>
      <c r="H625" s="10" t="s">
        <v>1436</v>
      </c>
      <c r="I625" s="10" t="s">
        <v>49</v>
      </c>
      <c r="J625" s="10" t="s">
        <v>326</v>
      </c>
      <c r="K625" s="12">
        <v>45997</v>
      </c>
      <c r="L625" s="28" t="s">
        <v>11</v>
      </c>
      <c r="M625" s="14"/>
      <c r="N625" s="10" t="s">
        <v>1028</v>
      </c>
    </row>
    <row r="626" spans="1:14" ht="22.5" customHeight="1">
      <c r="A626" s="8">
        <v>45997.391501932871</v>
      </c>
      <c r="B626" s="9" t="s">
        <v>14</v>
      </c>
      <c r="C626" s="9" t="s">
        <v>15</v>
      </c>
      <c r="D626" s="9" t="s">
        <v>1437</v>
      </c>
      <c r="E626" s="10" t="s">
        <v>22</v>
      </c>
      <c r="F626" s="10">
        <v>22</v>
      </c>
      <c r="G626" s="11">
        <v>8124434789</v>
      </c>
      <c r="H626" s="10" t="s">
        <v>1438</v>
      </c>
      <c r="I626" s="10" t="s">
        <v>45</v>
      </c>
      <c r="J626" s="10" t="s">
        <v>901</v>
      </c>
      <c r="K626" s="12">
        <v>45997</v>
      </c>
      <c r="L626" s="28" t="s">
        <v>11</v>
      </c>
      <c r="M626" s="14"/>
      <c r="N626" s="10" t="s">
        <v>1096</v>
      </c>
    </row>
    <row r="627" spans="1:14" ht="22.5" customHeight="1">
      <c r="A627" s="8">
        <v>45997.410780231483</v>
      </c>
      <c r="B627" s="9" t="s">
        <v>14</v>
      </c>
      <c r="C627" s="9" t="s">
        <v>15</v>
      </c>
      <c r="D627" s="9" t="s">
        <v>1439</v>
      </c>
      <c r="E627" s="10" t="s">
        <v>17</v>
      </c>
      <c r="F627" s="10">
        <v>24</v>
      </c>
      <c r="G627" s="11">
        <v>9035216716</v>
      </c>
      <c r="H627" s="10" t="s">
        <v>1440</v>
      </c>
      <c r="I627" s="10" t="s">
        <v>49</v>
      </c>
      <c r="J627" s="10" t="s">
        <v>282</v>
      </c>
      <c r="K627" s="12">
        <v>45994</v>
      </c>
      <c r="L627" s="28" t="s">
        <v>11</v>
      </c>
      <c r="M627" s="14"/>
      <c r="N627" s="10" t="s">
        <v>1028</v>
      </c>
    </row>
    <row r="628" spans="1:14" ht="22.5" customHeight="1">
      <c r="A628" s="8">
        <v>45997.463404479167</v>
      </c>
      <c r="B628" s="9" t="s">
        <v>14</v>
      </c>
      <c r="C628" s="9" t="s">
        <v>15</v>
      </c>
      <c r="D628" s="9" t="s">
        <v>1441</v>
      </c>
      <c r="E628" s="10" t="s">
        <v>17</v>
      </c>
      <c r="F628" s="10">
        <v>30</v>
      </c>
      <c r="G628" s="11">
        <v>8133128821</v>
      </c>
      <c r="H628" s="10" t="s">
        <v>1442</v>
      </c>
      <c r="I628" s="10" t="s">
        <v>27</v>
      </c>
      <c r="J628" s="10" t="s">
        <v>1443</v>
      </c>
      <c r="K628" s="12">
        <v>45997</v>
      </c>
      <c r="L628" s="28" t="s">
        <v>11</v>
      </c>
      <c r="M628" s="14"/>
      <c r="N628" s="10" t="s">
        <v>1028</v>
      </c>
    </row>
    <row r="629" spans="1:14" ht="22.5" customHeight="1">
      <c r="A629" s="8">
        <v>45997.478087314812</v>
      </c>
      <c r="B629" s="9" t="s">
        <v>14</v>
      </c>
      <c r="C629" s="9" t="s">
        <v>15</v>
      </c>
      <c r="D629" s="9" t="s">
        <v>1444</v>
      </c>
      <c r="E629" s="10" t="s">
        <v>17</v>
      </c>
      <c r="F629" s="10">
        <v>27</v>
      </c>
      <c r="G629" s="11">
        <v>9036872326</v>
      </c>
      <c r="H629" s="10" t="s">
        <v>1445</v>
      </c>
      <c r="I629" s="10" t="s">
        <v>49</v>
      </c>
      <c r="J629" s="10" t="s">
        <v>246</v>
      </c>
      <c r="K629" s="12">
        <v>45997</v>
      </c>
      <c r="L629" s="28" t="s">
        <v>11</v>
      </c>
      <c r="M629" s="14"/>
      <c r="N629" s="10" t="s">
        <v>1140</v>
      </c>
    </row>
    <row r="630" spans="1:14" ht="22.5" customHeight="1">
      <c r="A630" s="8">
        <v>45997.483984259263</v>
      </c>
      <c r="B630" s="9" t="s">
        <v>14</v>
      </c>
      <c r="C630" s="9" t="s">
        <v>15</v>
      </c>
      <c r="D630" s="9" t="s">
        <v>1446</v>
      </c>
      <c r="E630" s="10" t="s">
        <v>22</v>
      </c>
      <c r="F630" s="10">
        <v>32</v>
      </c>
      <c r="G630" s="11">
        <v>8148949859</v>
      </c>
      <c r="H630" s="10" t="s">
        <v>1447</v>
      </c>
      <c r="I630" s="10" t="s">
        <v>49</v>
      </c>
      <c r="J630" s="10" t="s">
        <v>50</v>
      </c>
      <c r="K630" s="12">
        <v>45997</v>
      </c>
      <c r="L630" s="28" t="s">
        <v>11</v>
      </c>
      <c r="M630" s="14"/>
      <c r="N630" s="10" t="s">
        <v>1096</v>
      </c>
    </row>
    <row r="631" spans="1:14" ht="22.5" customHeight="1">
      <c r="A631" s="8">
        <v>45997.486587175925</v>
      </c>
      <c r="B631" s="9" t="s">
        <v>14</v>
      </c>
      <c r="C631" s="9" t="s">
        <v>15</v>
      </c>
      <c r="D631" s="9" t="s">
        <v>1448</v>
      </c>
      <c r="E631" s="10" t="s">
        <v>22</v>
      </c>
      <c r="F631" s="10">
        <v>21</v>
      </c>
      <c r="G631" s="11">
        <v>7087648943</v>
      </c>
      <c r="H631" s="10" t="s">
        <v>1449</v>
      </c>
      <c r="I631" s="10" t="s">
        <v>49</v>
      </c>
      <c r="J631" s="10" t="s">
        <v>50</v>
      </c>
      <c r="K631" s="12">
        <v>45997</v>
      </c>
      <c r="L631" s="28" t="s">
        <v>11</v>
      </c>
      <c r="M631" s="14"/>
      <c r="N631" s="10" t="s">
        <v>1028</v>
      </c>
    </row>
    <row r="632" spans="1:14" ht="22.5" customHeight="1">
      <c r="A632" s="8">
        <v>45997.493925266201</v>
      </c>
      <c r="B632" s="9" t="s">
        <v>14</v>
      </c>
      <c r="C632" s="9" t="s">
        <v>15</v>
      </c>
      <c r="D632" s="9" t="s">
        <v>1450</v>
      </c>
      <c r="E632" s="10" t="s">
        <v>22</v>
      </c>
      <c r="F632" s="10">
        <v>21</v>
      </c>
      <c r="G632" s="11">
        <v>9058498322</v>
      </c>
      <c r="H632" s="10" t="s">
        <v>1451</v>
      </c>
      <c r="I632" s="10" t="s">
        <v>45</v>
      </c>
      <c r="J632" s="10" t="s">
        <v>509</v>
      </c>
      <c r="K632" s="12">
        <v>38343</v>
      </c>
      <c r="L632" s="28" t="s">
        <v>11</v>
      </c>
      <c r="M632" s="14"/>
      <c r="N632" s="10" t="s">
        <v>1028</v>
      </c>
    </row>
    <row r="633" spans="1:14" ht="22.5" customHeight="1">
      <c r="A633" s="8">
        <v>45997.501662106486</v>
      </c>
      <c r="B633" s="9" t="s">
        <v>14</v>
      </c>
      <c r="C633" s="9" t="s">
        <v>15</v>
      </c>
      <c r="D633" s="9" t="s">
        <v>1452</v>
      </c>
      <c r="E633" s="10" t="s">
        <v>22</v>
      </c>
      <c r="F633" s="10">
        <v>30</v>
      </c>
      <c r="G633" s="11">
        <v>8139741100</v>
      </c>
      <c r="H633" s="10" t="s">
        <v>1453</v>
      </c>
      <c r="I633" s="10" t="s">
        <v>49</v>
      </c>
      <c r="J633" s="10" t="s">
        <v>181</v>
      </c>
      <c r="K633" s="12">
        <v>45997</v>
      </c>
      <c r="L633" s="28" t="s">
        <v>11</v>
      </c>
      <c r="M633" s="14"/>
      <c r="N633" s="10" t="s">
        <v>1028</v>
      </c>
    </row>
    <row r="634" spans="1:14" ht="22.5" customHeight="1">
      <c r="A634" s="8">
        <v>45997.502728055551</v>
      </c>
      <c r="B634" s="9" t="s">
        <v>14</v>
      </c>
      <c r="C634" s="9" t="s">
        <v>15</v>
      </c>
      <c r="D634" s="9" t="s">
        <v>1454</v>
      </c>
      <c r="E634" s="10" t="s">
        <v>22</v>
      </c>
      <c r="F634" s="10">
        <v>32</v>
      </c>
      <c r="G634" s="11">
        <v>8035848694</v>
      </c>
      <c r="H634" s="10" t="s">
        <v>1455</v>
      </c>
      <c r="I634" s="10" t="s">
        <v>27</v>
      </c>
      <c r="J634" s="10" t="s">
        <v>1456</v>
      </c>
      <c r="K634" s="12">
        <v>45997</v>
      </c>
      <c r="L634" s="28" t="s">
        <v>11</v>
      </c>
      <c r="M634" s="14"/>
      <c r="N634" s="10" t="s">
        <v>1028</v>
      </c>
    </row>
    <row r="635" spans="1:14" ht="22.5" customHeight="1">
      <c r="A635" s="8">
        <v>45997.530625659725</v>
      </c>
      <c r="B635" s="9" t="s">
        <v>14</v>
      </c>
      <c r="C635" s="9" t="s">
        <v>15</v>
      </c>
      <c r="D635" s="9" t="s">
        <v>1457</v>
      </c>
      <c r="E635" s="10" t="s">
        <v>22</v>
      </c>
      <c r="F635" s="10">
        <v>35</v>
      </c>
      <c r="G635" s="11">
        <v>8036920317</v>
      </c>
      <c r="H635" s="10" t="s">
        <v>1458</v>
      </c>
      <c r="I635" s="10" t="s">
        <v>27</v>
      </c>
      <c r="J635" s="10" t="s">
        <v>172</v>
      </c>
      <c r="K635" s="12">
        <v>45997</v>
      </c>
      <c r="L635" s="28" t="s">
        <v>11</v>
      </c>
      <c r="M635" s="14"/>
      <c r="N635" s="10" t="s">
        <v>1028</v>
      </c>
    </row>
    <row r="636" spans="1:14" ht="22.5" customHeight="1">
      <c r="A636" s="8">
        <v>45997.532672430556</v>
      </c>
      <c r="B636" s="9" t="s">
        <v>14</v>
      </c>
      <c r="C636" s="9" t="s">
        <v>15</v>
      </c>
      <c r="D636" s="9" t="s">
        <v>1459</v>
      </c>
      <c r="E636" s="10" t="s">
        <v>22</v>
      </c>
      <c r="F636" s="10">
        <v>36</v>
      </c>
      <c r="G636" s="11">
        <v>9068973220</v>
      </c>
      <c r="H636" s="10" t="s">
        <v>1460</v>
      </c>
      <c r="I636" s="10" t="s">
        <v>49</v>
      </c>
      <c r="J636" s="10" t="s">
        <v>109</v>
      </c>
      <c r="K636" s="12">
        <v>45997</v>
      </c>
      <c r="L636" s="28" t="s">
        <v>11</v>
      </c>
      <c r="M636" s="14"/>
      <c r="N636" s="10" t="s">
        <v>1028</v>
      </c>
    </row>
    <row r="637" spans="1:14" ht="22.5" customHeight="1">
      <c r="A637" s="8">
        <v>45997.544208796295</v>
      </c>
      <c r="B637" s="9" t="s">
        <v>14</v>
      </c>
      <c r="C637" s="9" t="s">
        <v>15</v>
      </c>
      <c r="D637" s="9" t="s">
        <v>1461</v>
      </c>
      <c r="E637" s="10" t="s">
        <v>22</v>
      </c>
      <c r="F637" s="10">
        <v>35</v>
      </c>
      <c r="G637" s="11">
        <v>8067819687</v>
      </c>
      <c r="H637" s="10" t="s">
        <v>1462</v>
      </c>
      <c r="I637" s="10" t="s">
        <v>49</v>
      </c>
      <c r="J637" s="10" t="s">
        <v>106</v>
      </c>
      <c r="K637" s="12">
        <v>45997</v>
      </c>
      <c r="L637" s="28" t="s">
        <v>11</v>
      </c>
      <c r="M637" s="14"/>
      <c r="N637" s="10" t="s">
        <v>1096</v>
      </c>
    </row>
    <row r="638" spans="1:14" ht="22.5" customHeight="1">
      <c r="A638" s="8">
        <v>45997.548635925923</v>
      </c>
      <c r="B638" s="9" t="s">
        <v>14</v>
      </c>
      <c r="C638" s="9" t="s">
        <v>15</v>
      </c>
      <c r="D638" s="9" t="s">
        <v>1463</v>
      </c>
      <c r="E638" s="10" t="s">
        <v>22</v>
      </c>
      <c r="F638" s="10">
        <v>22</v>
      </c>
      <c r="G638" s="11">
        <v>8148966173</v>
      </c>
      <c r="H638" s="10" t="s">
        <v>1464</v>
      </c>
      <c r="I638" s="10" t="s">
        <v>45</v>
      </c>
      <c r="J638" s="10" t="s">
        <v>46</v>
      </c>
      <c r="K638" s="12">
        <v>45997</v>
      </c>
      <c r="L638" s="28" t="s">
        <v>11</v>
      </c>
      <c r="M638" s="14"/>
      <c r="N638" s="10" t="s">
        <v>1096</v>
      </c>
    </row>
    <row r="639" spans="1:14" ht="22.5" customHeight="1">
      <c r="A639" s="8">
        <v>45997.554855543982</v>
      </c>
      <c r="B639" s="9" t="s">
        <v>14</v>
      </c>
      <c r="C639" s="9" t="s">
        <v>15</v>
      </c>
      <c r="D639" s="9" t="s">
        <v>1465</v>
      </c>
      <c r="E639" s="10" t="s">
        <v>22</v>
      </c>
      <c r="F639" s="10">
        <v>25</v>
      </c>
      <c r="G639" s="11">
        <v>8035699311</v>
      </c>
      <c r="H639" s="10" t="s">
        <v>1466</v>
      </c>
      <c r="I639" s="10" t="s">
        <v>49</v>
      </c>
      <c r="J639" s="10" t="s">
        <v>50</v>
      </c>
      <c r="K639" s="12">
        <v>45820</v>
      </c>
      <c r="L639" s="28" t="s">
        <v>11</v>
      </c>
      <c r="M639" s="14"/>
      <c r="N639" s="10" t="s">
        <v>1028</v>
      </c>
    </row>
    <row r="640" spans="1:14" ht="22.5" customHeight="1">
      <c r="A640" s="8">
        <v>45997.559517037036</v>
      </c>
      <c r="B640" s="9" t="s">
        <v>14</v>
      </c>
      <c r="C640" s="9" t="s">
        <v>15</v>
      </c>
      <c r="D640" s="9" t="s">
        <v>1467</v>
      </c>
      <c r="E640" s="10" t="s">
        <v>17</v>
      </c>
      <c r="F640" s="10">
        <v>28</v>
      </c>
      <c r="G640" s="11">
        <v>9042150882</v>
      </c>
      <c r="H640" s="10" t="s">
        <v>1468</v>
      </c>
      <c r="I640" s="10" t="s">
        <v>49</v>
      </c>
      <c r="J640" s="10" t="s">
        <v>232</v>
      </c>
      <c r="K640" s="12">
        <v>45997</v>
      </c>
      <c r="L640" s="28" t="s">
        <v>11</v>
      </c>
      <c r="M640" s="14"/>
      <c r="N640" s="10" t="s">
        <v>1028</v>
      </c>
    </row>
    <row r="641" spans="1:14" ht="22.5" customHeight="1">
      <c r="A641" s="8">
        <v>45997.58042648148</v>
      </c>
      <c r="B641" s="9" t="s">
        <v>14</v>
      </c>
      <c r="C641" s="9" t="s">
        <v>15</v>
      </c>
      <c r="D641" s="9" t="s">
        <v>1469</v>
      </c>
      <c r="E641" s="10" t="s">
        <v>17</v>
      </c>
      <c r="F641" s="10">
        <v>43</v>
      </c>
      <c r="G641" s="11">
        <v>7037666480</v>
      </c>
      <c r="H641" s="10" t="s">
        <v>1470</v>
      </c>
      <c r="I641" s="10" t="s">
        <v>49</v>
      </c>
      <c r="J641" s="10" t="s">
        <v>106</v>
      </c>
      <c r="K641" s="12">
        <v>45997</v>
      </c>
      <c r="L641" s="28" t="s">
        <v>11</v>
      </c>
      <c r="M641" s="14"/>
      <c r="N641" s="10" t="s">
        <v>1028</v>
      </c>
    </row>
    <row r="642" spans="1:14" ht="22.5" customHeight="1">
      <c r="A642" s="8">
        <v>45997.636035069445</v>
      </c>
      <c r="B642" s="9" t="s">
        <v>14</v>
      </c>
      <c r="C642" s="9" t="s">
        <v>15</v>
      </c>
      <c r="D642" s="9" t="s">
        <v>1471</v>
      </c>
      <c r="E642" s="10" t="s">
        <v>17</v>
      </c>
      <c r="F642" s="10">
        <v>23</v>
      </c>
      <c r="G642" s="11">
        <v>9131818667</v>
      </c>
      <c r="H642" s="10" t="s">
        <v>1472</v>
      </c>
      <c r="I642" s="10" t="s">
        <v>49</v>
      </c>
      <c r="J642" s="10" t="s">
        <v>1280</v>
      </c>
      <c r="K642" s="12">
        <v>45997</v>
      </c>
      <c r="L642" s="28" t="s">
        <v>11</v>
      </c>
      <c r="M642" s="14"/>
      <c r="N642" s="10" t="s">
        <v>1096</v>
      </c>
    </row>
    <row r="643" spans="1:14" ht="22.5" customHeight="1">
      <c r="A643" s="8">
        <v>45997.686200115742</v>
      </c>
      <c r="B643" s="9" t="s">
        <v>14</v>
      </c>
      <c r="C643" s="9" t="s">
        <v>15</v>
      </c>
      <c r="D643" s="9" t="s">
        <v>1473</v>
      </c>
      <c r="E643" s="10" t="s">
        <v>17</v>
      </c>
      <c r="F643" s="10">
        <v>32</v>
      </c>
      <c r="G643" s="11">
        <v>7062815763</v>
      </c>
      <c r="H643" s="10" t="s">
        <v>1474</v>
      </c>
      <c r="I643" s="10" t="s">
        <v>27</v>
      </c>
      <c r="J643" s="10" t="s">
        <v>1475</v>
      </c>
      <c r="K643" s="12">
        <v>45997</v>
      </c>
      <c r="L643" s="28" t="s">
        <v>11</v>
      </c>
      <c r="M643" s="14"/>
      <c r="N643" s="10" t="s">
        <v>1028</v>
      </c>
    </row>
    <row r="644" spans="1:14" ht="22.5" customHeight="1">
      <c r="A644" s="8">
        <v>45997.747254895832</v>
      </c>
      <c r="B644" s="9" t="s">
        <v>14</v>
      </c>
      <c r="C644" s="9" t="s">
        <v>15</v>
      </c>
      <c r="D644" s="9" t="s">
        <v>1476</v>
      </c>
      <c r="E644" s="10" t="s">
        <v>22</v>
      </c>
      <c r="F644" s="10">
        <v>28</v>
      </c>
      <c r="G644" s="11">
        <v>8104443545</v>
      </c>
      <c r="H644" s="10" t="s">
        <v>1477</v>
      </c>
      <c r="I644" s="10" t="s">
        <v>49</v>
      </c>
      <c r="J644" s="10" t="s">
        <v>50</v>
      </c>
      <c r="K644" s="12">
        <v>45997</v>
      </c>
      <c r="L644" s="28" t="s">
        <v>11</v>
      </c>
      <c r="M644" s="10"/>
      <c r="N644" s="10" t="s">
        <v>1028</v>
      </c>
    </row>
    <row r="645" spans="1:14" ht="22.5" customHeight="1">
      <c r="A645" s="8">
        <v>45997.764237696756</v>
      </c>
      <c r="B645" s="9" t="s">
        <v>14</v>
      </c>
      <c r="C645" s="9" t="s">
        <v>15</v>
      </c>
      <c r="D645" s="9" t="s">
        <v>1478</v>
      </c>
      <c r="E645" s="10" t="s">
        <v>17</v>
      </c>
      <c r="F645" s="10">
        <v>32</v>
      </c>
      <c r="G645" s="11">
        <v>7063209180</v>
      </c>
      <c r="H645" s="10" t="s">
        <v>1479</v>
      </c>
      <c r="I645" s="10" t="s">
        <v>49</v>
      </c>
      <c r="J645" s="10" t="s">
        <v>109</v>
      </c>
      <c r="K645" s="12">
        <v>34098</v>
      </c>
      <c r="L645" s="28" t="s">
        <v>11</v>
      </c>
      <c r="M645" s="14"/>
      <c r="N645" s="10" t="s">
        <v>1096</v>
      </c>
    </row>
    <row r="646" spans="1:14" ht="22.5" customHeight="1">
      <c r="A646" s="8">
        <v>45997.775498807867</v>
      </c>
      <c r="B646" s="9" t="s">
        <v>14</v>
      </c>
      <c r="C646" s="9" t="s">
        <v>15</v>
      </c>
      <c r="D646" s="9" t="s">
        <v>1480</v>
      </c>
      <c r="E646" s="10" t="s">
        <v>22</v>
      </c>
      <c r="F646" s="10">
        <v>19</v>
      </c>
      <c r="G646" s="11">
        <v>9015088820</v>
      </c>
      <c r="H646" s="10" t="s">
        <v>1481</v>
      </c>
      <c r="I646" s="10" t="s">
        <v>49</v>
      </c>
      <c r="J646" s="10" t="s">
        <v>1077</v>
      </c>
      <c r="K646" s="12">
        <v>45997</v>
      </c>
      <c r="L646" s="28" t="s">
        <v>11</v>
      </c>
      <c r="M646" s="14"/>
      <c r="N646" s="10" t="s">
        <v>1028</v>
      </c>
    </row>
    <row r="647" spans="1:14" ht="22.5" customHeight="1">
      <c r="A647" s="8">
        <v>45997.795583472223</v>
      </c>
      <c r="B647" s="9" t="s">
        <v>14</v>
      </c>
      <c r="C647" s="9" t="s">
        <v>15</v>
      </c>
      <c r="D647" s="9" t="s">
        <v>1482</v>
      </c>
      <c r="E647" s="10" t="s">
        <v>22</v>
      </c>
      <c r="F647" s="10">
        <v>30</v>
      </c>
      <c r="G647" s="11">
        <v>7084545219</v>
      </c>
      <c r="H647" s="10" t="s">
        <v>1483</v>
      </c>
      <c r="I647" s="10" t="s">
        <v>27</v>
      </c>
      <c r="J647" s="10" t="s">
        <v>172</v>
      </c>
      <c r="K647" s="12">
        <v>45997</v>
      </c>
      <c r="L647" s="28" t="s">
        <v>11</v>
      </c>
      <c r="M647" s="14"/>
      <c r="N647" s="10" t="s">
        <v>1028</v>
      </c>
    </row>
    <row r="648" spans="1:14" ht="22.5" customHeight="1">
      <c r="A648" s="8">
        <v>45997.837942175931</v>
      </c>
      <c r="B648" s="9" t="s">
        <v>14</v>
      </c>
      <c r="C648" s="9" t="s">
        <v>15</v>
      </c>
      <c r="D648" s="9" t="s">
        <v>1484</v>
      </c>
      <c r="E648" s="10" t="s">
        <v>17</v>
      </c>
      <c r="F648" s="10">
        <v>36</v>
      </c>
      <c r="G648" s="11">
        <v>8144477965</v>
      </c>
      <c r="H648" s="10" t="s">
        <v>1485</v>
      </c>
      <c r="I648" s="10" t="s">
        <v>19</v>
      </c>
      <c r="J648" s="10" t="s">
        <v>24</v>
      </c>
      <c r="K648" s="12">
        <v>45997</v>
      </c>
      <c r="L648" s="28" t="s">
        <v>11</v>
      </c>
      <c r="M648" s="14"/>
      <c r="N648" s="10" t="s">
        <v>1096</v>
      </c>
    </row>
    <row r="649" spans="1:14" ht="22.5" customHeight="1">
      <c r="A649" s="8">
        <v>45997.861478981482</v>
      </c>
      <c r="B649" s="9" t="s">
        <v>14</v>
      </c>
      <c r="C649" s="9" t="s">
        <v>15</v>
      </c>
      <c r="D649" s="9" t="s">
        <v>1486</v>
      </c>
      <c r="E649" s="10" t="s">
        <v>22</v>
      </c>
      <c r="F649" s="10">
        <v>28</v>
      </c>
      <c r="G649" s="11">
        <v>8122409531</v>
      </c>
      <c r="H649" s="10" t="s">
        <v>1487</v>
      </c>
      <c r="I649" s="10" t="s">
        <v>27</v>
      </c>
      <c r="J649" s="10" t="s">
        <v>1488</v>
      </c>
      <c r="K649" s="12">
        <v>45997</v>
      </c>
      <c r="L649" s="28" t="s">
        <v>11</v>
      </c>
      <c r="M649" s="10"/>
      <c r="N649" s="10" t="s">
        <v>1489</v>
      </c>
    </row>
    <row r="650" spans="1:14" ht="22.5" customHeight="1">
      <c r="A650" s="8">
        <v>45997.867291261573</v>
      </c>
      <c r="B650" s="9" t="s">
        <v>14</v>
      </c>
      <c r="C650" s="9" t="s">
        <v>15</v>
      </c>
      <c r="D650" s="9" t="s">
        <v>1490</v>
      </c>
      <c r="E650" s="10" t="s">
        <v>22</v>
      </c>
      <c r="F650" s="10">
        <v>26</v>
      </c>
      <c r="G650" s="11">
        <v>8051088001</v>
      </c>
      <c r="H650" s="10" t="s">
        <v>1491</v>
      </c>
      <c r="I650" s="10" t="s">
        <v>49</v>
      </c>
      <c r="J650" s="10" t="s">
        <v>50</v>
      </c>
      <c r="K650" s="12">
        <v>36509</v>
      </c>
      <c r="L650" s="28" t="s">
        <v>11</v>
      </c>
      <c r="M650" s="14"/>
      <c r="N650" s="10" t="s">
        <v>1028</v>
      </c>
    </row>
    <row r="651" spans="1:14" ht="22.5" customHeight="1">
      <c r="A651" s="8">
        <v>45997.870789189816</v>
      </c>
      <c r="B651" s="9" t="s">
        <v>14</v>
      </c>
      <c r="C651" s="9" t="s">
        <v>15</v>
      </c>
      <c r="D651" s="9" t="s">
        <v>1492</v>
      </c>
      <c r="E651" s="10" t="s">
        <v>22</v>
      </c>
      <c r="F651" s="10">
        <v>36</v>
      </c>
      <c r="G651" s="11">
        <v>7035675890</v>
      </c>
      <c r="H651" s="10" t="s">
        <v>1493</v>
      </c>
      <c r="I651" s="10" t="s">
        <v>49</v>
      </c>
      <c r="J651" s="10" t="s">
        <v>109</v>
      </c>
      <c r="K651" s="12">
        <v>45997</v>
      </c>
      <c r="L651" s="28" t="s">
        <v>11</v>
      </c>
      <c r="M651" s="14"/>
      <c r="N651" s="10" t="s">
        <v>1028</v>
      </c>
    </row>
    <row r="652" spans="1:14" ht="22.5" customHeight="1">
      <c r="A652" s="8">
        <v>45997.8785541088</v>
      </c>
      <c r="B652" s="9" t="s">
        <v>14</v>
      </c>
      <c r="C652" s="9" t="s">
        <v>15</v>
      </c>
      <c r="D652" s="9" t="s">
        <v>1494</v>
      </c>
      <c r="E652" s="10" t="s">
        <v>22</v>
      </c>
      <c r="F652" s="10">
        <v>33</v>
      </c>
      <c r="G652" s="11">
        <v>8165283026</v>
      </c>
      <c r="H652" s="10" t="s">
        <v>1495</v>
      </c>
      <c r="I652" s="10" t="s">
        <v>49</v>
      </c>
      <c r="J652" s="10" t="s">
        <v>208</v>
      </c>
      <c r="K652" s="12">
        <v>45997</v>
      </c>
      <c r="L652" s="28" t="s">
        <v>11</v>
      </c>
      <c r="M652" s="14"/>
      <c r="N652" s="10" t="s">
        <v>1028</v>
      </c>
    </row>
    <row r="653" spans="1:14" ht="22.5" customHeight="1">
      <c r="A653" s="8">
        <v>45997.878992118058</v>
      </c>
      <c r="B653" s="9" t="s">
        <v>14</v>
      </c>
      <c r="C653" s="9" t="s">
        <v>15</v>
      </c>
      <c r="D653" s="9" t="s">
        <v>1496</v>
      </c>
      <c r="E653" s="10" t="s">
        <v>22</v>
      </c>
      <c r="F653" s="10">
        <v>25</v>
      </c>
      <c r="G653" s="11">
        <v>8163636018</v>
      </c>
      <c r="H653" s="10" t="s">
        <v>1497</v>
      </c>
      <c r="I653" s="10" t="s">
        <v>45</v>
      </c>
      <c r="J653" s="10" t="s">
        <v>1498</v>
      </c>
      <c r="K653" s="12">
        <v>45997</v>
      </c>
      <c r="L653" s="28" t="s">
        <v>11</v>
      </c>
      <c r="M653" s="14"/>
      <c r="N653" s="10" t="s">
        <v>1096</v>
      </c>
    </row>
    <row r="654" spans="1:14" ht="22.5" customHeight="1">
      <c r="A654" s="8">
        <v>45997.883101168976</v>
      </c>
      <c r="B654" s="9" t="s">
        <v>14</v>
      </c>
      <c r="C654" s="9" t="s">
        <v>15</v>
      </c>
      <c r="D654" s="9" t="s">
        <v>1499</v>
      </c>
      <c r="E654" s="10" t="s">
        <v>22</v>
      </c>
      <c r="F654" s="10">
        <v>34</v>
      </c>
      <c r="G654" s="11">
        <v>7038945261</v>
      </c>
      <c r="H654" s="10" t="s">
        <v>1500</v>
      </c>
      <c r="I654" s="10" t="s">
        <v>45</v>
      </c>
      <c r="J654" s="10" t="s">
        <v>46</v>
      </c>
      <c r="K654" s="12">
        <v>45997</v>
      </c>
      <c r="L654" s="28" t="s">
        <v>11</v>
      </c>
      <c r="M654" s="14"/>
      <c r="N654" s="10" t="s">
        <v>1028</v>
      </c>
    </row>
    <row r="655" spans="1:14" ht="22.5" customHeight="1">
      <c r="A655" s="8">
        <v>45997.891915219909</v>
      </c>
      <c r="B655" s="9" t="s">
        <v>14</v>
      </c>
      <c r="C655" s="9" t="s">
        <v>15</v>
      </c>
      <c r="D655" s="9" t="s">
        <v>1501</v>
      </c>
      <c r="E655" s="10" t="s">
        <v>17</v>
      </c>
      <c r="F655" s="10">
        <v>27</v>
      </c>
      <c r="G655" s="11">
        <v>2349068869235</v>
      </c>
      <c r="H655" s="10" t="s">
        <v>1502</v>
      </c>
      <c r="I655" s="10" t="s">
        <v>31</v>
      </c>
      <c r="J655" s="10" t="s">
        <v>32</v>
      </c>
      <c r="K655" s="12">
        <v>45997</v>
      </c>
      <c r="L655" s="28" t="s">
        <v>11</v>
      </c>
      <c r="M655" s="14"/>
      <c r="N655" s="10" t="s">
        <v>1028</v>
      </c>
    </row>
    <row r="656" spans="1:14" ht="22.5" customHeight="1">
      <c r="A656" s="8">
        <v>45997.894566076386</v>
      </c>
      <c r="B656" s="9" t="s">
        <v>14</v>
      </c>
      <c r="C656" s="9" t="s">
        <v>15</v>
      </c>
      <c r="D656" s="9" t="s">
        <v>1503</v>
      </c>
      <c r="E656" s="10" t="s">
        <v>22</v>
      </c>
      <c r="F656" s="10">
        <v>23</v>
      </c>
      <c r="G656" s="11">
        <v>8167613961</v>
      </c>
      <c r="H656" s="10" t="s">
        <v>1504</v>
      </c>
      <c r="I656" s="10" t="s">
        <v>49</v>
      </c>
      <c r="J656" s="10" t="s">
        <v>50</v>
      </c>
      <c r="K656" s="12">
        <v>45997</v>
      </c>
      <c r="L656" s="28" t="s">
        <v>11</v>
      </c>
      <c r="M656" s="14"/>
      <c r="N656" s="10" t="s">
        <v>1028</v>
      </c>
    </row>
    <row r="657" spans="1:14" ht="22.5" customHeight="1">
      <c r="A657" s="8">
        <v>45997.912635092594</v>
      </c>
      <c r="B657" s="9" t="s">
        <v>14</v>
      </c>
      <c r="C657" s="9" t="s">
        <v>15</v>
      </c>
      <c r="D657" s="9" t="s">
        <v>1505</v>
      </c>
      <c r="E657" s="10" t="s">
        <v>17</v>
      </c>
      <c r="F657" s="10">
        <v>34</v>
      </c>
      <c r="G657" s="11">
        <v>7011154071</v>
      </c>
      <c r="H657" s="10" t="s">
        <v>1506</v>
      </c>
      <c r="I657" s="10" t="s">
        <v>45</v>
      </c>
      <c r="J657" s="10" t="s">
        <v>46</v>
      </c>
      <c r="K657" s="12">
        <v>45997</v>
      </c>
      <c r="L657" s="28" t="s">
        <v>11</v>
      </c>
      <c r="M657" s="14"/>
      <c r="N657" s="10" t="s">
        <v>1028</v>
      </c>
    </row>
    <row r="658" spans="1:14" ht="22.5" customHeight="1">
      <c r="A658" s="8">
        <v>45997.923303414354</v>
      </c>
      <c r="B658" s="9" t="s">
        <v>14</v>
      </c>
      <c r="C658" s="9" t="s">
        <v>15</v>
      </c>
      <c r="D658" s="9" t="s">
        <v>1507</v>
      </c>
      <c r="E658" s="10" t="s">
        <v>17</v>
      </c>
      <c r="F658" s="10">
        <v>35</v>
      </c>
      <c r="G658" s="11">
        <v>8054418706</v>
      </c>
      <c r="H658" s="10" t="s">
        <v>1508</v>
      </c>
      <c r="I658" s="10" t="s">
        <v>49</v>
      </c>
      <c r="J658" s="10" t="s">
        <v>362</v>
      </c>
      <c r="K658" s="12">
        <v>45997</v>
      </c>
      <c r="L658" s="28" t="s">
        <v>11</v>
      </c>
      <c r="M658" s="14"/>
      <c r="N658" s="10" t="s">
        <v>1028</v>
      </c>
    </row>
    <row r="659" spans="1:14" ht="22.5" customHeight="1">
      <c r="A659" s="8">
        <v>45997.927508275461</v>
      </c>
      <c r="B659" s="9" t="s">
        <v>14</v>
      </c>
      <c r="C659" s="9" t="s">
        <v>15</v>
      </c>
      <c r="D659" s="9" t="s">
        <v>1509</v>
      </c>
      <c r="E659" s="10" t="s">
        <v>17</v>
      </c>
      <c r="F659" s="10">
        <v>29</v>
      </c>
      <c r="G659" s="11">
        <v>8125775753</v>
      </c>
      <c r="H659" s="10" t="s">
        <v>1510</v>
      </c>
      <c r="I659" s="10" t="s">
        <v>27</v>
      </c>
      <c r="J659" s="10" t="s">
        <v>1511</v>
      </c>
      <c r="K659" s="12">
        <v>45997</v>
      </c>
      <c r="L659" s="28" t="s">
        <v>11</v>
      </c>
      <c r="M659" s="14"/>
      <c r="N659" s="10" t="s">
        <v>1096</v>
      </c>
    </row>
    <row r="660" spans="1:14" ht="22.5" customHeight="1">
      <c r="A660" s="8">
        <v>45997.941031689814</v>
      </c>
      <c r="B660" s="9" t="s">
        <v>14</v>
      </c>
      <c r="C660" s="9" t="s">
        <v>15</v>
      </c>
      <c r="D660" s="9" t="s">
        <v>1512</v>
      </c>
      <c r="E660" s="10" t="s">
        <v>17</v>
      </c>
      <c r="F660" s="10">
        <v>41</v>
      </c>
      <c r="G660" s="11">
        <v>8067903800</v>
      </c>
      <c r="H660" s="10" t="s">
        <v>1513</v>
      </c>
      <c r="I660" s="10" t="s">
        <v>27</v>
      </c>
      <c r="J660" s="10" t="s">
        <v>1514</v>
      </c>
      <c r="K660" s="12">
        <v>45997</v>
      </c>
      <c r="L660" s="28" t="s">
        <v>11</v>
      </c>
      <c r="M660" s="14"/>
      <c r="N660" s="10" t="s">
        <v>1096</v>
      </c>
    </row>
    <row r="661" spans="1:14" ht="22.5" customHeight="1">
      <c r="A661" s="8">
        <v>45997.959290509258</v>
      </c>
      <c r="B661" s="9" t="s">
        <v>14</v>
      </c>
      <c r="C661" s="9" t="s">
        <v>15</v>
      </c>
      <c r="D661" s="9" t="s">
        <v>1515</v>
      </c>
      <c r="E661" s="10" t="s">
        <v>17</v>
      </c>
      <c r="F661" s="10">
        <v>35</v>
      </c>
      <c r="G661" s="11">
        <f t="shared" ref="G661" si="8">2348034117276</f>
        <v>2348034117276</v>
      </c>
      <c r="H661" s="10" t="s">
        <v>1516</v>
      </c>
      <c r="I661" s="10" t="s">
        <v>45</v>
      </c>
      <c r="J661" s="10" t="s">
        <v>932</v>
      </c>
      <c r="K661" s="12">
        <v>45997</v>
      </c>
      <c r="L661" s="28" t="s">
        <v>11</v>
      </c>
      <c r="M661" s="14"/>
      <c r="N661" s="10" t="s">
        <v>1096</v>
      </c>
    </row>
    <row r="662" spans="1:14" ht="22.5" customHeight="1">
      <c r="A662" s="8">
        <v>45997.980193414347</v>
      </c>
      <c r="B662" s="9" t="s">
        <v>14</v>
      </c>
      <c r="C662" s="9" t="s">
        <v>15</v>
      </c>
      <c r="D662" s="9" t="s">
        <v>1517</v>
      </c>
      <c r="E662" s="10" t="s">
        <v>22</v>
      </c>
      <c r="F662" s="18">
        <v>22</v>
      </c>
      <c r="G662" s="11">
        <v>8102680191</v>
      </c>
      <c r="H662" s="10" t="s">
        <v>1518</v>
      </c>
      <c r="I662" s="10" t="s">
        <v>45</v>
      </c>
      <c r="J662" s="10" t="s">
        <v>901</v>
      </c>
      <c r="K662" s="12">
        <v>45997</v>
      </c>
      <c r="L662" s="28" t="s">
        <v>11</v>
      </c>
      <c r="M662" s="10"/>
      <c r="N662" s="10" t="s">
        <v>150</v>
      </c>
    </row>
    <row r="663" spans="1:14" ht="22.5" customHeight="1">
      <c r="A663" s="8">
        <v>45998.098017037039</v>
      </c>
      <c r="B663" s="9" t="s">
        <v>14</v>
      </c>
      <c r="C663" s="9" t="s">
        <v>15</v>
      </c>
      <c r="D663" s="9" t="s">
        <v>1519</v>
      </c>
      <c r="E663" s="10" t="s">
        <v>22</v>
      </c>
      <c r="F663" s="10">
        <v>27</v>
      </c>
      <c r="G663" s="11">
        <v>7062376201</v>
      </c>
      <c r="H663" s="10" t="s">
        <v>1520</v>
      </c>
      <c r="I663" s="10" t="s">
        <v>49</v>
      </c>
      <c r="J663" s="10" t="s">
        <v>246</v>
      </c>
      <c r="K663" s="12">
        <v>45997</v>
      </c>
      <c r="L663" s="28" t="s">
        <v>11</v>
      </c>
      <c r="M663" s="14"/>
      <c r="N663" s="10" t="s">
        <v>1028</v>
      </c>
    </row>
    <row r="664" spans="1:14" ht="22.5" customHeight="1">
      <c r="A664" s="8">
        <v>45998.201898298612</v>
      </c>
      <c r="B664" s="9" t="s">
        <v>14</v>
      </c>
      <c r="C664" s="9" t="s">
        <v>15</v>
      </c>
      <c r="D664" s="9" t="s">
        <v>1521</v>
      </c>
      <c r="E664" s="10" t="s">
        <v>17</v>
      </c>
      <c r="F664" s="10">
        <v>34</v>
      </c>
      <c r="G664" s="11">
        <v>7063332368</v>
      </c>
      <c r="H664" s="10" t="s">
        <v>1522</v>
      </c>
      <c r="I664" s="10" t="s">
        <v>49</v>
      </c>
      <c r="J664" s="10" t="s">
        <v>1523</v>
      </c>
      <c r="K664" s="12">
        <v>45998</v>
      </c>
      <c r="L664" s="28" t="s">
        <v>11</v>
      </c>
      <c r="M664" s="14"/>
      <c r="N664" s="10" t="s">
        <v>1028</v>
      </c>
    </row>
    <row r="665" spans="1:14" ht="22.5" customHeight="1">
      <c r="A665" s="8">
        <v>45998.304993888887</v>
      </c>
      <c r="B665" s="9" t="s">
        <v>14</v>
      </c>
      <c r="C665" s="9" t="s">
        <v>15</v>
      </c>
      <c r="D665" s="9" t="s">
        <v>366</v>
      </c>
      <c r="E665" s="10" t="s">
        <v>17</v>
      </c>
      <c r="F665" s="10">
        <v>29</v>
      </c>
      <c r="G665" s="11">
        <v>7053526996</v>
      </c>
      <c r="H665" s="10" t="s">
        <v>1524</v>
      </c>
      <c r="I665" s="10" t="s">
        <v>49</v>
      </c>
      <c r="J665" s="10" t="s">
        <v>160</v>
      </c>
      <c r="K665" s="12">
        <v>45998</v>
      </c>
      <c r="L665" s="28" t="s">
        <v>11</v>
      </c>
      <c r="M665" s="14"/>
      <c r="N665" s="10" t="s">
        <v>1028</v>
      </c>
    </row>
    <row r="666" spans="1:14" ht="22.5" customHeight="1">
      <c r="A666" s="8">
        <v>45998.32932744213</v>
      </c>
      <c r="B666" s="9" t="s">
        <v>14</v>
      </c>
      <c r="C666" s="9" t="s">
        <v>15</v>
      </c>
      <c r="D666" s="9" t="s">
        <v>1525</v>
      </c>
      <c r="E666" s="10" t="s">
        <v>22</v>
      </c>
      <c r="F666" s="10">
        <v>37</v>
      </c>
      <c r="G666" s="11">
        <v>8100101171</v>
      </c>
      <c r="H666" s="10" t="s">
        <v>1526</v>
      </c>
      <c r="I666" s="10" t="s">
        <v>27</v>
      </c>
      <c r="J666" s="10" t="s">
        <v>172</v>
      </c>
      <c r="K666" s="12">
        <v>45998</v>
      </c>
      <c r="L666" s="28" t="s">
        <v>11</v>
      </c>
      <c r="M666" s="14"/>
      <c r="N666" s="10" t="s">
        <v>1028</v>
      </c>
    </row>
    <row r="667" spans="1:14" ht="22.5" customHeight="1">
      <c r="A667" s="8">
        <v>45998.353964618058</v>
      </c>
      <c r="B667" s="9" t="s">
        <v>14</v>
      </c>
      <c r="C667" s="9" t="s">
        <v>15</v>
      </c>
      <c r="D667" s="9" t="s">
        <v>1527</v>
      </c>
      <c r="E667" s="10" t="s">
        <v>17</v>
      </c>
      <c r="F667" s="10">
        <v>32</v>
      </c>
      <c r="G667" s="11">
        <v>9030417151</v>
      </c>
      <c r="H667" s="10" t="s">
        <v>1528</v>
      </c>
      <c r="I667" s="10" t="s">
        <v>27</v>
      </c>
      <c r="J667" s="10" t="s">
        <v>94</v>
      </c>
      <c r="K667" s="12">
        <v>45998</v>
      </c>
      <c r="L667" s="28" t="s">
        <v>11</v>
      </c>
      <c r="M667" s="14"/>
      <c r="N667" s="10" t="s">
        <v>1028</v>
      </c>
    </row>
    <row r="668" spans="1:14" ht="22.5" customHeight="1">
      <c r="A668" s="8">
        <v>45998.370687037037</v>
      </c>
      <c r="B668" s="9" t="s">
        <v>14</v>
      </c>
      <c r="C668" s="9" t="s">
        <v>15</v>
      </c>
      <c r="D668" s="9" t="s">
        <v>1529</v>
      </c>
      <c r="E668" s="10" t="s">
        <v>22</v>
      </c>
      <c r="F668" s="10">
        <v>28</v>
      </c>
      <c r="G668" s="11">
        <v>8066167955</v>
      </c>
      <c r="H668" s="10" t="s">
        <v>1530</v>
      </c>
      <c r="I668" s="10" t="s">
        <v>27</v>
      </c>
      <c r="J668" s="10" t="s">
        <v>172</v>
      </c>
      <c r="K668" s="12">
        <v>45998</v>
      </c>
      <c r="L668" s="28" t="s">
        <v>11</v>
      </c>
      <c r="M668" s="14"/>
      <c r="N668" s="10" t="s">
        <v>1028</v>
      </c>
    </row>
    <row r="669" spans="1:14" ht="22.5" customHeight="1">
      <c r="A669" s="8">
        <v>45998.428898136575</v>
      </c>
      <c r="B669" s="9" t="s">
        <v>14</v>
      </c>
      <c r="C669" s="9" t="s">
        <v>15</v>
      </c>
      <c r="D669" s="9" t="s">
        <v>1531</v>
      </c>
      <c r="E669" s="10" t="s">
        <v>22</v>
      </c>
      <c r="F669" s="10">
        <v>34</v>
      </c>
      <c r="G669" s="11">
        <v>7033416099</v>
      </c>
      <c r="H669" s="10" t="s">
        <v>1532</v>
      </c>
      <c r="I669" s="10" t="s">
        <v>49</v>
      </c>
      <c r="J669" s="10" t="s">
        <v>50</v>
      </c>
      <c r="K669" s="12">
        <v>45998</v>
      </c>
      <c r="L669" s="28" t="s">
        <v>11</v>
      </c>
      <c r="M669" s="14"/>
      <c r="N669" s="10" t="s">
        <v>1028</v>
      </c>
    </row>
    <row r="670" spans="1:14" ht="22.5" customHeight="1">
      <c r="A670" s="8">
        <v>45998.432026331022</v>
      </c>
      <c r="B670" s="9" t="s">
        <v>14</v>
      </c>
      <c r="C670" s="9" t="s">
        <v>15</v>
      </c>
      <c r="D670" s="9" t="s">
        <v>1533</v>
      </c>
      <c r="E670" s="10" t="s">
        <v>22</v>
      </c>
      <c r="F670" s="10">
        <v>30</v>
      </c>
      <c r="G670" s="11">
        <v>8032413713</v>
      </c>
      <c r="H670" s="10" t="s">
        <v>1534</v>
      </c>
      <c r="I670" s="10" t="s">
        <v>27</v>
      </c>
      <c r="J670" s="10" t="s">
        <v>172</v>
      </c>
      <c r="K670" s="12">
        <v>45998</v>
      </c>
      <c r="L670" s="28" t="s">
        <v>11</v>
      </c>
      <c r="M670" s="14"/>
      <c r="N670" s="10" t="s">
        <v>1028</v>
      </c>
    </row>
    <row r="671" spans="1:14" ht="22.5" customHeight="1">
      <c r="A671" s="8">
        <v>45998.437106030091</v>
      </c>
      <c r="B671" s="9" t="s">
        <v>14</v>
      </c>
      <c r="C671" s="9" t="s">
        <v>15</v>
      </c>
      <c r="D671" s="9" t="s">
        <v>1535</v>
      </c>
      <c r="E671" s="10" t="s">
        <v>22</v>
      </c>
      <c r="F671" s="10">
        <v>31</v>
      </c>
      <c r="G671" s="11">
        <v>7068963618</v>
      </c>
      <c r="H671" s="10" t="s">
        <v>1532</v>
      </c>
      <c r="I671" s="10" t="s">
        <v>49</v>
      </c>
      <c r="J671" s="10" t="s">
        <v>50</v>
      </c>
      <c r="K671" s="12">
        <v>45998</v>
      </c>
      <c r="L671" s="28" t="s">
        <v>11</v>
      </c>
      <c r="M671" s="14"/>
      <c r="N671" s="10" t="s">
        <v>1028</v>
      </c>
    </row>
    <row r="672" spans="1:14" ht="22.5" customHeight="1">
      <c r="A672" s="8">
        <v>45998.440585555552</v>
      </c>
      <c r="B672" s="9" t="s">
        <v>14</v>
      </c>
      <c r="C672" s="9" t="s">
        <v>15</v>
      </c>
      <c r="D672" s="9" t="s">
        <v>1536</v>
      </c>
      <c r="E672" s="10" t="s">
        <v>22</v>
      </c>
      <c r="F672" s="10">
        <v>25</v>
      </c>
      <c r="G672" s="11">
        <v>8130179347</v>
      </c>
      <c r="H672" s="10" t="s">
        <v>1537</v>
      </c>
      <c r="I672" s="10" t="s">
        <v>27</v>
      </c>
      <c r="J672" s="10" t="s">
        <v>1514</v>
      </c>
      <c r="K672" s="12">
        <v>45998</v>
      </c>
      <c r="L672" s="28" t="s">
        <v>11</v>
      </c>
      <c r="M672" s="14"/>
      <c r="N672" s="10" t="s">
        <v>1028</v>
      </c>
    </row>
    <row r="673" spans="1:20" ht="22.5" customHeight="1">
      <c r="A673" s="8">
        <v>45998.477749583333</v>
      </c>
      <c r="B673" s="9" t="s">
        <v>14</v>
      </c>
      <c r="C673" s="9" t="s">
        <v>15</v>
      </c>
      <c r="D673" s="9" t="s">
        <v>1538</v>
      </c>
      <c r="E673" s="10" t="s">
        <v>17</v>
      </c>
      <c r="F673" s="10">
        <v>26</v>
      </c>
      <c r="G673" s="11">
        <v>7018855288</v>
      </c>
      <c r="H673" s="10" t="s">
        <v>1539</v>
      </c>
      <c r="I673" s="10" t="s">
        <v>145</v>
      </c>
      <c r="J673" s="10" t="s">
        <v>1540</v>
      </c>
      <c r="K673" s="12">
        <v>45998</v>
      </c>
      <c r="L673" s="28" t="s">
        <v>11</v>
      </c>
      <c r="M673" s="14"/>
      <c r="N673" s="10" t="s">
        <v>1096</v>
      </c>
    </row>
    <row r="674" spans="1:20" ht="22.5" customHeight="1">
      <c r="A674" s="8">
        <v>45998.486032615736</v>
      </c>
      <c r="B674" s="9" t="s">
        <v>14</v>
      </c>
      <c r="C674" s="9" t="s">
        <v>15</v>
      </c>
      <c r="D674" s="9" t="s">
        <v>1541</v>
      </c>
      <c r="E674" s="10" t="s">
        <v>17</v>
      </c>
      <c r="F674" s="10">
        <v>21</v>
      </c>
      <c r="G674" s="11">
        <v>7018790826</v>
      </c>
      <c r="H674" s="10" t="s">
        <v>1542</v>
      </c>
      <c r="I674" s="10" t="s">
        <v>27</v>
      </c>
      <c r="J674" s="10" t="s">
        <v>94</v>
      </c>
      <c r="K674" s="12">
        <v>45998</v>
      </c>
      <c r="L674" s="28" t="s">
        <v>11</v>
      </c>
      <c r="M674" s="14"/>
      <c r="N674" s="10" t="s">
        <v>1028</v>
      </c>
    </row>
    <row r="675" spans="1:20" ht="22.5" customHeight="1">
      <c r="A675" s="8">
        <v>45998.488989085643</v>
      </c>
      <c r="B675" s="9" t="s">
        <v>14</v>
      </c>
      <c r="C675" s="9" t="s">
        <v>15</v>
      </c>
      <c r="D675" s="9" t="s">
        <v>1543</v>
      </c>
      <c r="E675" s="10" t="s">
        <v>17</v>
      </c>
      <c r="F675" s="10">
        <v>28</v>
      </c>
      <c r="G675" s="11">
        <v>8074404594</v>
      </c>
      <c r="H675" s="10" t="s">
        <v>1544</v>
      </c>
      <c r="I675" s="10" t="s">
        <v>49</v>
      </c>
      <c r="J675" s="10" t="s">
        <v>160</v>
      </c>
      <c r="K675" s="12">
        <v>45998</v>
      </c>
      <c r="L675" s="28" t="s">
        <v>11</v>
      </c>
      <c r="M675" s="14"/>
      <c r="N675" s="10" t="s">
        <v>1028</v>
      </c>
    </row>
    <row r="676" spans="1:20" ht="22.5" customHeight="1">
      <c r="A676" s="8">
        <v>45998.498967754625</v>
      </c>
      <c r="B676" s="9" t="s">
        <v>14</v>
      </c>
      <c r="C676" s="9" t="s">
        <v>15</v>
      </c>
      <c r="D676" s="9" t="s">
        <v>1545</v>
      </c>
      <c r="E676" s="10" t="s">
        <v>17</v>
      </c>
      <c r="F676" s="10">
        <v>35</v>
      </c>
      <c r="G676" s="11">
        <v>8038600431</v>
      </c>
      <c r="H676" s="10" t="s">
        <v>1546</v>
      </c>
      <c r="I676" s="10" t="s">
        <v>49</v>
      </c>
      <c r="J676" s="10" t="s">
        <v>50</v>
      </c>
      <c r="K676" s="12">
        <v>45998</v>
      </c>
      <c r="L676" s="28" t="s">
        <v>11</v>
      </c>
      <c r="M676" s="14"/>
      <c r="N676" s="10" t="s">
        <v>1096</v>
      </c>
    </row>
    <row r="677" spans="1:20" ht="22.5" customHeight="1">
      <c r="A677" s="8">
        <v>45998.549904120373</v>
      </c>
      <c r="B677" s="9" t="s">
        <v>14</v>
      </c>
      <c r="C677" s="9" t="s">
        <v>15</v>
      </c>
      <c r="D677" s="9" t="s">
        <v>1547</v>
      </c>
      <c r="E677" s="10" t="s">
        <v>17</v>
      </c>
      <c r="F677" s="10">
        <v>23</v>
      </c>
      <c r="G677" s="11">
        <v>8115845352</v>
      </c>
      <c r="H677" s="10" t="s">
        <v>1548</v>
      </c>
      <c r="I677" s="10" t="s">
        <v>49</v>
      </c>
      <c r="J677" s="10" t="s">
        <v>365</v>
      </c>
      <c r="K677" s="12">
        <v>45998</v>
      </c>
      <c r="L677" s="28" t="s">
        <v>11</v>
      </c>
      <c r="M677" s="14"/>
      <c r="N677" s="10" t="s">
        <v>1028</v>
      </c>
    </row>
    <row r="678" spans="1:20" ht="22.5" customHeight="1">
      <c r="A678" s="8">
        <v>45998.557440324075</v>
      </c>
      <c r="B678" s="9" t="s">
        <v>14</v>
      </c>
      <c r="C678" s="9" t="s">
        <v>15</v>
      </c>
      <c r="D678" s="9" t="s">
        <v>1549</v>
      </c>
      <c r="E678" s="10" t="s">
        <v>22</v>
      </c>
      <c r="F678" s="10">
        <v>41</v>
      </c>
      <c r="G678" s="11">
        <v>8069728743</v>
      </c>
      <c r="H678" s="10" t="s">
        <v>1550</v>
      </c>
      <c r="I678" s="10" t="s">
        <v>49</v>
      </c>
      <c r="J678" s="10" t="s">
        <v>50</v>
      </c>
      <c r="K678" s="12">
        <v>45998</v>
      </c>
      <c r="L678" s="28" t="s">
        <v>11</v>
      </c>
      <c r="M678" s="14"/>
      <c r="N678" s="10" t="s">
        <v>1028</v>
      </c>
    </row>
    <row r="679" spans="1:20" ht="22.5" customHeight="1">
      <c r="A679" s="8">
        <v>45998.608329236115</v>
      </c>
      <c r="B679" s="9" t="s">
        <v>14</v>
      </c>
      <c r="C679" s="9" t="s">
        <v>15</v>
      </c>
      <c r="D679" s="9" t="s">
        <v>1551</v>
      </c>
      <c r="E679" s="10" t="s">
        <v>17</v>
      </c>
      <c r="F679" s="10">
        <v>32</v>
      </c>
      <c r="G679" s="11">
        <v>8074602444</v>
      </c>
      <c r="H679" s="10" t="s">
        <v>1552</v>
      </c>
      <c r="I679" s="10" t="s">
        <v>49</v>
      </c>
      <c r="J679" s="10" t="s">
        <v>109</v>
      </c>
      <c r="K679" s="12">
        <v>45998</v>
      </c>
      <c r="L679" s="28" t="s">
        <v>11</v>
      </c>
      <c r="M679" s="14"/>
      <c r="N679" s="10" t="s">
        <v>1028</v>
      </c>
      <c r="O679" s="20"/>
      <c r="P679" s="21"/>
      <c r="Q679" s="21"/>
      <c r="R679" s="21"/>
      <c r="S679" s="21"/>
      <c r="T679" s="21"/>
    </row>
    <row r="680" spans="1:20" ht="22.5" customHeight="1">
      <c r="A680" s="8">
        <v>45998.613306956016</v>
      </c>
      <c r="B680" s="9" t="s">
        <v>14</v>
      </c>
      <c r="C680" s="9" t="s">
        <v>15</v>
      </c>
      <c r="D680" s="9" t="s">
        <v>1553</v>
      </c>
      <c r="E680" s="10" t="s">
        <v>22</v>
      </c>
      <c r="F680" s="10">
        <v>29</v>
      </c>
      <c r="G680" s="11">
        <v>8022393835</v>
      </c>
      <c r="H680" s="10" t="s">
        <v>1554</v>
      </c>
      <c r="I680" s="10" t="s">
        <v>49</v>
      </c>
      <c r="J680" s="10" t="s">
        <v>109</v>
      </c>
      <c r="K680" s="12">
        <v>45998</v>
      </c>
      <c r="L680" s="28" t="s">
        <v>11</v>
      </c>
      <c r="M680" s="14"/>
      <c r="N680" s="10" t="s">
        <v>1028</v>
      </c>
    </row>
    <row r="681" spans="1:20" ht="22.5" customHeight="1">
      <c r="A681" s="8">
        <v>45998.705369444448</v>
      </c>
      <c r="B681" s="9" t="s">
        <v>14</v>
      </c>
      <c r="C681" s="9" t="s">
        <v>15</v>
      </c>
      <c r="D681" s="9" t="s">
        <v>1555</v>
      </c>
      <c r="E681" s="10" t="s">
        <v>22</v>
      </c>
      <c r="F681" s="10">
        <v>31</v>
      </c>
      <c r="G681" s="11">
        <v>8104233066</v>
      </c>
      <c r="H681" s="10" t="s">
        <v>1556</v>
      </c>
      <c r="I681" s="10" t="s">
        <v>49</v>
      </c>
      <c r="J681" s="10" t="s">
        <v>208</v>
      </c>
      <c r="K681" s="12">
        <v>45998</v>
      </c>
      <c r="L681" s="28" t="s">
        <v>11</v>
      </c>
      <c r="M681" s="14"/>
      <c r="N681" s="10" t="s">
        <v>1028</v>
      </c>
    </row>
    <row r="682" spans="1:20" ht="22.5" customHeight="1">
      <c r="A682" s="8">
        <v>45998.726735208329</v>
      </c>
      <c r="B682" s="9" t="s">
        <v>14</v>
      </c>
      <c r="C682" s="9" t="s">
        <v>15</v>
      </c>
      <c r="D682" s="9" t="s">
        <v>1557</v>
      </c>
      <c r="E682" s="10" t="s">
        <v>17</v>
      </c>
      <c r="F682" s="10">
        <v>38</v>
      </c>
      <c r="G682" s="11">
        <v>7041596012</v>
      </c>
      <c r="H682" s="10" t="s">
        <v>1558</v>
      </c>
      <c r="I682" s="10" t="s">
        <v>27</v>
      </c>
      <c r="J682" s="10" t="s">
        <v>1559</v>
      </c>
      <c r="K682" s="12">
        <v>45998</v>
      </c>
      <c r="L682" s="28" t="s">
        <v>11</v>
      </c>
      <c r="M682" s="14"/>
      <c r="N682" s="10" t="s">
        <v>1096</v>
      </c>
    </row>
    <row r="683" spans="1:20" ht="22.5" hidden="1" customHeight="1">
      <c r="A683" s="8">
        <v>45998.88796368055</v>
      </c>
      <c r="B683" s="9" t="s">
        <v>14</v>
      </c>
      <c r="C683" s="9" t="s">
        <v>15</v>
      </c>
      <c r="D683" s="9" t="s">
        <v>1560</v>
      </c>
      <c r="E683" s="10" t="s">
        <v>17</v>
      </c>
      <c r="F683" s="10">
        <v>20</v>
      </c>
      <c r="G683" s="11">
        <v>8106083608</v>
      </c>
      <c r="H683" s="10" t="s">
        <v>1561</v>
      </c>
      <c r="I683" s="10" t="s">
        <v>27</v>
      </c>
      <c r="J683" s="10" t="s">
        <v>1559</v>
      </c>
      <c r="K683" s="12">
        <v>45998</v>
      </c>
      <c r="L683" s="10" t="s">
        <v>441</v>
      </c>
      <c r="M683" s="10" t="s">
        <v>1562</v>
      </c>
      <c r="N683" s="10" t="s">
        <v>1563</v>
      </c>
    </row>
    <row r="684" spans="1:20" ht="22.5" hidden="1" customHeight="1">
      <c r="A684" s="8">
        <v>45998.893796041666</v>
      </c>
      <c r="B684" s="9" t="s">
        <v>14</v>
      </c>
      <c r="C684" s="9" t="s">
        <v>15</v>
      </c>
      <c r="D684" s="9" t="s">
        <v>1564</v>
      </c>
      <c r="E684" s="10" t="s">
        <v>17</v>
      </c>
      <c r="F684" s="10">
        <v>19</v>
      </c>
      <c r="G684" s="11">
        <v>7077847244</v>
      </c>
      <c r="H684" s="10" t="s">
        <v>1565</v>
      </c>
      <c r="I684" s="10" t="s">
        <v>27</v>
      </c>
      <c r="J684" s="10" t="s">
        <v>67</v>
      </c>
      <c r="K684" s="12">
        <v>45998</v>
      </c>
      <c r="L684" s="10" t="s">
        <v>441</v>
      </c>
      <c r="M684" s="10" t="s">
        <v>1562</v>
      </c>
      <c r="N684" s="10" t="s">
        <v>1028</v>
      </c>
    </row>
    <row r="685" spans="1:20" ht="22.5" customHeight="1">
      <c r="A685" s="8">
        <v>45998.913308645831</v>
      </c>
      <c r="B685" s="9" t="s">
        <v>14</v>
      </c>
      <c r="C685" s="9" t="s">
        <v>15</v>
      </c>
      <c r="D685" s="9" t="s">
        <v>1566</v>
      </c>
      <c r="E685" s="10" t="s">
        <v>17</v>
      </c>
      <c r="F685" s="10">
        <v>30</v>
      </c>
      <c r="G685" s="11">
        <f t="shared" ref="G685" si="9">2348026793946</f>
        <v>2348026793946</v>
      </c>
      <c r="H685" s="10" t="s">
        <v>1567</v>
      </c>
      <c r="I685" s="10" t="s">
        <v>45</v>
      </c>
      <c r="J685" s="10" t="s">
        <v>901</v>
      </c>
      <c r="K685" s="12">
        <v>45998</v>
      </c>
      <c r="L685" s="28" t="s">
        <v>11</v>
      </c>
      <c r="M685" s="14"/>
      <c r="N685" s="10" t="s">
        <v>1028</v>
      </c>
    </row>
    <row r="686" spans="1:20" ht="22.5" customHeight="1">
      <c r="A686" s="8">
        <v>45998.940582256946</v>
      </c>
      <c r="B686" s="9" t="s">
        <v>14</v>
      </c>
      <c r="C686" s="9" t="s">
        <v>15</v>
      </c>
      <c r="D686" s="9" t="s">
        <v>1568</v>
      </c>
      <c r="E686" s="10" t="s">
        <v>22</v>
      </c>
      <c r="F686" s="10">
        <v>24</v>
      </c>
      <c r="G686" s="11">
        <v>7038411941</v>
      </c>
      <c r="H686" s="10" t="s">
        <v>1569</v>
      </c>
      <c r="I686" s="10" t="s">
        <v>27</v>
      </c>
      <c r="J686" s="10" t="s">
        <v>1570</v>
      </c>
      <c r="K686" s="12">
        <v>45998</v>
      </c>
      <c r="L686" s="28" t="s">
        <v>11</v>
      </c>
      <c r="M686" s="14"/>
      <c r="N686" s="10" t="s">
        <v>1028</v>
      </c>
    </row>
    <row r="687" spans="1:20" ht="22.5" customHeight="1">
      <c r="A687" s="8">
        <v>45998.950938877315</v>
      </c>
      <c r="B687" s="9" t="s">
        <v>14</v>
      </c>
      <c r="C687" s="9" t="s">
        <v>15</v>
      </c>
      <c r="D687" s="9" t="s">
        <v>1571</v>
      </c>
      <c r="E687" s="10" t="s">
        <v>17</v>
      </c>
      <c r="F687" s="10">
        <v>34</v>
      </c>
      <c r="G687" s="11">
        <v>7036110117</v>
      </c>
      <c r="H687" s="10" t="s">
        <v>1572</v>
      </c>
      <c r="I687" s="10" t="s">
        <v>27</v>
      </c>
      <c r="J687" s="10" t="s">
        <v>1288</v>
      </c>
      <c r="K687" s="12">
        <v>33533</v>
      </c>
      <c r="L687" s="28" t="s">
        <v>11</v>
      </c>
      <c r="M687" s="14"/>
      <c r="N687" s="10" t="s">
        <v>1028</v>
      </c>
    </row>
    <row r="688" spans="1:20" ht="22.5" customHeight="1">
      <c r="A688" s="8">
        <v>45998.957624282411</v>
      </c>
      <c r="B688" s="9" t="s">
        <v>14</v>
      </c>
      <c r="C688" s="9" t="s">
        <v>15</v>
      </c>
      <c r="D688" s="9" t="s">
        <v>1573</v>
      </c>
      <c r="E688" s="10" t="s">
        <v>17</v>
      </c>
      <c r="F688" s="10">
        <v>20</v>
      </c>
      <c r="G688" s="11">
        <v>9137222393</v>
      </c>
      <c r="H688" s="10" t="s">
        <v>1574</v>
      </c>
      <c r="I688" s="10" t="s">
        <v>27</v>
      </c>
      <c r="J688" s="10" t="s">
        <v>70</v>
      </c>
      <c r="K688" s="12">
        <v>45998</v>
      </c>
      <c r="L688" s="28" t="s">
        <v>11</v>
      </c>
      <c r="M688" s="14"/>
      <c r="N688" s="10" t="s">
        <v>1028</v>
      </c>
    </row>
    <row r="689" spans="1:14" ht="22.5" hidden="1" customHeight="1">
      <c r="A689" s="8">
        <v>45998.980836817129</v>
      </c>
      <c r="B689" s="9" t="s">
        <v>14</v>
      </c>
      <c r="C689" s="9" t="s">
        <v>15</v>
      </c>
      <c r="D689" s="9" t="s">
        <v>1575</v>
      </c>
      <c r="E689" s="10" t="s">
        <v>17</v>
      </c>
      <c r="F689" s="10">
        <v>20</v>
      </c>
      <c r="G689" s="11">
        <v>7085178151</v>
      </c>
      <c r="H689" s="10" t="s">
        <v>1576</v>
      </c>
      <c r="I689" s="10" t="s">
        <v>27</v>
      </c>
      <c r="J689" s="10" t="s">
        <v>1577</v>
      </c>
      <c r="K689" s="12">
        <v>45998</v>
      </c>
      <c r="L689" s="10" t="s">
        <v>441</v>
      </c>
      <c r="M689" s="10" t="s">
        <v>1361</v>
      </c>
      <c r="N689" s="10" t="s">
        <v>1209</v>
      </c>
    </row>
    <row r="690" spans="1:14" ht="22.5" customHeight="1">
      <c r="A690" s="8">
        <v>45998.981590173615</v>
      </c>
      <c r="B690" s="9" t="s">
        <v>14</v>
      </c>
      <c r="C690" s="9" t="s">
        <v>15</v>
      </c>
      <c r="D690" s="9" t="s">
        <v>1578</v>
      </c>
      <c r="E690" s="10" t="s">
        <v>17</v>
      </c>
      <c r="F690" s="10">
        <v>23</v>
      </c>
      <c r="G690" s="11">
        <v>9137604014</v>
      </c>
      <c r="H690" s="10" t="s">
        <v>1579</v>
      </c>
      <c r="I690" s="10" t="s">
        <v>27</v>
      </c>
      <c r="J690" s="10" t="s">
        <v>1559</v>
      </c>
      <c r="K690" s="12">
        <v>45998</v>
      </c>
      <c r="L690" s="28" t="s">
        <v>11</v>
      </c>
      <c r="M690" s="10"/>
      <c r="N690" s="10" t="s">
        <v>1028</v>
      </c>
    </row>
    <row r="691" spans="1:14" ht="22.5" customHeight="1">
      <c r="A691" s="8">
        <v>45999.267081388884</v>
      </c>
      <c r="B691" s="9" t="s">
        <v>14</v>
      </c>
      <c r="C691" s="9" t="s">
        <v>15</v>
      </c>
      <c r="D691" s="9" t="s">
        <v>1580</v>
      </c>
      <c r="E691" s="10" t="s">
        <v>17</v>
      </c>
      <c r="F691" s="19">
        <v>33</v>
      </c>
      <c r="G691" s="11">
        <v>8132446056</v>
      </c>
      <c r="H691" s="10" t="s">
        <v>1581</v>
      </c>
      <c r="I691" s="10" t="s">
        <v>31</v>
      </c>
      <c r="J691" s="10" t="s">
        <v>1582</v>
      </c>
      <c r="K691" s="12">
        <v>45999</v>
      </c>
      <c r="L691" s="28" t="s">
        <v>11</v>
      </c>
      <c r="M691" s="14"/>
      <c r="N691" s="10" t="s">
        <v>1028</v>
      </c>
    </row>
    <row r="692" spans="1:14" ht="22.5" customHeight="1">
      <c r="A692" s="8">
        <v>45999.288929930553</v>
      </c>
      <c r="B692" s="9" t="s">
        <v>14</v>
      </c>
      <c r="C692" s="9" t="s">
        <v>15</v>
      </c>
      <c r="D692" s="9" t="s">
        <v>1583</v>
      </c>
      <c r="E692" s="10" t="s">
        <v>17</v>
      </c>
      <c r="F692" s="10">
        <v>26</v>
      </c>
      <c r="G692" s="11">
        <v>8068885581</v>
      </c>
      <c r="H692" s="10" t="s">
        <v>1584</v>
      </c>
      <c r="I692" s="10" t="s">
        <v>27</v>
      </c>
      <c r="J692" s="10" t="s">
        <v>1585</v>
      </c>
      <c r="K692" s="12">
        <v>45999</v>
      </c>
      <c r="L692" s="28" t="s">
        <v>11</v>
      </c>
      <c r="M692" s="14"/>
      <c r="N692" s="10" t="s">
        <v>1028</v>
      </c>
    </row>
    <row r="693" spans="1:14" ht="22.5" customHeight="1">
      <c r="A693" s="8">
        <v>45999.299870543982</v>
      </c>
      <c r="B693" s="9" t="s">
        <v>14</v>
      </c>
      <c r="C693" s="9" t="s">
        <v>15</v>
      </c>
      <c r="D693" s="9" t="s">
        <v>1586</v>
      </c>
      <c r="E693" s="10" t="s">
        <v>17</v>
      </c>
      <c r="F693" s="10">
        <v>34</v>
      </c>
      <c r="G693" s="11">
        <v>7032316993</v>
      </c>
      <c r="H693" s="10" t="s">
        <v>1587</v>
      </c>
      <c r="I693" s="10" t="s">
        <v>31</v>
      </c>
      <c r="J693" s="10" t="s">
        <v>32</v>
      </c>
      <c r="K693" s="12">
        <v>45999</v>
      </c>
      <c r="L693" s="28" t="s">
        <v>11</v>
      </c>
      <c r="M693" s="14"/>
      <c r="N693" s="10" t="s">
        <v>1028</v>
      </c>
    </row>
    <row r="694" spans="1:14" ht="22.5" hidden="1" customHeight="1">
      <c r="A694" s="8">
        <v>45999.324366886576</v>
      </c>
      <c r="B694" s="9" t="s">
        <v>14</v>
      </c>
      <c r="C694" s="9" t="s">
        <v>15</v>
      </c>
      <c r="D694" s="9" t="s">
        <v>1588</v>
      </c>
      <c r="E694" s="10" t="s">
        <v>17</v>
      </c>
      <c r="F694" s="18">
        <v>20</v>
      </c>
      <c r="G694" s="11">
        <v>9138689452</v>
      </c>
      <c r="H694" s="10" t="s">
        <v>1589</v>
      </c>
      <c r="I694" s="10" t="s">
        <v>27</v>
      </c>
      <c r="J694" s="10" t="s">
        <v>172</v>
      </c>
      <c r="K694" s="12">
        <v>45999</v>
      </c>
      <c r="L694" s="10" t="s">
        <v>441</v>
      </c>
      <c r="M694" s="10" t="s">
        <v>1361</v>
      </c>
      <c r="N694" s="10" t="s">
        <v>1028</v>
      </c>
    </row>
    <row r="695" spans="1:14" ht="22.5" customHeight="1">
      <c r="A695" s="8">
        <v>45999.326071898147</v>
      </c>
      <c r="B695" s="9" t="s">
        <v>14</v>
      </c>
      <c r="C695" s="9" t="s">
        <v>15</v>
      </c>
      <c r="D695" s="9" t="s">
        <v>1590</v>
      </c>
      <c r="E695" s="10" t="s">
        <v>22</v>
      </c>
      <c r="F695" s="10">
        <v>25</v>
      </c>
      <c r="G695" s="11">
        <v>9052665024</v>
      </c>
      <c r="H695" s="10" t="s">
        <v>1591</v>
      </c>
      <c r="I695" s="10" t="s">
        <v>45</v>
      </c>
      <c r="J695" s="10" t="s">
        <v>1592</v>
      </c>
      <c r="K695" s="12">
        <v>45999</v>
      </c>
      <c r="L695" s="28" t="s">
        <v>11</v>
      </c>
      <c r="M695" s="14"/>
      <c r="N695" s="10" t="s">
        <v>1028</v>
      </c>
    </row>
    <row r="696" spans="1:14" ht="22.5" customHeight="1">
      <c r="A696" s="8">
        <v>45999.36104340278</v>
      </c>
      <c r="B696" s="9" t="s">
        <v>14</v>
      </c>
      <c r="C696" s="9" t="s">
        <v>15</v>
      </c>
      <c r="D696" s="9" t="s">
        <v>1593</v>
      </c>
      <c r="E696" s="10" t="s">
        <v>17</v>
      </c>
      <c r="F696" s="10">
        <v>47</v>
      </c>
      <c r="G696" s="11">
        <v>8036174223</v>
      </c>
      <c r="H696" s="10" t="s">
        <v>1594</v>
      </c>
      <c r="I696" s="10" t="s">
        <v>49</v>
      </c>
      <c r="J696" s="10" t="s">
        <v>1595</v>
      </c>
      <c r="K696" s="12">
        <v>45999</v>
      </c>
      <c r="L696" s="28" t="s">
        <v>11</v>
      </c>
      <c r="M696" s="14"/>
      <c r="N696" s="10" t="s">
        <v>1028</v>
      </c>
    </row>
    <row r="697" spans="1:14" ht="22.5" customHeight="1">
      <c r="A697" s="8">
        <v>45999.36319344907</v>
      </c>
      <c r="B697" s="9" t="s">
        <v>14</v>
      </c>
      <c r="C697" s="9" t="s">
        <v>15</v>
      </c>
      <c r="D697" s="9" t="s">
        <v>1596</v>
      </c>
      <c r="E697" s="10" t="s">
        <v>22</v>
      </c>
      <c r="F697" s="10">
        <v>29</v>
      </c>
      <c r="G697" s="11">
        <v>8161291890</v>
      </c>
      <c r="H697" s="10" t="s">
        <v>1597</v>
      </c>
      <c r="I697" s="10" t="s">
        <v>49</v>
      </c>
      <c r="J697" s="10" t="s">
        <v>292</v>
      </c>
      <c r="K697" s="12">
        <v>45999</v>
      </c>
      <c r="L697" s="28" t="s">
        <v>11</v>
      </c>
      <c r="M697" s="14"/>
      <c r="N697" s="10" t="s">
        <v>1028</v>
      </c>
    </row>
    <row r="698" spans="1:14" ht="22.5" customHeight="1">
      <c r="A698" s="8">
        <v>45999.373492546292</v>
      </c>
      <c r="B698" s="9" t="s">
        <v>14</v>
      </c>
      <c r="C698" s="9" t="s">
        <v>15</v>
      </c>
      <c r="D698" s="9" t="s">
        <v>1598</v>
      </c>
      <c r="E698" s="10" t="s">
        <v>17</v>
      </c>
      <c r="F698" s="10">
        <v>25</v>
      </c>
      <c r="G698" s="11">
        <v>9034472484</v>
      </c>
      <c r="H698" s="10" t="s">
        <v>1599</v>
      </c>
      <c r="I698" s="10" t="s">
        <v>45</v>
      </c>
      <c r="J698" s="10" t="s">
        <v>131</v>
      </c>
      <c r="K698" s="12">
        <v>45999</v>
      </c>
      <c r="L698" s="28" t="s">
        <v>11</v>
      </c>
      <c r="M698" s="14"/>
      <c r="N698" s="10" t="s">
        <v>1028</v>
      </c>
    </row>
    <row r="699" spans="1:14" ht="22.5" customHeight="1">
      <c r="A699" s="8">
        <v>45999.398314675927</v>
      </c>
      <c r="B699" s="9" t="s">
        <v>14</v>
      </c>
      <c r="C699" s="9" t="s">
        <v>15</v>
      </c>
      <c r="D699" s="9" t="s">
        <v>1600</v>
      </c>
      <c r="E699" s="10" t="s">
        <v>22</v>
      </c>
      <c r="F699" s="10">
        <v>24</v>
      </c>
      <c r="G699" s="11">
        <v>8076096111</v>
      </c>
      <c r="H699" s="10" t="s">
        <v>1601</v>
      </c>
      <c r="I699" s="10" t="s">
        <v>45</v>
      </c>
      <c r="J699" s="10" t="s">
        <v>100</v>
      </c>
      <c r="K699" s="12">
        <v>46364</v>
      </c>
      <c r="L699" s="28" t="s">
        <v>11</v>
      </c>
      <c r="M699" s="14"/>
      <c r="N699" s="10" t="s">
        <v>1096</v>
      </c>
    </row>
    <row r="700" spans="1:14" ht="22.5" customHeight="1">
      <c r="A700" s="8">
        <v>45999.418408437501</v>
      </c>
      <c r="B700" s="9" t="s">
        <v>14</v>
      </c>
      <c r="C700" s="9" t="s">
        <v>15</v>
      </c>
      <c r="D700" s="9" t="s">
        <v>1602</v>
      </c>
      <c r="E700" s="10" t="s">
        <v>17</v>
      </c>
      <c r="F700" s="10">
        <v>19</v>
      </c>
      <c r="G700" s="11">
        <v>9037390728</v>
      </c>
      <c r="H700" s="10" t="s">
        <v>1603</v>
      </c>
      <c r="I700" s="10" t="s">
        <v>27</v>
      </c>
      <c r="J700" s="10" t="s">
        <v>1604</v>
      </c>
      <c r="K700" s="12">
        <v>45999</v>
      </c>
      <c r="L700" s="28" t="s">
        <v>11</v>
      </c>
      <c r="M700" s="14"/>
      <c r="N700" s="10" t="s">
        <v>1028</v>
      </c>
    </row>
    <row r="701" spans="1:14" ht="22.5" customHeight="1">
      <c r="A701" s="8">
        <v>45999.435111782412</v>
      </c>
      <c r="B701" s="9" t="s">
        <v>14</v>
      </c>
      <c r="C701" s="9" t="s">
        <v>15</v>
      </c>
      <c r="D701" s="9" t="s">
        <v>1605</v>
      </c>
      <c r="E701" s="10" t="s">
        <v>22</v>
      </c>
      <c r="F701" s="10">
        <v>24</v>
      </c>
      <c r="G701" s="11">
        <v>7087350320</v>
      </c>
      <c r="H701" s="10" t="s">
        <v>1606</v>
      </c>
      <c r="I701" s="10" t="s">
        <v>145</v>
      </c>
      <c r="J701" s="10" t="s">
        <v>1607</v>
      </c>
      <c r="K701" s="12">
        <v>45999</v>
      </c>
      <c r="L701" s="28" t="s">
        <v>11</v>
      </c>
      <c r="M701" s="14"/>
      <c r="N701" s="10" t="s">
        <v>1035</v>
      </c>
    </row>
    <row r="702" spans="1:14" ht="22.5" customHeight="1">
      <c r="A702" s="8">
        <v>45999.438745740743</v>
      </c>
      <c r="B702" s="9" t="s">
        <v>14</v>
      </c>
      <c r="C702" s="9" t="s">
        <v>15</v>
      </c>
      <c r="D702" s="9" t="s">
        <v>1608</v>
      </c>
      <c r="E702" s="10" t="s">
        <v>22</v>
      </c>
      <c r="F702" s="10">
        <v>25</v>
      </c>
      <c r="G702" s="11">
        <v>8155036357</v>
      </c>
      <c r="H702" s="10" t="s">
        <v>1609</v>
      </c>
      <c r="I702" s="10" t="s">
        <v>45</v>
      </c>
      <c r="J702" s="10" t="s">
        <v>125</v>
      </c>
      <c r="K702" s="12">
        <v>45999</v>
      </c>
      <c r="L702" s="28" t="s">
        <v>11</v>
      </c>
      <c r="M702" s="14"/>
      <c r="N702" s="10" t="s">
        <v>1028</v>
      </c>
    </row>
    <row r="703" spans="1:14" ht="22.5" customHeight="1">
      <c r="A703" s="8">
        <v>45999.442197743054</v>
      </c>
      <c r="B703" s="9" t="s">
        <v>14</v>
      </c>
      <c r="C703" s="9" t="s">
        <v>15</v>
      </c>
      <c r="D703" s="9" t="s">
        <v>1610</v>
      </c>
      <c r="E703" s="10" t="s">
        <v>22</v>
      </c>
      <c r="F703" s="10">
        <v>24</v>
      </c>
      <c r="G703" s="11">
        <v>8101455123</v>
      </c>
      <c r="H703" s="10" t="s">
        <v>1611</v>
      </c>
      <c r="I703" s="10" t="s">
        <v>49</v>
      </c>
      <c r="J703" s="10" t="s">
        <v>106</v>
      </c>
      <c r="K703" s="12">
        <v>45999</v>
      </c>
      <c r="L703" s="28" t="s">
        <v>11</v>
      </c>
      <c r="M703" s="10"/>
      <c r="N703" s="10" t="s">
        <v>1028</v>
      </c>
    </row>
    <row r="704" spans="1:14" ht="22.5" customHeight="1">
      <c r="A704" s="8">
        <v>45999.447389537032</v>
      </c>
      <c r="B704" s="9" t="s">
        <v>14</v>
      </c>
      <c r="C704" s="9" t="s">
        <v>15</v>
      </c>
      <c r="D704" s="9" t="s">
        <v>1612</v>
      </c>
      <c r="E704" s="10" t="s">
        <v>22</v>
      </c>
      <c r="F704" s="10">
        <v>24</v>
      </c>
      <c r="G704" s="11">
        <v>8062401159</v>
      </c>
      <c r="H704" s="10" t="s">
        <v>1613</v>
      </c>
      <c r="I704" s="10" t="s">
        <v>45</v>
      </c>
      <c r="J704" s="10" t="s">
        <v>1614</v>
      </c>
      <c r="K704" s="12">
        <v>45999</v>
      </c>
      <c r="L704" s="28" t="s">
        <v>11</v>
      </c>
      <c r="M704" s="14"/>
      <c r="N704" s="10" t="s">
        <v>1028</v>
      </c>
    </row>
    <row r="705" spans="1:14" ht="22.5" customHeight="1">
      <c r="A705" s="8">
        <v>45999.4498708912</v>
      </c>
      <c r="B705" s="9" t="s">
        <v>14</v>
      </c>
      <c r="C705" s="9" t="s">
        <v>15</v>
      </c>
      <c r="D705" s="9" t="s">
        <v>1615</v>
      </c>
      <c r="E705" s="10" t="s">
        <v>22</v>
      </c>
      <c r="F705" s="10">
        <v>29</v>
      </c>
      <c r="G705" s="11">
        <v>8106927007</v>
      </c>
      <c r="H705" s="10" t="s">
        <v>1616</v>
      </c>
      <c r="I705" s="10" t="s">
        <v>19</v>
      </c>
      <c r="J705" s="10" t="s">
        <v>24</v>
      </c>
      <c r="K705" s="12">
        <v>45999</v>
      </c>
      <c r="L705" s="28" t="s">
        <v>11</v>
      </c>
      <c r="M705" s="14"/>
      <c r="N705" s="10" t="s">
        <v>1028</v>
      </c>
    </row>
    <row r="706" spans="1:14" ht="22.5" customHeight="1">
      <c r="A706" s="8">
        <v>45999.450718136577</v>
      </c>
      <c r="B706" s="9" t="s">
        <v>14</v>
      </c>
      <c r="C706" s="9" t="s">
        <v>15</v>
      </c>
      <c r="D706" s="9" t="s">
        <v>1617</v>
      </c>
      <c r="E706" s="10" t="s">
        <v>17</v>
      </c>
      <c r="F706" s="10">
        <v>34</v>
      </c>
      <c r="G706" s="11">
        <f>2349131610736</f>
        <v>2349131610736</v>
      </c>
      <c r="H706" s="10" t="s">
        <v>1618</v>
      </c>
      <c r="I706" s="10" t="s">
        <v>202</v>
      </c>
      <c r="J706" s="10" t="s">
        <v>1619</v>
      </c>
      <c r="K706" s="12">
        <v>45999</v>
      </c>
      <c r="L706" s="28" t="s">
        <v>11</v>
      </c>
      <c r="M706" s="14"/>
      <c r="N706" s="10" t="s">
        <v>1028</v>
      </c>
    </row>
    <row r="707" spans="1:14" ht="22.5" customHeight="1">
      <c r="A707" s="8">
        <v>45999.452333078705</v>
      </c>
      <c r="B707" s="9" t="s">
        <v>14</v>
      </c>
      <c r="C707" s="9" t="s">
        <v>15</v>
      </c>
      <c r="D707" s="9" t="s">
        <v>1620</v>
      </c>
      <c r="E707" s="10" t="s">
        <v>17</v>
      </c>
      <c r="F707" s="10">
        <v>26</v>
      </c>
      <c r="G707" s="11">
        <v>7039857459</v>
      </c>
      <c r="H707" s="10" t="s">
        <v>1621</v>
      </c>
      <c r="I707" s="10" t="s">
        <v>45</v>
      </c>
      <c r="J707" s="10" t="s">
        <v>901</v>
      </c>
      <c r="K707" s="12">
        <v>45999</v>
      </c>
      <c r="L707" s="28" t="s">
        <v>11</v>
      </c>
      <c r="M707" s="14"/>
      <c r="N707" s="10" t="s">
        <v>1140</v>
      </c>
    </row>
    <row r="708" spans="1:14" ht="22.5" customHeight="1">
      <c r="A708" s="8">
        <v>45999.461345787036</v>
      </c>
      <c r="B708" s="9" t="s">
        <v>14</v>
      </c>
      <c r="C708" s="9" t="s">
        <v>15</v>
      </c>
      <c r="D708" s="9" t="s">
        <v>1622</v>
      </c>
      <c r="E708" s="10" t="s">
        <v>17</v>
      </c>
      <c r="F708" s="10">
        <v>28</v>
      </c>
      <c r="G708" s="11">
        <v>9065727850</v>
      </c>
      <c r="H708" s="10" t="s">
        <v>1623</v>
      </c>
      <c r="I708" s="10" t="s">
        <v>27</v>
      </c>
      <c r="J708" s="10" t="s">
        <v>70</v>
      </c>
      <c r="K708" s="12">
        <v>45999</v>
      </c>
      <c r="L708" s="28" t="s">
        <v>11</v>
      </c>
      <c r="M708" s="14"/>
      <c r="N708" s="10" t="s">
        <v>1028</v>
      </c>
    </row>
    <row r="709" spans="1:14" ht="22.5" customHeight="1">
      <c r="A709" s="8">
        <v>45999.468768738428</v>
      </c>
      <c r="B709" s="9" t="s">
        <v>14</v>
      </c>
      <c r="C709" s="9" t="s">
        <v>15</v>
      </c>
      <c r="D709" s="9" t="s">
        <v>1624</v>
      </c>
      <c r="E709" s="10" t="s">
        <v>17</v>
      </c>
      <c r="F709" s="10">
        <v>50</v>
      </c>
      <c r="G709" s="11">
        <v>8137845829</v>
      </c>
      <c r="H709" s="10" t="s">
        <v>1625</v>
      </c>
      <c r="I709" s="10" t="s">
        <v>49</v>
      </c>
      <c r="J709" s="10" t="s">
        <v>106</v>
      </c>
      <c r="K709" s="12">
        <v>27436</v>
      </c>
      <c r="L709" s="28" t="s">
        <v>11</v>
      </c>
      <c r="M709" s="14"/>
      <c r="N709" s="10" t="s">
        <v>1028</v>
      </c>
    </row>
    <row r="710" spans="1:14" ht="22.5" customHeight="1">
      <c r="A710" s="8">
        <v>45999.469993969906</v>
      </c>
      <c r="B710" s="9" t="s">
        <v>14</v>
      </c>
      <c r="C710" s="9" t="s">
        <v>15</v>
      </c>
      <c r="D710" s="9" t="s">
        <v>1626</v>
      </c>
      <c r="E710" s="10" t="s">
        <v>17</v>
      </c>
      <c r="F710" s="10">
        <v>44</v>
      </c>
      <c r="G710" s="11">
        <v>7032277748</v>
      </c>
      <c r="H710" s="10" t="s">
        <v>1627</v>
      </c>
      <c r="I710" s="10" t="s">
        <v>49</v>
      </c>
      <c r="J710" s="10" t="s">
        <v>628</v>
      </c>
      <c r="K710" s="12">
        <v>45999</v>
      </c>
      <c r="L710" s="28" t="s">
        <v>11</v>
      </c>
      <c r="M710" s="10"/>
      <c r="N710" s="10" t="s">
        <v>1028</v>
      </c>
    </row>
    <row r="711" spans="1:14" ht="22.5" customHeight="1">
      <c r="A711" s="8">
        <v>45999.505907777777</v>
      </c>
      <c r="B711" s="9" t="s">
        <v>14</v>
      </c>
      <c r="C711" s="9" t="s">
        <v>15</v>
      </c>
      <c r="D711" s="9" t="s">
        <v>1628</v>
      </c>
      <c r="E711" s="10" t="s">
        <v>22</v>
      </c>
      <c r="F711" s="10">
        <v>25</v>
      </c>
      <c r="G711" s="11">
        <v>8155054957</v>
      </c>
      <c r="H711" s="10" t="s">
        <v>1629</v>
      </c>
      <c r="I711" s="10" t="s">
        <v>45</v>
      </c>
      <c r="J711" s="10" t="s">
        <v>46</v>
      </c>
      <c r="K711" s="12">
        <v>45999</v>
      </c>
      <c r="L711" s="28" t="s">
        <v>11</v>
      </c>
      <c r="M711" s="14"/>
      <c r="N711" s="10" t="s">
        <v>1028</v>
      </c>
    </row>
    <row r="712" spans="1:14" ht="22.5" customHeight="1">
      <c r="A712" s="8">
        <v>45999.51619440972</v>
      </c>
      <c r="B712" s="9" t="s">
        <v>14</v>
      </c>
      <c r="C712" s="9" t="s">
        <v>15</v>
      </c>
      <c r="D712" s="9" t="s">
        <v>1630</v>
      </c>
      <c r="E712" s="10" t="s">
        <v>17</v>
      </c>
      <c r="F712" s="10">
        <v>50</v>
      </c>
      <c r="G712" s="11">
        <v>8065342632</v>
      </c>
      <c r="H712" s="10" t="s">
        <v>1631</v>
      </c>
      <c r="I712" s="10" t="s">
        <v>49</v>
      </c>
      <c r="J712" s="10" t="s">
        <v>503</v>
      </c>
      <c r="K712" s="12">
        <v>45999</v>
      </c>
      <c r="L712" s="28" t="s">
        <v>11</v>
      </c>
      <c r="M712" s="10"/>
      <c r="N712" s="10" t="s">
        <v>1028</v>
      </c>
    </row>
    <row r="713" spans="1:14" ht="22.5" customHeight="1">
      <c r="A713" s="8">
        <v>45999.536376342592</v>
      </c>
      <c r="B713" s="9" t="s">
        <v>14</v>
      </c>
      <c r="C713" s="9" t="s">
        <v>15</v>
      </c>
      <c r="D713" s="9" t="s">
        <v>1632</v>
      </c>
      <c r="E713" s="10" t="s">
        <v>17</v>
      </c>
      <c r="F713" s="10">
        <v>29</v>
      </c>
      <c r="G713" s="11">
        <v>8114053228</v>
      </c>
      <c r="H713" s="10" t="s">
        <v>1633</v>
      </c>
      <c r="I713" s="10" t="s">
        <v>49</v>
      </c>
      <c r="J713" s="10" t="s">
        <v>60</v>
      </c>
      <c r="K713" s="12">
        <v>45999</v>
      </c>
      <c r="L713" s="28" t="s">
        <v>11</v>
      </c>
      <c r="M713" s="14"/>
      <c r="N713" s="10" t="s">
        <v>1028</v>
      </c>
    </row>
    <row r="714" spans="1:14" ht="22.5" customHeight="1">
      <c r="A714" s="8">
        <v>45999.537429571763</v>
      </c>
      <c r="B714" s="9" t="s">
        <v>14</v>
      </c>
      <c r="C714" s="9" t="s">
        <v>15</v>
      </c>
      <c r="D714" s="9" t="s">
        <v>1634</v>
      </c>
      <c r="E714" s="10" t="s">
        <v>17</v>
      </c>
      <c r="F714" s="10">
        <v>22</v>
      </c>
      <c r="G714" s="11">
        <v>8166494302</v>
      </c>
      <c r="H714" s="10" t="s">
        <v>1635</v>
      </c>
      <c r="I714" s="10" t="s">
        <v>49</v>
      </c>
      <c r="J714" s="10" t="s">
        <v>762</v>
      </c>
      <c r="K714" s="12">
        <v>45999</v>
      </c>
      <c r="L714" s="28" t="s">
        <v>11</v>
      </c>
      <c r="M714" s="14"/>
      <c r="N714" s="10" t="s">
        <v>1028</v>
      </c>
    </row>
    <row r="715" spans="1:14" ht="22.5" customHeight="1">
      <c r="A715" s="8">
        <v>45999.580049317126</v>
      </c>
      <c r="B715" s="9" t="s">
        <v>14</v>
      </c>
      <c r="C715" s="9" t="s">
        <v>15</v>
      </c>
      <c r="D715" s="9" t="s">
        <v>1636</v>
      </c>
      <c r="E715" s="10" t="s">
        <v>22</v>
      </c>
      <c r="F715" s="10">
        <v>25</v>
      </c>
      <c r="G715" s="11">
        <f>2349037178317</f>
        <v>2349037178317</v>
      </c>
      <c r="H715" s="10" t="s">
        <v>1637</v>
      </c>
      <c r="I715" s="10" t="s">
        <v>45</v>
      </c>
      <c r="J715" s="10" t="s">
        <v>1638</v>
      </c>
      <c r="K715" s="12">
        <v>36675</v>
      </c>
      <c r="L715" s="28" t="s">
        <v>11</v>
      </c>
      <c r="M715" s="14"/>
      <c r="N715" s="10" t="s">
        <v>1028</v>
      </c>
    </row>
    <row r="716" spans="1:14" ht="22.5" customHeight="1">
      <c r="A716" s="8">
        <v>45999.584487835644</v>
      </c>
      <c r="B716" s="9" t="s">
        <v>14</v>
      </c>
      <c r="C716" s="9" t="s">
        <v>15</v>
      </c>
      <c r="D716" s="9" t="s">
        <v>1639</v>
      </c>
      <c r="E716" s="10" t="s">
        <v>22</v>
      </c>
      <c r="F716" s="10">
        <v>32</v>
      </c>
      <c r="G716" s="11">
        <v>8133336012</v>
      </c>
      <c r="H716" s="10" t="s">
        <v>1640</v>
      </c>
      <c r="I716" s="10" t="s">
        <v>49</v>
      </c>
      <c r="J716" s="10" t="s">
        <v>282</v>
      </c>
      <c r="K716" s="12">
        <v>45999</v>
      </c>
      <c r="L716" s="28" t="s">
        <v>11</v>
      </c>
      <c r="M716" s="14"/>
      <c r="N716" s="10" t="s">
        <v>1028</v>
      </c>
    </row>
    <row r="717" spans="1:14" ht="22.5" customHeight="1">
      <c r="A717" s="8">
        <v>45999.600781990739</v>
      </c>
      <c r="B717" s="9" t="s">
        <v>14</v>
      </c>
      <c r="C717" s="9" t="s">
        <v>15</v>
      </c>
      <c r="D717" s="9" t="s">
        <v>1641</v>
      </c>
      <c r="E717" s="10" t="s">
        <v>22</v>
      </c>
      <c r="F717" s="10">
        <v>24</v>
      </c>
      <c r="G717" s="11">
        <v>9060873235</v>
      </c>
      <c r="H717" s="10" t="s">
        <v>1642</v>
      </c>
      <c r="I717" s="10" t="s">
        <v>45</v>
      </c>
      <c r="J717" s="10" t="s">
        <v>46</v>
      </c>
      <c r="K717" s="12">
        <v>45999</v>
      </c>
      <c r="L717" s="28" t="s">
        <v>11</v>
      </c>
      <c r="M717" s="14"/>
      <c r="N717" s="10" t="s">
        <v>1096</v>
      </c>
    </row>
    <row r="718" spans="1:14" ht="22.5" customHeight="1">
      <c r="A718" s="8">
        <v>45999.609625775462</v>
      </c>
      <c r="B718" s="9" t="s">
        <v>14</v>
      </c>
      <c r="C718" s="9" t="s">
        <v>15</v>
      </c>
      <c r="D718" s="9" t="s">
        <v>1643</v>
      </c>
      <c r="E718" s="10" t="s">
        <v>17</v>
      </c>
      <c r="F718" s="10">
        <v>41</v>
      </c>
      <c r="G718" s="11">
        <v>8037333810</v>
      </c>
      <c r="H718" s="10" t="s">
        <v>1644</v>
      </c>
      <c r="I718" s="10" t="s">
        <v>27</v>
      </c>
      <c r="J718" s="10" t="s">
        <v>1559</v>
      </c>
      <c r="K718" s="12">
        <v>45999</v>
      </c>
      <c r="L718" s="28" t="s">
        <v>11</v>
      </c>
      <c r="M718" s="14"/>
      <c r="N718" s="10" t="s">
        <v>1028</v>
      </c>
    </row>
    <row r="719" spans="1:14" ht="22.5" customHeight="1">
      <c r="A719" s="8">
        <v>45999.619686909718</v>
      </c>
      <c r="B719" s="9" t="s">
        <v>14</v>
      </c>
      <c r="C719" s="9" t="s">
        <v>15</v>
      </c>
      <c r="D719" s="9" t="s">
        <v>1645</v>
      </c>
      <c r="E719" s="10" t="s">
        <v>17</v>
      </c>
      <c r="F719" s="10">
        <v>24</v>
      </c>
      <c r="G719" s="11">
        <v>7087872522</v>
      </c>
      <c r="H719" s="10" t="s">
        <v>1645</v>
      </c>
      <c r="I719" s="10" t="s">
        <v>45</v>
      </c>
      <c r="J719" s="10" t="s">
        <v>46</v>
      </c>
      <c r="K719" s="12">
        <v>45999</v>
      </c>
      <c r="L719" s="28" t="s">
        <v>11</v>
      </c>
      <c r="M719" s="14"/>
      <c r="N719" s="10" t="s">
        <v>1028</v>
      </c>
    </row>
    <row r="720" spans="1:14" ht="22.5" customHeight="1">
      <c r="A720" s="8">
        <v>45999.621943298611</v>
      </c>
      <c r="B720" s="9" t="s">
        <v>14</v>
      </c>
      <c r="C720" s="9" t="s">
        <v>15</v>
      </c>
      <c r="D720" s="9" t="s">
        <v>1646</v>
      </c>
      <c r="E720" s="10" t="s">
        <v>17</v>
      </c>
      <c r="F720" s="10">
        <v>33</v>
      </c>
      <c r="G720" s="11">
        <v>8102150383</v>
      </c>
      <c r="H720" s="10" t="s">
        <v>1647</v>
      </c>
      <c r="I720" s="10" t="s">
        <v>27</v>
      </c>
      <c r="J720" s="10" t="s">
        <v>1194</v>
      </c>
      <c r="K720" s="12">
        <v>45999</v>
      </c>
      <c r="L720" s="28" t="s">
        <v>11</v>
      </c>
      <c r="M720" s="14"/>
      <c r="N720" s="10" t="s">
        <v>1028</v>
      </c>
    </row>
    <row r="721" spans="1:14" ht="22.5" customHeight="1">
      <c r="A721" s="8">
        <v>45999.62350001157</v>
      </c>
      <c r="B721" s="9" t="s">
        <v>14</v>
      </c>
      <c r="C721" s="9" t="s">
        <v>15</v>
      </c>
      <c r="D721" s="9" t="s">
        <v>1648</v>
      </c>
      <c r="E721" s="10" t="s">
        <v>17</v>
      </c>
      <c r="F721" s="10">
        <v>23</v>
      </c>
      <c r="G721" s="11">
        <f>2348108325681</f>
        <v>2348108325681</v>
      </c>
      <c r="H721" s="10" t="s">
        <v>1649</v>
      </c>
      <c r="I721" s="10" t="s">
        <v>45</v>
      </c>
      <c r="J721" s="10" t="s">
        <v>46</v>
      </c>
      <c r="K721" s="12">
        <v>45999</v>
      </c>
      <c r="L721" s="28" t="s">
        <v>11</v>
      </c>
      <c r="M721" s="14"/>
      <c r="N721" s="10" t="s">
        <v>1028</v>
      </c>
    </row>
    <row r="722" spans="1:14" ht="22.5" customHeight="1">
      <c r="A722" s="8">
        <v>45999.62889148148</v>
      </c>
      <c r="B722" s="9" t="s">
        <v>14</v>
      </c>
      <c r="C722" s="9" t="s">
        <v>15</v>
      </c>
      <c r="D722" s="9" t="s">
        <v>1650</v>
      </c>
      <c r="E722" s="10" t="s">
        <v>17</v>
      </c>
      <c r="F722" s="10">
        <v>31</v>
      </c>
      <c r="G722" s="11">
        <v>9156123230</v>
      </c>
      <c r="H722" s="10" t="s">
        <v>1651</v>
      </c>
      <c r="I722" s="10" t="s">
        <v>45</v>
      </c>
      <c r="J722" s="10" t="s">
        <v>1652</v>
      </c>
      <c r="K722" s="12">
        <v>34617</v>
      </c>
      <c r="L722" s="28" t="s">
        <v>11</v>
      </c>
      <c r="M722" s="14"/>
      <c r="N722" s="10" t="s">
        <v>1028</v>
      </c>
    </row>
    <row r="723" spans="1:14" ht="22.5" customHeight="1">
      <c r="A723" s="8">
        <v>45999.64367542824</v>
      </c>
      <c r="B723" s="9" t="s">
        <v>14</v>
      </c>
      <c r="C723" s="9" t="s">
        <v>15</v>
      </c>
      <c r="D723" s="9" t="s">
        <v>1653</v>
      </c>
      <c r="E723" s="10" t="s">
        <v>17</v>
      </c>
      <c r="F723" s="10">
        <v>31</v>
      </c>
      <c r="G723" s="11">
        <v>8068982278</v>
      </c>
      <c r="H723" s="10" t="s">
        <v>1654</v>
      </c>
      <c r="I723" s="10" t="s">
        <v>31</v>
      </c>
      <c r="J723" s="10" t="s">
        <v>32</v>
      </c>
      <c r="K723" s="12">
        <v>45999</v>
      </c>
      <c r="L723" s="28" t="s">
        <v>11</v>
      </c>
      <c r="M723" s="14"/>
      <c r="N723" s="10" t="s">
        <v>1028</v>
      </c>
    </row>
    <row r="724" spans="1:14" ht="22.5" customHeight="1">
      <c r="A724" s="8">
        <v>45999.662217962963</v>
      </c>
      <c r="B724" s="9" t="s">
        <v>14</v>
      </c>
      <c r="C724" s="9" t="s">
        <v>15</v>
      </c>
      <c r="D724" s="9" t="s">
        <v>1655</v>
      </c>
      <c r="E724" s="10" t="s">
        <v>22</v>
      </c>
      <c r="F724" s="10">
        <v>37</v>
      </c>
      <c r="G724" s="11">
        <v>8032646903</v>
      </c>
      <c r="H724" s="10" t="s">
        <v>1656</v>
      </c>
      <c r="I724" s="10" t="s">
        <v>49</v>
      </c>
      <c r="J724" s="10" t="s">
        <v>50</v>
      </c>
      <c r="K724" s="12">
        <v>45999</v>
      </c>
      <c r="L724" s="28" t="s">
        <v>11</v>
      </c>
      <c r="M724" s="14"/>
      <c r="N724" s="10" t="s">
        <v>1028</v>
      </c>
    </row>
    <row r="725" spans="1:14" ht="22.5" customHeight="1">
      <c r="A725" s="8">
        <v>45999.667962638894</v>
      </c>
      <c r="B725" s="9" t="s">
        <v>14</v>
      </c>
      <c r="C725" s="9" t="s">
        <v>15</v>
      </c>
      <c r="D725" s="9" t="s">
        <v>1657</v>
      </c>
      <c r="E725" s="10" t="s">
        <v>17</v>
      </c>
      <c r="F725" s="10">
        <v>35</v>
      </c>
      <c r="G725" s="11">
        <v>8131901521</v>
      </c>
      <c r="H725" s="10" t="s">
        <v>1658</v>
      </c>
      <c r="I725" s="10" t="s">
        <v>31</v>
      </c>
      <c r="J725" s="10" t="s">
        <v>1659</v>
      </c>
      <c r="K725" s="12">
        <v>45999</v>
      </c>
      <c r="L725" s="28" t="s">
        <v>11</v>
      </c>
      <c r="M725" s="14"/>
      <c r="N725" s="10" t="s">
        <v>1028</v>
      </c>
    </row>
    <row r="726" spans="1:14" ht="22.5" hidden="1" customHeight="1">
      <c r="A726" s="8">
        <v>45999.703987476852</v>
      </c>
      <c r="B726" s="9" t="s">
        <v>14</v>
      </c>
      <c r="C726" s="9" t="s">
        <v>15</v>
      </c>
      <c r="D726" s="9" t="s">
        <v>1660</v>
      </c>
      <c r="E726" s="10" t="s">
        <v>17</v>
      </c>
      <c r="F726" s="10">
        <v>34</v>
      </c>
      <c r="G726" s="11">
        <v>8036957018</v>
      </c>
      <c r="H726" s="10" t="s">
        <v>1661</v>
      </c>
      <c r="I726" s="10" t="s">
        <v>27</v>
      </c>
      <c r="J726" s="10" t="s">
        <v>372</v>
      </c>
      <c r="K726" s="12">
        <v>45999</v>
      </c>
      <c r="L726" s="10" t="s">
        <v>441</v>
      </c>
      <c r="M726" s="10" t="s">
        <v>1361</v>
      </c>
      <c r="N726" s="10" t="s">
        <v>1096</v>
      </c>
    </row>
    <row r="727" spans="1:14" ht="22.5" customHeight="1">
      <c r="A727" s="8">
        <v>45999.708041527774</v>
      </c>
      <c r="B727" s="9" t="s">
        <v>14</v>
      </c>
      <c r="C727" s="9" t="s">
        <v>15</v>
      </c>
      <c r="D727" s="9" t="s">
        <v>1662</v>
      </c>
      <c r="E727" s="10" t="s">
        <v>22</v>
      </c>
      <c r="F727" s="10">
        <v>19</v>
      </c>
      <c r="G727" s="11">
        <v>7047983821</v>
      </c>
      <c r="H727" s="10" t="s">
        <v>1663</v>
      </c>
      <c r="I727" s="10" t="s">
        <v>19</v>
      </c>
      <c r="J727" s="10" t="s">
        <v>1664</v>
      </c>
      <c r="K727" s="12">
        <v>45999</v>
      </c>
      <c r="L727" s="28" t="s">
        <v>11</v>
      </c>
      <c r="M727" s="14"/>
      <c r="N727" s="10" t="s">
        <v>1028</v>
      </c>
    </row>
    <row r="728" spans="1:14" ht="22.5" customHeight="1">
      <c r="A728" s="8">
        <v>45999.708274687495</v>
      </c>
      <c r="B728" s="9" t="s">
        <v>14</v>
      </c>
      <c r="C728" s="9" t="s">
        <v>15</v>
      </c>
      <c r="D728" s="9" t="s">
        <v>1665</v>
      </c>
      <c r="E728" s="10" t="s">
        <v>17</v>
      </c>
      <c r="F728" s="10">
        <v>26</v>
      </c>
      <c r="G728" s="11">
        <v>8032540421</v>
      </c>
      <c r="H728" s="10" t="s">
        <v>1666</v>
      </c>
      <c r="I728" s="10" t="s">
        <v>49</v>
      </c>
      <c r="J728" s="10" t="s">
        <v>106</v>
      </c>
      <c r="K728" s="12">
        <v>45999</v>
      </c>
      <c r="L728" s="28" t="s">
        <v>11</v>
      </c>
      <c r="M728" s="14"/>
      <c r="N728" s="10" t="s">
        <v>1028</v>
      </c>
    </row>
    <row r="729" spans="1:14" ht="22.5" customHeight="1">
      <c r="A729" s="8">
        <v>45999.710091782406</v>
      </c>
      <c r="B729" s="9" t="s">
        <v>14</v>
      </c>
      <c r="C729" s="9" t="s">
        <v>15</v>
      </c>
      <c r="D729" s="9" t="s">
        <v>1667</v>
      </c>
      <c r="E729" s="10" t="s">
        <v>17</v>
      </c>
      <c r="F729" s="10">
        <v>20</v>
      </c>
      <c r="G729" s="11">
        <v>9024309970</v>
      </c>
      <c r="H729" s="10" t="s">
        <v>1668</v>
      </c>
      <c r="I729" s="10" t="s">
        <v>27</v>
      </c>
      <c r="J729" s="10" t="s">
        <v>1669</v>
      </c>
      <c r="K729" s="12">
        <v>45999</v>
      </c>
      <c r="L729" s="28" t="s">
        <v>11</v>
      </c>
      <c r="M729" s="14"/>
      <c r="N729" s="10" t="s">
        <v>1096</v>
      </c>
    </row>
    <row r="730" spans="1:14" ht="22.5" customHeight="1">
      <c r="A730" s="8">
        <v>45999.745467650464</v>
      </c>
      <c r="B730" s="9" t="s">
        <v>14</v>
      </c>
      <c r="C730" s="9" t="s">
        <v>15</v>
      </c>
      <c r="D730" s="9" t="s">
        <v>1670</v>
      </c>
      <c r="E730" s="10" t="s">
        <v>22</v>
      </c>
      <c r="F730" s="10">
        <v>24</v>
      </c>
      <c r="G730" s="11">
        <f>2347010339389</f>
        <v>2347010339389</v>
      </c>
      <c r="H730" s="10" t="s">
        <v>1671</v>
      </c>
      <c r="I730" s="10" t="s">
        <v>27</v>
      </c>
      <c r="J730" s="10" t="s">
        <v>1672</v>
      </c>
      <c r="K730" s="12">
        <v>45999</v>
      </c>
      <c r="L730" s="28" t="s">
        <v>11</v>
      </c>
      <c r="M730" s="14"/>
      <c r="N730" s="10" t="s">
        <v>1028</v>
      </c>
    </row>
    <row r="731" spans="1:14" ht="22.5" customHeight="1">
      <c r="A731" s="8">
        <v>45999.761256886573</v>
      </c>
      <c r="B731" s="9" t="s">
        <v>14</v>
      </c>
      <c r="C731" s="9" t="s">
        <v>15</v>
      </c>
      <c r="D731" s="9" t="s">
        <v>1673</v>
      </c>
      <c r="E731" s="10" t="s">
        <v>22</v>
      </c>
      <c r="F731" s="10">
        <v>25</v>
      </c>
      <c r="G731" s="11">
        <v>8102411782</v>
      </c>
      <c r="H731" s="10" t="s">
        <v>1674</v>
      </c>
      <c r="I731" s="10" t="s">
        <v>45</v>
      </c>
      <c r="J731" s="10" t="s">
        <v>1675</v>
      </c>
      <c r="K731" s="12">
        <v>36812</v>
      </c>
      <c r="L731" s="28" t="s">
        <v>11</v>
      </c>
      <c r="M731" s="14"/>
      <c r="N731" s="10" t="s">
        <v>1028</v>
      </c>
    </row>
    <row r="732" spans="1:14" ht="22.5" customHeight="1">
      <c r="A732" s="8">
        <v>45999.780000243059</v>
      </c>
      <c r="B732" s="9" t="s">
        <v>14</v>
      </c>
      <c r="C732" s="9" t="s">
        <v>15</v>
      </c>
      <c r="D732" s="9" t="s">
        <v>1676</v>
      </c>
      <c r="E732" s="10" t="s">
        <v>22</v>
      </c>
      <c r="F732" s="10">
        <v>20</v>
      </c>
      <c r="G732" s="11">
        <v>7025546969</v>
      </c>
      <c r="H732" s="10" t="s">
        <v>1677</v>
      </c>
      <c r="I732" s="10" t="s">
        <v>45</v>
      </c>
      <c r="J732" s="10" t="s">
        <v>901</v>
      </c>
      <c r="K732" s="12">
        <v>45999</v>
      </c>
      <c r="L732" s="28" t="s">
        <v>11</v>
      </c>
      <c r="M732" s="14"/>
      <c r="N732" s="10" t="s">
        <v>1096</v>
      </c>
    </row>
    <row r="733" spans="1:14" ht="22.5" customHeight="1">
      <c r="A733" s="8">
        <v>45999.805727534724</v>
      </c>
      <c r="B733" s="9" t="s">
        <v>14</v>
      </c>
      <c r="C733" s="9" t="s">
        <v>15</v>
      </c>
      <c r="D733" s="9" t="s">
        <v>1678</v>
      </c>
      <c r="E733" s="10" t="s">
        <v>17</v>
      </c>
      <c r="F733" s="10">
        <v>30</v>
      </c>
      <c r="G733" s="11">
        <v>8067614854</v>
      </c>
      <c r="H733" s="10" t="s">
        <v>952</v>
      </c>
      <c r="I733" s="10" t="s">
        <v>49</v>
      </c>
      <c r="J733" s="10" t="s">
        <v>953</v>
      </c>
      <c r="K733" s="12">
        <v>45999</v>
      </c>
      <c r="L733" s="28" t="s">
        <v>11</v>
      </c>
      <c r="M733" s="14"/>
      <c r="N733" s="10" t="s">
        <v>1028</v>
      </c>
    </row>
    <row r="734" spans="1:14" ht="22.5" customHeight="1">
      <c r="A734" s="8">
        <v>45999.811613032405</v>
      </c>
      <c r="B734" s="9" t="s">
        <v>14</v>
      </c>
      <c r="C734" s="9" t="s">
        <v>15</v>
      </c>
      <c r="D734" s="9" t="s">
        <v>1679</v>
      </c>
      <c r="E734" s="10" t="s">
        <v>22</v>
      </c>
      <c r="F734" s="10">
        <v>28</v>
      </c>
      <c r="G734" s="11">
        <v>8103494405</v>
      </c>
      <c r="H734" s="10" t="s">
        <v>1680</v>
      </c>
      <c r="I734" s="10" t="s">
        <v>49</v>
      </c>
      <c r="J734" s="10" t="s">
        <v>953</v>
      </c>
      <c r="K734" s="12">
        <v>45999</v>
      </c>
      <c r="L734" s="28" t="s">
        <v>11</v>
      </c>
      <c r="M734" s="14"/>
      <c r="N734" s="10" t="s">
        <v>1028</v>
      </c>
    </row>
    <row r="735" spans="1:14" ht="22.5" customHeight="1">
      <c r="A735" s="8">
        <v>45999.836579733797</v>
      </c>
      <c r="B735" s="9" t="s">
        <v>14</v>
      </c>
      <c r="C735" s="9" t="s">
        <v>15</v>
      </c>
      <c r="D735" s="9" t="s">
        <v>1681</v>
      </c>
      <c r="E735" s="10" t="s">
        <v>22</v>
      </c>
      <c r="F735" s="10">
        <v>27</v>
      </c>
      <c r="G735" s="11">
        <v>7039797722</v>
      </c>
      <c r="H735" s="10" t="s">
        <v>1682</v>
      </c>
      <c r="I735" s="10" t="s">
        <v>49</v>
      </c>
      <c r="J735" s="10" t="s">
        <v>106</v>
      </c>
      <c r="K735" s="12">
        <v>45999</v>
      </c>
      <c r="L735" s="28" t="s">
        <v>11</v>
      </c>
      <c r="M735" s="14"/>
      <c r="N735" s="10" t="s">
        <v>1028</v>
      </c>
    </row>
    <row r="736" spans="1:14" ht="22.5" hidden="1" customHeight="1">
      <c r="A736" s="8">
        <v>45999.845367951391</v>
      </c>
      <c r="B736" s="9" t="s">
        <v>14</v>
      </c>
      <c r="C736" s="9" t="s">
        <v>15</v>
      </c>
      <c r="D736" s="9" t="s">
        <v>1683</v>
      </c>
      <c r="E736" s="10" t="s">
        <v>17</v>
      </c>
      <c r="F736" s="19">
        <v>28</v>
      </c>
      <c r="G736" s="11">
        <v>8033104269</v>
      </c>
      <c r="H736" s="10" t="s">
        <v>1684</v>
      </c>
      <c r="I736" s="10" t="s">
        <v>49</v>
      </c>
      <c r="J736" s="10" t="s">
        <v>60</v>
      </c>
      <c r="K736" s="12">
        <v>45999</v>
      </c>
      <c r="L736" s="10" t="s">
        <v>441</v>
      </c>
      <c r="M736" s="10" t="s">
        <v>1356</v>
      </c>
      <c r="N736" s="10" t="s">
        <v>1035</v>
      </c>
    </row>
    <row r="737" spans="1:14" ht="22.5" customHeight="1">
      <c r="A737" s="8">
        <v>45999.845806666664</v>
      </c>
      <c r="B737" s="9" t="s">
        <v>14</v>
      </c>
      <c r="C737" s="9" t="s">
        <v>15</v>
      </c>
      <c r="D737" s="9" t="s">
        <v>1685</v>
      </c>
      <c r="E737" s="10" t="s">
        <v>17</v>
      </c>
      <c r="F737" s="10">
        <v>26</v>
      </c>
      <c r="G737" s="11">
        <v>7030725873</v>
      </c>
      <c r="H737" s="10" t="s">
        <v>1686</v>
      </c>
      <c r="I737" s="10" t="s">
        <v>49</v>
      </c>
      <c r="J737" s="10" t="s">
        <v>282</v>
      </c>
      <c r="K737" s="12">
        <v>45999</v>
      </c>
      <c r="L737" s="28" t="s">
        <v>11</v>
      </c>
      <c r="M737" s="14"/>
      <c r="N737" s="10" t="s">
        <v>1028</v>
      </c>
    </row>
    <row r="738" spans="1:14" ht="22.5" customHeight="1">
      <c r="A738" s="8">
        <v>45999.846346018516</v>
      </c>
      <c r="B738" s="9" t="s">
        <v>14</v>
      </c>
      <c r="C738" s="9" t="s">
        <v>15</v>
      </c>
      <c r="D738" s="9" t="s">
        <v>1687</v>
      </c>
      <c r="E738" s="10" t="s">
        <v>17</v>
      </c>
      <c r="F738" s="10">
        <v>24</v>
      </c>
      <c r="G738" s="11">
        <v>7077410533</v>
      </c>
      <c r="H738" s="10" t="s">
        <v>1688</v>
      </c>
      <c r="I738" s="10" t="s">
        <v>45</v>
      </c>
      <c r="J738" s="10" t="s">
        <v>46</v>
      </c>
      <c r="K738" s="12">
        <v>45999</v>
      </c>
      <c r="L738" s="28" t="s">
        <v>11</v>
      </c>
      <c r="M738" s="14"/>
      <c r="N738" s="10" t="s">
        <v>1096</v>
      </c>
    </row>
    <row r="739" spans="1:14" ht="22.5" customHeight="1">
      <c r="A739" s="8">
        <v>45999.861998356486</v>
      </c>
      <c r="B739" s="9" t="s">
        <v>14</v>
      </c>
      <c r="C739" s="9" t="s">
        <v>15</v>
      </c>
      <c r="D739" s="9" t="s">
        <v>1689</v>
      </c>
      <c r="E739" s="10" t="s">
        <v>17</v>
      </c>
      <c r="F739" s="10">
        <v>25</v>
      </c>
      <c r="G739" s="11">
        <v>8065599884</v>
      </c>
      <c r="H739" s="10" t="s">
        <v>1690</v>
      </c>
      <c r="I739" s="10" t="s">
        <v>49</v>
      </c>
      <c r="J739" s="10" t="s">
        <v>282</v>
      </c>
      <c r="K739" s="12">
        <v>45999</v>
      </c>
      <c r="L739" s="28" t="s">
        <v>11</v>
      </c>
      <c r="M739" s="14"/>
      <c r="N739" s="10" t="s">
        <v>1028</v>
      </c>
    </row>
    <row r="740" spans="1:14" ht="22.5" customHeight="1">
      <c r="A740" s="8">
        <v>45999.864827858793</v>
      </c>
      <c r="B740" s="9" t="s">
        <v>14</v>
      </c>
      <c r="C740" s="9" t="s">
        <v>15</v>
      </c>
      <c r="D740" s="9" t="s">
        <v>1691</v>
      </c>
      <c r="E740" s="10" t="s">
        <v>17</v>
      </c>
      <c r="F740" s="10">
        <v>26</v>
      </c>
      <c r="G740" s="11">
        <v>9032682467</v>
      </c>
      <c r="H740" s="10" t="s">
        <v>1692</v>
      </c>
      <c r="I740" s="10" t="s">
        <v>49</v>
      </c>
      <c r="J740" s="10" t="s">
        <v>103</v>
      </c>
      <c r="K740" s="12">
        <v>45999</v>
      </c>
      <c r="L740" s="28" t="s">
        <v>11</v>
      </c>
      <c r="M740" s="14"/>
      <c r="N740" s="10" t="s">
        <v>1028</v>
      </c>
    </row>
    <row r="741" spans="1:14" ht="22.5" hidden="1" customHeight="1">
      <c r="A741" s="8">
        <v>45999.868279756949</v>
      </c>
      <c r="B741" s="9" t="s">
        <v>14</v>
      </c>
      <c r="C741" s="9" t="s">
        <v>15</v>
      </c>
      <c r="D741" s="9" t="s">
        <v>1693</v>
      </c>
      <c r="E741" s="10" t="s">
        <v>17</v>
      </c>
      <c r="F741" s="10">
        <v>26</v>
      </c>
      <c r="G741" s="11">
        <v>9061881306</v>
      </c>
      <c r="H741" s="10" t="s">
        <v>1694</v>
      </c>
      <c r="I741" s="10" t="s">
        <v>49</v>
      </c>
      <c r="J741" s="10" t="s">
        <v>303</v>
      </c>
      <c r="K741" s="12">
        <v>45999</v>
      </c>
      <c r="L741" s="10" t="s">
        <v>441</v>
      </c>
      <c r="M741" s="10" t="s">
        <v>1361</v>
      </c>
      <c r="N741" s="10" t="s">
        <v>1096</v>
      </c>
    </row>
    <row r="742" spans="1:14" ht="22.5" customHeight="1">
      <c r="A742" s="8">
        <v>45999.871713993052</v>
      </c>
      <c r="B742" s="9" t="s">
        <v>14</v>
      </c>
      <c r="C742" s="9" t="s">
        <v>15</v>
      </c>
      <c r="D742" s="9" t="s">
        <v>1695</v>
      </c>
      <c r="E742" s="10" t="s">
        <v>17</v>
      </c>
      <c r="F742" s="10">
        <v>25</v>
      </c>
      <c r="G742" s="11">
        <v>7034401580</v>
      </c>
      <c r="H742" s="10" t="s">
        <v>1696</v>
      </c>
      <c r="I742" s="10" t="s">
        <v>27</v>
      </c>
      <c r="J742" s="10" t="s">
        <v>70</v>
      </c>
      <c r="K742" s="12">
        <v>45999</v>
      </c>
      <c r="L742" s="28" t="s">
        <v>11</v>
      </c>
      <c r="M742" s="14"/>
      <c r="N742" s="10" t="s">
        <v>1096</v>
      </c>
    </row>
    <row r="743" spans="1:14" ht="22.5" customHeight="1">
      <c r="A743" s="8">
        <v>45999.872556898146</v>
      </c>
      <c r="B743" s="9" t="s">
        <v>14</v>
      </c>
      <c r="C743" s="9" t="s">
        <v>15</v>
      </c>
      <c r="D743" s="9" t="s">
        <v>1697</v>
      </c>
      <c r="E743" s="10" t="s">
        <v>17</v>
      </c>
      <c r="F743" s="10">
        <v>40</v>
      </c>
      <c r="G743" s="11">
        <v>7038480804</v>
      </c>
      <c r="H743" s="10" t="s">
        <v>1698</v>
      </c>
      <c r="I743" s="10" t="s">
        <v>27</v>
      </c>
      <c r="J743" s="10" t="s">
        <v>67</v>
      </c>
      <c r="K743" s="12">
        <v>45999</v>
      </c>
      <c r="L743" s="28" t="s">
        <v>11</v>
      </c>
      <c r="M743" s="14"/>
      <c r="N743" s="10" t="s">
        <v>1028</v>
      </c>
    </row>
    <row r="744" spans="1:14" ht="22.5" customHeight="1">
      <c r="A744" s="8">
        <v>45999.889939687499</v>
      </c>
      <c r="B744" s="9" t="s">
        <v>14</v>
      </c>
      <c r="C744" s="9" t="s">
        <v>15</v>
      </c>
      <c r="D744" s="9" t="s">
        <v>1699</v>
      </c>
      <c r="E744" s="10" t="s">
        <v>17</v>
      </c>
      <c r="F744" s="10">
        <v>26</v>
      </c>
      <c r="G744" s="11">
        <v>7030413381</v>
      </c>
      <c r="H744" s="10" t="s">
        <v>1700</v>
      </c>
      <c r="I744" s="10" t="s">
        <v>49</v>
      </c>
      <c r="J744" s="10" t="s">
        <v>73</v>
      </c>
      <c r="K744" s="12">
        <v>45999</v>
      </c>
      <c r="L744" s="28" t="s">
        <v>11</v>
      </c>
      <c r="M744" s="14"/>
      <c r="N744" s="10" t="s">
        <v>1028</v>
      </c>
    </row>
    <row r="745" spans="1:14" ht="22.5" customHeight="1">
      <c r="A745" s="8">
        <v>45999.912060439819</v>
      </c>
      <c r="B745" s="9" t="s">
        <v>14</v>
      </c>
      <c r="C745" s="9" t="s">
        <v>15</v>
      </c>
      <c r="D745" s="9" t="s">
        <v>1701</v>
      </c>
      <c r="E745" s="10" t="s">
        <v>17</v>
      </c>
      <c r="F745" s="10">
        <v>27</v>
      </c>
      <c r="G745" s="11">
        <v>8142185556</v>
      </c>
      <c r="H745" s="10" t="s">
        <v>1702</v>
      </c>
      <c r="I745" s="10" t="s">
        <v>49</v>
      </c>
      <c r="J745" s="10" t="s">
        <v>106</v>
      </c>
      <c r="K745" s="12">
        <v>45999</v>
      </c>
      <c r="L745" s="28" t="s">
        <v>11</v>
      </c>
      <c r="M745" s="14"/>
      <c r="N745" s="10" t="s">
        <v>1028</v>
      </c>
    </row>
    <row r="746" spans="1:14" ht="22.5" customHeight="1">
      <c r="A746" s="8">
        <v>45999.91530320602</v>
      </c>
      <c r="B746" s="9" t="s">
        <v>14</v>
      </c>
      <c r="C746" s="9" t="s">
        <v>15</v>
      </c>
      <c r="D746" s="9" t="s">
        <v>1703</v>
      </c>
      <c r="E746" s="10" t="s">
        <v>22</v>
      </c>
      <c r="F746" s="10">
        <v>27</v>
      </c>
      <c r="G746" s="11">
        <v>7062053780</v>
      </c>
      <c r="H746" s="10" t="s">
        <v>1704</v>
      </c>
      <c r="I746" s="10" t="s">
        <v>27</v>
      </c>
      <c r="J746" s="10" t="s">
        <v>1415</v>
      </c>
      <c r="K746" s="12">
        <v>45999</v>
      </c>
      <c r="L746" s="28" t="s">
        <v>11</v>
      </c>
      <c r="M746" s="14"/>
      <c r="N746" s="10" t="s">
        <v>1028</v>
      </c>
    </row>
    <row r="747" spans="1:14" ht="22.5" customHeight="1">
      <c r="A747" s="8">
        <v>45999.937972557869</v>
      </c>
      <c r="B747" s="9" t="s">
        <v>14</v>
      </c>
      <c r="C747" s="9" t="s">
        <v>15</v>
      </c>
      <c r="D747" s="9" t="s">
        <v>1705</v>
      </c>
      <c r="E747" s="10" t="s">
        <v>17</v>
      </c>
      <c r="F747" s="10">
        <v>29</v>
      </c>
      <c r="G747" s="11">
        <f>2349034231376</f>
        <v>2349034231376</v>
      </c>
      <c r="H747" s="10" t="s">
        <v>1706</v>
      </c>
      <c r="I747" s="10" t="s">
        <v>49</v>
      </c>
      <c r="J747" s="10" t="s">
        <v>60</v>
      </c>
      <c r="K747" s="12">
        <v>45999</v>
      </c>
      <c r="L747" s="28" t="s">
        <v>11</v>
      </c>
      <c r="M747" s="14"/>
      <c r="N747" s="10" t="s">
        <v>1028</v>
      </c>
    </row>
    <row r="748" spans="1:14" ht="22.5" customHeight="1">
      <c r="A748" s="8">
        <v>45999.938389930554</v>
      </c>
      <c r="B748" s="9" t="s">
        <v>14</v>
      </c>
      <c r="C748" s="9" t="s">
        <v>15</v>
      </c>
      <c r="D748" s="9" t="s">
        <v>1707</v>
      </c>
      <c r="E748" s="10" t="s">
        <v>22</v>
      </c>
      <c r="F748" s="10">
        <v>27</v>
      </c>
      <c r="G748" s="11">
        <v>8143982130</v>
      </c>
      <c r="H748" s="10" t="s">
        <v>1708</v>
      </c>
      <c r="I748" s="10" t="s">
        <v>49</v>
      </c>
      <c r="J748" s="10" t="s">
        <v>215</v>
      </c>
      <c r="K748" s="12">
        <v>45999</v>
      </c>
      <c r="L748" s="28" t="s">
        <v>11</v>
      </c>
      <c r="M748" s="14"/>
      <c r="N748" s="10" t="s">
        <v>1028</v>
      </c>
    </row>
    <row r="749" spans="1:14" ht="22.5" customHeight="1">
      <c r="A749" s="8">
        <v>45999.939996724541</v>
      </c>
      <c r="B749" s="9" t="s">
        <v>14</v>
      </c>
      <c r="C749" s="9" t="s">
        <v>15</v>
      </c>
      <c r="D749" s="9" t="s">
        <v>1709</v>
      </c>
      <c r="E749" s="10" t="s">
        <v>17</v>
      </c>
      <c r="F749" s="10">
        <v>29</v>
      </c>
      <c r="G749" s="11">
        <v>7088381310</v>
      </c>
      <c r="H749" s="10" t="s">
        <v>1710</v>
      </c>
      <c r="I749" s="10" t="s">
        <v>19</v>
      </c>
      <c r="J749" s="10" t="s">
        <v>812</v>
      </c>
      <c r="K749" s="12">
        <v>45999</v>
      </c>
      <c r="L749" s="28" t="s">
        <v>11</v>
      </c>
      <c r="M749" s="14"/>
      <c r="N749" s="10" t="s">
        <v>1028</v>
      </c>
    </row>
    <row r="750" spans="1:14" ht="22.5" customHeight="1">
      <c r="A750" s="8">
        <v>45999.955316747684</v>
      </c>
      <c r="B750" s="9" t="s">
        <v>14</v>
      </c>
      <c r="C750" s="9" t="s">
        <v>15</v>
      </c>
      <c r="D750" s="9" t="s">
        <v>1711</v>
      </c>
      <c r="E750" s="10" t="s">
        <v>22</v>
      </c>
      <c r="F750" s="10">
        <v>20</v>
      </c>
      <c r="G750" s="11">
        <v>9036927576</v>
      </c>
      <c r="H750" s="10" t="s">
        <v>1712</v>
      </c>
      <c r="I750" s="10" t="s">
        <v>45</v>
      </c>
      <c r="J750" s="10" t="s">
        <v>932</v>
      </c>
      <c r="K750" s="12">
        <v>45999</v>
      </c>
      <c r="L750" s="28" t="s">
        <v>11</v>
      </c>
      <c r="M750" s="14"/>
      <c r="N750" s="10" t="s">
        <v>1028</v>
      </c>
    </row>
    <row r="751" spans="1:14" ht="22.5" customHeight="1">
      <c r="A751" s="8">
        <v>46000.088750844909</v>
      </c>
      <c r="B751" s="9" t="s">
        <v>14</v>
      </c>
      <c r="C751" s="9" t="s">
        <v>15</v>
      </c>
      <c r="D751" s="9" t="s">
        <v>1713</v>
      </c>
      <c r="E751" s="10" t="s">
        <v>17</v>
      </c>
      <c r="F751" s="10">
        <v>33</v>
      </c>
      <c r="G751" s="11">
        <v>8149010951</v>
      </c>
      <c r="H751" s="10" t="s">
        <v>1714</v>
      </c>
      <c r="I751" s="10" t="s">
        <v>27</v>
      </c>
      <c r="J751" s="10" t="s">
        <v>94</v>
      </c>
      <c r="K751" s="12">
        <v>46000</v>
      </c>
      <c r="L751" s="28" t="s">
        <v>11</v>
      </c>
      <c r="M751" s="14"/>
      <c r="N751" s="10" t="s">
        <v>1028</v>
      </c>
    </row>
    <row r="752" spans="1:14" ht="22.5" hidden="1" customHeight="1">
      <c r="A752" s="8">
        <v>46000.185488391202</v>
      </c>
      <c r="B752" s="9" t="s">
        <v>14</v>
      </c>
      <c r="C752" s="9" t="s">
        <v>15</v>
      </c>
      <c r="D752" s="9" t="s">
        <v>1715</v>
      </c>
      <c r="E752" s="10" t="s">
        <v>17</v>
      </c>
      <c r="F752" s="10">
        <v>24</v>
      </c>
      <c r="G752" s="11">
        <v>9165521462</v>
      </c>
      <c r="H752" s="10" t="s">
        <v>1716</v>
      </c>
      <c r="I752" s="10" t="s">
        <v>145</v>
      </c>
      <c r="J752" s="10" t="s">
        <v>1717</v>
      </c>
      <c r="K752" s="12">
        <v>36956</v>
      </c>
      <c r="L752" s="10" t="s">
        <v>441</v>
      </c>
      <c r="M752" s="10" t="s">
        <v>1356</v>
      </c>
      <c r="N752" s="10" t="s">
        <v>1718</v>
      </c>
    </row>
    <row r="753" spans="1:14" ht="22.5" customHeight="1">
      <c r="A753" s="8">
        <v>46000.189445775468</v>
      </c>
      <c r="B753" s="9" t="s">
        <v>14</v>
      </c>
      <c r="C753" s="9" t="s">
        <v>15</v>
      </c>
      <c r="D753" s="9" t="s">
        <v>1719</v>
      </c>
      <c r="E753" s="10" t="s">
        <v>17</v>
      </c>
      <c r="F753" s="10">
        <v>24</v>
      </c>
      <c r="G753" s="11">
        <f t="shared" ref="G753" si="10">2347089693621</f>
        <v>2347089693621</v>
      </c>
      <c r="H753" s="10" t="s">
        <v>1720</v>
      </c>
      <c r="I753" s="10" t="s">
        <v>145</v>
      </c>
      <c r="J753" s="10" t="s">
        <v>1717</v>
      </c>
      <c r="K753" s="12">
        <v>46000</v>
      </c>
      <c r="L753" s="28" t="s">
        <v>11</v>
      </c>
      <c r="M753" s="14"/>
      <c r="N753" s="10" t="s">
        <v>1028</v>
      </c>
    </row>
    <row r="754" spans="1:14" ht="22.5" customHeight="1">
      <c r="A754" s="8">
        <v>46000.220813564811</v>
      </c>
      <c r="B754" s="9" t="s">
        <v>14</v>
      </c>
      <c r="C754" s="9" t="s">
        <v>15</v>
      </c>
      <c r="D754" s="9" t="s">
        <v>1721</v>
      </c>
      <c r="E754" s="10" t="s">
        <v>17</v>
      </c>
      <c r="F754" s="10">
        <v>30</v>
      </c>
      <c r="G754" s="11">
        <v>8136371033</v>
      </c>
      <c r="H754" s="10" t="s">
        <v>1722</v>
      </c>
      <c r="I754" s="10" t="s">
        <v>49</v>
      </c>
      <c r="J754" s="10" t="s">
        <v>50</v>
      </c>
      <c r="K754" s="12">
        <v>46000</v>
      </c>
      <c r="L754" s="28" t="s">
        <v>11</v>
      </c>
      <c r="M754" s="10"/>
      <c r="N754" s="10" t="s">
        <v>1028</v>
      </c>
    </row>
    <row r="755" spans="1:14" ht="22.5" customHeight="1">
      <c r="A755" s="8">
        <v>46000.256900092594</v>
      </c>
      <c r="B755" s="9" t="s">
        <v>14</v>
      </c>
      <c r="C755" s="9" t="s">
        <v>15</v>
      </c>
      <c r="D755" s="10" t="s">
        <v>1723</v>
      </c>
      <c r="E755" s="9" t="s">
        <v>17</v>
      </c>
      <c r="F755" s="10">
        <v>29</v>
      </c>
      <c r="G755" s="11">
        <v>8165500256</v>
      </c>
      <c r="H755" s="10" t="s">
        <v>1724</v>
      </c>
      <c r="I755" s="10" t="s">
        <v>27</v>
      </c>
      <c r="J755" s="10" t="s">
        <v>67</v>
      </c>
      <c r="K755" s="12">
        <v>46000</v>
      </c>
      <c r="L755" s="28" t="s">
        <v>11</v>
      </c>
      <c r="M755" s="14"/>
      <c r="N755" s="10" t="s">
        <v>1028</v>
      </c>
    </row>
    <row r="756" spans="1:14" ht="22.5" customHeight="1">
      <c r="A756" s="8">
        <v>46000.289595937502</v>
      </c>
      <c r="B756" s="9" t="s">
        <v>14</v>
      </c>
      <c r="C756" s="9" t="s">
        <v>15</v>
      </c>
      <c r="D756" s="10" t="s">
        <v>1725</v>
      </c>
      <c r="E756" s="9" t="s">
        <v>17</v>
      </c>
      <c r="F756" s="10">
        <v>31</v>
      </c>
      <c r="G756" s="11">
        <v>7058291801</v>
      </c>
      <c r="H756" s="10" t="s">
        <v>1726</v>
      </c>
      <c r="I756" s="10" t="s">
        <v>45</v>
      </c>
      <c r="J756" s="10" t="s">
        <v>131</v>
      </c>
      <c r="K756" s="12">
        <v>46000</v>
      </c>
      <c r="L756" s="28" t="s">
        <v>11</v>
      </c>
      <c r="M756" s="14"/>
      <c r="N756" s="10" t="s">
        <v>1028</v>
      </c>
    </row>
    <row r="757" spans="1:14" ht="22.5" customHeight="1">
      <c r="A757" s="8">
        <v>46000.295277245372</v>
      </c>
      <c r="B757" s="9" t="s">
        <v>14</v>
      </c>
      <c r="C757" s="9" t="s">
        <v>15</v>
      </c>
      <c r="D757" s="10" t="s">
        <v>1727</v>
      </c>
      <c r="E757" s="9" t="s">
        <v>17</v>
      </c>
      <c r="F757" s="10">
        <v>27</v>
      </c>
      <c r="G757" s="11">
        <v>9124197679</v>
      </c>
      <c r="H757" s="10" t="s">
        <v>1728</v>
      </c>
      <c r="I757" s="10" t="s">
        <v>27</v>
      </c>
      <c r="J757" s="10" t="s">
        <v>1729</v>
      </c>
      <c r="K757" s="12">
        <v>46000</v>
      </c>
      <c r="L757" s="28" t="s">
        <v>11</v>
      </c>
      <c r="M757" s="14"/>
      <c r="N757" s="10" t="s">
        <v>1096</v>
      </c>
    </row>
    <row r="758" spans="1:14" ht="22.5" customHeight="1">
      <c r="A758" s="8">
        <v>46000.305072453702</v>
      </c>
      <c r="B758" s="9" t="s">
        <v>14</v>
      </c>
      <c r="C758" s="9" t="s">
        <v>15</v>
      </c>
      <c r="D758" s="10" t="s">
        <v>1730</v>
      </c>
      <c r="E758" s="9" t="s">
        <v>22</v>
      </c>
      <c r="F758" s="10">
        <v>29</v>
      </c>
      <c r="G758" s="11">
        <v>7069616812</v>
      </c>
      <c r="H758" s="10" t="s">
        <v>1731</v>
      </c>
      <c r="I758" s="10" t="s">
        <v>45</v>
      </c>
      <c r="J758" s="10" t="s">
        <v>1732</v>
      </c>
      <c r="K758" s="12">
        <v>46000</v>
      </c>
      <c r="L758" s="28" t="s">
        <v>11</v>
      </c>
      <c r="M758" s="14"/>
      <c r="N758" s="10" t="s">
        <v>150</v>
      </c>
    </row>
    <row r="759" spans="1:14" ht="22.5" customHeight="1">
      <c r="A759" s="8">
        <v>46000.365188518517</v>
      </c>
      <c r="B759" s="9" t="s">
        <v>14</v>
      </c>
      <c r="C759" s="9" t="s">
        <v>15</v>
      </c>
      <c r="D759" s="10" t="s">
        <v>1733</v>
      </c>
      <c r="E759" s="9" t="s">
        <v>17</v>
      </c>
      <c r="F759" s="10">
        <v>32</v>
      </c>
      <c r="G759" s="11">
        <v>8168396256</v>
      </c>
      <c r="H759" s="10" t="s">
        <v>1734</v>
      </c>
      <c r="I759" s="10" t="s">
        <v>27</v>
      </c>
      <c r="J759" s="10" t="s">
        <v>1735</v>
      </c>
      <c r="K759" s="12">
        <v>46000</v>
      </c>
      <c r="L759" s="28" t="s">
        <v>11</v>
      </c>
      <c r="M759" s="14"/>
      <c r="N759" s="10" t="s">
        <v>1096</v>
      </c>
    </row>
    <row r="760" spans="1:14" ht="22.5" customHeight="1">
      <c r="A760" s="8">
        <v>46000.38138337963</v>
      </c>
      <c r="B760" s="9" t="s">
        <v>14</v>
      </c>
      <c r="C760" s="9" t="s">
        <v>15</v>
      </c>
      <c r="D760" s="10" t="s">
        <v>1736</v>
      </c>
      <c r="E760" s="9" t="s">
        <v>22</v>
      </c>
      <c r="F760" s="10">
        <v>18</v>
      </c>
      <c r="G760" s="11">
        <v>7073076828</v>
      </c>
      <c r="H760" s="10" t="s">
        <v>1737</v>
      </c>
      <c r="I760" s="10" t="s">
        <v>49</v>
      </c>
      <c r="J760" s="10" t="s">
        <v>229</v>
      </c>
      <c r="K760" s="12">
        <v>46000</v>
      </c>
      <c r="L760" s="28" t="s">
        <v>11</v>
      </c>
      <c r="M760" s="14"/>
      <c r="N760" s="10" t="s">
        <v>1028</v>
      </c>
    </row>
    <row r="761" spans="1:14" ht="22.5" customHeight="1">
      <c r="A761" s="8">
        <v>46000.414359525465</v>
      </c>
      <c r="B761" s="9" t="s">
        <v>14</v>
      </c>
      <c r="C761" s="9" t="s">
        <v>15</v>
      </c>
      <c r="D761" s="10" t="s">
        <v>1738</v>
      </c>
      <c r="E761" s="9" t="s">
        <v>22</v>
      </c>
      <c r="F761" s="10">
        <v>30</v>
      </c>
      <c r="G761" s="11">
        <v>8135710579</v>
      </c>
      <c r="H761" s="10" t="s">
        <v>1739</v>
      </c>
      <c r="I761" s="10" t="s">
        <v>49</v>
      </c>
      <c r="J761" s="10" t="s">
        <v>50</v>
      </c>
      <c r="K761" s="12">
        <v>46000</v>
      </c>
      <c r="L761" s="28" t="s">
        <v>11</v>
      </c>
      <c r="M761" s="14"/>
      <c r="N761" s="10" t="s">
        <v>1140</v>
      </c>
    </row>
    <row r="762" spans="1:14" ht="22.5" customHeight="1">
      <c r="A762" s="8">
        <v>46000.442692152777</v>
      </c>
      <c r="B762" s="9" t="s">
        <v>14</v>
      </c>
      <c r="C762" s="9" t="s">
        <v>15</v>
      </c>
      <c r="D762" s="10" t="s">
        <v>1740</v>
      </c>
      <c r="E762" s="9" t="s">
        <v>17</v>
      </c>
      <c r="F762" s="10">
        <v>26</v>
      </c>
      <c r="G762" s="11">
        <v>7067977143</v>
      </c>
      <c r="H762" s="10" t="s">
        <v>1741</v>
      </c>
      <c r="I762" s="10" t="s">
        <v>49</v>
      </c>
      <c r="J762" s="10" t="s">
        <v>109</v>
      </c>
      <c r="K762" s="12">
        <v>46000</v>
      </c>
      <c r="L762" s="28" t="s">
        <v>11</v>
      </c>
      <c r="M762" s="14"/>
      <c r="N762" s="10" t="s">
        <v>1028</v>
      </c>
    </row>
    <row r="763" spans="1:14" ht="22.5" customHeight="1">
      <c r="A763" s="8">
        <v>46000.510128009264</v>
      </c>
      <c r="B763" s="9" t="s">
        <v>14</v>
      </c>
      <c r="C763" s="9" t="s">
        <v>15</v>
      </c>
      <c r="D763" s="10" t="s">
        <v>1742</v>
      </c>
      <c r="E763" s="9" t="s">
        <v>22</v>
      </c>
      <c r="F763" s="10">
        <v>24</v>
      </c>
      <c r="G763" s="11">
        <v>8125321371</v>
      </c>
      <c r="H763" s="10" t="s">
        <v>1743</v>
      </c>
      <c r="I763" s="10" t="s">
        <v>45</v>
      </c>
      <c r="J763" s="10" t="s">
        <v>688</v>
      </c>
      <c r="K763" s="12">
        <v>46000</v>
      </c>
      <c r="L763" s="28" t="s">
        <v>11</v>
      </c>
      <c r="M763" s="14"/>
      <c r="N763" s="10" t="s">
        <v>1028</v>
      </c>
    </row>
    <row r="764" spans="1:14" ht="22.5" customHeight="1">
      <c r="A764" s="8">
        <v>46000.517845347218</v>
      </c>
      <c r="B764" s="9" t="s">
        <v>14</v>
      </c>
      <c r="C764" s="9" t="s">
        <v>15</v>
      </c>
      <c r="D764" s="10" t="s">
        <v>1744</v>
      </c>
      <c r="E764" s="9" t="s">
        <v>22</v>
      </c>
      <c r="F764" s="10">
        <v>25</v>
      </c>
      <c r="G764" s="11">
        <v>8064736639</v>
      </c>
      <c r="H764" s="10" t="s">
        <v>1745</v>
      </c>
      <c r="I764" s="10" t="s">
        <v>45</v>
      </c>
      <c r="J764" s="10" t="s">
        <v>1191</v>
      </c>
      <c r="K764" s="12">
        <v>46000</v>
      </c>
      <c r="L764" s="28" t="s">
        <v>11</v>
      </c>
      <c r="M764" s="14"/>
      <c r="N764" s="10" t="s">
        <v>1028</v>
      </c>
    </row>
    <row r="765" spans="1:14" ht="22.5" customHeight="1">
      <c r="A765" s="8">
        <v>46000.554427939816</v>
      </c>
      <c r="B765" s="9" t="s">
        <v>14</v>
      </c>
      <c r="C765" s="9" t="s">
        <v>15</v>
      </c>
      <c r="D765" s="10" t="s">
        <v>1746</v>
      </c>
      <c r="E765" s="9" t="s">
        <v>22</v>
      </c>
      <c r="F765" s="10">
        <v>21</v>
      </c>
      <c r="G765" s="11">
        <v>9063428684</v>
      </c>
      <c r="H765" s="10" t="s">
        <v>1747</v>
      </c>
      <c r="I765" s="10" t="s">
        <v>27</v>
      </c>
      <c r="J765" s="10" t="s">
        <v>94</v>
      </c>
      <c r="K765" s="12">
        <v>46000</v>
      </c>
      <c r="L765" s="28" t="s">
        <v>11</v>
      </c>
      <c r="M765" s="14"/>
      <c r="N765" s="10" t="s">
        <v>1028</v>
      </c>
    </row>
    <row r="766" spans="1:14" ht="22.5" customHeight="1">
      <c r="A766" s="8">
        <v>46000.566836446756</v>
      </c>
      <c r="B766" s="9" t="s">
        <v>14</v>
      </c>
      <c r="C766" s="9" t="s">
        <v>15</v>
      </c>
      <c r="D766" s="10" t="s">
        <v>1748</v>
      </c>
      <c r="E766" s="9" t="s">
        <v>22</v>
      </c>
      <c r="F766" s="10">
        <v>35</v>
      </c>
      <c r="G766" s="11">
        <v>7033030601</v>
      </c>
      <c r="H766" s="10" t="s">
        <v>1749</v>
      </c>
      <c r="I766" s="10" t="s">
        <v>49</v>
      </c>
      <c r="J766" s="10" t="s">
        <v>50</v>
      </c>
      <c r="K766" s="12">
        <v>46000</v>
      </c>
      <c r="L766" s="28" t="s">
        <v>11</v>
      </c>
      <c r="M766" s="14"/>
      <c r="N766" s="10" t="s">
        <v>1028</v>
      </c>
    </row>
    <row r="767" spans="1:14" ht="22.5" customHeight="1">
      <c r="A767" s="8">
        <v>46000.621101296296</v>
      </c>
      <c r="B767" s="9" t="s">
        <v>14</v>
      </c>
      <c r="C767" s="9" t="s">
        <v>15</v>
      </c>
      <c r="D767" s="10" t="s">
        <v>1750</v>
      </c>
      <c r="E767" s="9" t="s">
        <v>17</v>
      </c>
      <c r="F767" s="10">
        <v>28</v>
      </c>
      <c r="G767" s="11">
        <v>7062084657</v>
      </c>
      <c r="H767" s="10" t="s">
        <v>1751</v>
      </c>
      <c r="I767" s="10" t="s">
        <v>45</v>
      </c>
      <c r="J767" s="10" t="s">
        <v>46</v>
      </c>
      <c r="K767" s="12">
        <v>35524</v>
      </c>
      <c r="L767" s="28" t="s">
        <v>11</v>
      </c>
      <c r="M767" s="10"/>
      <c r="N767" s="10" t="s">
        <v>1028</v>
      </c>
    </row>
    <row r="768" spans="1:14" ht="22.5" customHeight="1">
      <c r="A768" s="8">
        <v>46000.628182685185</v>
      </c>
      <c r="B768" s="9" t="s">
        <v>14</v>
      </c>
      <c r="C768" s="9" t="s">
        <v>15</v>
      </c>
      <c r="D768" s="10" t="s">
        <v>1752</v>
      </c>
      <c r="E768" s="9" t="s">
        <v>17</v>
      </c>
      <c r="F768" s="10">
        <v>27</v>
      </c>
      <c r="G768" s="11">
        <v>8062929557</v>
      </c>
      <c r="H768" s="10" t="s">
        <v>1753</v>
      </c>
      <c r="I768" s="10" t="s">
        <v>27</v>
      </c>
      <c r="J768" s="10" t="s">
        <v>70</v>
      </c>
      <c r="K768" s="12">
        <v>46000</v>
      </c>
      <c r="L768" s="28" t="s">
        <v>11</v>
      </c>
      <c r="M768" s="14"/>
      <c r="N768" s="10" t="s">
        <v>1028</v>
      </c>
    </row>
    <row r="769" spans="1:14" ht="22.5" hidden="1" customHeight="1">
      <c r="A769" s="8">
        <v>46000.641088240736</v>
      </c>
      <c r="B769" s="9" t="s">
        <v>14</v>
      </c>
      <c r="C769" s="9" t="s">
        <v>15</v>
      </c>
      <c r="D769" s="10" t="s">
        <v>1754</v>
      </c>
      <c r="E769" s="9" t="s">
        <v>22</v>
      </c>
      <c r="F769" s="10">
        <v>28</v>
      </c>
      <c r="G769" s="11">
        <v>9035648235</v>
      </c>
      <c r="H769" s="10" t="s">
        <v>1755</v>
      </c>
      <c r="I769" s="10" t="s">
        <v>27</v>
      </c>
      <c r="J769" s="10" t="s">
        <v>70</v>
      </c>
      <c r="K769" s="12">
        <v>45999</v>
      </c>
      <c r="L769" s="10" t="s">
        <v>441</v>
      </c>
      <c r="M769" s="10" t="s">
        <v>1361</v>
      </c>
      <c r="N769" s="10" t="s">
        <v>1028</v>
      </c>
    </row>
    <row r="770" spans="1:14" ht="22.5" customHeight="1">
      <c r="A770" s="8">
        <v>46000.65108116898</v>
      </c>
      <c r="B770" s="9" t="s">
        <v>14</v>
      </c>
      <c r="C770" s="9" t="s">
        <v>15</v>
      </c>
      <c r="D770" s="10" t="s">
        <v>1756</v>
      </c>
      <c r="E770" s="9" t="s">
        <v>22</v>
      </c>
      <c r="F770" s="10">
        <v>25</v>
      </c>
      <c r="G770" s="11">
        <v>9056487498</v>
      </c>
      <c r="H770" s="10" t="s">
        <v>1757</v>
      </c>
      <c r="I770" s="10" t="s">
        <v>49</v>
      </c>
      <c r="J770" s="10" t="s">
        <v>157</v>
      </c>
      <c r="K770" s="12">
        <v>46000</v>
      </c>
      <c r="L770" s="28" t="s">
        <v>11</v>
      </c>
      <c r="M770" s="14"/>
      <c r="N770" s="10" t="s">
        <v>1028</v>
      </c>
    </row>
    <row r="771" spans="1:14" ht="22.5" customHeight="1">
      <c r="A771" s="8">
        <v>46000.70334133102</v>
      </c>
      <c r="B771" s="9" t="s">
        <v>14</v>
      </c>
      <c r="C771" s="9" t="s">
        <v>15</v>
      </c>
      <c r="D771" s="10" t="s">
        <v>1758</v>
      </c>
      <c r="E771" s="9" t="s">
        <v>17</v>
      </c>
      <c r="F771" s="10">
        <v>41</v>
      </c>
      <c r="G771" s="11">
        <v>7034934251</v>
      </c>
      <c r="H771" s="10" t="s">
        <v>1759</v>
      </c>
      <c r="I771" s="10" t="s">
        <v>49</v>
      </c>
      <c r="J771" s="10" t="s">
        <v>106</v>
      </c>
      <c r="K771" s="12">
        <v>46000</v>
      </c>
      <c r="L771" s="28" t="s">
        <v>11</v>
      </c>
      <c r="M771" s="14"/>
      <c r="N771" s="10" t="s">
        <v>1028</v>
      </c>
    </row>
    <row r="772" spans="1:14" ht="22.5" customHeight="1">
      <c r="A772" s="8">
        <v>46000.703679363425</v>
      </c>
      <c r="B772" s="9" t="s">
        <v>14</v>
      </c>
      <c r="C772" s="9" t="s">
        <v>15</v>
      </c>
      <c r="D772" s="10" t="s">
        <v>1760</v>
      </c>
      <c r="E772" s="9" t="s">
        <v>17</v>
      </c>
      <c r="F772" s="10">
        <v>33</v>
      </c>
      <c r="G772" s="11">
        <v>8140649121</v>
      </c>
      <c r="H772" s="10" t="s">
        <v>1761</v>
      </c>
      <c r="I772" s="10" t="s">
        <v>31</v>
      </c>
      <c r="J772" s="10" t="s">
        <v>36</v>
      </c>
      <c r="K772" s="12">
        <v>46000</v>
      </c>
      <c r="L772" s="28" t="s">
        <v>11</v>
      </c>
      <c r="M772" s="14"/>
      <c r="N772" s="10" t="s">
        <v>1028</v>
      </c>
    </row>
    <row r="773" spans="1:14" ht="22.5" customHeight="1">
      <c r="A773" s="8">
        <v>46000.723164374998</v>
      </c>
      <c r="B773" s="9" t="s">
        <v>14</v>
      </c>
      <c r="C773" s="9" t="s">
        <v>15</v>
      </c>
      <c r="D773" s="10" t="s">
        <v>1762</v>
      </c>
      <c r="E773" s="9" t="s">
        <v>22</v>
      </c>
      <c r="F773" s="10">
        <v>27</v>
      </c>
      <c r="G773" s="11">
        <v>8131603179</v>
      </c>
      <c r="H773" s="10" t="s">
        <v>1763</v>
      </c>
      <c r="I773" s="10" t="s">
        <v>45</v>
      </c>
      <c r="J773" s="10" t="s">
        <v>1247</v>
      </c>
      <c r="K773" s="12">
        <v>46000</v>
      </c>
      <c r="L773" s="28" t="s">
        <v>11</v>
      </c>
      <c r="M773" s="14"/>
      <c r="N773" s="10" t="s">
        <v>1764</v>
      </c>
    </row>
    <row r="774" spans="1:14" ht="22.5" customHeight="1">
      <c r="A774" s="8">
        <v>46000.734976446758</v>
      </c>
      <c r="B774" s="9" t="s">
        <v>14</v>
      </c>
      <c r="C774" s="9" t="s">
        <v>15</v>
      </c>
      <c r="D774" s="10" t="s">
        <v>1765</v>
      </c>
      <c r="E774" s="9" t="s">
        <v>17</v>
      </c>
      <c r="F774" s="10">
        <v>45</v>
      </c>
      <c r="G774" s="11">
        <v>8062284036</v>
      </c>
      <c r="H774" s="10" t="s">
        <v>1766</v>
      </c>
      <c r="I774" s="10" t="s">
        <v>49</v>
      </c>
      <c r="J774" s="10" t="s">
        <v>628</v>
      </c>
      <c r="K774" s="12">
        <v>46000</v>
      </c>
      <c r="L774" s="28" t="s">
        <v>11</v>
      </c>
      <c r="M774" s="14"/>
      <c r="N774" s="10" t="s">
        <v>1028</v>
      </c>
    </row>
    <row r="775" spans="1:14" ht="22.5" customHeight="1">
      <c r="A775" s="8">
        <v>46000.744239432868</v>
      </c>
      <c r="B775" s="9" t="s">
        <v>14</v>
      </c>
      <c r="C775" s="9" t="s">
        <v>15</v>
      </c>
      <c r="D775" s="10" t="s">
        <v>1767</v>
      </c>
      <c r="E775" s="9" t="s">
        <v>17</v>
      </c>
      <c r="F775" s="10">
        <v>27</v>
      </c>
      <c r="G775" s="11">
        <v>8102594889</v>
      </c>
      <c r="H775" s="10" t="s">
        <v>1768</v>
      </c>
      <c r="I775" s="10" t="s">
        <v>45</v>
      </c>
      <c r="J775" s="10" t="s">
        <v>1769</v>
      </c>
      <c r="K775" s="12">
        <v>46000</v>
      </c>
      <c r="L775" s="28" t="s">
        <v>11</v>
      </c>
      <c r="M775" s="14"/>
      <c r="N775" s="10" t="s">
        <v>1096</v>
      </c>
    </row>
    <row r="776" spans="1:14" ht="22.5" customHeight="1">
      <c r="A776" s="8">
        <v>46000.752212685184</v>
      </c>
      <c r="B776" s="9" t="s">
        <v>14</v>
      </c>
      <c r="C776" s="9" t="s">
        <v>15</v>
      </c>
      <c r="D776" s="10" t="s">
        <v>1770</v>
      </c>
      <c r="E776" s="9" t="s">
        <v>17</v>
      </c>
      <c r="F776" s="10">
        <v>33</v>
      </c>
      <c r="G776" s="11">
        <v>7067641684</v>
      </c>
      <c r="H776" s="10" t="s">
        <v>1771</v>
      </c>
      <c r="I776" s="10" t="s">
        <v>49</v>
      </c>
      <c r="J776" s="10" t="s">
        <v>628</v>
      </c>
      <c r="K776" s="12">
        <v>46000</v>
      </c>
      <c r="L776" s="28" t="s">
        <v>11</v>
      </c>
      <c r="M776" s="14"/>
      <c r="N776" s="10" t="s">
        <v>1028</v>
      </c>
    </row>
    <row r="777" spans="1:14" ht="22.5" customHeight="1">
      <c r="A777" s="8">
        <v>46000.773199016199</v>
      </c>
      <c r="B777" s="9" t="s">
        <v>14</v>
      </c>
      <c r="C777" s="9" t="s">
        <v>15</v>
      </c>
      <c r="D777" s="10" t="s">
        <v>1772</v>
      </c>
      <c r="E777" s="9" t="s">
        <v>17</v>
      </c>
      <c r="F777" s="10">
        <v>27</v>
      </c>
      <c r="G777" s="11">
        <v>8148710646</v>
      </c>
      <c r="H777" s="10" t="s">
        <v>1773</v>
      </c>
      <c r="I777" s="10" t="s">
        <v>45</v>
      </c>
      <c r="J777" s="10" t="s">
        <v>1774</v>
      </c>
      <c r="K777" s="12">
        <v>46000</v>
      </c>
      <c r="L777" s="28" t="s">
        <v>11</v>
      </c>
      <c r="M777" s="14"/>
      <c r="N777" s="10" t="s">
        <v>1028</v>
      </c>
    </row>
    <row r="778" spans="1:14" ht="22.5" customHeight="1">
      <c r="A778" s="8">
        <v>46000.786687175925</v>
      </c>
      <c r="B778" s="9" t="s">
        <v>14</v>
      </c>
      <c r="C778" s="9" t="s">
        <v>15</v>
      </c>
      <c r="D778" s="10" t="s">
        <v>1775</v>
      </c>
      <c r="E778" s="9" t="s">
        <v>17</v>
      </c>
      <c r="F778" s="10">
        <v>25</v>
      </c>
      <c r="G778" s="11">
        <v>8147312795</v>
      </c>
      <c r="H778" s="10" t="s">
        <v>1776</v>
      </c>
      <c r="I778" s="10" t="s">
        <v>19</v>
      </c>
      <c r="J778" s="10" t="s">
        <v>1777</v>
      </c>
      <c r="K778" s="12">
        <v>46000</v>
      </c>
      <c r="L778" s="28" t="s">
        <v>11</v>
      </c>
      <c r="M778" s="14"/>
      <c r="N778" s="10" t="s">
        <v>1096</v>
      </c>
    </row>
    <row r="779" spans="1:14" ht="22.5" customHeight="1">
      <c r="A779" s="8">
        <v>46000.803075520831</v>
      </c>
      <c r="B779" s="9" t="s">
        <v>14</v>
      </c>
      <c r="C779" s="9" t="s">
        <v>15</v>
      </c>
      <c r="D779" s="10" t="s">
        <v>1778</v>
      </c>
      <c r="E779" s="9" t="s">
        <v>17</v>
      </c>
      <c r="F779" s="10">
        <v>28</v>
      </c>
      <c r="G779" s="11">
        <v>9034685752</v>
      </c>
      <c r="H779" s="10" t="s">
        <v>1779</v>
      </c>
      <c r="I779" s="10" t="s">
        <v>45</v>
      </c>
      <c r="J779" s="10" t="s">
        <v>46</v>
      </c>
      <c r="K779" s="12">
        <v>46000</v>
      </c>
      <c r="L779" s="28" t="s">
        <v>11</v>
      </c>
      <c r="M779" s="14"/>
      <c r="N779" s="10" t="s">
        <v>1096</v>
      </c>
    </row>
    <row r="780" spans="1:14" ht="22.5" customHeight="1">
      <c r="A780" s="8">
        <v>46000.817206030093</v>
      </c>
      <c r="B780" s="9" t="s">
        <v>14</v>
      </c>
      <c r="C780" s="9" t="s">
        <v>15</v>
      </c>
      <c r="D780" s="10" t="s">
        <v>1780</v>
      </c>
      <c r="E780" s="9" t="s">
        <v>17</v>
      </c>
      <c r="F780" s="10">
        <v>33</v>
      </c>
      <c r="G780" s="11">
        <v>7038458563</v>
      </c>
      <c r="H780" s="10" t="s">
        <v>1781</v>
      </c>
      <c r="I780" s="10" t="s">
        <v>45</v>
      </c>
      <c r="J780" s="10" t="s">
        <v>46</v>
      </c>
      <c r="K780" s="12">
        <v>46000</v>
      </c>
      <c r="L780" s="28" t="s">
        <v>11</v>
      </c>
      <c r="M780" s="14"/>
      <c r="N780" s="10" t="s">
        <v>1028</v>
      </c>
    </row>
    <row r="781" spans="1:14" ht="22.5" customHeight="1">
      <c r="A781" s="8">
        <v>46000.859503935186</v>
      </c>
      <c r="B781" s="9" t="s">
        <v>14</v>
      </c>
      <c r="C781" s="9" t="s">
        <v>15</v>
      </c>
      <c r="D781" s="10" t="s">
        <v>1782</v>
      </c>
      <c r="E781" s="9" t="s">
        <v>17</v>
      </c>
      <c r="F781" s="10">
        <v>32</v>
      </c>
      <c r="G781" s="11">
        <v>7065296126</v>
      </c>
      <c r="H781" s="10" t="s">
        <v>1783</v>
      </c>
      <c r="I781" s="10" t="s">
        <v>45</v>
      </c>
      <c r="J781" s="10" t="s">
        <v>46</v>
      </c>
      <c r="K781" s="12">
        <v>46000</v>
      </c>
      <c r="L781" s="28" t="s">
        <v>11</v>
      </c>
      <c r="M781" s="14"/>
      <c r="N781" s="10" t="s">
        <v>1028</v>
      </c>
    </row>
    <row r="782" spans="1:14" ht="22.5" customHeight="1">
      <c r="A782" s="8">
        <v>46001.218519953705</v>
      </c>
      <c r="B782" s="9" t="s">
        <v>14</v>
      </c>
      <c r="C782" s="9" t="s">
        <v>15</v>
      </c>
      <c r="D782" s="10" t="s">
        <v>1784</v>
      </c>
      <c r="E782" s="9" t="s">
        <v>17</v>
      </c>
      <c r="F782" s="10">
        <v>31</v>
      </c>
      <c r="G782" s="11">
        <v>9123986893</v>
      </c>
      <c r="H782" s="10" t="s">
        <v>1785</v>
      </c>
      <c r="I782" s="10" t="s">
        <v>31</v>
      </c>
      <c r="J782" s="10" t="s">
        <v>1786</v>
      </c>
      <c r="K782" s="12">
        <v>46001</v>
      </c>
      <c r="L782" s="28" t="s">
        <v>11</v>
      </c>
      <c r="M782" s="14"/>
      <c r="N782" s="10" t="s">
        <v>1028</v>
      </c>
    </row>
    <row r="783" spans="1:14" ht="22.5" customHeight="1">
      <c r="A783" s="8">
        <v>46001.270323738427</v>
      </c>
      <c r="B783" s="9" t="s">
        <v>14</v>
      </c>
      <c r="C783" s="9" t="s">
        <v>15</v>
      </c>
      <c r="D783" s="10" t="s">
        <v>1787</v>
      </c>
      <c r="E783" s="9" t="s">
        <v>17</v>
      </c>
      <c r="F783" s="10">
        <v>25</v>
      </c>
      <c r="G783" s="11">
        <v>9030489722</v>
      </c>
      <c r="H783" s="10" t="s">
        <v>1788</v>
      </c>
      <c r="I783" s="10" t="s">
        <v>45</v>
      </c>
      <c r="J783" s="10" t="s">
        <v>932</v>
      </c>
      <c r="K783" s="12">
        <v>36722</v>
      </c>
      <c r="L783" s="28" t="s">
        <v>11</v>
      </c>
      <c r="M783" s="14"/>
      <c r="N783" s="10" t="s">
        <v>1028</v>
      </c>
    </row>
    <row r="784" spans="1:14" ht="22.5" customHeight="1">
      <c r="A784" s="8">
        <v>46001.388962152778</v>
      </c>
      <c r="B784" s="9" t="s">
        <v>14</v>
      </c>
      <c r="C784" s="9" t="s">
        <v>15</v>
      </c>
      <c r="D784" s="10" t="s">
        <v>1789</v>
      </c>
      <c r="E784" s="9" t="s">
        <v>17</v>
      </c>
      <c r="F784" s="10">
        <v>33</v>
      </c>
      <c r="G784" s="11">
        <v>7039323040</v>
      </c>
      <c r="H784" s="10" t="s">
        <v>1790</v>
      </c>
      <c r="I784" s="10" t="s">
        <v>49</v>
      </c>
      <c r="J784" s="10" t="s">
        <v>282</v>
      </c>
      <c r="K784" s="12">
        <v>46001</v>
      </c>
      <c r="L784" s="28" t="s">
        <v>11</v>
      </c>
      <c r="M784" s="14"/>
      <c r="N784" s="10" t="s">
        <v>1096</v>
      </c>
    </row>
    <row r="785" spans="1:14" ht="22.5" customHeight="1">
      <c r="A785" s="8">
        <v>46001.50748137731</v>
      </c>
      <c r="B785" s="9" t="s">
        <v>14</v>
      </c>
      <c r="C785" s="9" t="s">
        <v>15</v>
      </c>
      <c r="D785" s="10" t="s">
        <v>1791</v>
      </c>
      <c r="E785" s="9" t="s">
        <v>17</v>
      </c>
      <c r="F785" s="10">
        <v>26</v>
      </c>
      <c r="G785" s="11">
        <v>9034039628</v>
      </c>
      <c r="H785" s="10" t="s">
        <v>1792</v>
      </c>
      <c r="I785" s="10" t="s">
        <v>27</v>
      </c>
      <c r="J785" s="10" t="s">
        <v>1793</v>
      </c>
      <c r="K785" s="12">
        <v>46001</v>
      </c>
      <c r="L785" s="28" t="s">
        <v>11</v>
      </c>
      <c r="M785" s="14"/>
      <c r="N785" s="10" t="s">
        <v>1028</v>
      </c>
    </row>
    <row r="786" spans="1:14" ht="22.5" customHeight="1">
      <c r="A786" s="8">
        <v>46001.508592407408</v>
      </c>
      <c r="B786" s="9" t="s">
        <v>14</v>
      </c>
      <c r="C786" s="9" t="s">
        <v>15</v>
      </c>
      <c r="D786" s="10" t="s">
        <v>1794</v>
      </c>
      <c r="E786" s="9" t="s">
        <v>22</v>
      </c>
      <c r="F786" s="10">
        <v>27</v>
      </c>
      <c r="G786" s="11">
        <v>8137621615</v>
      </c>
      <c r="H786" s="10" t="s">
        <v>1795</v>
      </c>
      <c r="I786" s="10" t="s">
        <v>49</v>
      </c>
      <c r="J786" s="10" t="s">
        <v>232</v>
      </c>
      <c r="K786" s="12">
        <v>46001</v>
      </c>
      <c r="L786" s="28" t="s">
        <v>11</v>
      </c>
      <c r="M786" s="14"/>
      <c r="N786" s="10" t="s">
        <v>1028</v>
      </c>
    </row>
    <row r="787" spans="1:14" ht="22.5" customHeight="1">
      <c r="A787" s="8">
        <v>46001.522027893516</v>
      </c>
      <c r="B787" s="9" t="s">
        <v>14</v>
      </c>
      <c r="C787" s="9" t="s">
        <v>15</v>
      </c>
      <c r="D787" s="10" t="s">
        <v>1796</v>
      </c>
      <c r="E787" s="9" t="s">
        <v>17</v>
      </c>
      <c r="F787" s="10">
        <v>36</v>
      </c>
      <c r="G787" s="11">
        <v>8138464669</v>
      </c>
      <c r="H787" s="10" t="s">
        <v>1797</v>
      </c>
      <c r="I787" s="10" t="s">
        <v>31</v>
      </c>
      <c r="J787" s="10" t="s">
        <v>39</v>
      </c>
      <c r="K787" s="12">
        <v>46001</v>
      </c>
      <c r="L787" s="28" t="s">
        <v>11</v>
      </c>
      <c r="M787" s="14"/>
      <c r="N787" s="10" t="s">
        <v>1028</v>
      </c>
    </row>
    <row r="788" spans="1:14" ht="22.5" customHeight="1">
      <c r="A788" s="8">
        <v>46001.536004351852</v>
      </c>
      <c r="B788" s="9" t="s">
        <v>14</v>
      </c>
      <c r="C788" s="9" t="s">
        <v>15</v>
      </c>
      <c r="D788" s="10" t="s">
        <v>1798</v>
      </c>
      <c r="E788" s="9" t="s">
        <v>17</v>
      </c>
      <c r="F788" s="10">
        <v>30</v>
      </c>
      <c r="G788" s="11">
        <v>8101841966</v>
      </c>
      <c r="H788" s="10" t="s">
        <v>1799</v>
      </c>
      <c r="I788" s="10" t="s">
        <v>27</v>
      </c>
      <c r="J788" s="10" t="s">
        <v>172</v>
      </c>
      <c r="K788" s="12">
        <v>46001</v>
      </c>
      <c r="L788" s="28" t="s">
        <v>11</v>
      </c>
      <c r="M788" s="14"/>
      <c r="N788" s="10" t="s">
        <v>1028</v>
      </c>
    </row>
    <row r="789" spans="1:14" ht="22.5" customHeight="1">
      <c r="A789" s="8">
        <v>46001.5369096875</v>
      </c>
      <c r="B789" s="9" t="s">
        <v>14</v>
      </c>
      <c r="C789" s="9" t="s">
        <v>15</v>
      </c>
      <c r="D789" s="10" t="s">
        <v>1800</v>
      </c>
      <c r="E789" s="9" t="s">
        <v>22</v>
      </c>
      <c r="F789" s="10">
        <v>24</v>
      </c>
      <c r="G789" s="11">
        <v>7015794389</v>
      </c>
      <c r="H789" s="10" t="s">
        <v>1801</v>
      </c>
      <c r="I789" s="10" t="s">
        <v>45</v>
      </c>
      <c r="J789" s="10" t="s">
        <v>1802</v>
      </c>
      <c r="K789" s="12">
        <v>46001</v>
      </c>
      <c r="L789" s="28" t="s">
        <v>11</v>
      </c>
      <c r="M789" s="14"/>
      <c r="N789" s="10" t="s">
        <v>1028</v>
      </c>
    </row>
    <row r="790" spans="1:14" ht="22.5" customHeight="1">
      <c r="A790" s="8">
        <v>46001.548392523153</v>
      </c>
      <c r="B790" s="9" t="s">
        <v>14</v>
      </c>
      <c r="C790" s="9" t="s">
        <v>15</v>
      </c>
      <c r="D790" s="10" t="s">
        <v>1803</v>
      </c>
      <c r="E790" s="9" t="s">
        <v>22</v>
      </c>
      <c r="F790" s="10">
        <v>26</v>
      </c>
      <c r="G790" s="11">
        <v>8159374166</v>
      </c>
      <c r="H790" s="10" t="s">
        <v>1804</v>
      </c>
      <c r="I790" s="10" t="s">
        <v>45</v>
      </c>
      <c r="J790" s="10" t="s">
        <v>1805</v>
      </c>
      <c r="K790" s="12">
        <v>46001</v>
      </c>
      <c r="L790" s="28" t="s">
        <v>11</v>
      </c>
      <c r="M790" s="14"/>
      <c r="N790" s="10" t="s">
        <v>1028</v>
      </c>
    </row>
    <row r="791" spans="1:14" ht="22.5" customHeight="1">
      <c r="A791" s="8">
        <v>46001.555589050928</v>
      </c>
      <c r="B791" s="9" t="s">
        <v>14</v>
      </c>
      <c r="C791" s="9" t="s">
        <v>15</v>
      </c>
      <c r="D791" s="10" t="s">
        <v>1806</v>
      </c>
      <c r="E791" s="9" t="s">
        <v>22</v>
      </c>
      <c r="F791" s="10">
        <v>28</v>
      </c>
      <c r="G791" s="11">
        <v>8131298454</v>
      </c>
      <c r="H791" s="10" t="s">
        <v>1807</v>
      </c>
      <c r="I791" s="10" t="s">
        <v>31</v>
      </c>
      <c r="J791" s="10" t="s">
        <v>1808</v>
      </c>
      <c r="K791" s="12">
        <v>46001</v>
      </c>
      <c r="L791" s="28" t="s">
        <v>11</v>
      </c>
      <c r="M791" s="14"/>
      <c r="N791" s="10" t="s">
        <v>1028</v>
      </c>
    </row>
    <row r="792" spans="1:14" ht="22.5" customHeight="1">
      <c r="A792" s="8">
        <v>46001.568883993052</v>
      </c>
      <c r="B792" s="9" t="s">
        <v>14</v>
      </c>
      <c r="C792" s="9" t="s">
        <v>15</v>
      </c>
      <c r="D792" s="10" t="s">
        <v>1809</v>
      </c>
      <c r="E792" s="9" t="s">
        <v>22</v>
      </c>
      <c r="F792" s="10">
        <v>26</v>
      </c>
      <c r="G792" s="11">
        <v>9064318310</v>
      </c>
      <c r="H792" s="10" t="s">
        <v>1810</v>
      </c>
      <c r="I792" s="10" t="s">
        <v>27</v>
      </c>
      <c r="J792" s="10" t="s">
        <v>70</v>
      </c>
      <c r="K792" s="12">
        <v>46001</v>
      </c>
      <c r="L792" s="28" t="s">
        <v>11</v>
      </c>
      <c r="M792" s="14"/>
      <c r="N792" s="10" t="s">
        <v>1096</v>
      </c>
    </row>
    <row r="793" spans="1:14" ht="22.5" customHeight="1">
      <c r="A793" s="8">
        <v>46001.595744004633</v>
      </c>
      <c r="B793" s="9" t="s">
        <v>14</v>
      </c>
      <c r="C793" s="9" t="s">
        <v>15</v>
      </c>
      <c r="D793" s="10" t="s">
        <v>1811</v>
      </c>
      <c r="E793" s="9" t="s">
        <v>17</v>
      </c>
      <c r="F793" s="10">
        <v>25</v>
      </c>
      <c r="G793" s="11">
        <v>9039303161</v>
      </c>
      <c r="H793" s="10" t="s">
        <v>1812</v>
      </c>
      <c r="I793" s="10" t="s">
        <v>27</v>
      </c>
      <c r="J793" s="10" t="s">
        <v>1514</v>
      </c>
      <c r="K793" s="12">
        <v>46001</v>
      </c>
      <c r="L793" s="28" t="s">
        <v>11</v>
      </c>
      <c r="M793" s="14"/>
      <c r="N793" s="10" t="s">
        <v>1028</v>
      </c>
    </row>
    <row r="794" spans="1:14" ht="22.5" customHeight="1">
      <c r="A794" s="8">
        <v>46001.597158298609</v>
      </c>
      <c r="B794" s="9" t="s">
        <v>14</v>
      </c>
      <c r="C794" s="9" t="s">
        <v>15</v>
      </c>
      <c r="D794" s="10" t="s">
        <v>1813</v>
      </c>
      <c r="E794" s="9" t="s">
        <v>17</v>
      </c>
      <c r="F794" s="10">
        <v>36</v>
      </c>
      <c r="G794" s="11">
        <v>8139598992</v>
      </c>
      <c r="H794" s="10" t="s">
        <v>1814</v>
      </c>
      <c r="I794" s="10" t="s">
        <v>27</v>
      </c>
      <c r="J794" s="10" t="s">
        <v>703</v>
      </c>
      <c r="K794" s="12">
        <v>46001</v>
      </c>
      <c r="L794" s="28" t="s">
        <v>11</v>
      </c>
      <c r="M794" s="14"/>
      <c r="N794" s="10" t="s">
        <v>1028</v>
      </c>
    </row>
    <row r="795" spans="1:14" ht="22.5" customHeight="1">
      <c r="A795" s="8">
        <v>46001.599778599542</v>
      </c>
      <c r="B795" s="9" t="s">
        <v>14</v>
      </c>
      <c r="C795" s="9" t="s">
        <v>15</v>
      </c>
      <c r="D795" s="10" t="s">
        <v>1815</v>
      </c>
      <c r="E795" s="9" t="s">
        <v>22</v>
      </c>
      <c r="F795" s="10">
        <v>25</v>
      </c>
      <c r="G795" s="11">
        <v>8080938627</v>
      </c>
      <c r="H795" s="10" t="s">
        <v>1816</v>
      </c>
      <c r="I795" s="10" t="s">
        <v>45</v>
      </c>
      <c r="J795" s="10" t="s">
        <v>279</v>
      </c>
      <c r="K795" s="12">
        <v>46001</v>
      </c>
      <c r="L795" s="28" t="s">
        <v>11</v>
      </c>
      <c r="M795" s="14"/>
      <c r="N795" s="10" t="s">
        <v>1028</v>
      </c>
    </row>
    <row r="796" spans="1:14" ht="22.5" customHeight="1">
      <c r="A796" s="8">
        <v>46001.600466701391</v>
      </c>
      <c r="B796" s="9" t="s">
        <v>14</v>
      </c>
      <c r="C796" s="9" t="s">
        <v>15</v>
      </c>
      <c r="D796" s="10" t="s">
        <v>1817</v>
      </c>
      <c r="E796" s="9" t="s">
        <v>17</v>
      </c>
      <c r="F796" s="10">
        <v>24</v>
      </c>
      <c r="G796" s="11">
        <v>9160774394</v>
      </c>
      <c r="H796" s="10" t="s">
        <v>1818</v>
      </c>
      <c r="I796" s="10" t="s">
        <v>27</v>
      </c>
      <c r="J796" s="10" t="s">
        <v>703</v>
      </c>
      <c r="K796" s="12">
        <v>46001</v>
      </c>
      <c r="L796" s="28" t="s">
        <v>11</v>
      </c>
      <c r="M796" s="14"/>
      <c r="N796" s="10" t="s">
        <v>1096</v>
      </c>
    </row>
    <row r="797" spans="1:14" ht="22.5" customHeight="1">
      <c r="A797" s="8">
        <v>46001.604572604163</v>
      </c>
      <c r="B797" s="9" t="s">
        <v>14</v>
      </c>
      <c r="C797" s="9" t="s">
        <v>15</v>
      </c>
      <c r="D797" s="10" t="s">
        <v>1819</v>
      </c>
      <c r="E797" s="9" t="s">
        <v>22</v>
      </c>
      <c r="F797" s="10">
        <v>28</v>
      </c>
      <c r="G797" s="11">
        <v>9069353038</v>
      </c>
      <c r="H797" s="10" t="s">
        <v>1820</v>
      </c>
      <c r="I797" s="10" t="s">
        <v>45</v>
      </c>
      <c r="J797" s="10" t="s">
        <v>125</v>
      </c>
      <c r="K797" s="12">
        <v>46001</v>
      </c>
      <c r="L797" s="28" t="s">
        <v>11</v>
      </c>
      <c r="M797" s="14"/>
      <c r="N797" s="10" t="s">
        <v>1028</v>
      </c>
    </row>
    <row r="798" spans="1:14" ht="22.5" customHeight="1">
      <c r="A798" s="8">
        <v>46001.60807412037</v>
      </c>
      <c r="B798" s="9" t="s">
        <v>14</v>
      </c>
      <c r="C798" s="9" t="s">
        <v>15</v>
      </c>
      <c r="D798" s="10" t="s">
        <v>1821</v>
      </c>
      <c r="E798" s="9" t="s">
        <v>17</v>
      </c>
      <c r="F798" s="10">
        <v>24</v>
      </c>
      <c r="G798" s="11">
        <v>8088817824</v>
      </c>
      <c r="H798" s="10" t="s">
        <v>1822</v>
      </c>
      <c r="I798" s="10" t="s">
        <v>27</v>
      </c>
      <c r="J798" s="10" t="s">
        <v>1559</v>
      </c>
      <c r="K798" s="12">
        <v>37557</v>
      </c>
      <c r="L798" s="28" t="s">
        <v>11</v>
      </c>
      <c r="M798" s="10"/>
      <c r="N798" s="10" t="s">
        <v>1096</v>
      </c>
    </row>
    <row r="799" spans="1:14" ht="22.5" customHeight="1">
      <c r="A799" s="8">
        <v>46001.611533136573</v>
      </c>
      <c r="B799" s="9" t="s">
        <v>14</v>
      </c>
      <c r="C799" s="9" t="s">
        <v>15</v>
      </c>
      <c r="D799" s="10" t="s">
        <v>1823</v>
      </c>
      <c r="E799" s="9" t="s">
        <v>22</v>
      </c>
      <c r="F799" s="10">
        <v>34</v>
      </c>
      <c r="G799" s="11">
        <v>7063636001</v>
      </c>
      <c r="H799" s="10" t="s">
        <v>1824</v>
      </c>
      <c r="I799" s="10" t="s">
        <v>49</v>
      </c>
      <c r="J799" s="10" t="s">
        <v>106</v>
      </c>
      <c r="K799" s="12">
        <v>46001</v>
      </c>
      <c r="L799" s="28" t="s">
        <v>11</v>
      </c>
      <c r="M799" s="14"/>
      <c r="N799" s="10" t="s">
        <v>1028</v>
      </c>
    </row>
    <row r="800" spans="1:14" ht="22.5" hidden="1" customHeight="1">
      <c r="A800" s="8">
        <v>46001.615377812501</v>
      </c>
      <c r="B800" s="9" t="s">
        <v>14</v>
      </c>
      <c r="C800" s="9" t="s">
        <v>15</v>
      </c>
      <c r="D800" s="10" t="s">
        <v>1825</v>
      </c>
      <c r="E800" s="9" t="s">
        <v>17</v>
      </c>
      <c r="F800" s="10">
        <v>32</v>
      </c>
      <c r="G800" s="11">
        <v>9070828485</v>
      </c>
      <c r="H800" s="10" t="s">
        <v>1826</v>
      </c>
      <c r="I800" s="10" t="s">
        <v>45</v>
      </c>
      <c r="J800" s="10" t="s">
        <v>46</v>
      </c>
      <c r="K800" s="12">
        <v>46001</v>
      </c>
      <c r="L800" s="10" t="s">
        <v>441</v>
      </c>
      <c r="M800" s="10" t="s">
        <v>1827</v>
      </c>
      <c r="N800" s="10" t="s">
        <v>1096</v>
      </c>
    </row>
    <row r="801" spans="1:14" ht="22.5" customHeight="1">
      <c r="A801" s="8">
        <v>46001.621573854165</v>
      </c>
      <c r="B801" s="9" t="s">
        <v>14</v>
      </c>
      <c r="C801" s="9" t="s">
        <v>15</v>
      </c>
      <c r="D801" s="10" t="s">
        <v>1828</v>
      </c>
      <c r="E801" s="9" t="s">
        <v>17</v>
      </c>
      <c r="F801" s="10">
        <v>32</v>
      </c>
      <c r="G801" s="11">
        <v>9035269139</v>
      </c>
      <c r="H801" s="10" t="s">
        <v>1829</v>
      </c>
      <c r="I801" s="10" t="s">
        <v>45</v>
      </c>
      <c r="J801" s="10" t="s">
        <v>1830</v>
      </c>
      <c r="K801" s="12">
        <v>46001</v>
      </c>
      <c r="L801" s="28" t="s">
        <v>11</v>
      </c>
      <c r="M801" s="14"/>
      <c r="N801" s="10" t="s">
        <v>1028</v>
      </c>
    </row>
    <row r="802" spans="1:14" ht="22.5" customHeight="1">
      <c r="A802" s="8">
        <v>46001.628667546298</v>
      </c>
      <c r="B802" s="9" t="s">
        <v>14</v>
      </c>
      <c r="C802" s="9" t="s">
        <v>15</v>
      </c>
      <c r="D802" s="10" t="s">
        <v>1831</v>
      </c>
      <c r="E802" s="9" t="s">
        <v>17</v>
      </c>
      <c r="F802" s="10">
        <v>29</v>
      </c>
      <c r="G802" s="11">
        <v>725775701</v>
      </c>
      <c r="H802" s="10" t="s">
        <v>1832</v>
      </c>
      <c r="I802" s="10" t="s">
        <v>19</v>
      </c>
      <c r="J802" s="10" t="s">
        <v>1833</v>
      </c>
      <c r="K802" s="12">
        <v>46001</v>
      </c>
      <c r="L802" s="28" t="s">
        <v>11</v>
      </c>
      <c r="M802" s="14"/>
      <c r="N802" s="10" t="s">
        <v>1028</v>
      </c>
    </row>
    <row r="803" spans="1:14" ht="22.5" customHeight="1">
      <c r="A803" s="8">
        <v>46001.629888437499</v>
      </c>
      <c r="B803" s="9" t="s">
        <v>14</v>
      </c>
      <c r="C803" s="9" t="s">
        <v>15</v>
      </c>
      <c r="D803" s="10" t="s">
        <v>1834</v>
      </c>
      <c r="E803" s="9" t="s">
        <v>17</v>
      </c>
      <c r="F803" s="10">
        <v>24</v>
      </c>
      <c r="G803" s="11">
        <v>8088817824</v>
      </c>
      <c r="H803" s="10" t="s">
        <v>1822</v>
      </c>
      <c r="I803" s="10" t="s">
        <v>27</v>
      </c>
      <c r="J803" s="10" t="s">
        <v>1559</v>
      </c>
      <c r="K803" s="12">
        <v>46001</v>
      </c>
      <c r="L803" s="28" t="s">
        <v>11</v>
      </c>
      <c r="M803" s="10"/>
      <c r="N803" s="10" t="s">
        <v>1096</v>
      </c>
    </row>
    <row r="804" spans="1:14" ht="22.5" customHeight="1">
      <c r="A804" s="8">
        <v>46001.638216967593</v>
      </c>
      <c r="B804" s="9" t="s">
        <v>14</v>
      </c>
      <c r="C804" s="9" t="s">
        <v>15</v>
      </c>
      <c r="D804" s="10" t="s">
        <v>1835</v>
      </c>
      <c r="E804" s="9" t="s">
        <v>17</v>
      </c>
      <c r="F804" s="10">
        <v>34</v>
      </c>
      <c r="G804" s="11">
        <v>7075758080</v>
      </c>
      <c r="H804" s="10" t="s">
        <v>1836</v>
      </c>
      <c r="I804" s="10" t="s">
        <v>49</v>
      </c>
      <c r="J804" s="10" t="s">
        <v>106</v>
      </c>
      <c r="K804" s="12">
        <v>46001</v>
      </c>
      <c r="L804" s="28" t="s">
        <v>11</v>
      </c>
      <c r="M804" s="10"/>
      <c r="N804" s="10" t="s">
        <v>1028</v>
      </c>
    </row>
    <row r="805" spans="1:14" ht="22.5" customHeight="1">
      <c r="A805" s="8">
        <v>46001.638987638886</v>
      </c>
      <c r="B805" s="9" t="s">
        <v>14</v>
      </c>
      <c r="C805" s="9" t="s">
        <v>15</v>
      </c>
      <c r="D805" s="10" t="s">
        <v>1837</v>
      </c>
      <c r="E805" s="9" t="s">
        <v>17</v>
      </c>
      <c r="F805" s="10">
        <v>27</v>
      </c>
      <c r="G805" s="11">
        <v>680591612</v>
      </c>
      <c r="H805" s="10" t="s">
        <v>1838</v>
      </c>
      <c r="I805" s="10" t="s">
        <v>202</v>
      </c>
      <c r="J805" s="10" t="s">
        <v>1839</v>
      </c>
      <c r="K805" s="12">
        <v>46001</v>
      </c>
      <c r="L805" s="28" t="s">
        <v>11</v>
      </c>
      <c r="M805" s="14"/>
      <c r="N805" s="10" t="s">
        <v>1840</v>
      </c>
    </row>
    <row r="806" spans="1:14" ht="22.5" customHeight="1">
      <c r="A806" s="8">
        <v>46001.646371469906</v>
      </c>
      <c r="B806" s="9" t="s">
        <v>14</v>
      </c>
      <c r="C806" s="9" t="s">
        <v>15</v>
      </c>
      <c r="D806" s="10" t="s">
        <v>1841</v>
      </c>
      <c r="E806" s="9" t="s">
        <v>22</v>
      </c>
      <c r="F806" s="10">
        <v>23</v>
      </c>
      <c r="G806" s="11">
        <v>9165675234</v>
      </c>
      <c r="H806" s="10" t="s">
        <v>1842</v>
      </c>
      <c r="I806" s="10" t="s">
        <v>31</v>
      </c>
      <c r="J806" s="10" t="s">
        <v>32</v>
      </c>
      <c r="K806" s="12">
        <v>46001</v>
      </c>
      <c r="L806" s="28" t="s">
        <v>11</v>
      </c>
      <c r="M806" s="14"/>
      <c r="N806" s="10" t="s">
        <v>1096</v>
      </c>
    </row>
    <row r="807" spans="1:14" ht="22.5" customHeight="1">
      <c r="A807" s="8">
        <v>46001.646856585648</v>
      </c>
      <c r="B807" s="9" t="s">
        <v>14</v>
      </c>
      <c r="C807" s="9" t="s">
        <v>15</v>
      </c>
      <c r="D807" s="10" t="s">
        <v>1843</v>
      </c>
      <c r="E807" s="9" t="s">
        <v>22</v>
      </c>
      <c r="F807" s="10">
        <v>31</v>
      </c>
      <c r="G807" s="11">
        <v>8069191990</v>
      </c>
      <c r="H807" s="10" t="s">
        <v>1844</v>
      </c>
      <c r="I807" s="10" t="s">
        <v>19</v>
      </c>
      <c r="J807" s="10" t="s">
        <v>1845</v>
      </c>
      <c r="K807" s="12">
        <v>46001</v>
      </c>
      <c r="L807" s="28" t="s">
        <v>11</v>
      </c>
      <c r="M807" s="14"/>
      <c r="N807" s="10" t="s">
        <v>1028</v>
      </c>
    </row>
    <row r="808" spans="1:14" ht="22.5" customHeight="1">
      <c r="A808" s="8">
        <v>46001.648938611106</v>
      </c>
      <c r="B808" s="9" t="s">
        <v>14</v>
      </c>
      <c r="C808" s="9" t="s">
        <v>15</v>
      </c>
      <c r="D808" s="10" t="s">
        <v>1846</v>
      </c>
      <c r="E808" s="9" t="s">
        <v>17</v>
      </c>
      <c r="F808" s="10">
        <v>35</v>
      </c>
      <c r="G808" s="11">
        <v>726713751</v>
      </c>
      <c r="H808" s="10" t="s">
        <v>1847</v>
      </c>
      <c r="I808" s="10" t="s">
        <v>202</v>
      </c>
      <c r="J808" s="10" t="s">
        <v>1848</v>
      </c>
      <c r="K808" s="12">
        <v>46001</v>
      </c>
      <c r="L808" s="28" t="s">
        <v>11</v>
      </c>
      <c r="M808" s="14"/>
      <c r="N808" s="10" t="s">
        <v>1028</v>
      </c>
    </row>
    <row r="809" spans="1:14" ht="22.5" customHeight="1">
      <c r="A809" s="8">
        <v>46001.649427152777</v>
      </c>
      <c r="B809" s="9" t="s">
        <v>14</v>
      </c>
      <c r="C809" s="9" t="s">
        <v>15</v>
      </c>
      <c r="D809" s="10" t="s">
        <v>1849</v>
      </c>
      <c r="E809" s="9" t="s">
        <v>17</v>
      </c>
      <c r="F809" s="10">
        <v>27</v>
      </c>
      <c r="G809" s="11">
        <v>9068775048</v>
      </c>
      <c r="H809" s="10" t="s">
        <v>1850</v>
      </c>
      <c r="I809" s="10" t="s">
        <v>45</v>
      </c>
      <c r="J809" s="10" t="s">
        <v>84</v>
      </c>
      <c r="K809" s="12">
        <v>46001</v>
      </c>
      <c r="L809" s="28" t="s">
        <v>11</v>
      </c>
      <c r="M809" s="14"/>
      <c r="N809" s="10" t="s">
        <v>1028</v>
      </c>
    </row>
    <row r="810" spans="1:14" ht="22.5" customHeight="1">
      <c r="A810" s="8">
        <v>46001.65831579861</v>
      </c>
      <c r="B810" s="9" t="s">
        <v>14</v>
      </c>
      <c r="C810" s="9" t="s">
        <v>15</v>
      </c>
      <c r="D810" s="10" t="s">
        <v>1851</v>
      </c>
      <c r="E810" s="9" t="s">
        <v>17</v>
      </c>
      <c r="F810" s="10">
        <v>33</v>
      </c>
      <c r="G810" s="11">
        <v>9097986071</v>
      </c>
      <c r="H810" s="10" t="s">
        <v>1852</v>
      </c>
      <c r="I810" s="10" t="s">
        <v>49</v>
      </c>
      <c r="J810" s="10" t="s">
        <v>1853</v>
      </c>
      <c r="K810" s="12">
        <v>46001</v>
      </c>
      <c r="L810" s="28" t="s">
        <v>11</v>
      </c>
      <c r="M810" s="14"/>
      <c r="N810" s="10" t="s">
        <v>1028</v>
      </c>
    </row>
    <row r="811" spans="1:14" ht="22.5" customHeight="1">
      <c r="A811" s="8">
        <v>46001.66093643519</v>
      </c>
      <c r="B811" s="9" t="s">
        <v>14</v>
      </c>
      <c r="C811" s="9" t="s">
        <v>15</v>
      </c>
      <c r="D811" s="10" t="s">
        <v>1854</v>
      </c>
      <c r="E811" s="9" t="s">
        <v>17</v>
      </c>
      <c r="F811" s="10">
        <v>28</v>
      </c>
      <c r="G811" s="11">
        <v>7014643819</v>
      </c>
      <c r="H811" s="10" t="s">
        <v>1855</v>
      </c>
      <c r="I811" s="10" t="s">
        <v>145</v>
      </c>
      <c r="J811" s="10" t="s">
        <v>1717</v>
      </c>
      <c r="K811" s="12">
        <v>46001</v>
      </c>
      <c r="L811" s="28" t="s">
        <v>11</v>
      </c>
      <c r="M811" s="14"/>
      <c r="N811" s="10" t="s">
        <v>1028</v>
      </c>
    </row>
    <row r="812" spans="1:14" ht="22.5" customHeight="1">
      <c r="A812" s="8">
        <v>46001.661006157403</v>
      </c>
      <c r="B812" s="9" t="s">
        <v>14</v>
      </c>
      <c r="C812" s="9" t="s">
        <v>15</v>
      </c>
      <c r="D812" s="10" t="s">
        <v>1856</v>
      </c>
      <c r="E812" s="9" t="s">
        <v>17</v>
      </c>
      <c r="F812" s="10">
        <v>26</v>
      </c>
      <c r="G812" s="11">
        <v>700622697</v>
      </c>
      <c r="H812" s="10" t="s">
        <v>1857</v>
      </c>
      <c r="I812" s="10" t="s">
        <v>31</v>
      </c>
      <c r="J812" s="10" t="s">
        <v>1848</v>
      </c>
      <c r="K812" s="12">
        <v>46001</v>
      </c>
      <c r="L812" s="28" t="s">
        <v>11</v>
      </c>
      <c r="M812" s="14"/>
      <c r="N812" s="10" t="s">
        <v>1028</v>
      </c>
    </row>
    <row r="813" spans="1:14" ht="22.5" customHeight="1">
      <c r="A813" s="8">
        <v>46001.668583252314</v>
      </c>
      <c r="B813" s="9" t="s">
        <v>14</v>
      </c>
      <c r="C813" s="9" t="s">
        <v>15</v>
      </c>
      <c r="D813" s="10" t="s">
        <v>123</v>
      </c>
      <c r="E813" s="9" t="s">
        <v>22</v>
      </c>
      <c r="F813" s="10">
        <v>25</v>
      </c>
      <c r="G813" s="11">
        <v>9166987275</v>
      </c>
      <c r="H813" s="10" t="s">
        <v>124</v>
      </c>
      <c r="I813" s="10" t="s">
        <v>45</v>
      </c>
      <c r="J813" s="10" t="s">
        <v>125</v>
      </c>
      <c r="K813" s="12">
        <v>46001</v>
      </c>
      <c r="L813" s="28" t="s">
        <v>11</v>
      </c>
      <c r="M813" s="14"/>
      <c r="N813" s="10" t="s">
        <v>1028</v>
      </c>
    </row>
    <row r="814" spans="1:14" ht="22.5" customHeight="1">
      <c r="A814" s="8">
        <v>46001.67120788194</v>
      </c>
      <c r="B814" s="9" t="s">
        <v>14</v>
      </c>
      <c r="C814" s="9" t="s">
        <v>15</v>
      </c>
      <c r="D814" s="10" t="s">
        <v>1858</v>
      </c>
      <c r="E814" s="9" t="s">
        <v>22</v>
      </c>
      <c r="F814" s="10">
        <v>23</v>
      </c>
      <c r="G814" s="11">
        <v>8137387953</v>
      </c>
      <c r="H814" s="10" t="s">
        <v>1859</v>
      </c>
      <c r="I814" s="10" t="s">
        <v>202</v>
      </c>
      <c r="J814" s="10" t="s">
        <v>1860</v>
      </c>
      <c r="K814" s="12">
        <v>46001</v>
      </c>
      <c r="L814" s="28" t="s">
        <v>11</v>
      </c>
      <c r="M814" s="14"/>
      <c r="N814" s="10" t="s">
        <v>1096</v>
      </c>
    </row>
    <row r="815" spans="1:14" ht="22.5" customHeight="1">
      <c r="A815" s="8">
        <v>46001.684888113421</v>
      </c>
      <c r="B815" s="9" t="s">
        <v>14</v>
      </c>
      <c r="C815" s="9" t="s">
        <v>15</v>
      </c>
      <c r="D815" s="10" t="s">
        <v>1861</v>
      </c>
      <c r="E815" s="9" t="s">
        <v>22</v>
      </c>
      <c r="F815" s="10">
        <v>36</v>
      </c>
      <c r="G815" s="11">
        <v>7035008292</v>
      </c>
      <c r="H815" s="10" t="s">
        <v>1862</v>
      </c>
      <c r="I815" s="10" t="s">
        <v>49</v>
      </c>
      <c r="J815" s="10" t="s">
        <v>50</v>
      </c>
      <c r="K815" s="12">
        <v>46001</v>
      </c>
      <c r="L815" s="28" t="s">
        <v>11</v>
      </c>
      <c r="M815" s="14"/>
      <c r="N815" s="10" t="s">
        <v>1028</v>
      </c>
    </row>
    <row r="816" spans="1:14" ht="22.5" customHeight="1">
      <c r="A816" s="8">
        <v>46001.690416099533</v>
      </c>
      <c r="B816" s="9" t="s">
        <v>14</v>
      </c>
      <c r="C816" s="9" t="s">
        <v>15</v>
      </c>
      <c r="D816" s="10" t="s">
        <v>1863</v>
      </c>
      <c r="E816" s="9" t="s">
        <v>22</v>
      </c>
      <c r="F816" s="10">
        <v>23</v>
      </c>
      <c r="G816" s="11">
        <v>8101199185</v>
      </c>
      <c r="H816" s="10" t="s">
        <v>1864</v>
      </c>
      <c r="I816" s="10" t="s">
        <v>27</v>
      </c>
      <c r="J816" s="10" t="s">
        <v>172</v>
      </c>
      <c r="K816" s="12">
        <v>46001</v>
      </c>
      <c r="L816" s="28" t="s">
        <v>11</v>
      </c>
      <c r="M816" s="14"/>
      <c r="N816" s="10" t="s">
        <v>1096</v>
      </c>
    </row>
    <row r="817" spans="1:14" ht="22.5" customHeight="1">
      <c r="A817" s="8">
        <v>46001.691704641205</v>
      </c>
      <c r="B817" s="9" t="s">
        <v>14</v>
      </c>
      <c r="C817" s="9" t="s">
        <v>15</v>
      </c>
      <c r="D817" s="10" t="s">
        <v>1865</v>
      </c>
      <c r="E817" s="9" t="s">
        <v>17</v>
      </c>
      <c r="F817" s="10">
        <v>31</v>
      </c>
      <c r="G817" s="11">
        <v>7033637911</v>
      </c>
      <c r="H817" s="10" t="s">
        <v>1866</v>
      </c>
      <c r="I817" s="10" t="s">
        <v>49</v>
      </c>
      <c r="J817" s="10" t="s">
        <v>106</v>
      </c>
      <c r="K817" s="12">
        <v>46001</v>
      </c>
      <c r="L817" s="28" t="s">
        <v>11</v>
      </c>
      <c r="M817" s="14"/>
      <c r="N817" s="10" t="s">
        <v>1028</v>
      </c>
    </row>
    <row r="818" spans="1:14" ht="22.5" customHeight="1">
      <c r="A818" s="8">
        <v>46001.70400322917</v>
      </c>
      <c r="B818" s="9" t="s">
        <v>14</v>
      </c>
      <c r="C818" s="9" t="s">
        <v>15</v>
      </c>
      <c r="D818" s="10" t="s">
        <v>1867</v>
      </c>
      <c r="E818" s="9" t="s">
        <v>22</v>
      </c>
      <c r="F818" s="18">
        <v>23</v>
      </c>
      <c r="G818" s="11">
        <v>9041519645</v>
      </c>
      <c r="H818" s="10" t="s">
        <v>1868</v>
      </c>
      <c r="I818" s="10" t="s">
        <v>19</v>
      </c>
      <c r="J818" s="10" t="s">
        <v>812</v>
      </c>
      <c r="K818" s="12">
        <v>46001</v>
      </c>
      <c r="L818" s="28" t="s">
        <v>11</v>
      </c>
      <c r="M818" s="14"/>
      <c r="N818" s="10" t="s">
        <v>1028</v>
      </c>
    </row>
    <row r="819" spans="1:14" ht="22.5" customHeight="1">
      <c r="A819" s="8">
        <v>46001.704638252311</v>
      </c>
      <c r="B819" s="9" t="s">
        <v>14</v>
      </c>
      <c r="C819" s="9" t="s">
        <v>15</v>
      </c>
      <c r="D819" s="10" t="s">
        <v>1869</v>
      </c>
      <c r="E819" s="9" t="s">
        <v>17</v>
      </c>
      <c r="F819" s="10">
        <v>32</v>
      </c>
      <c r="G819" s="11">
        <v>7064274112</v>
      </c>
      <c r="H819" s="10" t="s">
        <v>1870</v>
      </c>
      <c r="I819" s="10" t="s">
        <v>45</v>
      </c>
      <c r="J819" s="10" t="s">
        <v>1871</v>
      </c>
      <c r="K819" s="12">
        <v>46001</v>
      </c>
      <c r="L819" s="28" t="s">
        <v>11</v>
      </c>
      <c r="M819" s="14"/>
      <c r="N819" s="10" t="s">
        <v>1096</v>
      </c>
    </row>
    <row r="820" spans="1:14" ht="22.5" customHeight="1">
      <c r="A820" s="8">
        <v>46001.704925208338</v>
      </c>
      <c r="B820" s="9" t="s">
        <v>14</v>
      </c>
      <c r="C820" s="9" t="s">
        <v>15</v>
      </c>
      <c r="D820" s="10" t="s">
        <v>1872</v>
      </c>
      <c r="E820" s="9" t="s">
        <v>22</v>
      </c>
      <c r="F820" s="19">
        <v>1</v>
      </c>
      <c r="G820" s="11">
        <v>8133206716</v>
      </c>
      <c r="H820" s="10" t="s">
        <v>1873</v>
      </c>
      <c r="I820" s="10" t="s">
        <v>45</v>
      </c>
      <c r="J820" s="10" t="s">
        <v>1874</v>
      </c>
      <c r="K820" s="12">
        <v>46001</v>
      </c>
      <c r="L820" s="28" t="s">
        <v>11</v>
      </c>
      <c r="M820" s="10"/>
      <c r="N820" s="10" t="s">
        <v>1875</v>
      </c>
    </row>
    <row r="821" spans="1:14" ht="22.5" customHeight="1">
      <c r="A821" s="8">
        <v>46001.714611493051</v>
      </c>
      <c r="B821" s="9" t="s">
        <v>14</v>
      </c>
      <c r="C821" s="9" t="s">
        <v>15</v>
      </c>
      <c r="D821" s="10" t="s">
        <v>1876</v>
      </c>
      <c r="E821" s="9" t="s">
        <v>22</v>
      </c>
      <c r="F821" s="10">
        <v>24</v>
      </c>
      <c r="G821" s="11">
        <v>9034477003</v>
      </c>
      <c r="H821" s="10" t="s">
        <v>1877</v>
      </c>
      <c r="I821" s="10" t="s">
        <v>145</v>
      </c>
      <c r="J821" s="10" t="s">
        <v>1878</v>
      </c>
      <c r="K821" s="12">
        <v>46001</v>
      </c>
      <c r="L821" s="28" t="s">
        <v>11</v>
      </c>
      <c r="M821" s="14"/>
      <c r="N821" s="10" t="s">
        <v>1028</v>
      </c>
    </row>
    <row r="822" spans="1:14" ht="22.5" customHeight="1">
      <c r="A822" s="8">
        <v>46001.718558310182</v>
      </c>
      <c r="B822" s="9" t="s">
        <v>14</v>
      </c>
      <c r="C822" s="9" t="s">
        <v>15</v>
      </c>
      <c r="D822" s="10" t="s">
        <v>1879</v>
      </c>
      <c r="E822" s="9" t="s">
        <v>22</v>
      </c>
      <c r="F822" s="10">
        <v>43</v>
      </c>
      <c r="G822" s="11">
        <v>7031159470</v>
      </c>
      <c r="H822" s="10" t="s">
        <v>1880</v>
      </c>
      <c r="I822" s="10" t="s">
        <v>27</v>
      </c>
      <c r="J822" s="10" t="s">
        <v>703</v>
      </c>
      <c r="K822" s="12">
        <v>46001</v>
      </c>
      <c r="L822" s="28" t="s">
        <v>11</v>
      </c>
      <c r="M822" s="14"/>
      <c r="N822" s="10" t="s">
        <v>1096</v>
      </c>
    </row>
    <row r="823" spans="1:14" ht="22.5" customHeight="1">
      <c r="A823" s="8">
        <v>46001.727653240741</v>
      </c>
      <c r="B823" s="9" t="s">
        <v>14</v>
      </c>
      <c r="C823" s="9" t="s">
        <v>15</v>
      </c>
      <c r="D823" s="10" t="s">
        <v>1881</v>
      </c>
      <c r="E823" s="9" t="s">
        <v>17</v>
      </c>
      <c r="F823" s="10">
        <v>32</v>
      </c>
      <c r="G823" s="11">
        <v>8167880724</v>
      </c>
      <c r="H823" s="10" t="s">
        <v>1882</v>
      </c>
      <c r="I823" s="10" t="s">
        <v>27</v>
      </c>
      <c r="J823" s="10" t="s">
        <v>1883</v>
      </c>
      <c r="K823" s="12">
        <v>46001</v>
      </c>
      <c r="L823" s="28" t="s">
        <v>11</v>
      </c>
      <c r="M823" s="14"/>
      <c r="N823" s="10" t="s">
        <v>1028</v>
      </c>
    </row>
    <row r="824" spans="1:14" ht="22.5" customHeight="1">
      <c r="A824" s="8">
        <v>46001.734081469913</v>
      </c>
      <c r="B824" s="9" t="s">
        <v>14</v>
      </c>
      <c r="C824" s="9" t="s">
        <v>15</v>
      </c>
      <c r="D824" s="10" t="s">
        <v>1884</v>
      </c>
      <c r="E824" s="9" t="s">
        <v>22</v>
      </c>
      <c r="F824" s="10">
        <v>28</v>
      </c>
      <c r="G824" s="11">
        <v>7069607432</v>
      </c>
      <c r="H824" s="10" t="s">
        <v>1885</v>
      </c>
      <c r="I824" s="10" t="s">
        <v>27</v>
      </c>
      <c r="J824" s="10" t="s">
        <v>703</v>
      </c>
      <c r="K824" s="12">
        <v>46001</v>
      </c>
      <c r="L824" s="28" t="s">
        <v>11</v>
      </c>
      <c r="M824" s="14"/>
      <c r="N824" s="10" t="s">
        <v>1028</v>
      </c>
    </row>
    <row r="825" spans="1:14" ht="22.5" customHeight="1">
      <c r="A825" s="8">
        <v>46001.737424490741</v>
      </c>
      <c r="B825" s="9" t="s">
        <v>14</v>
      </c>
      <c r="C825" s="9" t="s">
        <v>15</v>
      </c>
      <c r="D825" s="10" t="s">
        <v>1886</v>
      </c>
      <c r="E825" s="9" t="s">
        <v>17</v>
      </c>
      <c r="F825" s="10">
        <v>26</v>
      </c>
      <c r="G825" s="11">
        <v>9036032585</v>
      </c>
      <c r="H825" s="10" t="s">
        <v>1887</v>
      </c>
      <c r="I825" s="10" t="s">
        <v>27</v>
      </c>
      <c r="J825" s="10" t="s">
        <v>67</v>
      </c>
      <c r="K825" s="12">
        <v>35491</v>
      </c>
      <c r="L825" s="28" t="s">
        <v>11</v>
      </c>
      <c r="M825" s="14"/>
      <c r="N825" s="10" t="s">
        <v>1028</v>
      </c>
    </row>
    <row r="826" spans="1:14" ht="22.5" customHeight="1">
      <c r="A826" s="8">
        <v>46001.738680879629</v>
      </c>
      <c r="B826" s="9" t="s">
        <v>14</v>
      </c>
      <c r="C826" s="9" t="s">
        <v>15</v>
      </c>
      <c r="D826" s="10" t="s">
        <v>1888</v>
      </c>
      <c r="E826" s="9" t="s">
        <v>22</v>
      </c>
      <c r="F826" s="10">
        <v>32</v>
      </c>
      <c r="G826" s="11">
        <v>8065568014</v>
      </c>
      <c r="H826" s="10" t="s">
        <v>1889</v>
      </c>
      <c r="I826" s="10" t="s">
        <v>27</v>
      </c>
      <c r="J826" s="10" t="s">
        <v>1890</v>
      </c>
      <c r="K826" s="12">
        <v>46001</v>
      </c>
      <c r="L826" s="28" t="s">
        <v>11</v>
      </c>
      <c r="M826" s="14"/>
      <c r="N826" s="10" t="s">
        <v>1028</v>
      </c>
    </row>
    <row r="827" spans="1:14" ht="22.5" customHeight="1">
      <c r="A827" s="8">
        <v>46001.739811226857</v>
      </c>
      <c r="B827" s="9" t="s">
        <v>14</v>
      </c>
      <c r="C827" s="9" t="s">
        <v>15</v>
      </c>
      <c r="D827" s="10" t="s">
        <v>1891</v>
      </c>
      <c r="E827" s="9" t="s">
        <v>17</v>
      </c>
      <c r="F827" s="10">
        <v>26</v>
      </c>
      <c r="G827" s="11">
        <v>8131301758</v>
      </c>
      <c r="H827" s="10" t="s">
        <v>1892</v>
      </c>
      <c r="I827" s="10" t="s">
        <v>27</v>
      </c>
      <c r="J827" s="10" t="s">
        <v>172</v>
      </c>
      <c r="K827" s="12">
        <v>46001</v>
      </c>
      <c r="L827" s="28" t="s">
        <v>11</v>
      </c>
      <c r="M827" s="14"/>
      <c r="N827" s="10" t="s">
        <v>1028</v>
      </c>
    </row>
    <row r="828" spans="1:14" ht="22.5" customHeight="1">
      <c r="A828" s="8">
        <v>46001.742850694442</v>
      </c>
      <c r="B828" s="9" t="s">
        <v>14</v>
      </c>
      <c r="C828" s="9" t="s">
        <v>15</v>
      </c>
      <c r="D828" s="10" t="s">
        <v>1893</v>
      </c>
      <c r="E828" s="9" t="s">
        <v>17</v>
      </c>
      <c r="F828" s="10">
        <v>31</v>
      </c>
      <c r="G828" s="11">
        <v>7067047526</v>
      </c>
      <c r="H828" s="10" t="s">
        <v>1894</v>
      </c>
      <c r="I828" s="10" t="s">
        <v>27</v>
      </c>
      <c r="J828" s="10" t="s">
        <v>1895</v>
      </c>
      <c r="K828" s="12">
        <v>34398</v>
      </c>
      <c r="L828" s="28" t="s">
        <v>11</v>
      </c>
      <c r="M828" s="14"/>
      <c r="N828" s="10" t="s">
        <v>1028</v>
      </c>
    </row>
    <row r="829" spans="1:14" ht="22.5" customHeight="1">
      <c r="A829" s="8">
        <v>46001.754307777781</v>
      </c>
      <c r="B829" s="9" t="s">
        <v>14</v>
      </c>
      <c r="C829" s="9" t="s">
        <v>15</v>
      </c>
      <c r="D829" s="10" t="s">
        <v>1896</v>
      </c>
      <c r="E829" s="9" t="s">
        <v>22</v>
      </c>
      <c r="F829" s="10">
        <v>22</v>
      </c>
      <c r="G829" s="11">
        <v>8133138731</v>
      </c>
      <c r="H829" s="10" t="s">
        <v>1897</v>
      </c>
      <c r="I829" s="10" t="s">
        <v>27</v>
      </c>
      <c r="J829" s="10" t="s">
        <v>1559</v>
      </c>
      <c r="K829" s="12">
        <v>46001</v>
      </c>
      <c r="L829" s="28" t="s">
        <v>11</v>
      </c>
      <c r="M829" s="14"/>
      <c r="N829" s="10" t="s">
        <v>1028</v>
      </c>
    </row>
    <row r="830" spans="1:14" ht="22.5" customHeight="1">
      <c r="A830" s="8">
        <v>46001.757518321756</v>
      </c>
      <c r="B830" s="9" t="s">
        <v>14</v>
      </c>
      <c r="C830" s="9" t="s">
        <v>15</v>
      </c>
      <c r="D830" s="10" t="s">
        <v>1898</v>
      </c>
      <c r="E830" s="9" t="s">
        <v>17</v>
      </c>
      <c r="F830" s="10">
        <v>22</v>
      </c>
      <c r="G830" s="11">
        <v>8106319201</v>
      </c>
      <c r="H830" s="10" t="s">
        <v>1899</v>
      </c>
      <c r="I830" s="10" t="s">
        <v>49</v>
      </c>
      <c r="J830" s="10" t="s">
        <v>452</v>
      </c>
      <c r="K830" s="12">
        <v>46001</v>
      </c>
      <c r="L830" s="28" t="s">
        <v>11</v>
      </c>
      <c r="M830" s="14"/>
      <c r="N830" s="10" t="s">
        <v>1028</v>
      </c>
    </row>
    <row r="831" spans="1:14" ht="22.5" customHeight="1">
      <c r="A831" s="8">
        <v>46001.757659189811</v>
      </c>
      <c r="B831" s="9" t="s">
        <v>14</v>
      </c>
      <c r="C831" s="9" t="s">
        <v>15</v>
      </c>
      <c r="D831" s="10" t="s">
        <v>1900</v>
      </c>
      <c r="E831" s="9" t="s">
        <v>17</v>
      </c>
      <c r="F831" s="10">
        <v>31</v>
      </c>
      <c r="G831" s="11">
        <v>8101338323</v>
      </c>
      <c r="H831" s="10" t="s">
        <v>1901</v>
      </c>
      <c r="I831" s="10" t="s">
        <v>27</v>
      </c>
      <c r="J831" s="10" t="s">
        <v>1902</v>
      </c>
      <c r="K831" s="12">
        <v>46001</v>
      </c>
      <c r="L831" s="28" t="s">
        <v>11</v>
      </c>
      <c r="M831" s="10"/>
      <c r="N831" s="10" t="s">
        <v>1028</v>
      </c>
    </row>
    <row r="832" spans="1:14" ht="22.5" customHeight="1">
      <c r="A832" s="8">
        <v>46001.758375196761</v>
      </c>
      <c r="B832" s="9" t="s">
        <v>14</v>
      </c>
      <c r="C832" s="9" t="s">
        <v>15</v>
      </c>
      <c r="D832" s="10" t="s">
        <v>1903</v>
      </c>
      <c r="E832" s="9" t="s">
        <v>17</v>
      </c>
      <c r="F832" s="10">
        <v>26</v>
      </c>
      <c r="G832" s="11">
        <v>7068730524</v>
      </c>
      <c r="H832" s="10" t="s">
        <v>1904</v>
      </c>
      <c r="I832" s="10" t="s">
        <v>27</v>
      </c>
      <c r="J832" s="10" t="s">
        <v>94</v>
      </c>
      <c r="K832" s="12">
        <v>46001</v>
      </c>
      <c r="L832" s="28" t="s">
        <v>11</v>
      </c>
      <c r="M832" s="14"/>
      <c r="N832" s="10" t="s">
        <v>1028</v>
      </c>
    </row>
    <row r="833" spans="1:14" ht="22.5" customHeight="1">
      <c r="A833" s="8">
        <v>46001.760313425926</v>
      </c>
      <c r="B833" s="9" t="s">
        <v>14</v>
      </c>
      <c r="C833" s="9" t="s">
        <v>15</v>
      </c>
      <c r="D833" s="10" t="s">
        <v>1905</v>
      </c>
      <c r="E833" s="9" t="s">
        <v>22</v>
      </c>
      <c r="F833" s="10">
        <v>23</v>
      </c>
      <c r="G833" s="11">
        <v>8078085646</v>
      </c>
      <c r="H833" s="10" t="s">
        <v>1906</v>
      </c>
      <c r="I833" s="10" t="s">
        <v>27</v>
      </c>
      <c r="J833" s="10" t="s">
        <v>1907</v>
      </c>
      <c r="K833" s="12">
        <v>46001</v>
      </c>
      <c r="L833" s="28" t="s">
        <v>11</v>
      </c>
      <c r="M833" s="14"/>
      <c r="N833" s="10" t="s">
        <v>1028</v>
      </c>
    </row>
    <row r="834" spans="1:14" ht="22.5" customHeight="1">
      <c r="A834" s="8">
        <v>46001.760570219907</v>
      </c>
      <c r="B834" s="9" t="s">
        <v>14</v>
      </c>
      <c r="C834" s="9" t="s">
        <v>15</v>
      </c>
      <c r="D834" s="10" t="s">
        <v>1908</v>
      </c>
      <c r="E834" s="9" t="s">
        <v>17</v>
      </c>
      <c r="F834" s="10">
        <v>30</v>
      </c>
      <c r="G834" s="11">
        <v>9069163606</v>
      </c>
      <c r="H834" s="10" t="s">
        <v>1909</v>
      </c>
      <c r="I834" s="10" t="s">
        <v>49</v>
      </c>
      <c r="J834" s="10" t="s">
        <v>106</v>
      </c>
      <c r="K834" s="12">
        <v>46001</v>
      </c>
      <c r="L834" s="28" t="s">
        <v>11</v>
      </c>
      <c r="M834" s="14"/>
      <c r="N834" s="10" t="s">
        <v>1028</v>
      </c>
    </row>
    <row r="835" spans="1:14" ht="22.5" customHeight="1">
      <c r="A835" s="8">
        <v>46001.760850578707</v>
      </c>
      <c r="B835" s="9" t="s">
        <v>14</v>
      </c>
      <c r="C835" s="9" t="s">
        <v>15</v>
      </c>
      <c r="D835" s="10" t="s">
        <v>1910</v>
      </c>
      <c r="E835" s="9" t="s">
        <v>22</v>
      </c>
      <c r="F835" s="10">
        <v>38</v>
      </c>
      <c r="G835" s="11">
        <v>8138066968</v>
      </c>
      <c r="H835" s="10" t="s">
        <v>1911</v>
      </c>
      <c r="I835" s="10" t="s">
        <v>49</v>
      </c>
      <c r="J835" s="10" t="s">
        <v>208</v>
      </c>
      <c r="K835" s="12">
        <v>46001</v>
      </c>
      <c r="L835" s="28" t="s">
        <v>11</v>
      </c>
      <c r="M835" s="14"/>
      <c r="N835" s="10" t="s">
        <v>1028</v>
      </c>
    </row>
    <row r="836" spans="1:14" ht="22.5" customHeight="1">
      <c r="A836" s="8">
        <v>46001.76107518519</v>
      </c>
      <c r="B836" s="9" t="s">
        <v>14</v>
      </c>
      <c r="C836" s="9" t="s">
        <v>15</v>
      </c>
      <c r="D836" s="10" t="s">
        <v>1912</v>
      </c>
      <c r="E836" s="9" t="s">
        <v>22</v>
      </c>
      <c r="F836" s="10">
        <v>22</v>
      </c>
      <c r="G836" s="11">
        <v>8132756861</v>
      </c>
      <c r="H836" s="10" t="s">
        <v>1913</v>
      </c>
      <c r="I836" s="10" t="s">
        <v>49</v>
      </c>
      <c r="J836" s="10" t="s">
        <v>50</v>
      </c>
      <c r="K836" s="12">
        <v>46001</v>
      </c>
      <c r="L836" s="28" t="s">
        <v>11</v>
      </c>
      <c r="M836" s="14"/>
      <c r="N836" s="10" t="s">
        <v>1028</v>
      </c>
    </row>
    <row r="837" spans="1:14" ht="22.5" customHeight="1">
      <c r="A837" s="8">
        <v>46001.765447754631</v>
      </c>
      <c r="B837" s="9" t="s">
        <v>14</v>
      </c>
      <c r="C837" s="9" t="s">
        <v>15</v>
      </c>
      <c r="D837" s="10" t="s">
        <v>1914</v>
      </c>
      <c r="E837" s="9" t="s">
        <v>17</v>
      </c>
      <c r="F837" s="10">
        <v>33</v>
      </c>
      <c r="G837" s="11">
        <v>8163707769</v>
      </c>
      <c r="H837" s="10" t="s">
        <v>1915</v>
      </c>
      <c r="I837" s="10" t="s">
        <v>45</v>
      </c>
      <c r="J837" s="10" t="s">
        <v>1916</v>
      </c>
      <c r="K837" s="12">
        <v>46001</v>
      </c>
      <c r="L837" s="28" t="s">
        <v>11</v>
      </c>
      <c r="M837" s="14"/>
      <c r="N837" s="10" t="s">
        <v>1028</v>
      </c>
    </row>
    <row r="838" spans="1:14" ht="22.5" customHeight="1">
      <c r="A838" s="8">
        <v>46001.7684940162</v>
      </c>
      <c r="B838" s="9" t="s">
        <v>14</v>
      </c>
      <c r="C838" s="9" t="s">
        <v>15</v>
      </c>
      <c r="D838" s="10" t="s">
        <v>1917</v>
      </c>
      <c r="E838" s="9" t="s">
        <v>17</v>
      </c>
      <c r="F838" s="10">
        <v>23</v>
      </c>
      <c r="G838" s="11">
        <v>7060583791</v>
      </c>
      <c r="H838" s="10" t="s">
        <v>1918</v>
      </c>
      <c r="I838" s="10" t="s">
        <v>45</v>
      </c>
      <c r="J838" s="10" t="s">
        <v>1919</v>
      </c>
      <c r="K838" s="12">
        <v>46001</v>
      </c>
      <c r="L838" s="28" t="s">
        <v>11</v>
      </c>
      <c r="M838" s="14"/>
      <c r="N838" s="10" t="s">
        <v>1096</v>
      </c>
    </row>
    <row r="839" spans="1:14" ht="22.5" customHeight="1">
      <c r="A839" s="8">
        <v>46001.776879039353</v>
      </c>
      <c r="B839" s="9" t="s">
        <v>14</v>
      </c>
      <c r="C839" s="9" t="s">
        <v>15</v>
      </c>
      <c r="D839" s="10" t="s">
        <v>1920</v>
      </c>
      <c r="E839" s="9" t="s">
        <v>17</v>
      </c>
      <c r="F839" s="10">
        <v>26</v>
      </c>
      <c r="G839" s="11">
        <v>8062215182</v>
      </c>
      <c r="H839" s="10" t="s">
        <v>1921</v>
      </c>
      <c r="I839" s="10" t="s">
        <v>49</v>
      </c>
      <c r="J839" s="10" t="s">
        <v>445</v>
      </c>
      <c r="K839" s="12">
        <v>46001</v>
      </c>
      <c r="L839" s="28" t="s">
        <v>11</v>
      </c>
      <c r="M839" s="14"/>
      <c r="N839" s="10" t="s">
        <v>1028</v>
      </c>
    </row>
    <row r="840" spans="1:14" ht="22.5" customHeight="1">
      <c r="A840" s="8">
        <v>46001.783320717594</v>
      </c>
      <c r="B840" s="9" t="s">
        <v>14</v>
      </c>
      <c r="C840" s="9" t="s">
        <v>15</v>
      </c>
      <c r="D840" s="10" t="s">
        <v>1922</v>
      </c>
      <c r="E840" s="9" t="s">
        <v>22</v>
      </c>
      <c r="F840" s="10">
        <v>30</v>
      </c>
      <c r="G840" s="11">
        <v>8037726416</v>
      </c>
      <c r="H840" s="10" t="s">
        <v>1923</v>
      </c>
      <c r="I840" s="10" t="s">
        <v>27</v>
      </c>
      <c r="J840" s="10" t="s">
        <v>1924</v>
      </c>
      <c r="K840" s="12">
        <v>46001</v>
      </c>
      <c r="L840" s="28" t="s">
        <v>11</v>
      </c>
      <c r="M840" s="14"/>
      <c r="N840" s="10" t="s">
        <v>1028</v>
      </c>
    </row>
    <row r="841" spans="1:14" ht="22.5" customHeight="1">
      <c r="A841" s="8">
        <v>46001.78365445602</v>
      </c>
      <c r="B841" s="9" t="s">
        <v>14</v>
      </c>
      <c r="C841" s="9" t="s">
        <v>15</v>
      </c>
      <c r="D841" s="10" t="s">
        <v>249</v>
      </c>
      <c r="E841" s="9" t="s">
        <v>17</v>
      </c>
      <c r="F841" s="10">
        <v>29</v>
      </c>
      <c r="G841" s="11">
        <v>8063150414</v>
      </c>
      <c r="H841" s="10" t="s">
        <v>250</v>
      </c>
      <c r="I841" s="10" t="s">
        <v>49</v>
      </c>
      <c r="J841" s="10" t="s">
        <v>246</v>
      </c>
      <c r="K841" s="12">
        <v>46001</v>
      </c>
      <c r="L841" s="28" t="s">
        <v>11</v>
      </c>
      <c r="M841" s="14"/>
      <c r="N841" s="10" t="s">
        <v>1028</v>
      </c>
    </row>
    <row r="842" spans="1:14" ht="22.5" customHeight="1">
      <c r="A842" s="8">
        <v>46001.798419872684</v>
      </c>
      <c r="B842" s="9" t="s">
        <v>14</v>
      </c>
      <c r="C842" s="9" t="s">
        <v>15</v>
      </c>
      <c r="D842" s="10" t="s">
        <v>1925</v>
      </c>
      <c r="E842" s="9" t="s">
        <v>22</v>
      </c>
      <c r="F842" s="10">
        <v>26</v>
      </c>
      <c r="G842" s="11">
        <v>7049429857</v>
      </c>
      <c r="H842" s="10" t="s">
        <v>1926</v>
      </c>
      <c r="I842" s="10" t="s">
        <v>49</v>
      </c>
      <c r="J842" s="10" t="s">
        <v>109</v>
      </c>
      <c r="K842" s="12">
        <v>46001</v>
      </c>
      <c r="L842" s="28" t="s">
        <v>11</v>
      </c>
      <c r="M842" s="14"/>
      <c r="N842" s="10" t="s">
        <v>1028</v>
      </c>
    </row>
    <row r="843" spans="1:14" ht="22.5" customHeight="1">
      <c r="A843" s="8">
        <v>46001.799947627311</v>
      </c>
      <c r="B843" s="9" t="s">
        <v>14</v>
      </c>
      <c r="C843" s="9" t="s">
        <v>15</v>
      </c>
      <c r="D843" s="10" t="s">
        <v>1927</v>
      </c>
      <c r="E843" s="9" t="s">
        <v>17</v>
      </c>
      <c r="F843" s="10">
        <v>31</v>
      </c>
      <c r="G843" s="11">
        <v>9032084942</v>
      </c>
      <c r="H843" s="10" t="s">
        <v>1928</v>
      </c>
      <c r="I843" s="10" t="s">
        <v>49</v>
      </c>
      <c r="J843" s="10" t="s">
        <v>452</v>
      </c>
      <c r="K843" s="12">
        <v>46001</v>
      </c>
      <c r="L843" s="28" t="s">
        <v>11</v>
      </c>
      <c r="M843" s="14"/>
      <c r="N843" s="10" t="s">
        <v>1028</v>
      </c>
    </row>
    <row r="844" spans="1:14" ht="22.5" customHeight="1">
      <c r="A844" s="8">
        <v>46001.801038912032</v>
      </c>
      <c r="B844" s="9" t="s">
        <v>14</v>
      </c>
      <c r="C844" s="9" t="s">
        <v>15</v>
      </c>
      <c r="D844" s="10" t="s">
        <v>1929</v>
      </c>
      <c r="E844" s="9" t="s">
        <v>22</v>
      </c>
      <c r="F844" s="10">
        <v>26</v>
      </c>
      <c r="G844" s="11">
        <v>8160297359</v>
      </c>
      <c r="H844" s="10" t="s">
        <v>1930</v>
      </c>
      <c r="I844" s="10" t="s">
        <v>19</v>
      </c>
      <c r="J844" s="10" t="s">
        <v>1931</v>
      </c>
      <c r="K844" s="12">
        <v>45942</v>
      </c>
      <c r="L844" s="28" t="s">
        <v>11</v>
      </c>
      <c r="M844" s="14"/>
      <c r="N844" s="10" t="s">
        <v>1028</v>
      </c>
    </row>
    <row r="845" spans="1:14" ht="22.5" customHeight="1">
      <c r="A845" s="8">
        <v>46001.802628576392</v>
      </c>
      <c r="B845" s="9" t="s">
        <v>14</v>
      </c>
      <c r="C845" s="9" t="s">
        <v>15</v>
      </c>
      <c r="D845" s="10" t="s">
        <v>1932</v>
      </c>
      <c r="E845" s="9" t="s">
        <v>22</v>
      </c>
      <c r="F845" s="10">
        <v>29</v>
      </c>
      <c r="G845" s="11">
        <v>7068772829</v>
      </c>
      <c r="H845" s="10" t="s">
        <v>1933</v>
      </c>
      <c r="I845" s="10" t="s">
        <v>27</v>
      </c>
      <c r="J845" s="10" t="s">
        <v>1672</v>
      </c>
      <c r="K845" s="12">
        <v>46001</v>
      </c>
      <c r="L845" s="28" t="s">
        <v>11</v>
      </c>
      <c r="M845" s="14"/>
      <c r="N845" s="10" t="s">
        <v>1028</v>
      </c>
    </row>
    <row r="846" spans="1:14" ht="22.5" customHeight="1">
      <c r="A846" s="8">
        <v>46001.810002696759</v>
      </c>
      <c r="B846" s="9" t="s">
        <v>14</v>
      </c>
      <c r="C846" s="9" t="s">
        <v>15</v>
      </c>
      <c r="D846" s="10" t="s">
        <v>1934</v>
      </c>
      <c r="E846" s="9" t="s">
        <v>17</v>
      </c>
      <c r="F846" s="10">
        <v>32</v>
      </c>
      <c r="G846" s="11">
        <v>7034909936</v>
      </c>
      <c r="H846" s="10" t="s">
        <v>1935</v>
      </c>
      <c r="I846" s="10" t="s">
        <v>27</v>
      </c>
      <c r="J846" s="10" t="s">
        <v>94</v>
      </c>
      <c r="K846" s="12">
        <v>46001</v>
      </c>
      <c r="L846" s="28" t="s">
        <v>11</v>
      </c>
      <c r="M846" s="14"/>
      <c r="N846" s="10" t="s">
        <v>1028</v>
      </c>
    </row>
    <row r="847" spans="1:14" ht="22.5" customHeight="1">
      <c r="A847" s="8">
        <v>46001.812804085646</v>
      </c>
      <c r="B847" s="9" t="s">
        <v>14</v>
      </c>
      <c r="C847" s="9" t="s">
        <v>15</v>
      </c>
      <c r="D847" s="10" t="s">
        <v>1936</v>
      </c>
      <c r="E847" s="9" t="s">
        <v>17</v>
      </c>
      <c r="F847" s="18">
        <v>43</v>
      </c>
      <c r="G847" s="11">
        <v>8061657569</v>
      </c>
      <c r="H847" s="10" t="s">
        <v>1937</v>
      </c>
      <c r="I847" s="10" t="s">
        <v>49</v>
      </c>
      <c r="J847" s="10" t="s">
        <v>282</v>
      </c>
      <c r="K847" s="12">
        <v>46001</v>
      </c>
      <c r="L847" s="28" t="s">
        <v>11</v>
      </c>
      <c r="M847" s="14"/>
      <c r="N847" s="10" t="s">
        <v>1028</v>
      </c>
    </row>
    <row r="848" spans="1:14" ht="22.5" customHeight="1">
      <c r="A848" s="8">
        <v>46001.820709131949</v>
      </c>
      <c r="B848" s="9" t="s">
        <v>14</v>
      </c>
      <c r="C848" s="9" t="s">
        <v>15</v>
      </c>
      <c r="D848" s="10" t="s">
        <v>1938</v>
      </c>
      <c r="E848" s="9" t="s">
        <v>17</v>
      </c>
      <c r="F848" s="10">
        <v>37</v>
      </c>
      <c r="G848" s="11">
        <v>7062175187</v>
      </c>
      <c r="H848" s="10" t="s">
        <v>1939</v>
      </c>
      <c r="I848" s="10" t="s">
        <v>49</v>
      </c>
      <c r="J848" s="10" t="s">
        <v>50</v>
      </c>
      <c r="K848" s="12">
        <v>46001</v>
      </c>
      <c r="L848" s="28" t="s">
        <v>11</v>
      </c>
      <c r="M848" s="14"/>
      <c r="N848" s="10" t="s">
        <v>1028</v>
      </c>
    </row>
    <row r="849" spans="1:14" ht="22.5" customHeight="1">
      <c r="A849" s="8">
        <v>46001.822314942125</v>
      </c>
      <c r="B849" s="9" t="s">
        <v>14</v>
      </c>
      <c r="C849" s="9" t="s">
        <v>15</v>
      </c>
      <c r="D849" s="10" t="s">
        <v>1940</v>
      </c>
      <c r="E849" s="9" t="s">
        <v>22</v>
      </c>
      <c r="F849" s="10">
        <v>31</v>
      </c>
      <c r="G849" s="11">
        <v>7064873360</v>
      </c>
      <c r="H849" s="10" t="s">
        <v>1941</v>
      </c>
      <c r="I849" s="10" t="s">
        <v>27</v>
      </c>
      <c r="J849" s="10" t="s">
        <v>172</v>
      </c>
      <c r="K849" s="12">
        <v>46001</v>
      </c>
      <c r="L849" s="28" t="s">
        <v>11</v>
      </c>
      <c r="M849" s="14"/>
      <c r="N849" s="10" t="s">
        <v>1028</v>
      </c>
    </row>
    <row r="850" spans="1:14" ht="22.5" customHeight="1">
      <c r="A850" s="8">
        <v>46001.828538252317</v>
      </c>
      <c r="B850" s="9" t="s">
        <v>14</v>
      </c>
      <c r="C850" s="9" t="s">
        <v>15</v>
      </c>
      <c r="D850" s="10" t="s">
        <v>1942</v>
      </c>
      <c r="E850" s="9" t="s">
        <v>17</v>
      </c>
      <c r="F850" s="10">
        <v>25</v>
      </c>
      <c r="G850" s="11">
        <v>9059151922</v>
      </c>
      <c r="H850" s="10" t="s">
        <v>1943</v>
      </c>
      <c r="I850" s="10" t="s">
        <v>45</v>
      </c>
      <c r="J850" s="10" t="s">
        <v>1919</v>
      </c>
      <c r="K850" s="12">
        <v>46001</v>
      </c>
      <c r="L850" s="28" t="s">
        <v>11</v>
      </c>
      <c r="M850" s="14"/>
      <c r="N850" s="10" t="s">
        <v>1028</v>
      </c>
    </row>
    <row r="851" spans="1:14" ht="22.5" customHeight="1">
      <c r="A851" s="8">
        <v>46001.828839745373</v>
      </c>
      <c r="B851" s="9" t="s">
        <v>14</v>
      </c>
      <c r="C851" s="9" t="s">
        <v>15</v>
      </c>
      <c r="D851" s="10" t="s">
        <v>1944</v>
      </c>
      <c r="E851" s="9" t="s">
        <v>22</v>
      </c>
      <c r="F851" s="10">
        <v>24</v>
      </c>
      <c r="G851" s="11">
        <v>9073055681</v>
      </c>
      <c r="H851" s="10" t="s">
        <v>1945</v>
      </c>
      <c r="I851" s="10" t="s">
        <v>45</v>
      </c>
      <c r="J851" s="10" t="s">
        <v>1946</v>
      </c>
      <c r="K851" s="12">
        <v>37236</v>
      </c>
      <c r="L851" s="28" t="s">
        <v>11</v>
      </c>
      <c r="M851" s="14"/>
      <c r="N851" s="10" t="s">
        <v>1028</v>
      </c>
    </row>
    <row r="852" spans="1:14" ht="22.5" customHeight="1">
      <c r="A852" s="8">
        <v>46001.829430995371</v>
      </c>
      <c r="B852" s="9" t="s">
        <v>14</v>
      </c>
      <c r="C852" s="9" t="s">
        <v>15</v>
      </c>
      <c r="D852" s="10" t="s">
        <v>1947</v>
      </c>
      <c r="E852" s="9" t="s">
        <v>22</v>
      </c>
      <c r="F852" s="10">
        <v>18</v>
      </c>
      <c r="G852" s="11">
        <v>8057202363</v>
      </c>
      <c r="H852" s="10" t="s">
        <v>1948</v>
      </c>
      <c r="I852" s="10" t="s">
        <v>27</v>
      </c>
      <c r="J852" s="10" t="s">
        <v>1949</v>
      </c>
      <c r="K852" s="12">
        <v>46001</v>
      </c>
      <c r="L852" s="28" t="s">
        <v>11</v>
      </c>
      <c r="M852" s="14"/>
      <c r="N852" s="10" t="s">
        <v>1028</v>
      </c>
    </row>
    <row r="853" spans="1:14" ht="22.5" customHeight="1">
      <c r="A853" s="8">
        <v>46001.832629988421</v>
      </c>
      <c r="B853" s="9" t="s">
        <v>14</v>
      </c>
      <c r="C853" s="9" t="s">
        <v>15</v>
      </c>
      <c r="D853" s="10" t="s">
        <v>1950</v>
      </c>
      <c r="E853" s="9" t="s">
        <v>22</v>
      </c>
      <c r="F853" s="10">
        <v>27</v>
      </c>
      <c r="G853" s="11">
        <v>7067757610</v>
      </c>
      <c r="H853" s="10" t="s">
        <v>1951</v>
      </c>
      <c r="I853" s="10" t="s">
        <v>31</v>
      </c>
      <c r="J853" s="10" t="s">
        <v>1952</v>
      </c>
      <c r="K853" s="12">
        <v>46001</v>
      </c>
      <c r="L853" s="28" t="s">
        <v>11</v>
      </c>
      <c r="M853" s="14"/>
      <c r="N853" s="10" t="s">
        <v>1028</v>
      </c>
    </row>
    <row r="854" spans="1:14" ht="22.5" customHeight="1">
      <c r="A854" s="8">
        <v>46001.835787453703</v>
      </c>
      <c r="B854" s="9" t="s">
        <v>14</v>
      </c>
      <c r="C854" s="9" t="s">
        <v>15</v>
      </c>
      <c r="D854" s="10" t="s">
        <v>1953</v>
      </c>
      <c r="E854" s="9" t="s">
        <v>22</v>
      </c>
      <c r="F854" s="10">
        <v>42</v>
      </c>
      <c r="G854" s="11">
        <v>8035575220</v>
      </c>
      <c r="H854" s="10" t="s">
        <v>1954</v>
      </c>
      <c r="I854" s="10" t="s">
        <v>49</v>
      </c>
      <c r="J854" s="10" t="s">
        <v>50</v>
      </c>
      <c r="K854" s="12">
        <v>46001</v>
      </c>
      <c r="L854" s="28" t="s">
        <v>11</v>
      </c>
      <c r="M854" s="14"/>
      <c r="N854" s="10" t="s">
        <v>1028</v>
      </c>
    </row>
    <row r="855" spans="1:14" ht="22.5" customHeight="1">
      <c r="A855" s="8">
        <v>46001.845947106485</v>
      </c>
      <c r="B855" s="9" t="s">
        <v>14</v>
      </c>
      <c r="C855" s="9" t="s">
        <v>15</v>
      </c>
      <c r="D855" s="10" t="s">
        <v>1955</v>
      </c>
      <c r="E855" s="9" t="s">
        <v>17</v>
      </c>
      <c r="F855" s="10">
        <v>29</v>
      </c>
      <c r="G855" s="11">
        <v>8169615242</v>
      </c>
      <c r="H855" s="10" t="s">
        <v>1956</v>
      </c>
      <c r="I855" s="10" t="s">
        <v>45</v>
      </c>
      <c r="J855" s="10" t="s">
        <v>688</v>
      </c>
      <c r="K855" s="12">
        <v>46001</v>
      </c>
      <c r="L855" s="28" t="s">
        <v>11</v>
      </c>
      <c r="M855" s="14"/>
      <c r="N855" s="10" t="s">
        <v>1028</v>
      </c>
    </row>
    <row r="856" spans="1:14" ht="22.5" hidden="1" customHeight="1">
      <c r="A856" s="8">
        <v>46001.84741376157</v>
      </c>
      <c r="B856" s="9" t="s">
        <v>14</v>
      </c>
      <c r="C856" s="9" t="s">
        <v>15</v>
      </c>
      <c r="D856" s="10" t="s">
        <v>1957</v>
      </c>
      <c r="E856" s="9" t="s">
        <v>17</v>
      </c>
      <c r="F856" s="10">
        <v>28</v>
      </c>
      <c r="G856" s="11">
        <v>7010660703</v>
      </c>
      <c r="H856" s="10" t="s">
        <v>1958</v>
      </c>
      <c r="I856" s="10" t="s">
        <v>27</v>
      </c>
      <c r="J856" s="10" t="s">
        <v>172</v>
      </c>
      <c r="K856" s="12">
        <v>46001</v>
      </c>
      <c r="L856" s="10" t="s">
        <v>441</v>
      </c>
      <c r="M856" s="14"/>
      <c r="N856" s="10" t="s">
        <v>1096</v>
      </c>
    </row>
    <row r="857" spans="1:14" ht="22.5" customHeight="1">
      <c r="A857" s="8">
        <v>46001.84945775463</v>
      </c>
      <c r="B857" s="9" t="s">
        <v>14</v>
      </c>
      <c r="C857" s="9" t="s">
        <v>15</v>
      </c>
      <c r="D857" s="10" t="s">
        <v>1959</v>
      </c>
      <c r="E857" s="9" t="s">
        <v>17</v>
      </c>
      <c r="F857" s="10">
        <v>26</v>
      </c>
      <c r="G857" s="11">
        <v>9060062668</v>
      </c>
      <c r="H857" s="10" t="s">
        <v>1960</v>
      </c>
      <c r="I857" s="10" t="s">
        <v>27</v>
      </c>
      <c r="J857" s="10" t="s">
        <v>1949</v>
      </c>
      <c r="K857" s="12">
        <v>46001</v>
      </c>
      <c r="L857" s="28" t="s">
        <v>11</v>
      </c>
      <c r="M857" s="14"/>
      <c r="N857" s="10" t="s">
        <v>1028</v>
      </c>
    </row>
    <row r="858" spans="1:14" ht="22.5" customHeight="1">
      <c r="A858" s="8">
        <v>46001.854047314817</v>
      </c>
      <c r="B858" s="9" t="s">
        <v>14</v>
      </c>
      <c r="C858" s="9" t="s">
        <v>15</v>
      </c>
      <c r="D858" s="10" t="s">
        <v>1961</v>
      </c>
      <c r="E858" s="9" t="s">
        <v>22</v>
      </c>
      <c r="F858" s="10">
        <v>24</v>
      </c>
      <c r="G858" s="11">
        <v>9118003162</v>
      </c>
      <c r="H858" s="10" t="s">
        <v>1962</v>
      </c>
      <c r="I858" s="10" t="s">
        <v>27</v>
      </c>
      <c r="J858" s="10" t="s">
        <v>67</v>
      </c>
      <c r="K858" s="12">
        <v>46001</v>
      </c>
      <c r="L858" s="28" t="s">
        <v>11</v>
      </c>
      <c r="M858" s="14"/>
      <c r="N858" s="10" t="s">
        <v>1028</v>
      </c>
    </row>
    <row r="859" spans="1:14" ht="22.5" customHeight="1">
      <c r="A859" s="8">
        <v>46001.855948055556</v>
      </c>
      <c r="B859" s="9" t="s">
        <v>14</v>
      </c>
      <c r="C859" s="9" t="s">
        <v>15</v>
      </c>
      <c r="D859" s="10" t="s">
        <v>1963</v>
      </c>
      <c r="E859" s="9" t="s">
        <v>17</v>
      </c>
      <c r="F859" s="10">
        <v>47</v>
      </c>
      <c r="G859" s="11">
        <v>7067635950</v>
      </c>
      <c r="H859" s="10" t="s">
        <v>1964</v>
      </c>
      <c r="I859" s="10" t="s">
        <v>49</v>
      </c>
      <c r="J859" s="10" t="s">
        <v>106</v>
      </c>
      <c r="K859" s="12">
        <v>46001</v>
      </c>
      <c r="L859" s="28" t="s">
        <v>11</v>
      </c>
      <c r="M859" s="14"/>
      <c r="N859" s="10" t="s">
        <v>1028</v>
      </c>
    </row>
    <row r="860" spans="1:14" ht="22.5" customHeight="1">
      <c r="A860" s="8">
        <v>46001.857497939811</v>
      </c>
      <c r="B860" s="9" t="s">
        <v>14</v>
      </c>
      <c r="C860" s="9" t="s">
        <v>15</v>
      </c>
      <c r="D860" s="10" t="s">
        <v>1965</v>
      </c>
      <c r="E860" s="9" t="s">
        <v>17</v>
      </c>
      <c r="F860" s="10">
        <v>29</v>
      </c>
      <c r="G860" s="11">
        <f t="shared" ref="G860" si="11">2349036492265</f>
        <v>2349036492265</v>
      </c>
      <c r="H860" s="10" t="s">
        <v>1966</v>
      </c>
      <c r="I860" s="10" t="s">
        <v>27</v>
      </c>
      <c r="J860" s="10" t="s">
        <v>42</v>
      </c>
      <c r="K860" s="12">
        <v>46001</v>
      </c>
      <c r="L860" s="28" t="s">
        <v>11</v>
      </c>
      <c r="M860" s="14"/>
      <c r="N860" s="10" t="s">
        <v>1096</v>
      </c>
    </row>
    <row r="861" spans="1:14" ht="22.5" customHeight="1">
      <c r="A861" s="8">
        <v>46001.872302662036</v>
      </c>
      <c r="B861" s="9" t="s">
        <v>14</v>
      </c>
      <c r="C861" s="9" t="s">
        <v>15</v>
      </c>
      <c r="D861" s="10" t="s">
        <v>1967</v>
      </c>
      <c r="E861" s="9" t="s">
        <v>17</v>
      </c>
      <c r="F861" s="10">
        <v>23</v>
      </c>
      <c r="G861" s="11">
        <v>7088316222</v>
      </c>
      <c r="H861" s="10" t="s">
        <v>1968</v>
      </c>
      <c r="I861" s="10" t="s">
        <v>27</v>
      </c>
      <c r="J861" s="10" t="s">
        <v>1907</v>
      </c>
      <c r="K861" s="12">
        <v>46001</v>
      </c>
      <c r="L861" s="28" t="s">
        <v>11</v>
      </c>
      <c r="M861" s="14"/>
      <c r="N861" s="10" t="s">
        <v>1028</v>
      </c>
    </row>
    <row r="862" spans="1:14" ht="22.5" customHeight="1">
      <c r="A862" s="8">
        <v>46001.873006111113</v>
      </c>
      <c r="B862" s="9" t="s">
        <v>14</v>
      </c>
      <c r="C862" s="9" t="s">
        <v>15</v>
      </c>
      <c r="D862" s="10" t="s">
        <v>1969</v>
      </c>
      <c r="E862" s="9" t="s">
        <v>17</v>
      </c>
      <c r="F862" s="10">
        <v>26</v>
      </c>
      <c r="G862" s="11">
        <v>9160663288</v>
      </c>
      <c r="H862" s="10" t="s">
        <v>1970</v>
      </c>
      <c r="I862" s="10" t="s">
        <v>27</v>
      </c>
      <c r="J862" s="10" t="s">
        <v>94</v>
      </c>
      <c r="K862" s="12">
        <v>46001</v>
      </c>
      <c r="L862" s="28" t="s">
        <v>11</v>
      </c>
      <c r="M862" s="14"/>
      <c r="N862" s="10" t="s">
        <v>1028</v>
      </c>
    </row>
    <row r="863" spans="1:14" ht="22.5" customHeight="1">
      <c r="A863" s="8">
        <v>46001.901296481483</v>
      </c>
      <c r="B863" s="9" t="s">
        <v>14</v>
      </c>
      <c r="C863" s="9" t="s">
        <v>15</v>
      </c>
      <c r="D863" s="10" t="s">
        <v>1971</v>
      </c>
      <c r="E863" s="9" t="s">
        <v>22</v>
      </c>
      <c r="F863" s="10">
        <v>23</v>
      </c>
      <c r="G863" s="11">
        <v>8134811771</v>
      </c>
      <c r="H863" s="10" t="s">
        <v>1972</v>
      </c>
      <c r="I863" s="10" t="s">
        <v>27</v>
      </c>
      <c r="J863" s="10" t="s">
        <v>703</v>
      </c>
      <c r="K863" s="12">
        <v>46001</v>
      </c>
      <c r="L863" s="28" t="s">
        <v>11</v>
      </c>
      <c r="M863" s="14"/>
      <c r="N863" s="10" t="s">
        <v>1028</v>
      </c>
    </row>
    <row r="864" spans="1:14" ht="22.5" customHeight="1">
      <c r="A864" s="8">
        <v>46001.90131346065</v>
      </c>
      <c r="B864" s="9" t="s">
        <v>14</v>
      </c>
      <c r="C864" s="9" t="s">
        <v>15</v>
      </c>
      <c r="D864" s="10" t="s">
        <v>1973</v>
      </c>
      <c r="E864" s="9" t="s">
        <v>17</v>
      </c>
      <c r="F864" s="10">
        <v>16</v>
      </c>
      <c r="G864" s="11">
        <v>8034524188</v>
      </c>
      <c r="H864" s="10" t="s">
        <v>1974</v>
      </c>
      <c r="I864" s="10" t="s">
        <v>49</v>
      </c>
      <c r="J864" s="10" t="s">
        <v>50</v>
      </c>
      <c r="K864" s="12">
        <v>46001</v>
      </c>
      <c r="L864" s="28" t="s">
        <v>11</v>
      </c>
      <c r="M864" s="14"/>
      <c r="N864" s="10" t="s">
        <v>1028</v>
      </c>
    </row>
    <row r="865" spans="1:14" ht="22.5" customHeight="1">
      <c r="A865" s="8">
        <v>46001.902305787036</v>
      </c>
      <c r="B865" s="9" t="s">
        <v>14</v>
      </c>
      <c r="C865" s="9" t="s">
        <v>15</v>
      </c>
      <c r="D865" s="10" t="s">
        <v>1975</v>
      </c>
      <c r="E865" s="9" t="s">
        <v>22</v>
      </c>
      <c r="F865" s="10">
        <v>26</v>
      </c>
      <c r="G865" s="11">
        <f t="shared" ref="G865" si="12">2348134972605</f>
        <v>2348134972605</v>
      </c>
      <c r="H865" s="10" t="s">
        <v>1976</v>
      </c>
      <c r="I865" s="10" t="s">
        <v>19</v>
      </c>
      <c r="J865" s="10" t="s">
        <v>1977</v>
      </c>
      <c r="K865" s="12">
        <v>46001</v>
      </c>
      <c r="L865" s="28" t="s">
        <v>11</v>
      </c>
      <c r="M865" s="14"/>
      <c r="N865" s="10" t="s">
        <v>1096</v>
      </c>
    </row>
    <row r="866" spans="1:14" ht="22.5" customHeight="1">
      <c r="A866" s="8">
        <v>46001.910257256939</v>
      </c>
      <c r="B866" s="9" t="s">
        <v>14</v>
      </c>
      <c r="C866" s="9" t="s">
        <v>15</v>
      </c>
      <c r="D866" s="10" t="s">
        <v>1978</v>
      </c>
      <c r="E866" s="9" t="s">
        <v>22</v>
      </c>
      <c r="F866" s="10">
        <v>22</v>
      </c>
      <c r="G866" s="11">
        <v>9075358426</v>
      </c>
      <c r="H866" s="10" t="s">
        <v>1979</v>
      </c>
      <c r="I866" s="10" t="s">
        <v>27</v>
      </c>
      <c r="J866" s="10" t="s">
        <v>1456</v>
      </c>
      <c r="K866" s="12">
        <v>46001</v>
      </c>
      <c r="L866" s="28" t="s">
        <v>11</v>
      </c>
      <c r="M866" s="10"/>
      <c r="N866" s="10" t="s">
        <v>1028</v>
      </c>
    </row>
    <row r="867" spans="1:14" ht="22.5" customHeight="1">
      <c r="A867" s="8">
        <v>46001.913110023146</v>
      </c>
      <c r="B867" s="9" t="s">
        <v>14</v>
      </c>
      <c r="C867" s="9" t="s">
        <v>15</v>
      </c>
      <c r="D867" s="10" t="s">
        <v>1980</v>
      </c>
      <c r="E867" s="9" t="s">
        <v>22</v>
      </c>
      <c r="F867" s="10">
        <v>22</v>
      </c>
      <c r="G867" s="11">
        <v>9135416361</v>
      </c>
      <c r="H867" s="10" t="s">
        <v>1981</v>
      </c>
      <c r="I867" s="10" t="s">
        <v>27</v>
      </c>
      <c r="J867" s="10" t="s">
        <v>1456</v>
      </c>
      <c r="K867" s="12">
        <v>46001</v>
      </c>
      <c r="L867" s="28" t="s">
        <v>11</v>
      </c>
      <c r="M867" s="14"/>
      <c r="N867" s="10" t="s">
        <v>1028</v>
      </c>
    </row>
    <row r="868" spans="1:14" ht="22.5" hidden="1" customHeight="1">
      <c r="A868" s="8">
        <v>46001.917288252313</v>
      </c>
      <c r="B868" s="9" t="s">
        <v>14</v>
      </c>
      <c r="C868" s="9" t="s">
        <v>15</v>
      </c>
      <c r="D868" s="10" t="s">
        <v>1982</v>
      </c>
      <c r="E868" s="9" t="s">
        <v>22</v>
      </c>
      <c r="F868" s="10">
        <v>33</v>
      </c>
      <c r="G868" s="11">
        <v>7044470154</v>
      </c>
      <c r="H868" s="10" t="s">
        <v>1983</v>
      </c>
      <c r="I868" s="10" t="s">
        <v>27</v>
      </c>
      <c r="J868" s="10" t="s">
        <v>94</v>
      </c>
      <c r="K868" s="12">
        <v>46001</v>
      </c>
      <c r="L868" s="10" t="s">
        <v>441</v>
      </c>
      <c r="M868" s="10" t="s">
        <v>1361</v>
      </c>
      <c r="N868" s="10" t="s">
        <v>1984</v>
      </c>
    </row>
    <row r="869" spans="1:14" ht="22.5" customHeight="1">
      <c r="A869" s="8">
        <v>46001.921030335652</v>
      </c>
      <c r="B869" s="9" t="s">
        <v>14</v>
      </c>
      <c r="C869" s="9" t="s">
        <v>15</v>
      </c>
      <c r="D869" s="10" t="s">
        <v>1985</v>
      </c>
      <c r="E869" s="9" t="s">
        <v>22</v>
      </c>
      <c r="F869" s="10">
        <v>33</v>
      </c>
      <c r="G869" s="11">
        <v>8032870879</v>
      </c>
      <c r="H869" s="10" t="s">
        <v>1986</v>
      </c>
      <c r="I869" s="10" t="s">
        <v>27</v>
      </c>
      <c r="J869" s="10" t="s">
        <v>70</v>
      </c>
      <c r="K869" s="12">
        <v>46001</v>
      </c>
      <c r="L869" s="28" t="s">
        <v>11</v>
      </c>
      <c r="M869" s="14"/>
      <c r="N869" s="10" t="s">
        <v>1028</v>
      </c>
    </row>
    <row r="870" spans="1:14" ht="22.5" customHeight="1">
      <c r="A870" s="8">
        <v>46001.925067129632</v>
      </c>
      <c r="B870" s="9" t="s">
        <v>14</v>
      </c>
      <c r="C870" s="9" t="s">
        <v>15</v>
      </c>
      <c r="D870" s="10" t="s">
        <v>1987</v>
      </c>
      <c r="E870" s="9" t="s">
        <v>17</v>
      </c>
      <c r="F870" s="10">
        <v>19</v>
      </c>
      <c r="G870" s="11">
        <v>7086685368</v>
      </c>
      <c r="H870" s="10" t="s">
        <v>1988</v>
      </c>
      <c r="I870" s="10" t="s">
        <v>27</v>
      </c>
      <c r="J870" s="10" t="s">
        <v>1989</v>
      </c>
      <c r="K870" s="12">
        <v>45999</v>
      </c>
      <c r="L870" s="28" t="s">
        <v>11</v>
      </c>
      <c r="M870" s="14"/>
      <c r="N870" s="10" t="s">
        <v>1028</v>
      </c>
    </row>
    <row r="871" spans="1:14" ht="22.5" customHeight="1">
      <c r="A871" s="8">
        <v>46001.927873460649</v>
      </c>
      <c r="B871" s="9" t="s">
        <v>14</v>
      </c>
      <c r="C871" s="9" t="s">
        <v>15</v>
      </c>
      <c r="D871" s="10" t="s">
        <v>1990</v>
      </c>
      <c r="E871" s="9" t="s">
        <v>17</v>
      </c>
      <c r="F871" s="10">
        <v>28</v>
      </c>
      <c r="G871" s="11">
        <v>7032604443</v>
      </c>
      <c r="H871" s="10" t="s">
        <v>1991</v>
      </c>
      <c r="I871" s="10" t="s">
        <v>27</v>
      </c>
      <c r="J871" s="10" t="s">
        <v>1992</v>
      </c>
      <c r="K871" s="12">
        <v>46001</v>
      </c>
      <c r="L871" s="28" t="s">
        <v>11</v>
      </c>
      <c r="M871" s="14"/>
      <c r="N871" s="10" t="s">
        <v>1028</v>
      </c>
    </row>
    <row r="872" spans="1:14" ht="22.5" customHeight="1">
      <c r="A872" s="8">
        <v>46001.928648576388</v>
      </c>
      <c r="B872" s="9" t="s">
        <v>14</v>
      </c>
      <c r="C872" s="9" t="s">
        <v>15</v>
      </c>
      <c r="D872" s="10" t="s">
        <v>1993</v>
      </c>
      <c r="E872" s="9" t="s">
        <v>22</v>
      </c>
      <c r="F872" s="10">
        <v>31</v>
      </c>
      <c r="G872" s="11">
        <v>7066535322</v>
      </c>
      <c r="H872" s="10" t="s">
        <v>1994</v>
      </c>
      <c r="I872" s="10" t="s">
        <v>49</v>
      </c>
      <c r="J872" s="10" t="s">
        <v>282</v>
      </c>
      <c r="K872" s="12">
        <v>46001</v>
      </c>
      <c r="L872" s="28" t="s">
        <v>11</v>
      </c>
      <c r="M872" s="14"/>
      <c r="N872" s="10" t="s">
        <v>1028</v>
      </c>
    </row>
    <row r="873" spans="1:14" ht="22.5" customHeight="1">
      <c r="A873" s="8">
        <v>46001.933952754625</v>
      </c>
      <c r="B873" s="9" t="s">
        <v>14</v>
      </c>
      <c r="C873" s="9" t="s">
        <v>15</v>
      </c>
      <c r="D873" s="10" t="s">
        <v>1995</v>
      </c>
      <c r="E873" s="9" t="s">
        <v>22</v>
      </c>
      <c r="F873" s="10">
        <v>33</v>
      </c>
      <c r="G873" s="11">
        <v>8130056900</v>
      </c>
      <c r="H873" s="10" t="s">
        <v>1996</v>
      </c>
      <c r="I873" s="10" t="s">
        <v>27</v>
      </c>
      <c r="J873" s="10" t="s">
        <v>94</v>
      </c>
      <c r="K873" s="12">
        <v>33948</v>
      </c>
      <c r="L873" s="28" t="s">
        <v>11</v>
      </c>
      <c r="M873" s="10"/>
      <c r="N873" s="10" t="s">
        <v>1028</v>
      </c>
    </row>
    <row r="874" spans="1:14" ht="22.5" hidden="1" customHeight="1">
      <c r="A874" s="8">
        <v>46001.938820763884</v>
      </c>
      <c r="B874" s="9" t="s">
        <v>14</v>
      </c>
      <c r="C874" s="9" t="s">
        <v>15</v>
      </c>
      <c r="D874" s="10" t="s">
        <v>1997</v>
      </c>
      <c r="E874" s="9" t="s">
        <v>17</v>
      </c>
      <c r="F874" s="19">
        <v>30</v>
      </c>
      <c r="G874" s="11">
        <v>8162690684</v>
      </c>
      <c r="H874" s="10" t="s">
        <v>1998</v>
      </c>
      <c r="I874" s="10" t="s">
        <v>31</v>
      </c>
      <c r="J874" s="10" t="s">
        <v>1952</v>
      </c>
      <c r="K874" s="12">
        <v>46001</v>
      </c>
      <c r="L874" s="10" t="s">
        <v>441</v>
      </c>
      <c r="M874" s="10" t="s">
        <v>1999</v>
      </c>
      <c r="N874" s="10" t="s">
        <v>1140</v>
      </c>
    </row>
    <row r="875" spans="1:14" ht="22.5" customHeight="1">
      <c r="A875" s="8">
        <v>46001.943616851851</v>
      </c>
      <c r="B875" s="9" t="s">
        <v>14</v>
      </c>
      <c r="C875" s="9" t="s">
        <v>15</v>
      </c>
      <c r="D875" s="10" t="s">
        <v>2000</v>
      </c>
      <c r="E875" s="9" t="s">
        <v>22</v>
      </c>
      <c r="F875" s="10">
        <v>28</v>
      </c>
      <c r="G875" s="11">
        <v>9021199608</v>
      </c>
      <c r="H875" s="10" t="s">
        <v>2001</v>
      </c>
      <c r="I875" s="10" t="s">
        <v>27</v>
      </c>
      <c r="J875" s="10" t="s">
        <v>1456</v>
      </c>
      <c r="K875" s="12">
        <v>46001</v>
      </c>
      <c r="L875" s="28" t="s">
        <v>11</v>
      </c>
      <c r="M875" s="14"/>
      <c r="N875" s="10" t="s">
        <v>1028</v>
      </c>
    </row>
    <row r="876" spans="1:14" ht="22.5" customHeight="1">
      <c r="A876" s="8">
        <v>46001.946698912041</v>
      </c>
      <c r="B876" s="9" t="s">
        <v>14</v>
      </c>
      <c r="C876" s="9" t="s">
        <v>15</v>
      </c>
      <c r="D876" s="10" t="s">
        <v>2002</v>
      </c>
      <c r="E876" s="9" t="s">
        <v>17</v>
      </c>
      <c r="F876" s="10">
        <v>30</v>
      </c>
      <c r="G876" s="11">
        <v>8132880328</v>
      </c>
      <c r="H876" s="10" t="s">
        <v>2003</v>
      </c>
      <c r="I876" s="10" t="s">
        <v>45</v>
      </c>
      <c r="J876" s="10" t="s">
        <v>131</v>
      </c>
      <c r="K876" s="12">
        <v>46001</v>
      </c>
      <c r="L876" s="28" t="s">
        <v>11</v>
      </c>
      <c r="M876" s="14"/>
      <c r="N876" s="10" t="s">
        <v>1028</v>
      </c>
    </row>
    <row r="877" spans="1:14" ht="22.5" hidden="1" customHeight="1">
      <c r="A877" s="8">
        <v>46001.947159166666</v>
      </c>
      <c r="B877" s="9" t="s">
        <v>14</v>
      </c>
      <c r="C877" s="9" t="s">
        <v>15</v>
      </c>
      <c r="D877" s="10" t="s">
        <v>2004</v>
      </c>
      <c r="E877" s="9" t="s">
        <v>22</v>
      </c>
      <c r="F877" s="10">
        <v>31</v>
      </c>
      <c r="G877" s="11">
        <v>9067247530</v>
      </c>
      <c r="H877" s="10" t="s">
        <v>2005</v>
      </c>
      <c r="I877" s="10" t="s">
        <v>27</v>
      </c>
      <c r="J877" s="10" t="s">
        <v>2006</v>
      </c>
      <c r="K877" s="12">
        <v>46001</v>
      </c>
      <c r="L877" s="10" t="s">
        <v>441</v>
      </c>
      <c r="M877" s="10" t="s">
        <v>1361</v>
      </c>
      <c r="N877" s="10" t="s">
        <v>1028</v>
      </c>
    </row>
    <row r="878" spans="1:14" ht="22.5" customHeight="1">
      <c r="A878" s="8">
        <v>46001.948846481479</v>
      </c>
      <c r="B878" s="9" t="s">
        <v>14</v>
      </c>
      <c r="C878" s="9" t="s">
        <v>15</v>
      </c>
      <c r="D878" s="10" t="s">
        <v>418</v>
      </c>
      <c r="E878" s="9" t="s">
        <v>22</v>
      </c>
      <c r="F878" s="10">
        <v>47</v>
      </c>
      <c r="G878" s="11">
        <v>8034333177</v>
      </c>
      <c r="H878" s="10" t="s">
        <v>2007</v>
      </c>
      <c r="I878" s="10" t="s">
        <v>27</v>
      </c>
      <c r="J878" s="10" t="s">
        <v>172</v>
      </c>
      <c r="K878" s="12">
        <v>46001</v>
      </c>
      <c r="L878" s="28" t="s">
        <v>11</v>
      </c>
      <c r="M878" s="14"/>
      <c r="N878" s="10" t="s">
        <v>1028</v>
      </c>
    </row>
    <row r="879" spans="1:14" ht="22.5" customHeight="1">
      <c r="A879" s="8">
        <v>46001.950547708329</v>
      </c>
      <c r="B879" s="9" t="s">
        <v>14</v>
      </c>
      <c r="C879" s="9" t="s">
        <v>15</v>
      </c>
      <c r="D879" s="10" t="s">
        <v>2008</v>
      </c>
      <c r="E879" s="9" t="s">
        <v>22</v>
      </c>
      <c r="F879" s="10">
        <v>35</v>
      </c>
      <c r="G879" s="11">
        <v>8100741395</v>
      </c>
      <c r="H879" s="10" t="s">
        <v>2009</v>
      </c>
      <c r="I879" s="10" t="s">
        <v>27</v>
      </c>
      <c r="J879" s="10" t="s">
        <v>172</v>
      </c>
      <c r="K879" s="12">
        <v>46001</v>
      </c>
      <c r="L879" s="28" t="s">
        <v>11</v>
      </c>
      <c r="M879" s="14"/>
      <c r="N879" s="10" t="s">
        <v>1028</v>
      </c>
    </row>
    <row r="880" spans="1:14" ht="22.5" customHeight="1">
      <c r="A880" s="8">
        <v>46001.956355833332</v>
      </c>
      <c r="B880" s="9" t="s">
        <v>14</v>
      </c>
      <c r="C880" s="9" t="s">
        <v>15</v>
      </c>
      <c r="D880" s="10" t="s">
        <v>2010</v>
      </c>
      <c r="E880" s="9" t="s">
        <v>22</v>
      </c>
      <c r="F880" s="10">
        <v>31</v>
      </c>
      <c r="G880" s="11">
        <v>8164860836</v>
      </c>
      <c r="H880" s="10" t="s">
        <v>2011</v>
      </c>
      <c r="I880" s="10" t="s">
        <v>27</v>
      </c>
      <c r="J880" s="10" t="s">
        <v>172</v>
      </c>
      <c r="K880" s="12">
        <v>46001</v>
      </c>
      <c r="L880" s="28" t="s">
        <v>11</v>
      </c>
      <c r="M880" s="14"/>
      <c r="N880" s="10" t="s">
        <v>1028</v>
      </c>
    </row>
    <row r="881" spans="1:14" ht="22.5" hidden="1" customHeight="1">
      <c r="A881" s="8">
        <v>46001.957898275461</v>
      </c>
      <c r="B881" s="9" t="s">
        <v>14</v>
      </c>
      <c r="C881" s="9" t="s">
        <v>15</v>
      </c>
      <c r="D881" s="10" t="s">
        <v>2012</v>
      </c>
      <c r="E881" s="9" t="s">
        <v>22</v>
      </c>
      <c r="F881" s="10">
        <v>28</v>
      </c>
      <c r="G881" s="11">
        <v>9047100968</v>
      </c>
      <c r="H881" s="10" t="s">
        <v>2013</v>
      </c>
      <c r="I881" s="10" t="s">
        <v>27</v>
      </c>
      <c r="J881" s="10" t="s">
        <v>2006</v>
      </c>
      <c r="K881" s="12">
        <v>34313</v>
      </c>
      <c r="L881" s="10" t="s">
        <v>441</v>
      </c>
      <c r="M881" s="10" t="s">
        <v>1361</v>
      </c>
      <c r="N881" s="10" t="s">
        <v>1028</v>
      </c>
    </row>
    <row r="882" spans="1:14" ht="22.5" customHeight="1">
      <c r="A882" s="8">
        <v>46001.97036334491</v>
      </c>
      <c r="B882" s="9" t="s">
        <v>14</v>
      </c>
      <c r="C882" s="9" t="s">
        <v>15</v>
      </c>
      <c r="D882" s="10" t="s">
        <v>2014</v>
      </c>
      <c r="E882" s="9" t="s">
        <v>22</v>
      </c>
      <c r="F882" s="10">
        <v>22</v>
      </c>
      <c r="G882" s="11">
        <v>7013604882</v>
      </c>
      <c r="H882" s="10" t="s">
        <v>2015</v>
      </c>
      <c r="I882" s="10" t="s">
        <v>27</v>
      </c>
      <c r="J882" s="10" t="s">
        <v>94</v>
      </c>
      <c r="K882" s="12">
        <v>46001</v>
      </c>
      <c r="L882" s="28" t="s">
        <v>11</v>
      </c>
      <c r="M882" s="14"/>
      <c r="N882" s="10" t="s">
        <v>1028</v>
      </c>
    </row>
    <row r="883" spans="1:14" ht="22.5" customHeight="1">
      <c r="A883" s="8">
        <v>46001.970532615742</v>
      </c>
      <c r="B883" s="9" t="s">
        <v>14</v>
      </c>
      <c r="C883" s="9" t="s">
        <v>15</v>
      </c>
      <c r="D883" s="10" t="s">
        <v>2016</v>
      </c>
      <c r="E883" s="9" t="s">
        <v>22</v>
      </c>
      <c r="F883" s="10">
        <v>22</v>
      </c>
      <c r="G883" s="11">
        <v>8106631134</v>
      </c>
      <c r="H883" s="10" t="s">
        <v>2017</v>
      </c>
      <c r="I883" s="10" t="s">
        <v>27</v>
      </c>
      <c r="J883" s="10" t="s">
        <v>172</v>
      </c>
      <c r="K883" s="12">
        <v>46001</v>
      </c>
      <c r="L883" s="28" t="s">
        <v>11</v>
      </c>
      <c r="M883" s="14"/>
      <c r="N883" s="10" t="s">
        <v>1028</v>
      </c>
    </row>
    <row r="884" spans="1:14" ht="22.5" customHeight="1">
      <c r="A884" s="8">
        <v>46001.971065613427</v>
      </c>
      <c r="B884" s="9" t="s">
        <v>14</v>
      </c>
      <c r="C884" s="9" t="s">
        <v>15</v>
      </c>
      <c r="D884" s="10" t="s">
        <v>2018</v>
      </c>
      <c r="E884" s="9" t="s">
        <v>17</v>
      </c>
      <c r="F884" s="10">
        <v>41</v>
      </c>
      <c r="G884" s="11">
        <f t="shared" ref="G884" si="13">2348131591530</f>
        <v>2348131591530</v>
      </c>
      <c r="H884" s="10" t="s">
        <v>2019</v>
      </c>
      <c r="I884" s="10" t="s">
        <v>27</v>
      </c>
      <c r="J884" s="10" t="s">
        <v>172</v>
      </c>
      <c r="K884" s="12">
        <v>46001</v>
      </c>
      <c r="L884" s="28" t="s">
        <v>11</v>
      </c>
      <c r="M884" s="14"/>
      <c r="N884" s="10" t="s">
        <v>1028</v>
      </c>
    </row>
    <row r="885" spans="1:14" ht="22.5" customHeight="1">
      <c r="A885" s="8">
        <v>46001.97234015046</v>
      </c>
      <c r="B885" s="9" t="s">
        <v>14</v>
      </c>
      <c r="C885" s="9" t="s">
        <v>15</v>
      </c>
      <c r="D885" s="10" t="s">
        <v>2020</v>
      </c>
      <c r="E885" s="9" t="s">
        <v>17</v>
      </c>
      <c r="F885" s="10">
        <v>25</v>
      </c>
      <c r="G885" s="11">
        <v>9016180831</v>
      </c>
      <c r="H885" s="10" t="s">
        <v>2021</v>
      </c>
      <c r="I885" s="10" t="s">
        <v>19</v>
      </c>
      <c r="J885" s="10" t="s">
        <v>812</v>
      </c>
      <c r="K885" s="12">
        <v>46001</v>
      </c>
      <c r="L885" s="28" t="s">
        <v>11</v>
      </c>
      <c r="M885" s="14"/>
      <c r="N885" s="10" t="s">
        <v>1028</v>
      </c>
    </row>
    <row r="886" spans="1:14" ht="22.5" customHeight="1">
      <c r="A886" s="8">
        <v>46001.975440740745</v>
      </c>
      <c r="B886" s="9" t="s">
        <v>14</v>
      </c>
      <c r="C886" s="9" t="s">
        <v>15</v>
      </c>
      <c r="D886" s="10" t="s">
        <v>2022</v>
      </c>
      <c r="E886" s="9" t="s">
        <v>17</v>
      </c>
      <c r="F886" s="10">
        <v>29</v>
      </c>
      <c r="G886" s="11">
        <v>7037818620</v>
      </c>
      <c r="H886" s="10" t="s">
        <v>2023</v>
      </c>
      <c r="I886" s="10" t="s">
        <v>27</v>
      </c>
      <c r="J886" s="10" t="s">
        <v>1559</v>
      </c>
      <c r="K886" s="12">
        <v>46001</v>
      </c>
      <c r="L886" s="28" t="s">
        <v>11</v>
      </c>
      <c r="M886" s="14"/>
      <c r="N886" s="10" t="s">
        <v>1096</v>
      </c>
    </row>
    <row r="887" spans="1:14" ht="22.5" customHeight="1">
      <c r="A887" s="8">
        <v>46001.97601456019</v>
      </c>
      <c r="B887" s="9" t="s">
        <v>14</v>
      </c>
      <c r="C887" s="9" t="s">
        <v>15</v>
      </c>
      <c r="D887" s="10" t="s">
        <v>2024</v>
      </c>
      <c r="E887" s="9" t="s">
        <v>17</v>
      </c>
      <c r="F887" s="10">
        <v>22</v>
      </c>
      <c r="G887" s="11">
        <v>9076358412</v>
      </c>
      <c r="H887" s="10" t="s">
        <v>2025</v>
      </c>
      <c r="I887" s="10" t="s">
        <v>45</v>
      </c>
      <c r="J887" s="10" t="s">
        <v>2026</v>
      </c>
      <c r="K887" s="12">
        <v>46001</v>
      </c>
      <c r="L887" s="28" t="s">
        <v>11</v>
      </c>
      <c r="M887" s="14"/>
      <c r="N887" s="10" t="s">
        <v>1028</v>
      </c>
    </row>
    <row r="888" spans="1:14" ht="22.5" customHeight="1">
      <c r="A888" s="8">
        <v>46001.984973738421</v>
      </c>
      <c r="B888" s="9" t="s">
        <v>14</v>
      </c>
      <c r="C888" s="9" t="s">
        <v>15</v>
      </c>
      <c r="D888" s="10" t="s">
        <v>2027</v>
      </c>
      <c r="E888" s="9" t="s">
        <v>22</v>
      </c>
      <c r="F888" s="10">
        <v>29</v>
      </c>
      <c r="G888" s="11">
        <v>8083399636</v>
      </c>
      <c r="H888" s="10" t="s">
        <v>2028</v>
      </c>
      <c r="I888" s="10" t="s">
        <v>31</v>
      </c>
      <c r="J888" s="10" t="s">
        <v>32</v>
      </c>
      <c r="K888" s="12">
        <v>46001</v>
      </c>
      <c r="L888" s="28" t="s">
        <v>11</v>
      </c>
      <c r="M888" s="14"/>
      <c r="N888" s="10" t="s">
        <v>1028</v>
      </c>
    </row>
    <row r="889" spans="1:14" ht="22.5" customHeight="1">
      <c r="A889" s="8">
        <v>46001.985375532407</v>
      </c>
      <c r="B889" s="9" t="s">
        <v>14</v>
      </c>
      <c r="C889" s="9" t="s">
        <v>15</v>
      </c>
      <c r="D889" s="10" t="s">
        <v>2029</v>
      </c>
      <c r="E889" s="9" t="s">
        <v>22</v>
      </c>
      <c r="F889" s="10">
        <v>22</v>
      </c>
      <c r="G889" s="11">
        <v>9027592148</v>
      </c>
      <c r="H889" s="10" t="s">
        <v>2030</v>
      </c>
      <c r="I889" s="10" t="s">
        <v>27</v>
      </c>
      <c r="J889" s="10" t="s">
        <v>2031</v>
      </c>
      <c r="K889" s="12">
        <v>46001</v>
      </c>
      <c r="L889" s="28" t="s">
        <v>11</v>
      </c>
      <c r="M889" s="14"/>
      <c r="N889" s="10" t="s">
        <v>1028</v>
      </c>
    </row>
    <row r="890" spans="1:14" ht="22.5" customHeight="1">
      <c r="A890" s="8">
        <v>46001.985656203702</v>
      </c>
      <c r="B890" s="9" t="s">
        <v>14</v>
      </c>
      <c r="C890" s="9" t="s">
        <v>15</v>
      </c>
      <c r="D890" s="10" t="s">
        <v>2032</v>
      </c>
      <c r="E890" s="9" t="s">
        <v>22</v>
      </c>
      <c r="F890" s="10">
        <v>27</v>
      </c>
      <c r="G890" s="11">
        <v>8105776661</v>
      </c>
      <c r="H890" s="10" t="s">
        <v>2033</v>
      </c>
      <c r="I890" s="10" t="s">
        <v>27</v>
      </c>
      <c r="J890" s="10" t="s">
        <v>94</v>
      </c>
      <c r="K890" s="12">
        <v>46001</v>
      </c>
      <c r="L890" s="28" t="s">
        <v>11</v>
      </c>
      <c r="M890" s="14"/>
      <c r="N890" s="10" t="s">
        <v>1028</v>
      </c>
    </row>
    <row r="891" spans="1:14" ht="22.5" customHeight="1">
      <c r="A891" s="8">
        <v>46001.989313831014</v>
      </c>
      <c r="B891" s="9" t="s">
        <v>14</v>
      </c>
      <c r="C891" s="9" t="s">
        <v>15</v>
      </c>
      <c r="D891" s="10" t="s">
        <v>2034</v>
      </c>
      <c r="E891" s="9" t="s">
        <v>17</v>
      </c>
      <c r="F891" s="10">
        <v>19</v>
      </c>
      <c r="G891" s="11">
        <v>8162418206</v>
      </c>
      <c r="H891" s="10" t="s">
        <v>2035</v>
      </c>
      <c r="I891" s="10" t="s">
        <v>27</v>
      </c>
      <c r="J891" s="10" t="s">
        <v>172</v>
      </c>
      <c r="K891" s="12">
        <v>46001</v>
      </c>
      <c r="L891" s="28" t="s">
        <v>11</v>
      </c>
      <c r="M891" s="14"/>
      <c r="N891" s="10" t="s">
        <v>1028</v>
      </c>
    </row>
    <row r="892" spans="1:14" ht="22.5" hidden="1" customHeight="1">
      <c r="A892" s="8">
        <v>46001.995025648153</v>
      </c>
      <c r="B892" s="9" t="s">
        <v>14</v>
      </c>
      <c r="C892" s="9" t="s">
        <v>15</v>
      </c>
      <c r="D892" s="10" t="s">
        <v>2036</v>
      </c>
      <c r="E892" s="9" t="s">
        <v>22</v>
      </c>
      <c r="F892" s="10">
        <v>25</v>
      </c>
      <c r="G892" s="11">
        <v>9165253196</v>
      </c>
      <c r="H892" s="10" t="s">
        <v>2037</v>
      </c>
      <c r="I892" s="10" t="s">
        <v>27</v>
      </c>
      <c r="J892" s="10" t="s">
        <v>94</v>
      </c>
      <c r="K892" s="12">
        <v>46001</v>
      </c>
      <c r="L892" s="10" t="s">
        <v>441</v>
      </c>
      <c r="M892" s="10" t="s">
        <v>1361</v>
      </c>
      <c r="N892" s="10" t="s">
        <v>1563</v>
      </c>
    </row>
    <row r="893" spans="1:14" ht="22.5" customHeight="1">
      <c r="A893" s="8">
        <v>46001.999977326384</v>
      </c>
      <c r="B893" s="9" t="s">
        <v>14</v>
      </c>
      <c r="C893" s="9" t="s">
        <v>15</v>
      </c>
      <c r="D893" s="10" t="s">
        <v>2038</v>
      </c>
      <c r="E893" s="9" t="s">
        <v>17</v>
      </c>
      <c r="F893" s="10">
        <v>23</v>
      </c>
      <c r="G893" s="11">
        <v>8066089836</v>
      </c>
      <c r="H893" s="10" t="s">
        <v>2039</v>
      </c>
      <c r="I893" s="10" t="s">
        <v>27</v>
      </c>
      <c r="J893" s="10" t="s">
        <v>70</v>
      </c>
      <c r="K893" s="12">
        <v>46001</v>
      </c>
      <c r="L893" s="28" t="s">
        <v>11</v>
      </c>
      <c r="M893" s="14"/>
      <c r="N893" s="10" t="s">
        <v>1028</v>
      </c>
    </row>
    <row r="894" spans="1:14" ht="22.5" customHeight="1">
      <c r="A894" s="8">
        <v>46002.00684037037</v>
      </c>
      <c r="B894" s="9" t="s">
        <v>14</v>
      </c>
      <c r="C894" s="9" t="s">
        <v>15</v>
      </c>
      <c r="D894" s="10" t="s">
        <v>2040</v>
      </c>
      <c r="E894" s="9" t="s">
        <v>22</v>
      </c>
      <c r="F894" s="10">
        <v>31</v>
      </c>
      <c r="G894" s="11">
        <v>9022741994</v>
      </c>
      <c r="H894" s="10" t="s">
        <v>2041</v>
      </c>
      <c r="I894" s="10" t="s">
        <v>27</v>
      </c>
      <c r="J894" s="10" t="s">
        <v>172</v>
      </c>
      <c r="K894" s="12">
        <v>46001</v>
      </c>
      <c r="L894" s="28" t="s">
        <v>11</v>
      </c>
      <c r="M894" s="14"/>
      <c r="N894" s="10" t="s">
        <v>1028</v>
      </c>
    </row>
    <row r="895" spans="1:14" ht="22.5" customHeight="1">
      <c r="A895" s="8">
        <v>46002.026734907406</v>
      </c>
      <c r="B895" s="9" t="s">
        <v>14</v>
      </c>
      <c r="C895" s="9" t="s">
        <v>15</v>
      </c>
      <c r="D895" s="10" t="s">
        <v>2042</v>
      </c>
      <c r="E895" s="9" t="s">
        <v>17</v>
      </c>
      <c r="F895" s="10">
        <v>35</v>
      </c>
      <c r="G895" s="11">
        <v>8142703562</v>
      </c>
      <c r="H895" s="10" t="s">
        <v>2043</v>
      </c>
      <c r="I895" s="10" t="s">
        <v>27</v>
      </c>
      <c r="J895" s="10" t="s">
        <v>70</v>
      </c>
      <c r="K895" s="12">
        <v>46002</v>
      </c>
      <c r="L895" s="28" t="s">
        <v>11</v>
      </c>
      <c r="M895" s="14"/>
      <c r="N895" s="10" t="s">
        <v>1028</v>
      </c>
    </row>
    <row r="896" spans="1:14" ht="22.5" customHeight="1">
      <c r="A896" s="8">
        <v>46002.037858032403</v>
      </c>
      <c r="B896" s="9" t="s">
        <v>14</v>
      </c>
      <c r="C896" s="9" t="s">
        <v>15</v>
      </c>
      <c r="D896" s="10" t="s">
        <v>2044</v>
      </c>
      <c r="E896" s="9" t="s">
        <v>22</v>
      </c>
      <c r="F896" s="10">
        <v>30</v>
      </c>
      <c r="G896" s="11">
        <v>7088167254</v>
      </c>
      <c r="H896" s="10" t="s">
        <v>2045</v>
      </c>
      <c r="I896" s="10" t="s">
        <v>31</v>
      </c>
      <c r="J896" s="10" t="s">
        <v>1582</v>
      </c>
      <c r="K896" s="12">
        <v>46002</v>
      </c>
      <c r="L896" s="28" t="s">
        <v>11</v>
      </c>
      <c r="M896" s="14"/>
      <c r="N896" s="10" t="s">
        <v>1028</v>
      </c>
    </row>
    <row r="897" spans="1:14" ht="22.5" customHeight="1">
      <c r="A897" s="8">
        <v>46002.070283831017</v>
      </c>
      <c r="B897" s="9" t="s">
        <v>14</v>
      </c>
      <c r="C897" s="9" t="s">
        <v>15</v>
      </c>
      <c r="D897" s="10" t="s">
        <v>2046</v>
      </c>
      <c r="E897" s="9" t="s">
        <v>17</v>
      </c>
      <c r="F897" s="10">
        <v>29</v>
      </c>
      <c r="G897" s="11">
        <v>8062528200</v>
      </c>
      <c r="H897" s="10" t="s">
        <v>2047</v>
      </c>
      <c r="I897" s="10" t="s">
        <v>27</v>
      </c>
      <c r="J897" s="10" t="s">
        <v>94</v>
      </c>
      <c r="K897" s="12">
        <v>46002</v>
      </c>
      <c r="L897" s="28" t="s">
        <v>11</v>
      </c>
      <c r="M897" s="14"/>
      <c r="N897" s="10" t="s">
        <v>1028</v>
      </c>
    </row>
    <row r="898" spans="1:14" ht="22.5" hidden="1" customHeight="1">
      <c r="A898" s="8">
        <v>46002.085462673611</v>
      </c>
      <c r="B898" s="9" t="s">
        <v>14</v>
      </c>
      <c r="C898" s="9" t="s">
        <v>15</v>
      </c>
      <c r="D898" s="10" t="s">
        <v>2048</v>
      </c>
      <c r="E898" s="9" t="s">
        <v>17</v>
      </c>
      <c r="F898" s="10">
        <v>25</v>
      </c>
      <c r="G898" s="11">
        <v>1886246852</v>
      </c>
      <c r="H898" s="10" t="s">
        <v>2049</v>
      </c>
      <c r="I898" s="10" t="s">
        <v>19</v>
      </c>
      <c r="J898" s="10" t="s">
        <v>2050</v>
      </c>
      <c r="K898" s="12">
        <v>36526</v>
      </c>
      <c r="L898" s="10" t="s">
        <v>441</v>
      </c>
      <c r="M898" s="10" t="s">
        <v>2051</v>
      </c>
      <c r="N898" s="10" t="s">
        <v>1563</v>
      </c>
    </row>
    <row r="899" spans="1:14" ht="22.5" customHeight="1">
      <c r="A899" s="8">
        <v>46002.109538842589</v>
      </c>
      <c r="B899" s="9" t="s">
        <v>14</v>
      </c>
      <c r="C899" s="9" t="s">
        <v>15</v>
      </c>
      <c r="D899" s="10" t="s">
        <v>2052</v>
      </c>
      <c r="E899" s="9" t="s">
        <v>17</v>
      </c>
      <c r="F899" s="10">
        <v>32</v>
      </c>
      <c r="G899" s="11">
        <f t="shared" ref="G899" si="14">251917096531</f>
        <v>251917096531</v>
      </c>
      <c r="H899" s="10" t="s">
        <v>2053</v>
      </c>
      <c r="I899" s="10" t="s">
        <v>19</v>
      </c>
      <c r="J899" s="10" t="s">
        <v>2054</v>
      </c>
      <c r="K899" s="12">
        <v>46002</v>
      </c>
      <c r="L899" s="28" t="s">
        <v>11</v>
      </c>
      <c r="M899" s="14"/>
      <c r="N899" s="10" t="s">
        <v>1140</v>
      </c>
    </row>
    <row r="900" spans="1:14" ht="22.5" customHeight="1">
      <c r="A900" s="8">
        <v>46002.130308356485</v>
      </c>
      <c r="B900" s="9" t="s">
        <v>14</v>
      </c>
      <c r="C900" s="9" t="s">
        <v>15</v>
      </c>
      <c r="D900" s="10" t="s">
        <v>2055</v>
      </c>
      <c r="E900" s="9" t="s">
        <v>17</v>
      </c>
      <c r="F900" s="10">
        <v>30</v>
      </c>
      <c r="G900" s="11">
        <v>7030304810</v>
      </c>
      <c r="H900" s="10" t="s">
        <v>2056</v>
      </c>
      <c r="I900" s="10" t="s">
        <v>45</v>
      </c>
      <c r="J900" s="10" t="s">
        <v>901</v>
      </c>
      <c r="K900" s="12">
        <v>46002</v>
      </c>
      <c r="L900" s="28" t="s">
        <v>11</v>
      </c>
      <c r="M900" s="14"/>
      <c r="N900" s="10" t="s">
        <v>1028</v>
      </c>
    </row>
    <row r="901" spans="1:14" ht="22.5" customHeight="1">
      <c r="A901" s="8">
        <v>46002.167075590274</v>
      </c>
      <c r="B901" s="9" t="s">
        <v>14</v>
      </c>
      <c r="C901" s="9" t="s">
        <v>15</v>
      </c>
      <c r="D901" s="10" t="s">
        <v>2057</v>
      </c>
      <c r="E901" s="9" t="s">
        <v>17</v>
      </c>
      <c r="F901" s="10">
        <v>38</v>
      </c>
      <c r="G901" s="11">
        <v>9065224756</v>
      </c>
      <c r="H901" s="10" t="s">
        <v>2058</v>
      </c>
      <c r="I901" s="10" t="s">
        <v>202</v>
      </c>
      <c r="J901" s="10" t="s">
        <v>2059</v>
      </c>
      <c r="K901" s="12">
        <v>46002</v>
      </c>
      <c r="L901" s="28" t="s">
        <v>11</v>
      </c>
      <c r="M901" s="14"/>
      <c r="N901" s="10" t="s">
        <v>1028</v>
      </c>
    </row>
    <row r="902" spans="1:14" ht="22.5" customHeight="1">
      <c r="A902" s="8">
        <v>46002.170191805555</v>
      </c>
      <c r="B902" s="9" t="s">
        <v>14</v>
      </c>
      <c r="C902" s="9" t="s">
        <v>15</v>
      </c>
      <c r="D902" s="10" t="s">
        <v>2060</v>
      </c>
      <c r="E902" s="9" t="s">
        <v>17</v>
      </c>
      <c r="F902" s="10">
        <v>28</v>
      </c>
      <c r="G902" s="11">
        <v>8141907622</v>
      </c>
      <c r="H902" s="10" t="s">
        <v>2061</v>
      </c>
      <c r="I902" s="10" t="s">
        <v>45</v>
      </c>
      <c r="J902" s="10" t="s">
        <v>901</v>
      </c>
      <c r="K902" s="12">
        <v>46002</v>
      </c>
      <c r="L902" s="28" t="s">
        <v>11</v>
      </c>
      <c r="M902" s="14"/>
      <c r="N902" s="10" t="s">
        <v>1028</v>
      </c>
    </row>
    <row r="903" spans="1:14" ht="22.5" customHeight="1">
      <c r="A903" s="8">
        <v>46002.189788055555</v>
      </c>
      <c r="B903" s="9" t="s">
        <v>14</v>
      </c>
      <c r="C903" s="9" t="s">
        <v>15</v>
      </c>
      <c r="D903" s="10" t="s">
        <v>2062</v>
      </c>
      <c r="E903" s="9" t="s">
        <v>22</v>
      </c>
      <c r="F903" s="10">
        <v>26</v>
      </c>
      <c r="G903" s="11">
        <v>8160063631</v>
      </c>
      <c r="H903" s="10" t="s">
        <v>2063</v>
      </c>
      <c r="I903" s="10" t="s">
        <v>49</v>
      </c>
      <c r="J903" s="10" t="s">
        <v>109</v>
      </c>
      <c r="K903" s="12">
        <v>46002</v>
      </c>
      <c r="L903" s="28" t="s">
        <v>11</v>
      </c>
      <c r="M903" s="14"/>
      <c r="N903" s="10" t="s">
        <v>1028</v>
      </c>
    </row>
    <row r="904" spans="1:14" ht="22.5" customHeight="1">
      <c r="A904" s="8">
        <v>46002.217460810185</v>
      </c>
      <c r="B904" s="9" t="s">
        <v>14</v>
      </c>
      <c r="C904" s="9" t="s">
        <v>15</v>
      </c>
      <c r="D904" s="10" t="s">
        <v>2064</v>
      </c>
      <c r="E904" s="9" t="s">
        <v>17</v>
      </c>
      <c r="F904" s="10">
        <v>28</v>
      </c>
      <c r="G904" s="11">
        <v>8161329453</v>
      </c>
      <c r="H904" s="10" t="s">
        <v>2065</v>
      </c>
      <c r="I904" s="10" t="s">
        <v>45</v>
      </c>
      <c r="J904" s="10" t="s">
        <v>2066</v>
      </c>
      <c r="K904" s="12">
        <v>46002</v>
      </c>
      <c r="L904" s="28" t="s">
        <v>11</v>
      </c>
      <c r="M904" s="14"/>
      <c r="N904" s="10" t="s">
        <v>1028</v>
      </c>
    </row>
    <row r="905" spans="1:14" ht="22.5" customHeight="1">
      <c r="A905" s="8">
        <v>46002.217551203707</v>
      </c>
      <c r="B905" s="9" t="s">
        <v>14</v>
      </c>
      <c r="C905" s="9" t="s">
        <v>15</v>
      </c>
      <c r="D905" s="10" t="s">
        <v>2067</v>
      </c>
      <c r="E905" s="9" t="s">
        <v>17</v>
      </c>
      <c r="F905" s="10">
        <v>29</v>
      </c>
      <c r="G905" s="11">
        <v>7065700546</v>
      </c>
      <c r="H905" s="10" t="s">
        <v>2068</v>
      </c>
      <c r="I905" s="10" t="s">
        <v>27</v>
      </c>
      <c r="J905" s="10" t="s">
        <v>2069</v>
      </c>
      <c r="K905" s="12">
        <v>46002</v>
      </c>
      <c r="L905" s="28" t="s">
        <v>11</v>
      </c>
      <c r="M905" s="14"/>
      <c r="N905" s="10" t="s">
        <v>1028</v>
      </c>
    </row>
    <row r="906" spans="1:14" ht="22.5" customHeight="1">
      <c r="A906" s="8">
        <v>46002.233169409723</v>
      </c>
      <c r="B906" s="9" t="s">
        <v>14</v>
      </c>
      <c r="C906" s="9" t="s">
        <v>15</v>
      </c>
      <c r="D906" s="10" t="s">
        <v>2070</v>
      </c>
      <c r="E906" s="9" t="s">
        <v>22</v>
      </c>
      <c r="F906" s="10">
        <v>34</v>
      </c>
      <c r="G906" s="11">
        <v>7030470306</v>
      </c>
      <c r="H906" s="10" t="s">
        <v>2071</v>
      </c>
      <c r="I906" s="10" t="s">
        <v>45</v>
      </c>
      <c r="J906" s="10" t="s">
        <v>2072</v>
      </c>
      <c r="K906" s="12">
        <v>45973</v>
      </c>
      <c r="L906" s="28" t="s">
        <v>11</v>
      </c>
      <c r="M906" s="14"/>
      <c r="N906" s="10" t="s">
        <v>1028</v>
      </c>
    </row>
    <row r="907" spans="1:14" ht="22.5" customHeight="1">
      <c r="A907" s="8">
        <v>46002.236119259258</v>
      </c>
      <c r="B907" s="9" t="s">
        <v>14</v>
      </c>
      <c r="C907" s="9" t="s">
        <v>15</v>
      </c>
      <c r="D907" s="10" t="s">
        <v>2073</v>
      </c>
      <c r="E907" s="9" t="s">
        <v>17</v>
      </c>
      <c r="F907" s="10">
        <v>35</v>
      </c>
      <c r="G907" s="11">
        <f t="shared" ref="G907" si="15">23278212510</f>
        <v>23278212510</v>
      </c>
      <c r="H907" s="10" t="s">
        <v>2074</v>
      </c>
      <c r="I907" s="10" t="s">
        <v>45</v>
      </c>
      <c r="J907" s="10" t="s">
        <v>521</v>
      </c>
      <c r="K907" s="12">
        <v>46002</v>
      </c>
      <c r="L907" s="28" t="s">
        <v>11</v>
      </c>
      <c r="M907" s="14"/>
      <c r="N907" s="10" t="s">
        <v>1563</v>
      </c>
    </row>
    <row r="908" spans="1:14" ht="22.5" customHeight="1">
      <c r="A908" s="8">
        <v>46002.244697789356</v>
      </c>
      <c r="B908" s="9" t="s">
        <v>14</v>
      </c>
      <c r="C908" s="9" t="s">
        <v>15</v>
      </c>
      <c r="D908" s="10" t="s">
        <v>2075</v>
      </c>
      <c r="E908" s="9" t="s">
        <v>17</v>
      </c>
      <c r="F908" s="10">
        <v>28</v>
      </c>
      <c r="G908" s="11">
        <v>8039319891</v>
      </c>
      <c r="H908" s="10" t="s">
        <v>2076</v>
      </c>
      <c r="I908" s="10" t="s">
        <v>27</v>
      </c>
      <c r="J908" s="10" t="s">
        <v>2069</v>
      </c>
      <c r="K908" s="12">
        <v>46002</v>
      </c>
      <c r="L908" s="28" t="s">
        <v>11</v>
      </c>
      <c r="M908" s="14"/>
      <c r="N908" s="10" t="s">
        <v>1028</v>
      </c>
    </row>
    <row r="909" spans="1:14" ht="22.5" customHeight="1">
      <c r="A909" s="8">
        <v>46002.251760173611</v>
      </c>
      <c r="B909" s="9" t="s">
        <v>14</v>
      </c>
      <c r="C909" s="9" t="s">
        <v>15</v>
      </c>
      <c r="D909" s="10" t="s">
        <v>2077</v>
      </c>
      <c r="E909" s="9" t="s">
        <v>22</v>
      </c>
      <c r="F909" s="10">
        <v>21</v>
      </c>
      <c r="G909" s="11">
        <f t="shared" ref="G909" si="16">23278316118</f>
        <v>23278316118</v>
      </c>
      <c r="H909" s="10" t="s">
        <v>2078</v>
      </c>
      <c r="I909" s="10" t="s">
        <v>45</v>
      </c>
      <c r="J909" s="10" t="s">
        <v>521</v>
      </c>
      <c r="K909" s="12">
        <v>46002</v>
      </c>
      <c r="L909" s="28" t="s">
        <v>11</v>
      </c>
      <c r="M909" s="14"/>
      <c r="N909" s="10" t="s">
        <v>1563</v>
      </c>
    </row>
    <row r="910" spans="1:14" ht="22.5" customHeight="1">
      <c r="A910" s="8">
        <v>46002.253104791671</v>
      </c>
      <c r="B910" s="9" t="s">
        <v>14</v>
      </c>
      <c r="C910" s="9" t="s">
        <v>15</v>
      </c>
      <c r="D910" s="10" t="s">
        <v>2079</v>
      </c>
      <c r="E910" s="9" t="s">
        <v>17</v>
      </c>
      <c r="F910" s="10">
        <v>35</v>
      </c>
      <c r="G910" s="11">
        <f>251914324004</f>
        <v>251914324004</v>
      </c>
      <c r="H910" s="10" t="s">
        <v>2080</v>
      </c>
      <c r="I910" s="10" t="s">
        <v>202</v>
      </c>
      <c r="J910" s="10" t="s">
        <v>2081</v>
      </c>
      <c r="K910" s="12">
        <v>46002</v>
      </c>
      <c r="L910" s="28" t="s">
        <v>11</v>
      </c>
      <c r="M910" s="14"/>
      <c r="N910" s="10" t="s">
        <v>1028</v>
      </c>
    </row>
    <row r="911" spans="1:14" ht="22.5" customHeight="1">
      <c r="A911" s="8">
        <v>46002.25390423611</v>
      </c>
      <c r="B911" s="9" t="s">
        <v>14</v>
      </c>
      <c r="C911" s="9" t="s">
        <v>15</v>
      </c>
      <c r="D911" s="10" t="s">
        <v>2082</v>
      </c>
      <c r="E911" s="9" t="s">
        <v>17</v>
      </c>
      <c r="F911" s="10">
        <v>34</v>
      </c>
      <c r="G911" s="11">
        <v>8033115855</v>
      </c>
      <c r="H911" s="10" t="s">
        <v>2083</v>
      </c>
      <c r="I911" s="10" t="s">
        <v>27</v>
      </c>
      <c r="J911" s="10" t="s">
        <v>2069</v>
      </c>
      <c r="K911" s="12">
        <v>46002</v>
      </c>
      <c r="L911" s="28" t="s">
        <v>11</v>
      </c>
      <c r="M911" s="14"/>
      <c r="N911" s="10" t="s">
        <v>1028</v>
      </c>
    </row>
    <row r="912" spans="1:14" ht="22.5" customHeight="1">
      <c r="A912" s="8">
        <v>46002.257907858795</v>
      </c>
      <c r="B912" s="9" t="s">
        <v>14</v>
      </c>
      <c r="C912" s="9" t="s">
        <v>15</v>
      </c>
      <c r="D912" s="10" t="s">
        <v>2084</v>
      </c>
      <c r="E912" s="9" t="s">
        <v>17</v>
      </c>
      <c r="F912" s="10">
        <v>28</v>
      </c>
      <c r="G912" s="11">
        <v>8062865207</v>
      </c>
      <c r="H912" s="10" t="s">
        <v>2085</v>
      </c>
      <c r="I912" s="10" t="s">
        <v>145</v>
      </c>
      <c r="J912" s="10" t="s">
        <v>2086</v>
      </c>
      <c r="K912" s="12">
        <v>46002</v>
      </c>
      <c r="L912" s="28" t="s">
        <v>11</v>
      </c>
      <c r="M912" s="14"/>
      <c r="N912" s="10" t="s">
        <v>1028</v>
      </c>
    </row>
    <row r="913" spans="1:14" ht="22.5" customHeight="1">
      <c r="A913" s="8">
        <v>46002.26365606481</v>
      </c>
      <c r="B913" s="9" t="s">
        <v>14</v>
      </c>
      <c r="C913" s="9" t="s">
        <v>15</v>
      </c>
      <c r="D913" s="10" t="s">
        <v>2087</v>
      </c>
      <c r="E913" s="9" t="s">
        <v>22</v>
      </c>
      <c r="F913" s="10">
        <v>25</v>
      </c>
      <c r="G913" s="11">
        <v>9068851846</v>
      </c>
      <c r="H913" s="10" t="s">
        <v>2088</v>
      </c>
      <c r="I913" s="10" t="s">
        <v>27</v>
      </c>
      <c r="J913" s="10" t="s">
        <v>70</v>
      </c>
      <c r="K913" s="12">
        <v>46002</v>
      </c>
      <c r="L913" s="28" t="s">
        <v>11</v>
      </c>
      <c r="M913" s="14"/>
      <c r="N913" s="10" t="s">
        <v>1028</v>
      </c>
    </row>
    <row r="914" spans="1:14" ht="22.5" customHeight="1">
      <c r="A914" s="8">
        <v>46002.266434317135</v>
      </c>
      <c r="B914" s="9" t="s">
        <v>14</v>
      </c>
      <c r="C914" s="9" t="s">
        <v>15</v>
      </c>
      <c r="D914" s="10" t="s">
        <v>2089</v>
      </c>
      <c r="E914" s="9" t="s">
        <v>22</v>
      </c>
      <c r="F914" s="10">
        <v>29</v>
      </c>
      <c r="G914" s="11">
        <v>8138712504</v>
      </c>
      <c r="H914" s="10" t="s">
        <v>2090</v>
      </c>
      <c r="I914" s="10" t="s">
        <v>145</v>
      </c>
      <c r="J914" s="10" t="s">
        <v>1717</v>
      </c>
      <c r="K914" s="12">
        <v>46002</v>
      </c>
      <c r="L914" s="28" t="s">
        <v>11</v>
      </c>
      <c r="M914" s="14"/>
      <c r="N914" s="10" t="s">
        <v>1028</v>
      </c>
    </row>
    <row r="915" spans="1:14" ht="22.5" customHeight="1">
      <c r="A915" s="8">
        <v>46002.275884444447</v>
      </c>
      <c r="B915" s="9" t="s">
        <v>14</v>
      </c>
      <c r="C915" s="9" t="s">
        <v>15</v>
      </c>
      <c r="D915" s="10" t="s">
        <v>2091</v>
      </c>
      <c r="E915" s="9" t="s">
        <v>17</v>
      </c>
      <c r="F915" s="10">
        <v>29</v>
      </c>
      <c r="G915" s="11">
        <v>9034492606</v>
      </c>
      <c r="H915" s="10" t="s">
        <v>2092</v>
      </c>
      <c r="I915" s="10" t="s">
        <v>27</v>
      </c>
      <c r="J915" s="10" t="s">
        <v>28</v>
      </c>
      <c r="K915" s="12">
        <v>46002</v>
      </c>
      <c r="L915" s="28" t="s">
        <v>11</v>
      </c>
      <c r="M915" s="14"/>
      <c r="N915" s="10" t="s">
        <v>1028</v>
      </c>
    </row>
    <row r="916" spans="1:14" ht="22.5" customHeight="1">
      <c r="A916" s="8">
        <v>46002.27634971065</v>
      </c>
      <c r="B916" s="9" t="s">
        <v>14</v>
      </c>
      <c r="C916" s="9" t="s">
        <v>15</v>
      </c>
      <c r="D916" s="10" t="s">
        <v>2093</v>
      </c>
      <c r="E916" s="9" t="s">
        <v>17</v>
      </c>
      <c r="F916" s="10">
        <v>28</v>
      </c>
      <c r="G916" s="11">
        <v>9078060364</v>
      </c>
      <c r="H916" s="10" t="s">
        <v>2094</v>
      </c>
      <c r="I916" s="10" t="s">
        <v>45</v>
      </c>
      <c r="J916" s="10" t="s">
        <v>932</v>
      </c>
      <c r="K916" s="12">
        <v>46002</v>
      </c>
      <c r="L916" s="28" t="s">
        <v>11</v>
      </c>
      <c r="M916" s="14"/>
      <c r="N916" s="10" t="s">
        <v>1028</v>
      </c>
    </row>
    <row r="917" spans="1:14" ht="22.5" customHeight="1">
      <c r="A917" s="8">
        <v>46002.281969733798</v>
      </c>
      <c r="B917" s="9" t="s">
        <v>14</v>
      </c>
      <c r="C917" s="9" t="s">
        <v>15</v>
      </c>
      <c r="D917" s="10" t="s">
        <v>2095</v>
      </c>
      <c r="E917" s="9" t="s">
        <v>17</v>
      </c>
      <c r="F917" s="10">
        <v>25</v>
      </c>
      <c r="G917" s="11">
        <v>8113533438</v>
      </c>
      <c r="H917" s="10" t="s">
        <v>2096</v>
      </c>
      <c r="I917" s="10" t="s">
        <v>49</v>
      </c>
      <c r="J917" s="10" t="s">
        <v>109</v>
      </c>
      <c r="K917" s="12">
        <v>46002</v>
      </c>
      <c r="L917" s="28" t="s">
        <v>11</v>
      </c>
      <c r="M917" s="14"/>
      <c r="N917" s="10" t="s">
        <v>1028</v>
      </c>
    </row>
    <row r="918" spans="1:14" ht="22.5" customHeight="1">
      <c r="A918" s="8">
        <v>46002.286273414356</v>
      </c>
      <c r="B918" s="9" t="s">
        <v>14</v>
      </c>
      <c r="C918" s="9" t="s">
        <v>15</v>
      </c>
      <c r="D918" s="10" t="s">
        <v>2097</v>
      </c>
      <c r="E918" s="9" t="s">
        <v>22</v>
      </c>
      <c r="F918" s="10">
        <v>29</v>
      </c>
      <c r="G918" s="11">
        <v>813898006</v>
      </c>
      <c r="H918" s="10" t="s">
        <v>2098</v>
      </c>
      <c r="I918" s="10" t="s">
        <v>45</v>
      </c>
      <c r="J918" s="10" t="s">
        <v>2099</v>
      </c>
      <c r="K918" s="12">
        <v>46002</v>
      </c>
      <c r="L918" s="28" t="s">
        <v>11</v>
      </c>
      <c r="M918" s="14"/>
      <c r="N918" s="10" t="s">
        <v>1028</v>
      </c>
    </row>
    <row r="919" spans="1:14" ht="22.5" customHeight="1">
      <c r="A919" s="8">
        <v>46002.287868298612</v>
      </c>
      <c r="B919" s="9" t="s">
        <v>14</v>
      </c>
      <c r="C919" s="9" t="s">
        <v>15</v>
      </c>
      <c r="D919" s="10" t="s">
        <v>2100</v>
      </c>
      <c r="E919" s="9" t="s">
        <v>17</v>
      </c>
      <c r="F919" s="10">
        <v>36</v>
      </c>
      <c r="G919" s="11">
        <v>8066105898</v>
      </c>
      <c r="H919" s="10" t="s">
        <v>2101</v>
      </c>
      <c r="I919" s="10" t="s">
        <v>27</v>
      </c>
      <c r="J919" s="10" t="s">
        <v>2102</v>
      </c>
      <c r="K919" s="12">
        <v>46002</v>
      </c>
      <c r="L919" s="28" t="s">
        <v>11</v>
      </c>
      <c r="M919" s="14"/>
      <c r="N919" s="10" t="s">
        <v>1096</v>
      </c>
    </row>
    <row r="920" spans="1:14" ht="22.5" customHeight="1">
      <c r="A920" s="8">
        <v>46002.290057199076</v>
      </c>
      <c r="B920" s="9" t="s">
        <v>14</v>
      </c>
      <c r="C920" s="9" t="s">
        <v>15</v>
      </c>
      <c r="D920" s="10" t="s">
        <v>2103</v>
      </c>
      <c r="E920" s="9" t="s">
        <v>22</v>
      </c>
      <c r="F920" s="10">
        <v>28</v>
      </c>
      <c r="G920" s="11">
        <v>8024001118</v>
      </c>
      <c r="H920" s="10" t="s">
        <v>2104</v>
      </c>
      <c r="I920" s="10" t="s">
        <v>27</v>
      </c>
      <c r="J920" s="10" t="s">
        <v>2105</v>
      </c>
      <c r="K920" s="12">
        <v>46002</v>
      </c>
      <c r="L920" s="28" t="s">
        <v>11</v>
      </c>
      <c r="M920" s="14"/>
      <c r="N920" s="10" t="s">
        <v>1028</v>
      </c>
    </row>
    <row r="921" spans="1:14" ht="22.5" customHeight="1">
      <c r="A921" s="8">
        <v>46002.290070659721</v>
      </c>
      <c r="B921" s="9" t="s">
        <v>14</v>
      </c>
      <c r="C921" s="9" t="s">
        <v>15</v>
      </c>
      <c r="D921" s="10" t="s">
        <v>2106</v>
      </c>
      <c r="E921" s="9" t="s">
        <v>22</v>
      </c>
      <c r="F921" s="10">
        <v>32</v>
      </c>
      <c r="G921" s="11">
        <v>7032291014</v>
      </c>
      <c r="H921" s="10" t="s">
        <v>2107</v>
      </c>
      <c r="I921" s="10" t="s">
        <v>19</v>
      </c>
      <c r="J921" s="10" t="s">
        <v>166</v>
      </c>
      <c r="K921" s="12">
        <v>46002</v>
      </c>
      <c r="L921" s="28" t="s">
        <v>11</v>
      </c>
      <c r="M921" s="14"/>
      <c r="N921" s="10" t="s">
        <v>1096</v>
      </c>
    </row>
    <row r="922" spans="1:14" ht="22.5" customHeight="1">
      <c r="A922" s="8">
        <v>46002.300213090275</v>
      </c>
      <c r="B922" s="9" t="s">
        <v>14</v>
      </c>
      <c r="C922" s="9" t="s">
        <v>15</v>
      </c>
      <c r="D922" s="10" t="s">
        <v>2108</v>
      </c>
      <c r="E922" s="9" t="s">
        <v>22</v>
      </c>
      <c r="F922" s="10">
        <v>27</v>
      </c>
      <c r="G922" s="11">
        <v>8144013430</v>
      </c>
      <c r="H922" s="10" t="s">
        <v>2109</v>
      </c>
      <c r="I922" s="10" t="s">
        <v>27</v>
      </c>
      <c r="J922" s="10" t="s">
        <v>28</v>
      </c>
      <c r="K922" s="12">
        <v>46002</v>
      </c>
      <c r="L922" s="28" t="s">
        <v>11</v>
      </c>
      <c r="M922" s="14"/>
      <c r="N922" s="10" t="s">
        <v>1028</v>
      </c>
    </row>
    <row r="923" spans="1:14" ht="22.5" customHeight="1">
      <c r="A923" s="8">
        <v>46002.300510891204</v>
      </c>
      <c r="B923" s="9" t="s">
        <v>14</v>
      </c>
      <c r="C923" s="9" t="s">
        <v>15</v>
      </c>
      <c r="D923" s="10" t="s">
        <v>2110</v>
      </c>
      <c r="E923" s="9" t="s">
        <v>22</v>
      </c>
      <c r="F923" s="10">
        <v>45</v>
      </c>
      <c r="G923" s="11">
        <v>7082832539</v>
      </c>
      <c r="H923" s="10" t="s">
        <v>2111</v>
      </c>
      <c r="I923" s="10" t="s">
        <v>27</v>
      </c>
      <c r="J923" s="10" t="s">
        <v>1456</v>
      </c>
      <c r="K923" s="12">
        <v>46002</v>
      </c>
      <c r="L923" s="28" t="s">
        <v>11</v>
      </c>
      <c r="M923" s="14"/>
      <c r="N923" s="10" t="s">
        <v>1028</v>
      </c>
    </row>
    <row r="924" spans="1:14" ht="22.5" customHeight="1">
      <c r="A924" s="8">
        <v>46002.300811307869</v>
      </c>
      <c r="B924" s="9" t="s">
        <v>14</v>
      </c>
      <c r="C924" s="9" t="s">
        <v>15</v>
      </c>
      <c r="D924" s="10" t="s">
        <v>2112</v>
      </c>
      <c r="E924" s="9" t="s">
        <v>22</v>
      </c>
      <c r="F924" s="10">
        <v>23</v>
      </c>
      <c r="G924" s="11">
        <v>7060671621</v>
      </c>
      <c r="H924" s="10" t="s">
        <v>2113</v>
      </c>
      <c r="I924" s="10" t="s">
        <v>27</v>
      </c>
      <c r="J924" s="10" t="s">
        <v>70</v>
      </c>
      <c r="K924" s="12">
        <v>46002</v>
      </c>
      <c r="L924" s="28" t="s">
        <v>11</v>
      </c>
      <c r="M924" s="14"/>
      <c r="N924" s="10" t="s">
        <v>1028</v>
      </c>
    </row>
    <row r="925" spans="1:14" ht="22.5" customHeight="1">
      <c r="A925" s="8">
        <v>46002.301434733796</v>
      </c>
      <c r="B925" s="9" t="s">
        <v>14</v>
      </c>
      <c r="C925" s="9" t="s">
        <v>15</v>
      </c>
      <c r="D925" s="10" t="s">
        <v>2114</v>
      </c>
      <c r="E925" s="9" t="s">
        <v>17</v>
      </c>
      <c r="F925" s="10">
        <v>33</v>
      </c>
      <c r="G925" s="11">
        <v>8101838994</v>
      </c>
      <c r="H925" s="10" t="s">
        <v>2115</v>
      </c>
      <c r="I925" s="10" t="s">
        <v>27</v>
      </c>
      <c r="J925" s="10" t="s">
        <v>172</v>
      </c>
      <c r="K925" s="12">
        <v>46002</v>
      </c>
      <c r="L925" s="28" t="s">
        <v>11</v>
      </c>
      <c r="M925" s="10"/>
      <c r="N925" s="10" t="s">
        <v>1028</v>
      </c>
    </row>
    <row r="926" spans="1:14" ht="22.5" customHeight="1">
      <c r="A926" s="8">
        <v>46002.302024999997</v>
      </c>
      <c r="B926" s="9" t="s">
        <v>14</v>
      </c>
      <c r="C926" s="9" t="s">
        <v>15</v>
      </c>
      <c r="D926" s="10" t="s">
        <v>2116</v>
      </c>
      <c r="E926" s="9" t="s">
        <v>17</v>
      </c>
      <c r="F926" s="10">
        <v>33</v>
      </c>
      <c r="G926" s="11">
        <v>8064452623</v>
      </c>
      <c r="H926" s="10" t="s">
        <v>2117</v>
      </c>
      <c r="I926" s="10" t="s">
        <v>27</v>
      </c>
      <c r="J926" s="10" t="s">
        <v>172</v>
      </c>
      <c r="K926" s="12">
        <v>46002</v>
      </c>
      <c r="L926" s="28" t="s">
        <v>11</v>
      </c>
      <c r="M926" s="14"/>
      <c r="N926" s="10" t="s">
        <v>2118</v>
      </c>
    </row>
    <row r="927" spans="1:14" ht="22.5" customHeight="1">
      <c r="A927" s="8">
        <v>46002.303134849542</v>
      </c>
      <c r="B927" s="9" t="s">
        <v>14</v>
      </c>
      <c r="C927" s="9" t="s">
        <v>15</v>
      </c>
      <c r="D927" s="10" t="s">
        <v>2119</v>
      </c>
      <c r="E927" s="9" t="s">
        <v>22</v>
      </c>
      <c r="F927" s="10">
        <v>34</v>
      </c>
      <c r="G927" s="11">
        <v>8039657548</v>
      </c>
      <c r="H927" s="10" t="s">
        <v>2120</v>
      </c>
      <c r="I927" s="10" t="s">
        <v>27</v>
      </c>
      <c r="J927" s="10" t="s">
        <v>94</v>
      </c>
      <c r="K927" s="12">
        <v>46000</v>
      </c>
      <c r="L927" s="28" t="s">
        <v>11</v>
      </c>
      <c r="M927" s="14"/>
      <c r="N927" s="10" t="s">
        <v>1028</v>
      </c>
    </row>
    <row r="928" spans="1:14" ht="22.5" hidden="1" customHeight="1">
      <c r="A928" s="8">
        <v>46002.306257326389</v>
      </c>
      <c r="B928" s="9" t="s">
        <v>14</v>
      </c>
      <c r="C928" s="9" t="s">
        <v>15</v>
      </c>
      <c r="D928" s="10" t="s">
        <v>2121</v>
      </c>
      <c r="E928" s="9" t="s">
        <v>22</v>
      </c>
      <c r="F928" s="10">
        <v>25</v>
      </c>
      <c r="G928" s="11">
        <v>9165122245</v>
      </c>
      <c r="H928" s="10" t="s">
        <v>2122</v>
      </c>
      <c r="I928" s="10" t="s">
        <v>27</v>
      </c>
      <c r="J928" s="10" t="s">
        <v>2069</v>
      </c>
      <c r="K928" s="12">
        <v>36562</v>
      </c>
      <c r="L928" s="10" t="s">
        <v>441</v>
      </c>
      <c r="M928" s="14"/>
      <c r="N928" s="10" t="s">
        <v>1096</v>
      </c>
    </row>
    <row r="929" spans="1:14" ht="22.5" customHeight="1">
      <c r="A929" s="8">
        <v>46002.306340150462</v>
      </c>
      <c r="B929" s="9" t="s">
        <v>14</v>
      </c>
      <c r="C929" s="9" t="s">
        <v>15</v>
      </c>
      <c r="D929" s="10" t="s">
        <v>2123</v>
      </c>
      <c r="E929" s="9" t="s">
        <v>17</v>
      </c>
      <c r="F929" s="10">
        <v>33</v>
      </c>
      <c r="G929" s="11">
        <v>7063354106</v>
      </c>
      <c r="H929" s="10" t="s">
        <v>2124</v>
      </c>
      <c r="I929" s="10" t="s">
        <v>45</v>
      </c>
      <c r="J929" s="10" t="s">
        <v>901</v>
      </c>
      <c r="K929" s="12">
        <v>46002</v>
      </c>
      <c r="L929" s="28" t="s">
        <v>11</v>
      </c>
      <c r="M929" s="14"/>
      <c r="N929" s="10" t="s">
        <v>1096</v>
      </c>
    </row>
    <row r="930" spans="1:14" ht="22.5" customHeight="1">
      <c r="A930" s="8">
        <v>46002.308174490739</v>
      </c>
      <c r="B930" s="9" t="s">
        <v>14</v>
      </c>
      <c r="C930" s="9" t="s">
        <v>15</v>
      </c>
      <c r="D930" s="10" t="s">
        <v>2125</v>
      </c>
      <c r="E930" s="9" t="s">
        <v>17</v>
      </c>
      <c r="F930" s="10">
        <v>27</v>
      </c>
      <c r="G930" s="11">
        <v>9070101825</v>
      </c>
      <c r="H930" s="10" t="s">
        <v>2126</v>
      </c>
      <c r="I930" s="10" t="s">
        <v>27</v>
      </c>
      <c r="J930" s="10" t="s">
        <v>2127</v>
      </c>
      <c r="K930" s="12">
        <v>45973</v>
      </c>
      <c r="L930" s="28" t="s">
        <v>11</v>
      </c>
      <c r="M930" s="14"/>
      <c r="N930" s="10" t="s">
        <v>1028</v>
      </c>
    </row>
    <row r="931" spans="1:14" ht="22.5" customHeight="1">
      <c r="A931" s="8">
        <v>46002.309062974542</v>
      </c>
      <c r="B931" s="9" t="s">
        <v>14</v>
      </c>
      <c r="C931" s="9" t="s">
        <v>15</v>
      </c>
      <c r="D931" s="10" t="s">
        <v>2128</v>
      </c>
      <c r="E931" s="9" t="s">
        <v>22</v>
      </c>
      <c r="F931" s="18">
        <v>1</v>
      </c>
      <c r="G931" s="11">
        <f t="shared" ref="G931" si="17">2349058119549</f>
        <v>2349058119549</v>
      </c>
      <c r="H931" s="10" t="s">
        <v>2129</v>
      </c>
      <c r="I931" s="10" t="s">
        <v>45</v>
      </c>
      <c r="J931" s="10" t="s">
        <v>1919</v>
      </c>
      <c r="K931" s="12">
        <v>46002</v>
      </c>
      <c r="L931" s="28" t="s">
        <v>11</v>
      </c>
      <c r="M931" s="10"/>
      <c r="N931" s="10" t="s">
        <v>1875</v>
      </c>
    </row>
    <row r="932" spans="1:14" ht="22.5" customHeight="1">
      <c r="A932" s="8">
        <v>46002.312697754634</v>
      </c>
      <c r="B932" s="9" t="s">
        <v>14</v>
      </c>
      <c r="C932" s="9" t="s">
        <v>15</v>
      </c>
      <c r="D932" s="10" t="s">
        <v>2130</v>
      </c>
      <c r="E932" s="9" t="s">
        <v>17</v>
      </c>
      <c r="F932" s="10">
        <v>25</v>
      </c>
      <c r="G932" s="11">
        <v>7039288155</v>
      </c>
      <c r="H932" s="10" t="s">
        <v>2131</v>
      </c>
      <c r="I932" s="10" t="s">
        <v>27</v>
      </c>
      <c r="J932" s="10" t="s">
        <v>1559</v>
      </c>
      <c r="K932" s="12">
        <v>46002</v>
      </c>
      <c r="L932" s="28" t="s">
        <v>11</v>
      </c>
      <c r="M932" s="14"/>
      <c r="N932" s="10" t="s">
        <v>1028</v>
      </c>
    </row>
    <row r="933" spans="1:14" ht="22.5" customHeight="1">
      <c r="A933" s="8">
        <v>46002.320025081019</v>
      </c>
      <c r="B933" s="9" t="s">
        <v>14</v>
      </c>
      <c r="C933" s="9" t="s">
        <v>15</v>
      </c>
      <c r="D933" s="10" t="s">
        <v>2132</v>
      </c>
      <c r="E933" s="9" t="s">
        <v>17</v>
      </c>
      <c r="F933" s="10">
        <v>26</v>
      </c>
      <c r="G933" s="11">
        <v>8060530801</v>
      </c>
      <c r="H933" s="10" t="s">
        <v>2133</v>
      </c>
      <c r="I933" s="10" t="s">
        <v>27</v>
      </c>
      <c r="J933" s="10" t="s">
        <v>172</v>
      </c>
      <c r="K933" s="12">
        <v>46002</v>
      </c>
      <c r="L933" s="28" t="s">
        <v>11</v>
      </c>
      <c r="M933" s="10"/>
      <c r="N933" s="10" t="s">
        <v>1096</v>
      </c>
    </row>
    <row r="934" spans="1:14" ht="22.5" customHeight="1">
      <c r="A934" s="8">
        <v>46002.320379224533</v>
      </c>
      <c r="B934" s="9" t="s">
        <v>14</v>
      </c>
      <c r="C934" s="9" t="s">
        <v>15</v>
      </c>
      <c r="D934" s="10" t="s">
        <v>2134</v>
      </c>
      <c r="E934" s="9" t="s">
        <v>22</v>
      </c>
      <c r="F934" s="10">
        <v>26</v>
      </c>
      <c r="G934" s="11">
        <v>9038792353</v>
      </c>
      <c r="H934" s="10" t="s">
        <v>2135</v>
      </c>
      <c r="I934" s="10" t="s">
        <v>45</v>
      </c>
      <c r="J934" s="10" t="s">
        <v>2136</v>
      </c>
      <c r="K934" s="12">
        <v>46002</v>
      </c>
      <c r="L934" s="28" t="s">
        <v>11</v>
      </c>
      <c r="M934" s="14"/>
      <c r="N934" s="10" t="s">
        <v>1028</v>
      </c>
    </row>
    <row r="935" spans="1:14" ht="22.5" customHeight="1">
      <c r="A935" s="8">
        <v>46002.321695254628</v>
      </c>
      <c r="B935" s="9" t="s">
        <v>14</v>
      </c>
      <c r="C935" s="9" t="s">
        <v>15</v>
      </c>
      <c r="D935" s="10" t="s">
        <v>2137</v>
      </c>
      <c r="E935" s="9" t="s">
        <v>22</v>
      </c>
      <c r="F935" s="10">
        <v>25</v>
      </c>
      <c r="G935" s="11">
        <v>9136415852</v>
      </c>
      <c r="H935" s="10" t="s">
        <v>2138</v>
      </c>
      <c r="I935" s="10" t="s">
        <v>27</v>
      </c>
      <c r="J935" s="10" t="s">
        <v>2069</v>
      </c>
      <c r="K935" s="12">
        <v>46002</v>
      </c>
      <c r="L935" s="28" t="s">
        <v>11</v>
      </c>
      <c r="M935" s="14"/>
      <c r="N935" s="10" t="s">
        <v>1028</v>
      </c>
    </row>
    <row r="936" spans="1:14" ht="22.5" customHeight="1">
      <c r="A936" s="8">
        <v>46002.324902442131</v>
      </c>
      <c r="B936" s="9" t="s">
        <v>14</v>
      </c>
      <c r="C936" s="9" t="s">
        <v>15</v>
      </c>
      <c r="D936" s="10" t="s">
        <v>2139</v>
      </c>
      <c r="E936" s="9" t="s">
        <v>22</v>
      </c>
      <c r="F936" s="10">
        <v>21</v>
      </c>
      <c r="G936" s="11">
        <v>9163125779</v>
      </c>
      <c r="H936" s="10" t="s">
        <v>2140</v>
      </c>
      <c r="I936" s="10" t="s">
        <v>49</v>
      </c>
      <c r="J936" s="10" t="s">
        <v>50</v>
      </c>
      <c r="K936" s="12">
        <v>46002</v>
      </c>
      <c r="L936" s="28" t="s">
        <v>11</v>
      </c>
      <c r="M936" s="14"/>
      <c r="N936" s="10" t="s">
        <v>1028</v>
      </c>
    </row>
    <row r="937" spans="1:14" ht="22.5" customHeight="1">
      <c r="A937" s="8">
        <v>46002.325514178243</v>
      </c>
      <c r="B937" s="9" t="s">
        <v>14</v>
      </c>
      <c r="C937" s="9" t="s">
        <v>15</v>
      </c>
      <c r="D937" s="10" t="s">
        <v>2141</v>
      </c>
      <c r="E937" s="9" t="s">
        <v>17</v>
      </c>
      <c r="F937" s="10">
        <v>27</v>
      </c>
      <c r="G937" s="11">
        <v>8136773741</v>
      </c>
      <c r="H937" s="10" t="s">
        <v>2142</v>
      </c>
      <c r="I937" s="10" t="s">
        <v>45</v>
      </c>
      <c r="J937" s="10" t="s">
        <v>901</v>
      </c>
      <c r="K937" s="12">
        <v>46002</v>
      </c>
      <c r="L937" s="28" t="s">
        <v>11</v>
      </c>
      <c r="M937" s="10"/>
      <c r="N937" s="10" t="s">
        <v>1028</v>
      </c>
    </row>
    <row r="938" spans="1:14" ht="22.5" customHeight="1">
      <c r="A938" s="8">
        <v>46002.325668437501</v>
      </c>
      <c r="B938" s="9" t="s">
        <v>14</v>
      </c>
      <c r="C938" s="9" t="s">
        <v>15</v>
      </c>
      <c r="D938" s="10" t="s">
        <v>2143</v>
      </c>
      <c r="E938" s="9" t="s">
        <v>17</v>
      </c>
      <c r="F938" s="10">
        <v>22</v>
      </c>
      <c r="G938" s="11">
        <v>8109947264</v>
      </c>
      <c r="H938" s="10" t="s">
        <v>2144</v>
      </c>
      <c r="I938" s="10" t="s">
        <v>45</v>
      </c>
      <c r="J938" s="10" t="s">
        <v>2145</v>
      </c>
      <c r="K938" s="12">
        <v>46002</v>
      </c>
      <c r="L938" s="28" t="s">
        <v>11</v>
      </c>
      <c r="M938" s="14"/>
      <c r="N938" s="10" t="s">
        <v>1096</v>
      </c>
    </row>
    <row r="939" spans="1:14" ht="22.5" customHeight="1">
      <c r="A939" s="8">
        <v>46002.326138159726</v>
      </c>
      <c r="B939" s="9" t="s">
        <v>14</v>
      </c>
      <c r="C939" s="9" t="s">
        <v>15</v>
      </c>
      <c r="D939" s="10" t="s">
        <v>2146</v>
      </c>
      <c r="E939" s="9" t="s">
        <v>22</v>
      </c>
      <c r="F939" s="10">
        <v>23</v>
      </c>
      <c r="G939" s="11">
        <v>8100921008</v>
      </c>
      <c r="H939" s="10" t="s">
        <v>2147</v>
      </c>
      <c r="I939" s="10" t="s">
        <v>27</v>
      </c>
      <c r="J939" s="10" t="s">
        <v>1559</v>
      </c>
      <c r="K939" s="12">
        <v>46002</v>
      </c>
      <c r="L939" s="28" t="s">
        <v>11</v>
      </c>
      <c r="M939" s="14"/>
      <c r="N939" s="10" t="s">
        <v>1028</v>
      </c>
    </row>
    <row r="940" spans="1:14" ht="22.5" customHeight="1">
      <c r="A940" s="8">
        <v>46002.328206226855</v>
      </c>
      <c r="B940" s="9" t="s">
        <v>14</v>
      </c>
      <c r="C940" s="9" t="s">
        <v>15</v>
      </c>
      <c r="D940" s="10" t="s">
        <v>2148</v>
      </c>
      <c r="E940" s="9" t="s">
        <v>22</v>
      </c>
      <c r="F940" s="10">
        <v>28</v>
      </c>
      <c r="G940" s="11">
        <v>8167902025</v>
      </c>
      <c r="H940" s="10" t="s">
        <v>2149</v>
      </c>
      <c r="I940" s="10" t="s">
        <v>19</v>
      </c>
      <c r="J940" s="10" t="s">
        <v>2150</v>
      </c>
      <c r="K940" s="12">
        <v>46002</v>
      </c>
      <c r="L940" s="28" t="s">
        <v>11</v>
      </c>
      <c r="M940" s="14"/>
      <c r="N940" s="10" t="s">
        <v>1096</v>
      </c>
    </row>
    <row r="941" spans="1:14" ht="22.5" customHeight="1">
      <c r="A941" s="8">
        <v>46002.331416527777</v>
      </c>
      <c r="B941" s="9" t="s">
        <v>14</v>
      </c>
      <c r="C941" s="9" t="s">
        <v>15</v>
      </c>
      <c r="D941" s="10" t="s">
        <v>2151</v>
      </c>
      <c r="E941" s="9" t="s">
        <v>17</v>
      </c>
      <c r="F941" s="10">
        <v>35</v>
      </c>
      <c r="G941" s="11">
        <v>8060621060</v>
      </c>
      <c r="H941" s="10" t="s">
        <v>2152</v>
      </c>
      <c r="I941" s="10" t="s">
        <v>45</v>
      </c>
      <c r="J941" s="10" t="s">
        <v>46</v>
      </c>
      <c r="K941" s="12">
        <v>46002</v>
      </c>
      <c r="L941" s="28" t="s">
        <v>11</v>
      </c>
      <c r="M941" s="14"/>
      <c r="N941" s="10" t="s">
        <v>1028</v>
      </c>
    </row>
    <row r="942" spans="1:14" ht="22.5" customHeight="1">
      <c r="A942" s="8">
        <v>46002.3328525463</v>
      </c>
      <c r="B942" s="9" t="s">
        <v>14</v>
      </c>
      <c r="C942" s="9" t="s">
        <v>15</v>
      </c>
      <c r="D942" s="10" t="s">
        <v>2153</v>
      </c>
      <c r="E942" s="9" t="s">
        <v>22</v>
      </c>
      <c r="F942" s="10">
        <v>35</v>
      </c>
      <c r="G942" s="11">
        <v>8099455053</v>
      </c>
      <c r="H942" s="10" t="s">
        <v>2154</v>
      </c>
      <c r="I942" s="10" t="s">
        <v>27</v>
      </c>
      <c r="J942" s="10" t="s">
        <v>70</v>
      </c>
      <c r="K942" s="12">
        <v>46002</v>
      </c>
      <c r="L942" s="28" t="s">
        <v>11</v>
      </c>
      <c r="M942" s="14"/>
      <c r="N942" s="10" t="s">
        <v>1028</v>
      </c>
    </row>
    <row r="943" spans="1:14" ht="22.5" customHeight="1">
      <c r="A943" s="8">
        <v>46002.333529317126</v>
      </c>
      <c r="B943" s="9" t="s">
        <v>14</v>
      </c>
      <c r="C943" s="9" t="s">
        <v>15</v>
      </c>
      <c r="D943" s="10" t="s">
        <v>2155</v>
      </c>
      <c r="E943" s="9" t="s">
        <v>17</v>
      </c>
      <c r="F943" s="10">
        <v>30</v>
      </c>
      <c r="G943" s="11">
        <v>8167059070</v>
      </c>
      <c r="H943" s="10" t="s">
        <v>2156</v>
      </c>
      <c r="I943" s="10" t="s">
        <v>27</v>
      </c>
      <c r="J943" s="10" t="s">
        <v>94</v>
      </c>
      <c r="K943" s="12">
        <v>46002</v>
      </c>
      <c r="L943" s="28" t="s">
        <v>11</v>
      </c>
      <c r="M943" s="14"/>
      <c r="N943" s="10" t="s">
        <v>1028</v>
      </c>
    </row>
    <row r="944" spans="1:14" ht="22.5" customHeight="1">
      <c r="A944" s="8">
        <v>46002.334154780096</v>
      </c>
      <c r="B944" s="9" t="s">
        <v>14</v>
      </c>
      <c r="C944" s="9" t="s">
        <v>15</v>
      </c>
      <c r="D944" s="10" t="s">
        <v>2157</v>
      </c>
      <c r="E944" s="9" t="s">
        <v>17</v>
      </c>
      <c r="F944" s="10">
        <v>30</v>
      </c>
      <c r="G944" s="11">
        <v>8169919700</v>
      </c>
      <c r="H944" s="10" t="s">
        <v>2158</v>
      </c>
      <c r="I944" s="10" t="s">
        <v>49</v>
      </c>
      <c r="J944" s="10" t="s">
        <v>50</v>
      </c>
      <c r="K944" s="12">
        <v>46002</v>
      </c>
      <c r="L944" s="28" t="s">
        <v>11</v>
      </c>
      <c r="M944" s="14"/>
      <c r="N944" s="10" t="s">
        <v>1028</v>
      </c>
    </row>
    <row r="945" spans="1:14" ht="22.5" customHeight="1">
      <c r="A945" s="8">
        <v>46002.339306215275</v>
      </c>
      <c r="B945" s="9" t="s">
        <v>14</v>
      </c>
      <c r="C945" s="9" t="s">
        <v>15</v>
      </c>
      <c r="D945" s="10" t="s">
        <v>2159</v>
      </c>
      <c r="E945" s="9" t="s">
        <v>17</v>
      </c>
      <c r="F945" s="10">
        <v>35</v>
      </c>
      <c r="G945" s="11">
        <v>7030137667</v>
      </c>
      <c r="H945" s="10" t="s">
        <v>2160</v>
      </c>
      <c r="I945" s="10" t="s">
        <v>45</v>
      </c>
      <c r="J945" s="10" t="s">
        <v>932</v>
      </c>
      <c r="K945" s="12">
        <v>46002</v>
      </c>
      <c r="L945" s="28" t="s">
        <v>11</v>
      </c>
      <c r="M945" s="14"/>
      <c r="N945" s="10" t="s">
        <v>1096</v>
      </c>
    </row>
    <row r="946" spans="1:14" ht="22.5" customHeight="1">
      <c r="A946" s="8">
        <v>46002.340415914354</v>
      </c>
      <c r="B946" s="9" t="s">
        <v>14</v>
      </c>
      <c r="C946" s="9" t="s">
        <v>15</v>
      </c>
      <c r="D946" s="10" t="s">
        <v>2161</v>
      </c>
      <c r="E946" s="9" t="s">
        <v>22</v>
      </c>
      <c r="F946" s="10">
        <v>32</v>
      </c>
      <c r="G946" s="11">
        <v>7033340393</v>
      </c>
      <c r="H946" s="10" t="s">
        <v>2162</v>
      </c>
      <c r="I946" s="10" t="s">
        <v>27</v>
      </c>
      <c r="J946" s="10" t="s">
        <v>703</v>
      </c>
      <c r="K946" s="12">
        <v>46002</v>
      </c>
      <c r="L946" s="28" t="s">
        <v>11</v>
      </c>
      <c r="M946" s="14"/>
      <c r="N946" s="10" t="s">
        <v>1028</v>
      </c>
    </row>
    <row r="947" spans="1:14" ht="22.5" customHeight="1">
      <c r="A947" s="8">
        <v>46002.3408728125</v>
      </c>
      <c r="B947" s="9" t="s">
        <v>14</v>
      </c>
      <c r="C947" s="9" t="s">
        <v>15</v>
      </c>
      <c r="D947" s="10" t="s">
        <v>2163</v>
      </c>
      <c r="E947" s="9" t="s">
        <v>17</v>
      </c>
      <c r="F947" s="10">
        <v>29</v>
      </c>
      <c r="G947" s="11">
        <v>9033673183</v>
      </c>
      <c r="H947" s="10" t="s">
        <v>2164</v>
      </c>
      <c r="I947" s="10" t="s">
        <v>45</v>
      </c>
      <c r="J947" s="10" t="s">
        <v>688</v>
      </c>
      <c r="K947" s="12">
        <v>46002</v>
      </c>
      <c r="L947" s="28" t="s">
        <v>11</v>
      </c>
      <c r="M947" s="14"/>
      <c r="N947" s="10" t="s">
        <v>1028</v>
      </c>
    </row>
    <row r="948" spans="1:14" ht="22.5" customHeight="1">
      <c r="A948" s="8">
        <v>46002.344814918979</v>
      </c>
      <c r="B948" s="9" t="s">
        <v>14</v>
      </c>
      <c r="C948" s="9" t="s">
        <v>15</v>
      </c>
      <c r="D948" s="10" t="s">
        <v>2165</v>
      </c>
      <c r="E948" s="9" t="s">
        <v>17</v>
      </c>
      <c r="F948" s="10">
        <v>32</v>
      </c>
      <c r="G948" s="11">
        <v>254701700346</v>
      </c>
      <c r="H948" s="10" t="s">
        <v>2166</v>
      </c>
      <c r="I948" s="10" t="s">
        <v>202</v>
      </c>
      <c r="J948" s="10" t="s">
        <v>2167</v>
      </c>
      <c r="K948" s="12">
        <v>46002</v>
      </c>
      <c r="L948" s="28" t="s">
        <v>11</v>
      </c>
      <c r="M948" s="14"/>
      <c r="N948" s="10" t="s">
        <v>1028</v>
      </c>
    </row>
    <row r="949" spans="1:14" ht="22.5" customHeight="1">
      <c r="A949" s="8">
        <v>46002.345675775461</v>
      </c>
      <c r="B949" s="9" t="s">
        <v>14</v>
      </c>
      <c r="C949" s="9" t="s">
        <v>15</v>
      </c>
      <c r="D949" s="10" t="s">
        <v>2168</v>
      </c>
      <c r="E949" s="9" t="s">
        <v>17</v>
      </c>
      <c r="F949" s="10">
        <v>21</v>
      </c>
      <c r="G949" s="11">
        <v>700916846</v>
      </c>
      <c r="H949" s="10" t="s">
        <v>2169</v>
      </c>
      <c r="I949" s="10" t="s">
        <v>27</v>
      </c>
      <c r="J949" s="10" t="s">
        <v>1456</v>
      </c>
      <c r="K949" s="12">
        <v>46002</v>
      </c>
      <c r="L949" s="28" t="s">
        <v>11</v>
      </c>
      <c r="M949" s="14"/>
      <c r="N949" s="10" t="s">
        <v>1563</v>
      </c>
    </row>
    <row r="950" spans="1:14" ht="22.5" customHeight="1">
      <c r="A950" s="8">
        <v>46002.347449108798</v>
      </c>
      <c r="B950" s="9" t="s">
        <v>14</v>
      </c>
      <c r="C950" s="9" t="s">
        <v>15</v>
      </c>
      <c r="D950" s="10" t="s">
        <v>2170</v>
      </c>
      <c r="E950" s="9" t="s">
        <v>22</v>
      </c>
      <c r="F950" s="10">
        <v>22</v>
      </c>
      <c r="G950" s="11">
        <v>8132660782</v>
      </c>
      <c r="H950" s="10" t="s">
        <v>2171</v>
      </c>
      <c r="I950" s="10" t="s">
        <v>27</v>
      </c>
      <c r="J950" s="10" t="s">
        <v>1890</v>
      </c>
      <c r="K950" s="12">
        <v>46002</v>
      </c>
      <c r="L950" s="28" t="s">
        <v>11</v>
      </c>
      <c r="M950" s="14"/>
      <c r="N950" s="10" t="s">
        <v>1096</v>
      </c>
    </row>
    <row r="951" spans="1:14" ht="22.5" customHeight="1">
      <c r="A951" s="8">
        <v>46002.348375497684</v>
      </c>
      <c r="B951" s="9" t="s">
        <v>14</v>
      </c>
      <c r="C951" s="9" t="s">
        <v>15</v>
      </c>
      <c r="D951" s="10" t="s">
        <v>2172</v>
      </c>
      <c r="E951" s="9" t="s">
        <v>17</v>
      </c>
      <c r="F951" s="10">
        <v>32</v>
      </c>
      <c r="G951" s="11">
        <f t="shared" ref="G951" si="18">260770896361</f>
        <v>260770896361</v>
      </c>
      <c r="H951" s="10" t="s">
        <v>2173</v>
      </c>
      <c r="I951" s="10" t="s">
        <v>202</v>
      </c>
      <c r="J951" s="10" t="s">
        <v>2174</v>
      </c>
      <c r="K951" s="12">
        <v>46002</v>
      </c>
      <c r="L951" s="28" t="s">
        <v>11</v>
      </c>
      <c r="M951" s="14"/>
      <c r="N951" s="10" t="s">
        <v>1028</v>
      </c>
    </row>
    <row r="952" spans="1:14" ht="22.5" customHeight="1">
      <c r="A952" s="8">
        <v>46002.350571006944</v>
      </c>
      <c r="B952" s="9" t="s">
        <v>14</v>
      </c>
      <c r="C952" s="9" t="s">
        <v>15</v>
      </c>
      <c r="D952" s="10" t="s">
        <v>2175</v>
      </c>
      <c r="E952" s="9" t="s">
        <v>22</v>
      </c>
      <c r="F952" s="10">
        <v>32</v>
      </c>
      <c r="G952" s="11">
        <v>8096232376</v>
      </c>
      <c r="H952" s="10" t="s">
        <v>2176</v>
      </c>
      <c r="I952" s="10" t="s">
        <v>27</v>
      </c>
      <c r="J952" s="10" t="s">
        <v>372</v>
      </c>
      <c r="K952" s="12">
        <v>46002</v>
      </c>
      <c r="L952" s="28" t="s">
        <v>11</v>
      </c>
      <c r="M952" s="14"/>
      <c r="N952" s="10" t="s">
        <v>1028</v>
      </c>
    </row>
    <row r="953" spans="1:14" ht="22.5" customHeight="1">
      <c r="A953" s="8">
        <v>46002.351831111111</v>
      </c>
      <c r="B953" s="9" t="s">
        <v>14</v>
      </c>
      <c r="C953" s="9" t="s">
        <v>15</v>
      </c>
      <c r="D953" s="10" t="s">
        <v>2177</v>
      </c>
      <c r="E953" s="9" t="s">
        <v>17</v>
      </c>
      <c r="F953" s="19">
        <v>32</v>
      </c>
      <c r="G953" s="11">
        <v>8166397516</v>
      </c>
      <c r="H953" s="10" t="s">
        <v>2178</v>
      </c>
      <c r="I953" s="10" t="s">
        <v>49</v>
      </c>
      <c r="J953" s="10" t="s">
        <v>2179</v>
      </c>
      <c r="K953" s="12">
        <v>46002</v>
      </c>
      <c r="L953" s="28" t="s">
        <v>11</v>
      </c>
      <c r="M953" s="14"/>
      <c r="N953" s="10" t="s">
        <v>1028</v>
      </c>
    </row>
    <row r="954" spans="1:14" ht="22.5" customHeight="1">
      <c r="A954" s="8">
        <v>46002.353406203707</v>
      </c>
      <c r="B954" s="9" t="s">
        <v>14</v>
      </c>
      <c r="C954" s="9" t="s">
        <v>15</v>
      </c>
      <c r="D954" s="10" t="s">
        <v>2180</v>
      </c>
      <c r="E954" s="9" t="s">
        <v>17</v>
      </c>
      <c r="F954" s="10">
        <v>27</v>
      </c>
      <c r="G954" s="11">
        <v>8072267494</v>
      </c>
      <c r="H954" s="10" t="s">
        <v>2181</v>
      </c>
      <c r="I954" s="10" t="s">
        <v>19</v>
      </c>
      <c r="J954" s="10" t="s">
        <v>1228</v>
      </c>
      <c r="K954" s="12">
        <v>46002</v>
      </c>
      <c r="L954" s="28" t="s">
        <v>11</v>
      </c>
      <c r="M954" s="14"/>
      <c r="N954" s="10" t="s">
        <v>1096</v>
      </c>
    </row>
    <row r="955" spans="1:14" ht="22.5" customHeight="1">
      <c r="A955" s="8">
        <v>46002.356117604169</v>
      </c>
      <c r="B955" s="9" t="s">
        <v>14</v>
      </c>
      <c r="C955" s="9" t="s">
        <v>15</v>
      </c>
      <c r="D955" s="10" t="s">
        <v>2182</v>
      </c>
      <c r="E955" s="9" t="s">
        <v>22</v>
      </c>
      <c r="F955" s="10">
        <v>21</v>
      </c>
      <c r="G955" s="11">
        <v>9076680255</v>
      </c>
      <c r="H955" s="10" t="s">
        <v>2183</v>
      </c>
      <c r="I955" s="10" t="s">
        <v>27</v>
      </c>
      <c r="J955" s="10" t="s">
        <v>172</v>
      </c>
      <c r="K955" s="12">
        <v>46002</v>
      </c>
      <c r="L955" s="28" t="s">
        <v>11</v>
      </c>
      <c r="M955" s="14"/>
      <c r="N955" s="10" t="s">
        <v>1028</v>
      </c>
    </row>
    <row r="956" spans="1:14" ht="22.5" hidden="1" customHeight="1">
      <c r="A956" s="8">
        <v>46002.356155335649</v>
      </c>
      <c r="B956" s="9" t="s">
        <v>14</v>
      </c>
      <c r="C956" s="9" t="s">
        <v>15</v>
      </c>
      <c r="D956" s="10" t="s">
        <v>2184</v>
      </c>
      <c r="E956" s="9" t="s">
        <v>22</v>
      </c>
      <c r="F956" s="10">
        <v>26</v>
      </c>
      <c r="G956" s="11">
        <v>9135350949</v>
      </c>
      <c r="H956" s="10" t="s">
        <v>2185</v>
      </c>
      <c r="I956" s="10" t="s">
        <v>27</v>
      </c>
      <c r="J956" s="10" t="s">
        <v>2105</v>
      </c>
      <c r="K956" s="12">
        <v>46002</v>
      </c>
      <c r="L956" s="10" t="s">
        <v>441</v>
      </c>
      <c r="M956" s="10" t="s">
        <v>1361</v>
      </c>
      <c r="N956" s="10" t="s">
        <v>2186</v>
      </c>
    </row>
    <row r="957" spans="1:14" ht="22.5" customHeight="1">
      <c r="A957" s="8">
        <v>46002.362997048607</v>
      </c>
      <c r="B957" s="9" t="s">
        <v>14</v>
      </c>
      <c r="C957" s="9" t="s">
        <v>15</v>
      </c>
      <c r="D957" s="10" t="s">
        <v>2187</v>
      </c>
      <c r="E957" s="9" t="s">
        <v>17</v>
      </c>
      <c r="F957" s="10">
        <v>26</v>
      </c>
      <c r="G957" s="11">
        <v>7042690943</v>
      </c>
      <c r="H957" s="10" t="s">
        <v>2188</v>
      </c>
      <c r="I957" s="10" t="s">
        <v>49</v>
      </c>
      <c r="J957" s="10" t="s">
        <v>109</v>
      </c>
      <c r="K957" s="12">
        <v>46002</v>
      </c>
      <c r="L957" s="28" t="s">
        <v>11</v>
      </c>
      <c r="M957" s="14"/>
      <c r="N957" s="10" t="s">
        <v>1096</v>
      </c>
    </row>
    <row r="958" spans="1:14" ht="22.5" customHeight="1">
      <c r="A958" s="8">
        <v>46002.363684942131</v>
      </c>
      <c r="B958" s="9" t="s">
        <v>14</v>
      </c>
      <c r="C958" s="9" t="s">
        <v>15</v>
      </c>
      <c r="D958" s="10" t="s">
        <v>2189</v>
      </c>
      <c r="E958" s="9" t="s">
        <v>22</v>
      </c>
      <c r="F958" s="10">
        <v>32</v>
      </c>
      <c r="G958" s="11">
        <v>8032888648</v>
      </c>
      <c r="H958" s="10" t="s">
        <v>2190</v>
      </c>
      <c r="I958" s="10" t="s">
        <v>27</v>
      </c>
      <c r="J958" s="10" t="s">
        <v>70</v>
      </c>
      <c r="K958" s="12">
        <v>46002</v>
      </c>
      <c r="L958" s="28" t="s">
        <v>11</v>
      </c>
      <c r="M958" s="14"/>
      <c r="N958" s="10" t="s">
        <v>1028</v>
      </c>
    </row>
    <row r="959" spans="1:14" ht="22.5" customHeight="1">
      <c r="A959" s="8">
        <v>46002.366637916668</v>
      </c>
      <c r="B959" s="9" t="s">
        <v>14</v>
      </c>
      <c r="C959" s="9" t="s">
        <v>15</v>
      </c>
      <c r="D959" s="10" t="s">
        <v>2191</v>
      </c>
      <c r="E959" s="9" t="s">
        <v>22</v>
      </c>
      <c r="F959" s="10">
        <v>21</v>
      </c>
      <c r="G959" s="11">
        <f t="shared" ref="G959" si="19">2348168416213</f>
        <v>2348168416213</v>
      </c>
      <c r="H959" s="10" t="s">
        <v>2192</v>
      </c>
      <c r="I959" s="10" t="s">
        <v>45</v>
      </c>
      <c r="J959" s="10" t="s">
        <v>2193</v>
      </c>
      <c r="K959" s="12">
        <v>46002</v>
      </c>
      <c r="L959" s="28" t="s">
        <v>11</v>
      </c>
      <c r="M959" s="14"/>
      <c r="N959" s="10" t="s">
        <v>1028</v>
      </c>
    </row>
    <row r="960" spans="1:14" ht="22.5" hidden="1" customHeight="1">
      <c r="A960" s="8">
        <v>46002.370237858791</v>
      </c>
      <c r="B960" s="9" t="s">
        <v>14</v>
      </c>
      <c r="C960" s="9" t="s">
        <v>15</v>
      </c>
      <c r="D960" s="10" t="s">
        <v>2194</v>
      </c>
      <c r="E960" s="9" t="s">
        <v>17</v>
      </c>
      <c r="F960" s="10">
        <v>25</v>
      </c>
      <c r="G960" s="11">
        <v>9036666534</v>
      </c>
      <c r="H960" s="10" t="s">
        <v>2195</v>
      </c>
      <c r="I960" s="10" t="s">
        <v>27</v>
      </c>
      <c r="J960" s="10" t="s">
        <v>2196</v>
      </c>
      <c r="K960" s="12">
        <v>46002</v>
      </c>
      <c r="L960" s="10" t="s">
        <v>441</v>
      </c>
      <c r="M960" s="10" t="s">
        <v>1361</v>
      </c>
      <c r="N960" s="10" t="s">
        <v>1028</v>
      </c>
    </row>
    <row r="961" spans="1:14" ht="22.5" customHeight="1">
      <c r="A961" s="8">
        <v>46002.373113807873</v>
      </c>
      <c r="B961" s="9" t="s">
        <v>14</v>
      </c>
      <c r="C961" s="9" t="s">
        <v>15</v>
      </c>
      <c r="D961" s="10" t="s">
        <v>2197</v>
      </c>
      <c r="E961" s="9" t="s">
        <v>22</v>
      </c>
      <c r="F961" s="10">
        <v>22</v>
      </c>
      <c r="G961" s="11">
        <v>9076208981</v>
      </c>
      <c r="H961" s="10" t="s">
        <v>2198</v>
      </c>
      <c r="I961" s="10" t="s">
        <v>27</v>
      </c>
      <c r="J961" s="10" t="s">
        <v>2069</v>
      </c>
      <c r="K961" s="12">
        <v>46002</v>
      </c>
      <c r="L961" s="28" t="s">
        <v>11</v>
      </c>
      <c r="M961" s="14"/>
      <c r="N961" s="10" t="s">
        <v>1028</v>
      </c>
    </row>
    <row r="962" spans="1:14" ht="22.5" customHeight="1">
      <c r="A962" s="8">
        <v>46002.375127106483</v>
      </c>
      <c r="B962" s="9" t="s">
        <v>14</v>
      </c>
      <c r="C962" s="9" t="s">
        <v>15</v>
      </c>
      <c r="D962" s="10" t="s">
        <v>2199</v>
      </c>
      <c r="E962" s="9" t="s">
        <v>22</v>
      </c>
      <c r="F962" s="10">
        <v>31</v>
      </c>
      <c r="G962" s="11">
        <v>8153498949</v>
      </c>
      <c r="H962" s="10" t="s">
        <v>2200</v>
      </c>
      <c r="I962" s="10" t="s">
        <v>27</v>
      </c>
      <c r="J962" s="10" t="s">
        <v>703</v>
      </c>
      <c r="K962" s="12">
        <v>46002</v>
      </c>
      <c r="L962" s="28" t="s">
        <v>11</v>
      </c>
      <c r="M962" s="14"/>
      <c r="N962" s="10" t="s">
        <v>1028</v>
      </c>
    </row>
    <row r="963" spans="1:14" ht="22.5" customHeight="1">
      <c r="A963" s="8">
        <v>46002.379207986116</v>
      </c>
      <c r="B963" s="9" t="s">
        <v>14</v>
      </c>
      <c r="C963" s="9" t="s">
        <v>15</v>
      </c>
      <c r="D963" s="10" t="s">
        <v>2201</v>
      </c>
      <c r="E963" s="9" t="s">
        <v>22</v>
      </c>
      <c r="F963" s="10">
        <v>18</v>
      </c>
      <c r="G963" s="11">
        <v>7075014199</v>
      </c>
      <c r="H963" s="10" t="s">
        <v>2202</v>
      </c>
      <c r="I963" s="10" t="s">
        <v>27</v>
      </c>
      <c r="J963" s="10" t="s">
        <v>94</v>
      </c>
      <c r="K963" s="12">
        <v>46002</v>
      </c>
      <c r="L963" s="28" t="s">
        <v>11</v>
      </c>
      <c r="M963" s="14"/>
      <c r="N963" s="10" t="s">
        <v>1209</v>
      </c>
    </row>
    <row r="964" spans="1:14" ht="22.5" customHeight="1">
      <c r="A964" s="8">
        <v>46002.380276979166</v>
      </c>
      <c r="B964" s="9" t="s">
        <v>14</v>
      </c>
      <c r="C964" s="9" t="s">
        <v>15</v>
      </c>
      <c r="D964" s="10" t="s">
        <v>2203</v>
      </c>
      <c r="E964" s="9" t="s">
        <v>22</v>
      </c>
      <c r="F964" s="10">
        <v>24</v>
      </c>
      <c r="G964" s="11">
        <v>8026480001</v>
      </c>
      <c r="H964" s="10" t="s">
        <v>2204</v>
      </c>
      <c r="I964" s="10" t="s">
        <v>27</v>
      </c>
      <c r="J964" s="10" t="s">
        <v>172</v>
      </c>
      <c r="K964" s="12">
        <v>37085</v>
      </c>
      <c r="L964" s="28" t="s">
        <v>11</v>
      </c>
      <c r="M964" s="14"/>
      <c r="N964" s="10" t="s">
        <v>1028</v>
      </c>
    </row>
    <row r="965" spans="1:14" ht="22.5" customHeight="1">
      <c r="A965" s="8">
        <v>46002.380853298615</v>
      </c>
      <c r="B965" s="9" t="s">
        <v>14</v>
      </c>
      <c r="C965" s="9" t="s">
        <v>15</v>
      </c>
      <c r="D965" s="10" t="s">
        <v>2205</v>
      </c>
      <c r="E965" s="9" t="s">
        <v>22</v>
      </c>
      <c r="F965" s="10">
        <v>31</v>
      </c>
      <c r="G965" s="11">
        <v>719833258</v>
      </c>
      <c r="H965" s="10" t="s">
        <v>2206</v>
      </c>
      <c r="I965" s="10" t="s">
        <v>27</v>
      </c>
      <c r="J965" s="10" t="s">
        <v>2207</v>
      </c>
      <c r="K965" s="12">
        <v>46002</v>
      </c>
      <c r="L965" s="28" t="s">
        <v>11</v>
      </c>
      <c r="M965" s="14"/>
      <c r="N965" s="10" t="s">
        <v>1028</v>
      </c>
    </row>
    <row r="966" spans="1:14" ht="22.5" customHeight="1">
      <c r="A966" s="8">
        <v>46002.384788020834</v>
      </c>
      <c r="B966" s="9" t="s">
        <v>14</v>
      </c>
      <c r="C966" s="9" t="s">
        <v>15</v>
      </c>
      <c r="D966" s="10" t="s">
        <v>2208</v>
      </c>
      <c r="E966" s="9" t="s">
        <v>22</v>
      </c>
      <c r="F966" s="10">
        <v>29</v>
      </c>
      <c r="G966" s="11">
        <v>7045959596</v>
      </c>
      <c r="H966" s="10" t="s">
        <v>2209</v>
      </c>
      <c r="I966" s="10" t="s">
        <v>27</v>
      </c>
      <c r="J966" s="10" t="s">
        <v>1514</v>
      </c>
      <c r="K966" s="12">
        <v>46002</v>
      </c>
      <c r="L966" s="28" t="s">
        <v>11</v>
      </c>
      <c r="M966" s="14"/>
      <c r="N966" s="10" t="s">
        <v>1028</v>
      </c>
    </row>
    <row r="967" spans="1:14" ht="22.5" customHeight="1">
      <c r="A967" s="8">
        <v>46002.385008159719</v>
      </c>
      <c r="B967" s="9" t="s">
        <v>14</v>
      </c>
      <c r="C967" s="9" t="s">
        <v>15</v>
      </c>
      <c r="D967" s="10" t="s">
        <v>2210</v>
      </c>
      <c r="E967" s="9" t="s">
        <v>17</v>
      </c>
      <c r="F967" s="10">
        <v>22</v>
      </c>
      <c r="G967" s="11">
        <v>768358283</v>
      </c>
      <c r="H967" s="10" t="s">
        <v>2211</v>
      </c>
      <c r="I967" s="10" t="s">
        <v>27</v>
      </c>
      <c r="J967" s="10" t="s">
        <v>2167</v>
      </c>
      <c r="K967" s="12">
        <v>46002</v>
      </c>
      <c r="L967" s="28" t="s">
        <v>11</v>
      </c>
      <c r="M967" s="14"/>
      <c r="N967" s="10" t="s">
        <v>1028</v>
      </c>
    </row>
    <row r="968" spans="1:14" ht="22.5" customHeight="1">
      <c r="A968" s="8">
        <v>46002.386563842592</v>
      </c>
      <c r="B968" s="9" t="s">
        <v>14</v>
      </c>
      <c r="C968" s="9" t="s">
        <v>15</v>
      </c>
      <c r="D968" s="10" t="s">
        <v>2212</v>
      </c>
      <c r="E968" s="9" t="s">
        <v>22</v>
      </c>
      <c r="F968" s="10">
        <v>24</v>
      </c>
      <c r="G968" s="11">
        <v>7068260426</v>
      </c>
      <c r="H968" s="10" t="s">
        <v>2213</v>
      </c>
      <c r="I968" s="10" t="s">
        <v>27</v>
      </c>
      <c r="J968" s="10" t="s">
        <v>94</v>
      </c>
      <c r="K968" s="12">
        <v>46002</v>
      </c>
      <c r="L968" s="28" t="s">
        <v>11</v>
      </c>
      <c r="M968" s="14"/>
      <c r="N968" s="10" t="s">
        <v>1028</v>
      </c>
    </row>
    <row r="969" spans="1:14" ht="22.5" customHeight="1">
      <c r="A969" s="8">
        <v>46002.386600381942</v>
      </c>
      <c r="B969" s="9" t="s">
        <v>14</v>
      </c>
      <c r="C969" s="9" t="s">
        <v>15</v>
      </c>
      <c r="D969" s="10" t="s">
        <v>2214</v>
      </c>
      <c r="E969" s="9" t="s">
        <v>17</v>
      </c>
      <c r="F969" s="10">
        <v>36</v>
      </c>
      <c r="G969" s="11">
        <v>8065162531</v>
      </c>
      <c r="H969" s="10" t="s">
        <v>2215</v>
      </c>
      <c r="I969" s="10" t="s">
        <v>45</v>
      </c>
      <c r="J969" s="10" t="s">
        <v>2216</v>
      </c>
      <c r="K969" s="12">
        <v>46002</v>
      </c>
      <c r="L969" s="28" t="s">
        <v>11</v>
      </c>
      <c r="M969" s="14"/>
      <c r="N969" s="10" t="s">
        <v>1028</v>
      </c>
    </row>
    <row r="970" spans="1:14" ht="22.5" customHeight="1">
      <c r="A970" s="8">
        <v>46002.395411817131</v>
      </c>
      <c r="B970" s="9" t="s">
        <v>14</v>
      </c>
      <c r="C970" s="9" t="s">
        <v>15</v>
      </c>
      <c r="D970" s="10" t="s">
        <v>2217</v>
      </c>
      <c r="E970" s="9" t="s">
        <v>17</v>
      </c>
      <c r="F970" s="10">
        <v>28</v>
      </c>
      <c r="G970" s="11">
        <v>9039476336</v>
      </c>
      <c r="H970" s="10" t="s">
        <v>2218</v>
      </c>
      <c r="I970" s="10" t="s">
        <v>27</v>
      </c>
      <c r="J970" s="10" t="s">
        <v>94</v>
      </c>
      <c r="K970" s="12">
        <v>45973</v>
      </c>
      <c r="L970" s="28" t="s">
        <v>11</v>
      </c>
      <c r="M970" s="14"/>
      <c r="N970" s="10" t="s">
        <v>1028</v>
      </c>
    </row>
    <row r="971" spans="1:14" ht="22.5" customHeight="1">
      <c r="A971" s="8">
        <v>46002.396581655092</v>
      </c>
      <c r="B971" s="9" t="s">
        <v>14</v>
      </c>
      <c r="C971" s="9" t="s">
        <v>15</v>
      </c>
      <c r="D971" s="10" t="s">
        <v>2219</v>
      </c>
      <c r="E971" s="9" t="s">
        <v>17</v>
      </c>
      <c r="F971" s="10">
        <v>37</v>
      </c>
      <c r="G971" s="11">
        <v>7066085345</v>
      </c>
      <c r="H971" s="10" t="s">
        <v>2220</v>
      </c>
      <c r="I971" s="10" t="s">
        <v>19</v>
      </c>
      <c r="J971" s="10" t="s">
        <v>2221</v>
      </c>
      <c r="K971" s="12">
        <v>46002</v>
      </c>
      <c r="L971" s="28" t="s">
        <v>11</v>
      </c>
      <c r="M971" s="14"/>
      <c r="N971" s="10" t="s">
        <v>1096</v>
      </c>
    </row>
    <row r="972" spans="1:14" ht="22.5" customHeight="1">
      <c r="A972" s="8">
        <v>46002.400690439812</v>
      </c>
      <c r="B972" s="9" t="s">
        <v>14</v>
      </c>
      <c r="C972" s="9" t="s">
        <v>15</v>
      </c>
      <c r="D972" s="10" t="s">
        <v>2222</v>
      </c>
      <c r="E972" s="9" t="s">
        <v>22</v>
      </c>
      <c r="F972" s="10">
        <v>35</v>
      </c>
      <c r="G972" s="11">
        <v>7035136562</v>
      </c>
      <c r="H972" s="10" t="s">
        <v>2223</v>
      </c>
      <c r="I972" s="10" t="s">
        <v>27</v>
      </c>
      <c r="J972" s="10" t="s">
        <v>172</v>
      </c>
      <c r="K972" s="12">
        <v>46002</v>
      </c>
      <c r="L972" s="28" t="s">
        <v>11</v>
      </c>
      <c r="M972" s="14"/>
      <c r="N972" s="10" t="s">
        <v>1028</v>
      </c>
    </row>
    <row r="973" spans="1:14" ht="22.5" customHeight="1">
      <c r="A973" s="8">
        <v>46002.402948356481</v>
      </c>
      <c r="B973" s="9" t="s">
        <v>14</v>
      </c>
      <c r="C973" s="9" t="s">
        <v>15</v>
      </c>
      <c r="D973" s="10" t="s">
        <v>2224</v>
      </c>
      <c r="E973" s="9" t="s">
        <v>22</v>
      </c>
      <c r="F973" s="10">
        <v>26</v>
      </c>
      <c r="G973" s="11">
        <v>8141570955</v>
      </c>
      <c r="H973" s="10" t="s">
        <v>2225</v>
      </c>
      <c r="I973" s="10" t="s">
        <v>27</v>
      </c>
      <c r="J973" s="10" t="s">
        <v>94</v>
      </c>
      <c r="K973" s="12">
        <v>46002</v>
      </c>
      <c r="L973" s="28" t="s">
        <v>11</v>
      </c>
      <c r="M973" s="14"/>
      <c r="N973" s="10" t="s">
        <v>1028</v>
      </c>
    </row>
    <row r="974" spans="1:14" ht="22.5" customHeight="1">
      <c r="A974" s="8">
        <v>46002.404591620369</v>
      </c>
      <c r="B974" s="9" t="s">
        <v>14</v>
      </c>
      <c r="C974" s="9" t="s">
        <v>15</v>
      </c>
      <c r="D974" s="10" t="s">
        <v>2226</v>
      </c>
      <c r="E974" s="9" t="s">
        <v>22</v>
      </c>
      <c r="F974" s="10">
        <v>25</v>
      </c>
      <c r="G974" s="11">
        <v>8109004300</v>
      </c>
      <c r="H974" s="10" t="s">
        <v>2227</v>
      </c>
      <c r="I974" s="10" t="s">
        <v>27</v>
      </c>
      <c r="J974" s="10" t="s">
        <v>2228</v>
      </c>
      <c r="K974" s="12">
        <v>46002</v>
      </c>
      <c r="L974" s="28" t="s">
        <v>11</v>
      </c>
      <c r="M974" s="14"/>
      <c r="N974" s="10" t="s">
        <v>1028</v>
      </c>
    </row>
    <row r="975" spans="1:14" ht="22.5" customHeight="1">
      <c r="A975" s="8">
        <v>46002.404848460646</v>
      </c>
      <c r="B975" s="9" t="s">
        <v>14</v>
      </c>
      <c r="C975" s="9" t="s">
        <v>15</v>
      </c>
      <c r="D975" s="10" t="s">
        <v>2229</v>
      </c>
      <c r="E975" s="9" t="s">
        <v>17</v>
      </c>
      <c r="F975" s="10">
        <v>28</v>
      </c>
      <c r="G975" s="11">
        <v>8136503839</v>
      </c>
      <c r="H975" s="10" t="s">
        <v>2230</v>
      </c>
      <c r="I975" s="10" t="s">
        <v>27</v>
      </c>
      <c r="J975" s="10" t="s">
        <v>1514</v>
      </c>
      <c r="K975" s="12">
        <v>46002</v>
      </c>
      <c r="L975" s="28" t="s">
        <v>11</v>
      </c>
      <c r="M975" s="14"/>
      <c r="N975" s="10" t="s">
        <v>1028</v>
      </c>
    </row>
    <row r="976" spans="1:14" ht="22.5" customHeight="1">
      <c r="A976" s="8">
        <v>46002.404994386576</v>
      </c>
      <c r="B976" s="9" t="s">
        <v>14</v>
      </c>
      <c r="C976" s="9" t="s">
        <v>15</v>
      </c>
      <c r="D976" s="10" t="s">
        <v>2231</v>
      </c>
      <c r="E976" s="9" t="s">
        <v>17</v>
      </c>
      <c r="F976" s="10">
        <v>24</v>
      </c>
      <c r="G976" s="11">
        <v>8142269261</v>
      </c>
      <c r="H976" s="10" t="s">
        <v>2232</v>
      </c>
      <c r="I976" s="10" t="s">
        <v>27</v>
      </c>
      <c r="J976" s="10" t="s">
        <v>703</v>
      </c>
      <c r="K976" s="12">
        <v>46002</v>
      </c>
      <c r="L976" s="28" t="s">
        <v>11</v>
      </c>
      <c r="M976" s="14"/>
      <c r="N976" s="10" t="s">
        <v>1028</v>
      </c>
    </row>
    <row r="977" spans="1:14" ht="22.5" customHeight="1">
      <c r="A977" s="8">
        <v>46002.405837442129</v>
      </c>
      <c r="B977" s="9" t="s">
        <v>14</v>
      </c>
      <c r="C977" s="9" t="s">
        <v>15</v>
      </c>
      <c r="D977" s="10" t="s">
        <v>2233</v>
      </c>
      <c r="E977" s="9" t="s">
        <v>22</v>
      </c>
      <c r="F977" s="10">
        <v>25</v>
      </c>
      <c r="G977" s="11">
        <v>8109295946</v>
      </c>
      <c r="H977" s="10" t="s">
        <v>2234</v>
      </c>
      <c r="I977" s="10" t="s">
        <v>27</v>
      </c>
      <c r="J977" s="10" t="s">
        <v>372</v>
      </c>
      <c r="K977" s="12">
        <v>46002</v>
      </c>
      <c r="L977" s="28" t="s">
        <v>11</v>
      </c>
      <c r="M977" s="14"/>
      <c r="N977" s="10" t="s">
        <v>1028</v>
      </c>
    </row>
    <row r="978" spans="1:14" ht="22.5" customHeight="1">
      <c r="A978" s="8">
        <v>46002.406276180554</v>
      </c>
      <c r="B978" s="9" t="s">
        <v>14</v>
      </c>
      <c r="C978" s="9" t="s">
        <v>15</v>
      </c>
      <c r="D978" s="10" t="s">
        <v>2235</v>
      </c>
      <c r="E978" s="9" t="s">
        <v>17</v>
      </c>
      <c r="F978" s="10">
        <v>35</v>
      </c>
      <c r="G978" s="11">
        <v>8139021823</v>
      </c>
      <c r="H978" s="10" t="s">
        <v>2236</v>
      </c>
      <c r="I978" s="10" t="s">
        <v>19</v>
      </c>
      <c r="J978" s="10" t="s">
        <v>2237</v>
      </c>
      <c r="K978" s="12">
        <v>33121</v>
      </c>
      <c r="L978" s="28" t="s">
        <v>11</v>
      </c>
      <c r="M978" s="14"/>
      <c r="N978" s="10" t="s">
        <v>1028</v>
      </c>
    </row>
    <row r="979" spans="1:14" ht="22.5" customHeight="1">
      <c r="A979" s="8">
        <v>46002.406488078705</v>
      </c>
      <c r="B979" s="9" t="s">
        <v>14</v>
      </c>
      <c r="C979" s="9" t="s">
        <v>15</v>
      </c>
      <c r="D979" s="10" t="s">
        <v>2238</v>
      </c>
      <c r="E979" s="9" t="s">
        <v>17</v>
      </c>
      <c r="F979" s="10">
        <v>26</v>
      </c>
      <c r="G979" s="11">
        <v>9033558285</v>
      </c>
      <c r="H979" s="10" t="s">
        <v>2239</v>
      </c>
      <c r="I979" s="10" t="s">
        <v>27</v>
      </c>
      <c r="J979" s="10" t="s">
        <v>1559</v>
      </c>
      <c r="K979" s="12">
        <v>46002</v>
      </c>
      <c r="L979" s="28" t="s">
        <v>11</v>
      </c>
      <c r="M979" s="14"/>
      <c r="N979" s="10" t="s">
        <v>1028</v>
      </c>
    </row>
    <row r="980" spans="1:14" ht="22.5" customHeight="1">
      <c r="A980" s="8">
        <v>46002.407039872684</v>
      </c>
      <c r="B980" s="9" t="s">
        <v>14</v>
      </c>
      <c r="C980" s="9" t="s">
        <v>15</v>
      </c>
      <c r="D980" s="10" t="s">
        <v>2240</v>
      </c>
      <c r="E980" s="9" t="s">
        <v>22</v>
      </c>
      <c r="F980" s="10">
        <v>27</v>
      </c>
      <c r="G980" s="11">
        <v>7065853369</v>
      </c>
      <c r="H980" s="10" t="s">
        <v>2241</v>
      </c>
      <c r="I980" s="10" t="s">
        <v>27</v>
      </c>
      <c r="J980" s="10" t="s">
        <v>1456</v>
      </c>
      <c r="K980" s="12">
        <v>46002</v>
      </c>
      <c r="L980" s="28" t="s">
        <v>11</v>
      </c>
      <c r="M980" s="14"/>
      <c r="N980" s="10" t="s">
        <v>1028</v>
      </c>
    </row>
    <row r="981" spans="1:14" ht="22.5" customHeight="1">
      <c r="A981" s="8">
        <v>46002.408304502314</v>
      </c>
      <c r="B981" s="9" t="s">
        <v>14</v>
      </c>
      <c r="C981" s="9" t="s">
        <v>15</v>
      </c>
      <c r="D981" s="10" t="s">
        <v>2242</v>
      </c>
      <c r="E981" s="9" t="s">
        <v>17</v>
      </c>
      <c r="F981" s="10">
        <v>36</v>
      </c>
      <c r="G981" s="11">
        <v>8134873308</v>
      </c>
      <c r="H981" s="10" t="s">
        <v>2243</v>
      </c>
      <c r="I981" s="10" t="s">
        <v>19</v>
      </c>
      <c r="J981" s="10" t="s">
        <v>2244</v>
      </c>
      <c r="K981" s="12">
        <v>46002</v>
      </c>
      <c r="L981" s="28" t="s">
        <v>11</v>
      </c>
      <c r="M981" s="14"/>
      <c r="N981" s="10" t="s">
        <v>1028</v>
      </c>
    </row>
    <row r="982" spans="1:14" ht="22.5" customHeight="1">
      <c r="A982" s="8">
        <v>46002.408728923612</v>
      </c>
      <c r="B982" s="9" t="s">
        <v>14</v>
      </c>
      <c r="C982" s="9" t="s">
        <v>15</v>
      </c>
      <c r="D982" s="10" t="s">
        <v>2245</v>
      </c>
      <c r="E982" s="9" t="s">
        <v>22</v>
      </c>
      <c r="F982" s="10">
        <v>27</v>
      </c>
      <c r="G982" s="11">
        <v>8104115686</v>
      </c>
      <c r="H982" s="10" t="s">
        <v>2246</v>
      </c>
      <c r="I982" s="10" t="s">
        <v>27</v>
      </c>
      <c r="J982" s="10" t="s">
        <v>172</v>
      </c>
      <c r="K982" s="12">
        <v>46002</v>
      </c>
      <c r="L982" s="28" t="s">
        <v>11</v>
      </c>
      <c r="M982" s="14"/>
      <c r="N982" s="10" t="s">
        <v>1028</v>
      </c>
    </row>
    <row r="983" spans="1:14" ht="22.5" customHeight="1">
      <c r="A983" s="8">
        <v>46002.408876412039</v>
      </c>
      <c r="B983" s="9" t="s">
        <v>14</v>
      </c>
      <c r="C983" s="9" t="s">
        <v>15</v>
      </c>
      <c r="D983" s="10" t="s">
        <v>2247</v>
      </c>
      <c r="E983" s="9" t="s">
        <v>22</v>
      </c>
      <c r="F983" s="10">
        <v>31</v>
      </c>
      <c r="G983" s="11">
        <v>8033800981</v>
      </c>
      <c r="H983" s="10" t="s">
        <v>2248</v>
      </c>
      <c r="I983" s="10" t="s">
        <v>27</v>
      </c>
      <c r="J983" s="10" t="s">
        <v>94</v>
      </c>
      <c r="K983" s="12">
        <v>46002</v>
      </c>
      <c r="L983" s="28" t="s">
        <v>11</v>
      </c>
      <c r="M983" s="14"/>
      <c r="N983" s="10" t="s">
        <v>1028</v>
      </c>
    </row>
    <row r="984" spans="1:14" ht="22.5" customHeight="1">
      <c r="A984" s="8">
        <v>46002.409883449072</v>
      </c>
      <c r="B984" s="9" t="s">
        <v>14</v>
      </c>
      <c r="C984" s="9" t="s">
        <v>15</v>
      </c>
      <c r="D984" s="10" t="s">
        <v>2249</v>
      </c>
      <c r="E984" s="9" t="s">
        <v>17</v>
      </c>
      <c r="F984" s="10">
        <v>41</v>
      </c>
      <c r="G984" s="11">
        <v>8036117158</v>
      </c>
      <c r="H984" s="10" t="s">
        <v>2250</v>
      </c>
      <c r="I984" s="10" t="s">
        <v>27</v>
      </c>
      <c r="J984" s="10" t="s">
        <v>1895</v>
      </c>
      <c r="K984" s="12">
        <v>46002</v>
      </c>
      <c r="L984" s="28" t="s">
        <v>11</v>
      </c>
      <c r="M984" s="14"/>
      <c r="N984" s="10" t="s">
        <v>1028</v>
      </c>
    </row>
    <row r="985" spans="1:14" ht="22.5" customHeight="1">
      <c r="A985" s="8">
        <v>46002.411806412041</v>
      </c>
      <c r="B985" s="9" t="s">
        <v>14</v>
      </c>
      <c r="C985" s="9" t="s">
        <v>15</v>
      </c>
      <c r="D985" s="10" t="s">
        <v>2251</v>
      </c>
      <c r="E985" s="9" t="s">
        <v>22</v>
      </c>
      <c r="F985" s="10">
        <v>25</v>
      </c>
      <c r="G985" s="11">
        <v>8168020384</v>
      </c>
      <c r="H985" s="10" t="s">
        <v>2252</v>
      </c>
      <c r="I985" s="10" t="s">
        <v>31</v>
      </c>
      <c r="J985" s="10" t="s">
        <v>2253</v>
      </c>
      <c r="K985" s="12">
        <v>46002</v>
      </c>
      <c r="L985" s="28" t="s">
        <v>11</v>
      </c>
      <c r="M985" s="14"/>
      <c r="N985" s="10" t="s">
        <v>1028</v>
      </c>
    </row>
    <row r="986" spans="1:14" ht="22.5" customHeight="1">
      <c r="A986" s="8">
        <v>46002.412005520833</v>
      </c>
      <c r="B986" s="9" t="s">
        <v>14</v>
      </c>
      <c r="C986" s="9" t="s">
        <v>15</v>
      </c>
      <c r="D986" s="10" t="s">
        <v>2254</v>
      </c>
      <c r="E986" s="9" t="s">
        <v>22</v>
      </c>
      <c r="F986" s="10">
        <v>32</v>
      </c>
      <c r="G986" s="11">
        <v>9015469595</v>
      </c>
      <c r="H986" s="10" t="s">
        <v>2255</v>
      </c>
      <c r="I986" s="10" t="s">
        <v>27</v>
      </c>
      <c r="J986" s="10" t="s">
        <v>1514</v>
      </c>
      <c r="K986" s="12">
        <v>46002</v>
      </c>
      <c r="L986" s="28" t="s">
        <v>11</v>
      </c>
      <c r="M986" s="14"/>
      <c r="N986" s="10" t="s">
        <v>1028</v>
      </c>
    </row>
    <row r="987" spans="1:14" ht="22.5" customHeight="1">
      <c r="A987" s="8">
        <v>46002.412153576384</v>
      </c>
      <c r="B987" s="9" t="s">
        <v>14</v>
      </c>
      <c r="C987" s="9" t="s">
        <v>15</v>
      </c>
      <c r="D987" s="10" t="s">
        <v>2256</v>
      </c>
      <c r="E987" s="9" t="s">
        <v>17</v>
      </c>
      <c r="F987" s="10">
        <v>26</v>
      </c>
      <c r="G987" s="11">
        <v>8167680450</v>
      </c>
      <c r="H987" s="10" t="s">
        <v>2257</v>
      </c>
      <c r="I987" s="10" t="s">
        <v>27</v>
      </c>
      <c r="J987" s="10" t="s">
        <v>2258</v>
      </c>
      <c r="K987" s="12">
        <v>46002</v>
      </c>
      <c r="L987" s="28" t="s">
        <v>11</v>
      </c>
      <c r="M987" s="14"/>
      <c r="N987" s="10" t="s">
        <v>1028</v>
      </c>
    </row>
    <row r="988" spans="1:14" ht="22.5" customHeight="1">
      <c r="A988" s="8">
        <v>46002.413161076387</v>
      </c>
      <c r="B988" s="9" t="s">
        <v>14</v>
      </c>
      <c r="C988" s="9" t="s">
        <v>15</v>
      </c>
      <c r="D988" s="10" t="s">
        <v>2259</v>
      </c>
      <c r="E988" s="9" t="s">
        <v>17</v>
      </c>
      <c r="F988" s="10">
        <v>17</v>
      </c>
      <c r="G988" s="11">
        <v>8130787529</v>
      </c>
      <c r="H988" s="10" t="s">
        <v>2260</v>
      </c>
      <c r="I988" s="10" t="s">
        <v>27</v>
      </c>
      <c r="J988" s="10" t="s">
        <v>2105</v>
      </c>
      <c r="K988" s="12">
        <v>46002</v>
      </c>
      <c r="L988" s="28" t="s">
        <v>11</v>
      </c>
      <c r="M988" s="14"/>
      <c r="N988" s="10" t="s">
        <v>1028</v>
      </c>
    </row>
    <row r="989" spans="1:14" ht="22.5" customHeight="1">
      <c r="A989" s="8">
        <v>46002.413650937495</v>
      </c>
      <c r="B989" s="9" t="s">
        <v>14</v>
      </c>
      <c r="C989" s="9" t="s">
        <v>15</v>
      </c>
      <c r="D989" s="10" t="s">
        <v>2261</v>
      </c>
      <c r="E989" s="9" t="s">
        <v>22</v>
      </c>
      <c r="F989" s="10">
        <v>18</v>
      </c>
      <c r="G989" s="11">
        <v>7070564635</v>
      </c>
      <c r="H989" s="10" t="s">
        <v>2262</v>
      </c>
      <c r="I989" s="10" t="s">
        <v>27</v>
      </c>
      <c r="J989" s="10" t="s">
        <v>1890</v>
      </c>
      <c r="K989" s="12">
        <v>46002</v>
      </c>
      <c r="L989" s="28" t="s">
        <v>11</v>
      </c>
      <c r="M989" s="14"/>
      <c r="N989" s="10" t="s">
        <v>1028</v>
      </c>
    </row>
    <row r="990" spans="1:14" ht="22.5" customHeight="1">
      <c r="A990" s="8">
        <v>46002.420702025462</v>
      </c>
      <c r="B990" s="9" t="s">
        <v>14</v>
      </c>
      <c r="C990" s="9" t="s">
        <v>15</v>
      </c>
      <c r="D990" s="10" t="s">
        <v>2263</v>
      </c>
      <c r="E990" s="9" t="s">
        <v>17</v>
      </c>
      <c r="F990" s="10">
        <v>24</v>
      </c>
      <c r="G990" s="11">
        <v>8142128437</v>
      </c>
      <c r="H990" s="10" t="s">
        <v>2264</v>
      </c>
      <c r="I990" s="10" t="s">
        <v>27</v>
      </c>
      <c r="J990" s="10" t="s">
        <v>94</v>
      </c>
      <c r="K990" s="12">
        <v>46002</v>
      </c>
      <c r="L990" s="28" t="s">
        <v>11</v>
      </c>
      <c r="M990" s="14"/>
      <c r="N990" s="10" t="s">
        <v>1096</v>
      </c>
    </row>
    <row r="991" spans="1:14" ht="22.5" customHeight="1">
      <c r="A991" s="8">
        <v>46002.421933726851</v>
      </c>
      <c r="B991" s="9" t="s">
        <v>14</v>
      </c>
      <c r="C991" s="9" t="s">
        <v>15</v>
      </c>
      <c r="D991" s="10" t="s">
        <v>2265</v>
      </c>
      <c r="E991" s="9" t="s">
        <v>22</v>
      </c>
      <c r="F991" s="10">
        <v>29</v>
      </c>
      <c r="G991" s="11">
        <v>8144975193</v>
      </c>
      <c r="H991" s="10" t="s">
        <v>2266</v>
      </c>
      <c r="I991" s="10" t="s">
        <v>27</v>
      </c>
      <c r="J991" s="10" t="s">
        <v>2267</v>
      </c>
      <c r="K991" s="12">
        <v>46002</v>
      </c>
      <c r="L991" s="28" t="s">
        <v>11</v>
      </c>
      <c r="M991" s="14"/>
      <c r="N991" s="10" t="s">
        <v>1028</v>
      </c>
    </row>
    <row r="992" spans="1:14" ht="22.5" customHeight="1">
      <c r="A992" s="8">
        <v>46002.425312314816</v>
      </c>
      <c r="B992" s="9" t="s">
        <v>14</v>
      </c>
      <c r="C992" s="9" t="s">
        <v>15</v>
      </c>
      <c r="D992" s="10" t="s">
        <v>2268</v>
      </c>
      <c r="E992" s="9" t="s">
        <v>22</v>
      </c>
      <c r="F992" s="10">
        <v>26</v>
      </c>
      <c r="G992" s="11">
        <v>9136905657</v>
      </c>
      <c r="H992" s="10" t="s">
        <v>2269</v>
      </c>
      <c r="I992" s="10" t="s">
        <v>27</v>
      </c>
      <c r="J992" s="10" t="s">
        <v>1194</v>
      </c>
      <c r="K992" s="12">
        <v>46002</v>
      </c>
      <c r="L992" s="28" t="s">
        <v>11</v>
      </c>
      <c r="M992" s="14"/>
      <c r="N992" s="10" t="s">
        <v>1028</v>
      </c>
    </row>
    <row r="993" spans="1:14" ht="22.5" customHeight="1">
      <c r="A993" s="8">
        <v>46002.425544548612</v>
      </c>
      <c r="B993" s="9" t="s">
        <v>14</v>
      </c>
      <c r="C993" s="9" t="s">
        <v>15</v>
      </c>
      <c r="D993" s="10" t="s">
        <v>2270</v>
      </c>
      <c r="E993" s="9" t="s">
        <v>22</v>
      </c>
      <c r="F993" s="10">
        <v>39</v>
      </c>
      <c r="G993" s="11">
        <v>8039200943</v>
      </c>
      <c r="H993" s="10" t="s">
        <v>2271</v>
      </c>
      <c r="I993" s="10" t="s">
        <v>27</v>
      </c>
      <c r="J993" s="10" t="s">
        <v>70</v>
      </c>
      <c r="K993" s="12">
        <v>46002</v>
      </c>
      <c r="L993" s="28" t="s">
        <v>11</v>
      </c>
      <c r="M993" s="14"/>
      <c r="N993" s="10" t="s">
        <v>1028</v>
      </c>
    </row>
    <row r="994" spans="1:14" ht="22.5" hidden="1" customHeight="1">
      <c r="A994" s="8">
        <v>46002.425579386574</v>
      </c>
      <c r="B994" s="9" t="s">
        <v>14</v>
      </c>
      <c r="C994" s="9" t="s">
        <v>15</v>
      </c>
      <c r="D994" s="10" t="s">
        <v>2272</v>
      </c>
      <c r="E994" s="9" t="s">
        <v>22</v>
      </c>
      <c r="F994" s="10">
        <v>21</v>
      </c>
      <c r="G994" s="11">
        <v>8128878265</v>
      </c>
      <c r="H994" s="10" t="s">
        <v>2273</v>
      </c>
      <c r="I994" s="10" t="s">
        <v>27</v>
      </c>
      <c r="J994" s="10" t="s">
        <v>2105</v>
      </c>
      <c r="K994" s="12">
        <v>46002</v>
      </c>
      <c r="L994" s="10" t="s">
        <v>441</v>
      </c>
      <c r="M994" s="10" t="s">
        <v>1361</v>
      </c>
      <c r="N994" s="10" t="s">
        <v>1209</v>
      </c>
    </row>
    <row r="995" spans="1:14" ht="22.5" customHeight="1">
      <c r="A995" s="8">
        <v>46002.427336828703</v>
      </c>
      <c r="B995" s="9" t="s">
        <v>14</v>
      </c>
      <c r="C995" s="9" t="s">
        <v>15</v>
      </c>
      <c r="D995" s="10" t="s">
        <v>2274</v>
      </c>
      <c r="E995" s="9" t="s">
        <v>22</v>
      </c>
      <c r="F995" s="10">
        <v>21</v>
      </c>
      <c r="G995" s="11">
        <v>8066893951</v>
      </c>
      <c r="H995" s="10" t="s">
        <v>2275</v>
      </c>
      <c r="I995" s="10" t="s">
        <v>27</v>
      </c>
      <c r="J995" s="10" t="s">
        <v>1456</v>
      </c>
      <c r="K995" s="12">
        <v>46002</v>
      </c>
      <c r="L995" s="28" t="s">
        <v>11</v>
      </c>
      <c r="M995" s="14"/>
      <c r="N995" s="10" t="s">
        <v>1028</v>
      </c>
    </row>
    <row r="996" spans="1:14" ht="22.5" customHeight="1">
      <c r="A996" s="8">
        <v>46002.428398460645</v>
      </c>
      <c r="B996" s="9" t="s">
        <v>14</v>
      </c>
      <c r="C996" s="9" t="s">
        <v>15</v>
      </c>
      <c r="D996" s="10" t="s">
        <v>2276</v>
      </c>
      <c r="E996" s="9" t="s">
        <v>22</v>
      </c>
      <c r="F996" s="10">
        <v>21</v>
      </c>
      <c r="G996" s="11">
        <v>8131216914</v>
      </c>
      <c r="H996" s="10" t="s">
        <v>2277</v>
      </c>
      <c r="I996" s="10" t="s">
        <v>31</v>
      </c>
      <c r="J996" s="10" t="s">
        <v>2278</v>
      </c>
      <c r="K996" s="12">
        <v>46002</v>
      </c>
      <c r="L996" s="28" t="s">
        <v>11</v>
      </c>
      <c r="M996" s="14"/>
      <c r="N996" s="10" t="s">
        <v>1028</v>
      </c>
    </row>
    <row r="997" spans="1:14" ht="22.5" customHeight="1">
      <c r="A997" s="8">
        <v>46002.428586111113</v>
      </c>
      <c r="B997" s="9" t="s">
        <v>14</v>
      </c>
      <c r="C997" s="9" t="s">
        <v>15</v>
      </c>
      <c r="D997" s="10" t="s">
        <v>2279</v>
      </c>
      <c r="E997" s="9" t="s">
        <v>22</v>
      </c>
      <c r="F997" s="10">
        <v>22</v>
      </c>
      <c r="G997" s="11">
        <v>7013822379</v>
      </c>
      <c r="H997" s="10" t="s">
        <v>2280</v>
      </c>
      <c r="I997" s="10" t="s">
        <v>27</v>
      </c>
      <c r="J997" s="10" t="s">
        <v>94</v>
      </c>
      <c r="K997" s="12">
        <v>46002</v>
      </c>
      <c r="L997" s="28" t="s">
        <v>11</v>
      </c>
      <c r="M997" s="14"/>
      <c r="N997" s="10" t="s">
        <v>1028</v>
      </c>
    </row>
    <row r="998" spans="1:14" ht="22.5" customHeight="1">
      <c r="A998" s="8">
        <v>46002.430933310185</v>
      </c>
      <c r="B998" s="9" t="s">
        <v>14</v>
      </c>
      <c r="C998" s="9" t="s">
        <v>15</v>
      </c>
      <c r="D998" s="10" t="s">
        <v>2281</v>
      </c>
      <c r="E998" s="9" t="s">
        <v>17</v>
      </c>
      <c r="F998" s="10">
        <v>32</v>
      </c>
      <c r="G998" s="11">
        <f t="shared" ref="G998" si="20">243822164726</f>
        <v>243822164726</v>
      </c>
      <c r="H998" s="10" t="s">
        <v>2282</v>
      </c>
      <c r="I998" s="10" t="s">
        <v>19</v>
      </c>
      <c r="J998" s="10" t="s">
        <v>2283</v>
      </c>
      <c r="K998" s="12">
        <v>45973</v>
      </c>
      <c r="L998" s="28" t="s">
        <v>11</v>
      </c>
      <c r="M998" s="14"/>
      <c r="N998" s="10" t="s">
        <v>1028</v>
      </c>
    </row>
    <row r="999" spans="1:14" ht="22.5" customHeight="1">
      <c r="A999" s="8">
        <v>46002.432634479163</v>
      </c>
      <c r="B999" s="9" t="s">
        <v>14</v>
      </c>
      <c r="C999" s="9" t="s">
        <v>15</v>
      </c>
      <c r="D999" s="10" t="s">
        <v>1886</v>
      </c>
      <c r="E999" s="9" t="s">
        <v>17</v>
      </c>
      <c r="F999" s="10">
        <v>25</v>
      </c>
      <c r="G999" s="11">
        <v>7046371057</v>
      </c>
      <c r="H999" s="10" t="s">
        <v>1887</v>
      </c>
      <c r="I999" s="10" t="s">
        <v>27</v>
      </c>
      <c r="J999" s="10" t="s">
        <v>67</v>
      </c>
      <c r="K999" s="12">
        <v>46002</v>
      </c>
      <c r="L999" s="28" t="s">
        <v>11</v>
      </c>
      <c r="M999" s="14"/>
      <c r="N999" s="10" t="s">
        <v>1028</v>
      </c>
    </row>
    <row r="1000" spans="1:14" ht="22.5" customHeight="1">
      <c r="A1000" s="8">
        <v>46002.435177962965</v>
      </c>
      <c r="B1000" s="9" t="s">
        <v>14</v>
      </c>
      <c r="C1000" s="9" t="s">
        <v>15</v>
      </c>
      <c r="D1000" s="10" t="s">
        <v>2284</v>
      </c>
      <c r="E1000" s="9" t="s">
        <v>22</v>
      </c>
      <c r="F1000" s="10">
        <v>21</v>
      </c>
      <c r="G1000" s="11">
        <v>9122871754</v>
      </c>
      <c r="H1000" s="10" t="s">
        <v>2285</v>
      </c>
      <c r="I1000" s="10" t="s">
        <v>27</v>
      </c>
      <c r="J1000" s="10" t="s">
        <v>94</v>
      </c>
      <c r="K1000" s="12">
        <v>46002</v>
      </c>
      <c r="L1000" s="28" t="s">
        <v>11</v>
      </c>
      <c r="M1000" s="14"/>
      <c r="N1000" s="10" t="s">
        <v>1028</v>
      </c>
    </row>
    <row r="1001" spans="1:14" ht="22.5" customHeight="1">
      <c r="A1001" s="8">
        <v>46002.435362465279</v>
      </c>
      <c r="B1001" s="9" t="s">
        <v>14</v>
      </c>
      <c r="C1001" s="9" t="s">
        <v>15</v>
      </c>
      <c r="D1001" s="10" t="s">
        <v>2286</v>
      </c>
      <c r="E1001" s="9" t="s">
        <v>17</v>
      </c>
      <c r="F1001" s="10">
        <v>22</v>
      </c>
      <c r="G1001" s="11">
        <f>2347088704532</f>
        <v>2347088704532</v>
      </c>
      <c r="H1001" s="10" t="s">
        <v>2287</v>
      </c>
      <c r="I1001" s="10" t="s">
        <v>27</v>
      </c>
      <c r="J1001" s="10" t="s">
        <v>70</v>
      </c>
      <c r="K1001" s="12">
        <v>46002</v>
      </c>
      <c r="L1001" s="28" t="s">
        <v>11</v>
      </c>
      <c r="M1001" s="14"/>
      <c r="N1001" s="10" t="s">
        <v>1028</v>
      </c>
    </row>
    <row r="1002" spans="1:14" ht="22.5" customHeight="1">
      <c r="A1002" s="8">
        <v>46002.450661539347</v>
      </c>
      <c r="B1002" s="9" t="s">
        <v>14</v>
      </c>
      <c r="C1002" s="9" t="s">
        <v>15</v>
      </c>
      <c r="D1002" s="10" t="s">
        <v>95</v>
      </c>
      <c r="E1002" s="9" t="s">
        <v>22</v>
      </c>
      <c r="F1002" s="18">
        <v>25</v>
      </c>
      <c r="G1002" s="11">
        <v>9037547257</v>
      </c>
      <c r="H1002" s="10" t="s">
        <v>96</v>
      </c>
      <c r="I1002" s="10" t="s">
        <v>27</v>
      </c>
      <c r="J1002" s="10" t="s">
        <v>94</v>
      </c>
      <c r="K1002" s="12">
        <v>46002</v>
      </c>
      <c r="L1002" s="28" t="s">
        <v>11</v>
      </c>
      <c r="M1002" s="14"/>
      <c r="N1002" s="10" t="s">
        <v>1028</v>
      </c>
    </row>
    <row r="1003" spans="1:14" ht="22.5" customHeight="1">
      <c r="A1003" s="8">
        <v>46002.451600914355</v>
      </c>
      <c r="B1003" s="9" t="s">
        <v>14</v>
      </c>
      <c r="C1003" s="9" t="s">
        <v>15</v>
      </c>
      <c r="D1003" s="10" t="s">
        <v>2288</v>
      </c>
      <c r="E1003" s="9" t="s">
        <v>17</v>
      </c>
      <c r="F1003" s="10">
        <v>30</v>
      </c>
      <c r="G1003" s="11">
        <f t="shared" ref="G1003" si="21">93778178008</f>
        <v>93778178008</v>
      </c>
      <c r="H1003" s="10" t="s">
        <v>2289</v>
      </c>
      <c r="I1003" s="10" t="s">
        <v>19</v>
      </c>
      <c r="J1003" s="10" t="s">
        <v>2290</v>
      </c>
      <c r="K1003" s="12">
        <v>46002</v>
      </c>
      <c r="L1003" s="28" t="s">
        <v>11</v>
      </c>
      <c r="M1003" s="14"/>
      <c r="N1003" s="10" t="s">
        <v>1563</v>
      </c>
    </row>
    <row r="1004" spans="1:14" ht="22.5" customHeight="1">
      <c r="A1004" s="8">
        <v>46002.452325254635</v>
      </c>
      <c r="B1004" s="9" t="s">
        <v>14</v>
      </c>
      <c r="C1004" s="9" t="s">
        <v>15</v>
      </c>
      <c r="D1004" s="10" t="s">
        <v>2291</v>
      </c>
      <c r="E1004" s="9" t="s">
        <v>17</v>
      </c>
      <c r="F1004" s="10">
        <v>33</v>
      </c>
      <c r="G1004" s="11">
        <v>8061618928</v>
      </c>
      <c r="H1004" s="10" t="s">
        <v>2292</v>
      </c>
      <c r="I1004" s="10" t="s">
        <v>27</v>
      </c>
      <c r="J1004" s="10" t="s">
        <v>172</v>
      </c>
      <c r="K1004" s="12">
        <v>46002</v>
      </c>
      <c r="L1004" s="28" t="s">
        <v>11</v>
      </c>
      <c r="M1004" s="14"/>
      <c r="N1004" s="10" t="s">
        <v>1028</v>
      </c>
    </row>
    <row r="1005" spans="1:14" ht="22.5" customHeight="1">
      <c r="A1005" s="8">
        <v>46002.458067766202</v>
      </c>
      <c r="B1005" s="9" t="s">
        <v>14</v>
      </c>
      <c r="C1005" s="9" t="s">
        <v>15</v>
      </c>
      <c r="D1005" s="10" t="s">
        <v>2293</v>
      </c>
      <c r="E1005" s="9" t="s">
        <v>22</v>
      </c>
      <c r="F1005" s="10">
        <v>29</v>
      </c>
      <c r="G1005" s="11">
        <v>9037648303</v>
      </c>
      <c r="H1005" s="10" t="s">
        <v>2294</v>
      </c>
      <c r="I1005" s="10" t="s">
        <v>31</v>
      </c>
      <c r="J1005" s="10" t="s">
        <v>32</v>
      </c>
      <c r="K1005" s="12">
        <v>35258</v>
      </c>
      <c r="L1005" s="28" t="s">
        <v>11</v>
      </c>
      <c r="M1005" s="14"/>
      <c r="N1005" s="10" t="s">
        <v>1028</v>
      </c>
    </row>
    <row r="1006" spans="1:14" ht="22.5" customHeight="1">
      <c r="A1006" s="8">
        <v>46002.459830497683</v>
      </c>
      <c r="B1006" s="9" t="s">
        <v>14</v>
      </c>
      <c r="C1006" s="9" t="s">
        <v>15</v>
      </c>
      <c r="D1006" s="10" t="s">
        <v>2295</v>
      </c>
      <c r="E1006" s="9" t="s">
        <v>22</v>
      </c>
      <c r="F1006" s="10">
        <v>25</v>
      </c>
      <c r="G1006" s="11">
        <v>8145744196</v>
      </c>
      <c r="H1006" s="10" t="s">
        <v>2296</v>
      </c>
      <c r="I1006" s="10" t="s">
        <v>27</v>
      </c>
      <c r="J1006" s="10" t="s">
        <v>42</v>
      </c>
      <c r="K1006" s="12">
        <v>46002</v>
      </c>
      <c r="L1006" s="28" t="s">
        <v>11</v>
      </c>
      <c r="M1006" s="10"/>
      <c r="N1006" s="10" t="s">
        <v>1028</v>
      </c>
    </row>
    <row r="1007" spans="1:14" ht="22.5" customHeight="1">
      <c r="A1007" s="8">
        <v>46002.461008923608</v>
      </c>
      <c r="B1007" s="9" t="s">
        <v>14</v>
      </c>
      <c r="C1007" s="9" t="s">
        <v>15</v>
      </c>
      <c r="D1007" s="10" t="s">
        <v>2297</v>
      </c>
      <c r="E1007" s="9" t="s">
        <v>17</v>
      </c>
      <c r="F1007" s="10">
        <v>23</v>
      </c>
      <c r="G1007" s="11">
        <v>8166352867</v>
      </c>
      <c r="H1007" s="10" t="s">
        <v>2298</v>
      </c>
      <c r="I1007" s="10" t="s">
        <v>27</v>
      </c>
      <c r="J1007" s="10" t="s">
        <v>172</v>
      </c>
      <c r="K1007" s="12">
        <v>46002</v>
      </c>
      <c r="L1007" s="28" t="s">
        <v>11</v>
      </c>
      <c r="M1007" s="14"/>
      <c r="N1007" s="10" t="s">
        <v>1028</v>
      </c>
    </row>
    <row r="1008" spans="1:14" ht="22.5" customHeight="1">
      <c r="A1008" s="8">
        <v>46002.463878333336</v>
      </c>
      <c r="B1008" s="9" t="s">
        <v>14</v>
      </c>
      <c r="C1008" s="9" t="s">
        <v>15</v>
      </c>
      <c r="D1008" s="10" t="s">
        <v>2299</v>
      </c>
      <c r="E1008" s="9" t="s">
        <v>22</v>
      </c>
      <c r="F1008" s="10">
        <v>22</v>
      </c>
      <c r="G1008" s="11">
        <v>9064460639</v>
      </c>
      <c r="H1008" s="10" t="s">
        <v>2300</v>
      </c>
      <c r="I1008" s="10" t="s">
        <v>27</v>
      </c>
      <c r="J1008" s="10" t="s">
        <v>28</v>
      </c>
      <c r="K1008" s="12">
        <v>46002</v>
      </c>
      <c r="L1008" s="28" t="s">
        <v>11</v>
      </c>
      <c r="M1008" s="10"/>
      <c r="N1008" s="10" t="s">
        <v>1028</v>
      </c>
    </row>
    <row r="1009" spans="1:14" ht="22.5" customHeight="1">
      <c r="A1009" s="8">
        <v>46002.465072974534</v>
      </c>
      <c r="B1009" s="9" t="s">
        <v>14</v>
      </c>
      <c r="C1009" s="9" t="s">
        <v>15</v>
      </c>
      <c r="D1009" s="10" t="s">
        <v>2301</v>
      </c>
      <c r="E1009" s="9" t="s">
        <v>17</v>
      </c>
      <c r="F1009" s="10">
        <v>32</v>
      </c>
      <c r="G1009" s="11">
        <f>2347034662122</f>
        <v>2347034662122</v>
      </c>
      <c r="H1009" s="10" t="s">
        <v>2302</v>
      </c>
      <c r="I1009" s="10" t="s">
        <v>27</v>
      </c>
      <c r="J1009" s="10" t="s">
        <v>640</v>
      </c>
      <c r="K1009" s="12">
        <v>46002</v>
      </c>
      <c r="L1009" s="28" t="s">
        <v>11</v>
      </c>
      <c r="M1009" s="14"/>
      <c r="N1009" s="10" t="s">
        <v>1028</v>
      </c>
    </row>
    <row r="1010" spans="1:14" ht="22.5" customHeight="1">
      <c r="A1010" s="8">
        <v>46002.465188229166</v>
      </c>
      <c r="B1010" s="9" t="s">
        <v>14</v>
      </c>
      <c r="C1010" s="9" t="s">
        <v>15</v>
      </c>
      <c r="D1010" s="10" t="s">
        <v>2303</v>
      </c>
      <c r="E1010" s="9" t="s">
        <v>22</v>
      </c>
      <c r="F1010" s="10">
        <v>33</v>
      </c>
      <c r="G1010" s="11">
        <v>7063862441</v>
      </c>
      <c r="H1010" s="10" t="s">
        <v>2304</v>
      </c>
      <c r="I1010" s="10" t="s">
        <v>27</v>
      </c>
      <c r="J1010" s="10" t="s">
        <v>1194</v>
      </c>
      <c r="K1010" s="12">
        <v>46002</v>
      </c>
      <c r="L1010" s="28" t="s">
        <v>11</v>
      </c>
      <c r="M1010" s="14"/>
      <c r="N1010" s="10" t="s">
        <v>1028</v>
      </c>
    </row>
    <row r="1011" spans="1:14" ht="22.5" customHeight="1">
      <c r="A1011" s="8">
        <v>46002.46529015046</v>
      </c>
      <c r="B1011" s="9" t="s">
        <v>14</v>
      </c>
      <c r="C1011" s="9" t="s">
        <v>15</v>
      </c>
      <c r="D1011" s="10" t="s">
        <v>2305</v>
      </c>
      <c r="E1011" s="9" t="s">
        <v>22</v>
      </c>
      <c r="F1011" s="10">
        <v>22</v>
      </c>
      <c r="G1011" s="11">
        <v>256785686067</v>
      </c>
      <c r="H1011" s="10" t="s">
        <v>2306</v>
      </c>
      <c r="I1011" s="10" t="s">
        <v>202</v>
      </c>
      <c r="J1011" s="10" t="s">
        <v>2307</v>
      </c>
      <c r="K1011" s="12">
        <v>46002</v>
      </c>
      <c r="L1011" s="28" t="s">
        <v>11</v>
      </c>
      <c r="M1011" s="14"/>
      <c r="N1011" s="10" t="s">
        <v>2308</v>
      </c>
    </row>
    <row r="1012" spans="1:14" ht="22.5" customHeight="1">
      <c r="A1012" s="8">
        <v>46002.465638680558</v>
      </c>
      <c r="B1012" s="9" t="s">
        <v>14</v>
      </c>
      <c r="C1012" s="9" t="s">
        <v>15</v>
      </c>
      <c r="D1012" s="10" t="s">
        <v>2309</v>
      </c>
      <c r="E1012" s="9" t="s">
        <v>17</v>
      </c>
      <c r="F1012" s="10">
        <v>28</v>
      </c>
      <c r="G1012" s="11">
        <v>9037884513</v>
      </c>
      <c r="H1012" s="10" t="s">
        <v>2310</v>
      </c>
      <c r="I1012" s="10" t="s">
        <v>19</v>
      </c>
      <c r="J1012" s="10" t="s">
        <v>2311</v>
      </c>
      <c r="K1012" s="12">
        <v>46002</v>
      </c>
      <c r="L1012" s="28" t="s">
        <v>11</v>
      </c>
      <c r="M1012" s="14"/>
      <c r="N1012" s="10" t="s">
        <v>1028</v>
      </c>
    </row>
    <row r="1013" spans="1:14" ht="22.5" customHeight="1">
      <c r="A1013" s="8">
        <v>46002.469197719911</v>
      </c>
      <c r="B1013" s="9" t="s">
        <v>14</v>
      </c>
      <c r="C1013" s="9" t="s">
        <v>15</v>
      </c>
      <c r="D1013" s="10" t="s">
        <v>2312</v>
      </c>
      <c r="E1013" s="9" t="s">
        <v>22</v>
      </c>
      <c r="F1013" s="10">
        <v>24</v>
      </c>
      <c r="G1013" s="11">
        <v>8108185441</v>
      </c>
      <c r="H1013" s="10" t="s">
        <v>2313</v>
      </c>
      <c r="I1013" s="10" t="s">
        <v>19</v>
      </c>
      <c r="J1013" s="10" t="s">
        <v>2314</v>
      </c>
      <c r="K1013" s="12">
        <v>46002</v>
      </c>
      <c r="L1013" s="28" t="s">
        <v>11</v>
      </c>
      <c r="M1013" s="14"/>
      <c r="N1013" s="10" t="s">
        <v>1096</v>
      </c>
    </row>
    <row r="1014" spans="1:14" ht="22.5" customHeight="1">
      <c r="A1014" s="8">
        <v>46002.469533043986</v>
      </c>
      <c r="B1014" s="9" t="s">
        <v>14</v>
      </c>
      <c r="C1014" s="9" t="s">
        <v>15</v>
      </c>
      <c r="D1014" s="10" t="s">
        <v>2315</v>
      </c>
      <c r="E1014" s="9" t="s">
        <v>17</v>
      </c>
      <c r="F1014" s="10">
        <v>27</v>
      </c>
      <c r="G1014" s="11">
        <v>7033355233</v>
      </c>
      <c r="H1014" s="10" t="s">
        <v>2316</v>
      </c>
      <c r="I1014" s="10" t="s">
        <v>27</v>
      </c>
      <c r="J1014" s="10" t="s">
        <v>2317</v>
      </c>
      <c r="K1014" s="12">
        <v>46002</v>
      </c>
      <c r="L1014" s="28" t="s">
        <v>11</v>
      </c>
      <c r="M1014" s="14"/>
      <c r="N1014" s="10" t="s">
        <v>1028</v>
      </c>
    </row>
    <row r="1015" spans="1:14" ht="22.5" customHeight="1">
      <c r="A1015" s="8">
        <v>46002.470543773146</v>
      </c>
      <c r="B1015" s="9" t="s">
        <v>14</v>
      </c>
      <c r="C1015" s="9" t="s">
        <v>15</v>
      </c>
      <c r="D1015" s="10" t="s">
        <v>2318</v>
      </c>
      <c r="E1015" s="9" t="s">
        <v>17</v>
      </c>
      <c r="F1015" s="10">
        <v>27</v>
      </c>
      <c r="G1015" s="11">
        <v>9071706571</v>
      </c>
      <c r="H1015" s="10" t="s">
        <v>2319</v>
      </c>
      <c r="I1015" s="10" t="s">
        <v>27</v>
      </c>
      <c r="J1015" s="10" t="s">
        <v>1559</v>
      </c>
      <c r="K1015" s="12">
        <v>46002</v>
      </c>
      <c r="L1015" s="28" t="s">
        <v>11</v>
      </c>
      <c r="M1015" s="14"/>
      <c r="N1015" s="10" t="s">
        <v>1028</v>
      </c>
    </row>
    <row r="1016" spans="1:14" ht="22.5" customHeight="1">
      <c r="A1016" s="8">
        <v>46002.471957939815</v>
      </c>
      <c r="B1016" s="9" t="s">
        <v>14</v>
      </c>
      <c r="C1016" s="9" t="s">
        <v>15</v>
      </c>
      <c r="D1016" s="10" t="s">
        <v>2320</v>
      </c>
      <c r="E1016" s="9" t="s">
        <v>17</v>
      </c>
      <c r="F1016" s="10">
        <v>25</v>
      </c>
      <c r="G1016" s="11">
        <v>8143144732</v>
      </c>
      <c r="H1016" s="10" t="s">
        <v>2321</v>
      </c>
      <c r="I1016" s="10" t="s">
        <v>27</v>
      </c>
      <c r="J1016" s="10" t="s">
        <v>42</v>
      </c>
      <c r="K1016" s="12">
        <v>46002</v>
      </c>
      <c r="L1016" s="28" t="s">
        <v>11</v>
      </c>
      <c r="M1016" s="14"/>
      <c r="N1016" s="10" t="s">
        <v>1028</v>
      </c>
    </row>
    <row r="1017" spans="1:14" ht="22.5" customHeight="1">
      <c r="A1017" s="8">
        <v>46002.474262766205</v>
      </c>
      <c r="B1017" s="9" t="s">
        <v>14</v>
      </c>
      <c r="C1017" s="9" t="s">
        <v>15</v>
      </c>
      <c r="D1017" s="10" t="s">
        <v>2322</v>
      </c>
      <c r="E1017" s="9" t="s">
        <v>17</v>
      </c>
      <c r="F1017" s="10">
        <v>30</v>
      </c>
      <c r="G1017" s="11">
        <v>8131519970</v>
      </c>
      <c r="H1017" s="10" t="s">
        <v>2323</v>
      </c>
      <c r="I1017" s="10" t="s">
        <v>49</v>
      </c>
      <c r="J1017" s="10" t="s">
        <v>232</v>
      </c>
      <c r="K1017" s="12">
        <v>46002</v>
      </c>
      <c r="L1017" s="28" t="s">
        <v>11</v>
      </c>
      <c r="M1017" s="14"/>
      <c r="N1017" s="10" t="s">
        <v>1028</v>
      </c>
    </row>
    <row r="1018" spans="1:14" ht="22.5" hidden="1" customHeight="1">
      <c r="A1018" s="8">
        <v>46002.477855509263</v>
      </c>
      <c r="B1018" s="9" t="s">
        <v>14</v>
      </c>
      <c r="C1018" s="9" t="s">
        <v>15</v>
      </c>
      <c r="D1018" s="10" t="s">
        <v>2324</v>
      </c>
      <c r="E1018" s="9" t="s">
        <v>22</v>
      </c>
      <c r="F1018" s="10">
        <v>33</v>
      </c>
      <c r="G1018" s="11">
        <v>8133876483</v>
      </c>
      <c r="H1018" s="10" t="s">
        <v>2325</v>
      </c>
      <c r="I1018" s="10" t="s">
        <v>27</v>
      </c>
      <c r="J1018" s="10" t="s">
        <v>94</v>
      </c>
      <c r="K1018" s="12">
        <v>46002</v>
      </c>
      <c r="L1018" s="10" t="s">
        <v>441</v>
      </c>
      <c r="M1018" s="10" t="s">
        <v>1361</v>
      </c>
      <c r="N1018" s="10" t="s">
        <v>1563</v>
      </c>
    </row>
    <row r="1019" spans="1:14" ht="22.5" customHeight="1">
      <c r="A1019" s="8">
        <v>46002.479831562501</v>
      </c>
      <c r="B1019" s="9" t="s">
        <v>14</v>
      </c>
      <c r="C1019" s="9" t="s">
        <v>15</v>
      </c>
      <c r="D1019" s="10" t="s">
        <v>2326</v>
      </c>
      <c r="E1019" s="9" t="s">
        <v>17</v>
      </c>
      <c r="F1019" s="10">
        <v>25</v>
      </c>
      <c r="G1019" s="11">
        <v>8032524939</v>
      </c>
      <c r="H1019" s="10" t="s">
        <v>2327</v>
      </c>
      <c r="I1019" s="10" t="s">
        <v>27</v>
      </c>
      <c r="J1019" s="10" t="s">
        <v>2328</v>
      </c>
      <c r="K1019" s="12">
        <v>46002</v>
      </c>
      <c r="L1019" s="28" t="s">
        <v>11</v>
      </c>
      <c r="M1019" s="14"/>
      <c r="N1019" s="10" t="s">
        <v>1028</v>
      </c>
    </row>
    <row r="1020" spans="1:14" ht="22.5" customHeight="1">
      <c r="A1020" s="8">
        <v>46002.482324247685</v>
      </c>
      <c r="B1020" s="9" t="s">
        <v>14</v>
      </c>
      <c r="C1020" s="9" t="s">
        <v>15</v>
      </c>
      <c r="D1020" s="10" t="s">
        <v>2329</v>
      </c>
      <c r="E1020" s="9" t="s">
        <v>22</v>
      </c>
      <c r="F1020" s="10">
        <v>22</v>
      </c>
      <c r="G1020" s="11">
        <v>7074190022</v>
      </c>
      <c r="H1020" s="10" t="s">
        <v>2330</v>
      </c>
      <c r="I1020" s="10" t="s">
        <v>45</v>
      </c>
      <c r="J1020" s="10" t="s">
        <v>2331</v>
      </c>
      <c r="K1020" s="12">
        <v>46002</v>
      </c>
      <c r="L1020" s="28" t="s">
        <v>11</v>
      </c>
      <c r="M1020" s="14"/>
      <c r="N1020" s="10" t="s">
        <v>1028</v>
      </c>
    </row>
    <row r="1021" spans="1:14" ht="22.5" customHeight="1">
      <c r="A1021" s="8">
        <v>46002.483657291668</v>
      </c>
      <c r="B1021" s="9" t="s">
        <v>14</v>
      </c>
      <c r="C1021" s="9" t="s">
        <v>15</v>
      </c>
      <c r="D1021" s="10" t="s">
        <v>2332</v>
      </c>
      <c r="E1021" s="9" t="s">
        <v>17</v>
      </c>
      <c r="F1021" s="10">
        <v>25</v>
      </c>
      <c r="G1021" s="11">
        <v>7033451826</v>
      </c>
      <c r="H1021" s="10" t="s">
        <v>2333</v>
      </c>
      <c r="I1021" s="10" t="s">
        <v>49</v>
      </c>
      <c r="J1021" s="10" t="s">
        <v>50</v>
      </c>
      <c r="K1021" s="12">
        <v>46002</v>
      </c>
      <c r="L1021" s="28" t="s">
        <v>11</v>
      </c>
      <c r="M1021" s="14"/>
      <c r="N1021" s="10" t="s">
        <v>1028</v>
      </c>
    </row>
    <row r="1022" spans="1:14" ht="22.5" hidden="1" customHeight="1">
      <c r="A1022" s="8">
        <v>46002.483735185189</v>
      </c>
      <c r="B1022" s="9" t="s">
        <v>14</v>
      </c>
      <c r="C1022" s="9" t="s">
        <v>15</v>
      </c>
      <c r="D1022" s="10" t="s">
        <v>2334</v>
      </c>
      <c r="E1022" s="9" t="s">
        <v>22</v>
      </c>
      <c r="F1022" s="10">
        <v>20</v>
      </c>
      <c r="G1022" s="11">
        <v>8160367703</v>
      </c>
      <c r="H1022" s="10" t="s">
        <v>2335</v>
      </c>
      <c r="I1022" s="10" t="s">
        <v>27</v>
      </c>
      <c r="J1022" s="10" t="s">
        <v>94</v>
      </c>
      <c r="K1022" s="12">
        <v>46002</v>
      </c>
      <c r="L1022" s="10" t="s">
        <v>441</v>
      </c>
      <c r="M1022" s="10" t="s">
        <v>1361</v>
      </c>
      <c r="N1022" s="10" t="s">
        <v>1028</v>
      </c>
    </row>
    <row r="1023" spans="1:14" ht="22.5" customHeight="1">
      <c r="A1023" s="8">
        <v>46002.484386053242</v>
      </c>
      <c r="B1023" s="9" t="s">
        <v>14</v>
      </c>
      <c r="C1023" s="9" t="s">
        <v>15</v>
      </c>
      <c r="D1023" s="10" t="s">
        <v>2336</v>
      </c>
      <c r="E1023" s="9" t="s">
        <v>17</v>
      </c>
      <c r="F1023" s="10">
        <v>21</v>
      </c>
      <c r="G1023" s="11">
        <v>9015550614</v>
      </c>
      <c r="H1023" s="10" t="s">
        <v>2337</v>
      </c>
      <c r="I1023" s="10" t="s">
        <v>49</v>
      </c>
      <c r="J1023" s="10" t="s">
        <v>232</v>
      </c>
      <c r="K1023" s="12">
        <v>46002</v>
      </c>
      <c r="L1023" s="28" t="s">
        <v>11</v>
      </c>
      <c r="M1023" s="14"/>
      <c r="N1023" s="10" t="s">
        <v>1028</v>
      </c>
    </row>
    <row r="1024" spans="1:14" ht="22.5" customHeight="1">
      <c r="A1024" s="8">
        <v>46002.487748043983</v>
      </c>
      <c r="B1024" s="9" t="s">
        <v>14</v>
      </c>
      <c r="C1024" s="9" t="s">
        <v>15</v>
      </c>
      <c r="D1024" s="10" t="s">
        <v>2338</v>
      </c>
      <c r="E1024" s="9" t="s">
        <v>17</v>
      </c>
      <c r="F1024" s="10">
        <v>24</v>
      </c>
      <c r="G1024" s="11">
        <f t="shared" ref="G1024" si="22">254741672965</f>
        <v>254741672965</v>
      </c>
      <c r="H1024" s="10" t="s">
        <v>2339</v>
      </c>
      <c r="I1024" s="10" t="s">
        <v>27</v>
      </c>
      <c r="J1024" s="10" t="s">
        <v>2167</v>
      </c>
      <c r="K1024" s="12">
        <v>46002</v>
      </c>
      <c r="L1024" s="28" t="s">
        <v>11</v>
      </c>
      <c r="M1024" s="14"/>
      <c r="N1024" s="10" t="s">
        <v>1028</v>
      </c>
    </row>
    <row r="1025" spans="1:14" ht="22.5" customHeight="1">
      <c r="A1025" s="8">
        <v>46002.488028842592</v>
      </c>
      <c r="B1025" s="9" t="s">
        <v>14</v>
      </c>
      <c r="C1025" s="9" t="s">
        <v>15</v>
      </c>
      <c r="D1025" s="10" t="s">
        <v>2340</v>
      </c>
      <c r="E1025" s="9" t="s">
        <v>22</v>
      </c>
      <c r="F1025" s="10">
        <v>21</v>
      </c>
      <c r="G1025" s="11">
        <v>9129985151</v>
      </c>
      <c r="H1025" s="10" t="s">
        <v>2341</v>
      </c>
      <c r="I1025" s="10" t="s">
        <v>27</v>
      </c>
      <c r="J1025" s="10" t="s">
        <v>94</v>
      </c>
      <c r="K1025" s="12">
        <v>46002</v>
      </c>
      <c r="L1025" s="28" t="s">
        <v>11</v>
      </c>
      <c r="M1025" s="14"/>
      <c r="N1025" s="10" t="s">
        <v>1028</v>
      </c>
    </row>
    <row r="1026" spans="1:14" ht="22.5" customHeight="1">
      <c r="A1026" s="8">
        <v>46002.490721435184</v>
      </c>
      <c r="B1026" s="9" t="s">
        <v>14</v>
      </c>
      <c r="C1026" s="9" t="s">
        <v>15</v>
      </c>
      <c r="D1026" s="10" t="s">
        <v>2342</v>
      </c>
      <c r="E1026" s="9" t="s">
        <v>22</v>
      </c>
      <c r="F1026" s="10">
        <v>25</v>
      </c>
      <c r="G1026" s="11">
        <v>8169157876</v>
      </c>
      <c r="H1026" s="10" t="s">
        <v>2343</v>
      </c>
      <c r="I1026" s="10" t="s">
        <v>49</v>
      </c>
      <c r="J1026" s="10" t="s">
        <v>109</v>
      </c>
      <c r="K1026" s="12">
        <v>46002</v>
      </c>
      <c r="L1026" s="28" t="s">
        <v>11</v>
      </c>
      <c r="M1026" s="10"/>
      <c r="N1026" s="10" t="s">
        <v>1028</v>
      </c>
    </row>
    <row r="1027" spans="1:14" ht="22.5" customHeight="1">
      <c r="A1027" s="8">
        <v>46002.491011111109</v>
      </c>
      <c r="B1027" s="9" t="s">
        <v>14</v>
      </c>
      <c r="C1027" s="9" t="s">
        <v>15</v>
      </c>
      <c r="D1027" s="10" t="s">
        <v>2344</v>
      </c>
      <c r="E1027" s="9" t="s">
        <v>17</v>
      </c>
      <c r="F1027" s="10">
        <v>29</v>
      </c>
      <c r="G1027" s="11">
        <v>8148366509</v>
      </c>
      <c r="H1027" s="10" t="s">
        <v>2345</v>
      </c>
      <c r="I1027" s="10" t="s">
        <v>49</v>
      </c>
      <c r="J1027" s="10" t="s">
        <v>50</v>
      </c>
      <c r="K1027" s="12">
        <v>45779</v>
      </c>
      <c r="L1027" s="28" t="s">
        <v>11</v>
      </c>
      <c r="M1027" s="14"/>
      <c r="N1027" s="10" t="s">
        <v>1028</v>
      </c>
    </row>
    <row r="1028" spans="1:14" ht="22.5" customHeight="1">
      <c r="A1028" s="8">
        <v>46002.492204305556</v>
      </c>
      <c r="B1028" s="9" t="s">
        <v>14</v>
      </c>
      <c r="C1028" s="9" t="s">
        <v>15</v>
      </c>
      <c r="D1028" s="10" t="s">
        <v>2346</v>
      </c>
      <c r="E1028" s="9" t="s">
        <v>22</v>
      </c>
      <c r="F1028" s="10">
        <v>27</v>
      </c>
      <c r="G1028" s="11">
        <v>9035352655</v>
      </c>
      <c r="H1028" s="10" t="s">
        <v>2347</v>
      </c>
      <c r="I1028" s="10" t="s">
        <v>27</v>
      </c>
      <c r="J1028" s="10" t="s">
        <v>2348</v>
      </c>
      <c r="K1028" s="12">
        <v>46002</v>
      </c>
      <c r="L1028" s="28" t="s">
        <v>11</v>
      </c>
      <c r="M1028" s="14"/>
      <c r="N1028" s="10" t="s">
        <v>1028</v>
      </c>
    </row>
    <row r="1029" spans="1:14" ht="22.5" customHeight="1">
      <c r="A1029" s="8">
        <v>46002.493887615739</v>
      </c>
      <c r="B1029" s="9" t="s">
        <v>14</v>
      </c>
      <c r="C1029" s="9" t="s">
        <v>15</v>
      </c>
      <c r="D1029" s="10" t="s">
        <v>2349</v>
      </c>
      <c r="E1029" s="9" t="s">
        <v>17</v>
      </c>
      <c r="F1029" s="10">
        <v>33</v>
      </c>
      <c r="G1029" s="11">
        <v>8066917323</v>
      </c>
      <c r="H1029" s="10" t="s">
        <v>2350</v>
      </c>
      <c r="I1029" s="10" t="s">
        <v>27</v>
      </c>
      <c r="J1029" s="10" t="s">
        <v>70</v>
      </c>
      <c r="K1029" s="12">
        <v>46002</v>
      </c>
      <c r="L1029" s="28" t="s">
        <v>11</v>
      </c>
      <c r="M1029" s="14"/>
      <c r="N1029" s="10" t="s">
        <v>1028</v>
      </c>
    </row>
    <row r="1030" spans="1:14" ht="22.5" customHeight="1">
      <c r="A1030" s="8">
        <v>46002.497333935185</v>
      </c>
      <c r="B1030" s="9" t="s">
        <v>14</v>
      </c>
      <c r="C1030" s="9" t="s">
        <v>15</v>
      </c>
      <c r="D1030" s="10" t="s">
        <v>2351</v>
      </c>
      <c r="E1030" s="9" t="s">
        <v>17</v>
      </c>
      <c r="F1030" s="10">
        <v>40</v>
      </c>
      <c r="G1030" s="11">
        <v>8065669151</v>
      </c>
      <c r="H1030" s="10" t="s">
        <v>2352</v>
      </c>
      <c r="I1030" s="10" t="s">
        <v>49</v>
      </c>
      <c r="J1030" s="10" t="s">
        <v>106</v>
      </c>
      <c r="K1030" s="12">
        <v>46002</v>
      </c>
      <c r="L1030" s="28" t="s">
        <v>11</v>
      </c>
      <c r="M1030" s="14"/>
      <c r="N1030" s="10" t="s">
        <v>1028</v>
      </c>
    </row>
    <row r="1031" spans="1:14" ht="22.5" customHeight="1">
      <c r="A1031" s="8">
        <v>46002.502122777776</v>
      </c>
      <c r="B1031" s="9" t="s">
        <v>14</v>
      </c>
      <c r="C1031" s="9" t="s">
        <v>15</v>
      </c>
      <c r="D1031" s="10" t="s">
        <v>2353</v>
      </c>
      <c r="E1031" s="9" t="s">
        <v>17</v>
      </c>
      <c r="F1031" s="10">
        <v>25</v>
      </c>
      <c r="G1031" s="11">
        <v>7068329991</v>
      </c>
      <c r="H1031" s="10" t="s">
        <v>2354</v>
      </c>
      <c r="I1031" s="10" t="s">
        <v>45</v>
      </c>
      <c r="J1031" s="10" t="s">
        <v>901</v>
      </c>
      <c r="K1031" s="12">
        <v>46002</v>
      </c>
      <c r="L1031" s="28" t="s">
        <v>11</v>
      </c>
      <c r="M1031" s="14"/>
      <c r="N1031" s="10" t="s">
        <v>1028</v>
      </c>
    </row>
    <row r="1032" spans="1:14" ht="22.5" customHeight="1">
      <c r="A1032" s="8">
        <v>46002.504088043977</v>
      </c>
      <c r="B1032" s="9" t="s">
        <v>14</v>
      </c>
      <c r="C1032" s="9" t="s">
        <v>15</v>
      </c>
      <c r="D1032" s="10" t="s">
        <v>2355</v>
      </c>
      <c r="E1032" s="9" t="s">
        <v>22</v>
      </c>
      <c r="F1032" s="10">
        <v>27</v>
      </c>
      <c r="G1032" s="11">
        <v>9035352655</v>
      </c>
      <c r="H1032" s="10" t="s">
        <v>2347</v>
      </c>
      <c r="I1032" s="10" t="s">
        <v>27</v>
      </c>
      <c r="J1032" s="10" t="s">
        <v>2348</v>
      </c>
      <c r="K1032" s="12">
        <v>46001</v>
      </c>
      <c r="L1032" s="28" t="s">
        <v>11</v>
      </c>
      <c r="M1032" s="14"/>
      <c r="N1032" s="10" t="s">
        <v>1028</v>
      </c>
    </row>
    <row r="1033" spans="1:14" ht="22.5" customHeight="1">
      <c r="A1033" s="8">
        <v>46002.504721886573</v>
      </c>
      <c r="B1033" s="9" t="s">
        <v>14</v>
      </c>
      <c r="C1033" s="9" t="s">
        <v>15</v>
      </c>
      <c r="D1033" s="10" t="s">
        <v>2356</v>
      </c>
      <c r="E1033" s="9" t="s">
        <v>17</v>
      </c>
      <c r="F1033" s="10">
        <v>28</v>
      </c>
      <c r="G1033" s="11">
        <v>9030981185</v>
      </c>
      <c r="H1033" s="10" t="s">
        <v>2357</v>
      </c>
      <c r="I1033" s="10" t="s">
        <v>31</v>
      </c>
      <c r="J1033" s="10" t="s">
        <v>2358</v>
      </c>
      <c r="K1033" s="12">
        <v>46002</v>
      </c>
      <c r="L1033" s="28" t="s">
        <v>11</v>
      </c>
      <c r="M1033" s="14"/>
      <c r="N1033" s="10" t="s">
        <v>1028</v>
      </c>
    </row>
    <row r="1034" spans="1:14" ht="22.5" customHeight="1">
      <c r="A1034" s="8">
        <v>46002.50569200232</v>
      </c>
      <c r="B1034" s="9" t="s">
        <v>14</v>
      </c>
      <c r="C1034" s="9" t="s">
        <v>15</v>
      </c>
      <c r="D1034" s="10" t="s">
        <v>2359</v>
      </c>
      <c r="E1034" s="9" t="s">
        <v>22</v>
      </c>
      <c r="F1034" s="10">
        <v>27</v>
      </c>
      <c r="G1034" s="11">
        <v>9037656779</v>
      </c>
      <c r="H1034" s="10" t="s">
        <v>2360</v>
      </c>
      <c r="I1034" s="10" t="s">
        <v>31</v>
      </c>
      <c r="J1034" s="10" t="s">
        <v>32</v>
      </c>
      <c r="K1034" s="12">
        <v>46002</v>
      </c>
      <c r="L1034" s="28" t="s">
        <v>11</v>
      </c>
      <c r="M1034" s="14"/>
      <c r="N1034" s="10" t="s">
        <v>1096</v>
      </c>
    </row>
    <row r="1035" spans="1:14" ht="22.5" customHeight="1">
      <c r="A1035" s="8">
        <v>46002.5057968287</v>
      </c>
      <c r="B1035" s="9" t="s">
        <v>14</v>
      </c>
      <c r="C1035" s="9" t="s">
        <v>15</v>
      </c>
      <c r="D1035" s="10" t="s">
        <v>2361</v>
      </c>
      <c r="E1035" s="9" t="s">
        <v>22</v>
      </c>
      <c r="F1035" s="10">
        <v>28</v>
      </c>
      <c r="G1035" s="11">
        <v>8073243871</v>
      </c>
      <c r="H1035" s="10" t="s">
        <v>2362</v>
      </c>
      <c r="I1035" s="10" t="s">
        <v>45</v>
      </c>
      <c r="J1035" s="10" t="s">
        <v>2363</v>
      </c>
      <c r="K1035" s="12">
        <v>46002</v>
      </c>
      <c r="L1035" s="28" t="s">
        <v>11</v>
      </c>
      <c r="M1035" s="14"/>
      <c r="N1035" s="10" t="s">
        <v>1028</v>
      </c>
    </row>
    <row r="1036" spans="1:14" ht="22.5" customHeight="1">
      <c r="A1036" s="8">
        <v>46002.505913449073</v>
      </c>
      <c r="B1036" s="9" t="s">
        <v>14</v>
      </c>
      <c r="C1036" s="9" t="s">
        <v>15</v>
      </c>
      <c r="D1036" s="10" t="s">
        <v>2364</v>
      </c>
      <c r="E1036" s="9" t="s">
        <v>22</v>
      </c>
      <c r="F1036" s="10">
        <v>30</v>
      </c>
      <c r="G1036" s="11">
        <v>7033060661</v>
      </c>
      <c r="H1036" s="10" t="s">
        <v>2365</v>
      </c>
      <c r="I1036" s="10" t="s">
        <v>27</v>
      </c>
      <c r="J1036" s="10" t="s">
        <v>1559</v>
      </c>
      <c r="K1036" s="12">
        <v>46002</v>
      </c>
      <c r="L1036" s="28" t="s">
        <v>11</v>
      </c>
      <c r="M1036" s="14"/>
      <c r="N1036" s="10" t="s">
        <v>1028</v>
      </c>
    </row>
    <row r="1037" spans="1:14" ht="22.5" customHeight="1">
      <c r="A1037" s="8">
        <v>46002.50698943287</v>
      </c>
      <c r="B1037" s="9" t="s">
        <v>14</v>
      </c>
      <c r="C1037" s="9" t="s">
        <v>15</v>
      </c>
      <c r="D1037" s="10" t="s">
        <v>2366</v>
      </c>
      <c r="E1037" s="9" t="s">
        <v>17</v>
      </c>
      <c r="F1037" s="10">
        <v>33</v>
      </c>
      <c r="G1037" s="11">
        <v>7053496941</v>
      </c>
      <c r="H1037" s="10" t="s">
        <v>2367</v>
      </c>
      <c r="I1037" s="10" t="s">
        <v>49</v>
      </c>
      <c r="J1037" s="10" t="s">
        <v>103</v>
      </c>
      <c r="K1037" s="12">
        <v>46002</v>
      </c>
      <c r="L1037" s="28" t="s">
        <v>11</v>
      </c>
      <c r="M1037" s="14"/>
      <c r="N1037" s="10" t="s">
        <v>1028</v>
      </c>
    </row>
    <row r="1038" spans="1:14" ht="22.5" customHeight="1">
      <c r="A1038" s="8">
        <v>46002.50720644676</v>
      </c>
      <c r="B1038" s="9" t="s">
        <v>14</v>
      </c>
      <c r="C1038" s="9" t="s">
        <v>15</v>
      </c>
      <c r="D1038" s="10" t="s">
        <v>2368</v>
      </c>
      <c r="E1038" s="9" t="s">
        <v>22</v>
      </c>
      <c r="F1038" s="10">
        <v>21</v>
      </c>
      <c r="G1038" s="11">
        <v>7025554266</v>
      </c>
      <c r="H1038" s="10" t="s">
        <v>2369</v>
      </c>
      <c r="I1038" s="10" t="s">
        <v>27</v>
      </c>
      <c r="J1038" s="10" t="s">
        <v>1514</v>
      </c>
      <c r="K1038" s="12">
        <v>46001</v>
      </c>
      <c r="L1038" s="28" t="s">
        <v>11</v>
      </c>
      <c r="M1038" s="14"/>
      <c r="N1038" s="10" t="s">
        <v>1028</v>
      </c>
    </row>
    <row r="1039" spans="1:14" ht="22.5" customHeight="1">
      <c r="A1039" s="8">
        <v>46002.508529108796</v>
      </c>
      <c r="B1039" s="9" t="s">
        <v>14</v>
      </c>
      <c r="C1039" s="9" t="s">
        <v>15</v>
      </c>
      <c r="D1039" s="10" t="s">
        <v>2370</v>
      </c>
      <c r="E1039" s="9" t="s">
        <v>17</v>
      </c>
      <c r="F1039" s="10">
        <v>31</v>
      </c>
      <c r="G1039" s="11">
        <v>8069563876</v>
      </c>
      <c r="H1039" s="10" t="s">
        <v>2371</v>
      </c>
      <c r="I1039" s="10" t="s">
        <v>49</v>
      </c>
      <c r="J1039" s="10" t="s">
        <v>106</v>
      </c>
      <c r="K1039" s="12">
        <v>46002</v>
      </c>
      <c r="L1039" s="28" t="s">
        <v>11</v>
      </c>
      <c r="M1039" s="14"/>
      <c r="N1039" s="10" t="s">
        <v>1028</v>
      </c>
    </row>
    <row r="1040" spans="1:14" ht="22.5" customHeight="1">
      <c r="A1040" s="8">
        <v>46002.510630439814</v>
      </c>
      <c r="B1040" s="9" t="s">
        <v>14</v>
      </c>
      <c r="C1040" s="9" t="s">
        <v>15</v>
      </c>
      <c r="D1040" s="10" t="s">
        <v>2372</v>
      </c>
      <c r="E1040" s="9" t="s">
        <v>22</v>
      </c>
      <c r="F1040" s="10">
        <v>23</v>
      </c>
      <c r="G1040" s="11">
        <v>9032305365</v>
      </c>
      <c r="H1040" s="10" t="s">
        <v>2373</v>
      </c>
      <c r="I1040" s="10" t="s">
        <v>27</v>
      </c>
      <c r="J1040" s="10" t="s">
        <v>703</v>
      </c>
      <c r="K1040" s="12">
        <v>46002</v>
      </c>
      <c r="L1040" s="28" t="s">
        <v>11</v>
      </c>
      <c r="M1040" s="14"/>
      <c r="N1040" s="10" t="s">
        <v>1028</v>
      </c>
    </row>
    <row r="1041" spans="1:14" ht="22.5" customHeight="1">
      <c r="A1041" s="8">
        <v>46002.511562557869</v>
      </c>
      <c r="B1041" s="9" t="s">
        <v>14</v>
      </c>
      <c r="C1041" s="9" t="s">
        <v>15</v>
      </c>
      <c r="D1041" s="10" t="s">
        <v>2374</v>
      </c>
      <c r="E1041" s="9" t="s">
        <v>22</v>
      </c>
      <c r="F1041" s="10">
        <v>20</v>
      </c>
      <c r="G1041" s="11">
        <v>9035866648</v>
      </c>
      <c r="H1041" s="10" t="s">
        <v>2375</v>
      </c>
      <c r="I1041" s="10" t="s">
        <v>49</v>
      </c>
      <c r="J1041" s="10" t="s">
        <v>106</v>
      </c>
      <c r="K1041" s="12">
        <v>46002</v>
      </c>
      <c r="L1041" s="28" t="s">
        <v>11</v>
      </c>
      <c r="M1041" s="10"/>
      <c r="N1041" s="10" t="s">
        <v>1028</v>
      </c>
    </row>
    <row r="1042" spans="1:14" ht="22.5" customHeight="1">
      <c r="A1042" s="8">
        <v>46002.521210462961</v>
      </c>
      <c r="B1042" s="9" t="s">
        <v>14</v>
      </c>
      <c r="C1042" s="9" t="s">
        <v>15</v>
      </c>
      <c r="D1042" s="10" t="s">
        <v>2376</v>
      </c>
      <c r="E1042" s="9" t="s">
        <v>22</v>
      </c>
      <c r="F1042" s="10">
        <v>41</v>
      </c>
      <c r="G1042" s="11">
        <f>2348130472566</f>
        <v>2348130472566</v>
      </c>
      <c r="H1042" s="10" t="s">
        <v>2377</v>
      </c>
      <c r="I1042" s="10" t="s">
        <v>27</v>
      </c>
      <c r="J1042" s="10" t="s">
        <v>703</v>
      </c>
      <c r="K1042" s="12">
        <v>46002</v>
      </c>
      <c r="L1042" s="28" t="s">
        <v>11</v>
      </c>
      <c r="M1042" s="14"/>
      <c r="N1042" s="10" t="s">
        <v>1028</v>
      </c>
    </row>
    <row r="1043" spans="1:14" ht="22.5" customHeight="1">
      <c r="A1043" s="8">
        <v>46002.523234432869</v>
      </c>
      <c r="B1043" s="9" t="s">
        <v>14</v>
      </c>
      <c r="C1043" s="9" t="s">
        <v>15</v>
      </c>
      <c r="D1043" s="10" t="s">
        <v>2378</v>
      </c>
      <c r="E1043" s="9" t="s">
        <v>17</v>
      </c>
      <c r="F1043" s="10">
        <v>31</v>
      </c>
      <c r="G1043" s="11">
        <v>8068136036</v>
      </c>
      <c r="H1043" s="10" t="s">
        <v>2379</v>
      </c>
      <c r="I1043" s="10" t="s">
        <v>27</v>
      </c>
      <c r="J1043" s="10" t="s">
        <v>2006</v>
      </c>
      <c r="K1043" s="12">
        <v>46002</v>
      </c>
      <c r="L1043" s="28" t="s">
        <v>11</v>
      </c>
      <c r="M1043" s="14"/>
      <c r="N1043" s="10" t="s">
        <v>1028</v>
      </c>
    </row>
    <row r="1044" spans="1:14" ht="22.5" customHeight="1">
      <c r="A1044" s="8">
        <v>46002.523657824073</v>
      </c>
      <c r="B1044" s="9" t="s">
        <v>14</v>
      </c>
      <c r="C1044" s="9" t="s">
        <v>15</v>
      </c>
      <c r="D1044" s="10" t="s">
        <v>2380</v>
      </c>
      <c r="E1044" s="9" t="s">
        <v>22</v>
      </c>
      <c r="F1044" s="10">
        <v>29</v>
      </c>
      <c r="G1044" s="11">
        <v>9033451684</v>
      </c>
      <c r="H1044" s="10" t="s">
        <v>2381</v>
      </c>
      <c r="I1044" s="10" t="s">
        <v>49</v>
      </c>
      <c r="J1044" s="10" t="s">
        <v>109</v>
      </c>
      <c r="K1044" s="12">
        <v>46002</v>
      </c>
      <c r="L1044" s="28" t="s">
        <v>11</v>
      </c>
      <c r="M1044" s="14"/>
      <c r="N1044" s="10" t="s">
        <v>1028</v>
      </c>
    </row>
    <row r="1045" spans="1:14" ht="22.5" customHeight="1">
      <c r="A1045" s="8">
        <v>46002.525702951389</v>
      </c>
      <c r="B1045" s="9" t="s">
        <v>14</v>
      </c>
      <c r="C1045" s="9" t="s">
        <v>15</v>
      </c>
      <c r="D1045" s="10" t="s">
        <v>2382</v>
      </c>
      <c r="E1045" s="9" t="s">
        <v>17</v>
      </c>
      <c r="F1045" s="10">
        <v>36</v>
      </c>
      <c r="G1045" s="11">
        <v>7937878191</v>
      </c>
      <c r="H1045" s="10" t="s">
        <v>2383</v>
      </c>
      <c r="I1045" s="10" t="s">
        <v>49</v>
      </c>
      <c r="J1045" s="10" t="s">
        <v>106</v>
      </c>
      <c r="K1045" s="12">
        <v>46002</v>
      </c>
      <c r="L1045" s="28" t="s">
        <v>11</v>
      </c>
      <c r="M1045" s="14"/>
      <c r="N1045" s="10" t="s">
        <v>1028</v>
      </c>
    </row>
    <row r="1046" spans="1:14" ht="22.5" customHeight="1">
      <c r="A1046" s="8">
        <v>46002.528888356479</v>
      </c>
      <c r="B1046" s="9" t="s">
        <v>14</v>
      </c>
      <c r="C1046" s="9" t="s">
        <v>15</v>
      </c>
      <c r="D1046" s="10" t="s">
        <v>2384</v>
      </c>
      <c r="E1046" s="9" t="s">
        <v>22</v>
      </c>
      <c r="F1046" s="10">
        <v>26</v>
      </c>
      <c r="G1046" s="11">
        <v>8168803668</v>
      </c>
      <c r="H1046" s="10" t="s">
        <v>2385</v>
      </c>
      <c r="I1046" s="10" t="s">
        <v>27</v>
      </c>
      <c r="J1046" s="10" t="s">
        <v>70</v>
      </c>
      <c r="K1046" s="12">
        <v>46002</v>
      </c>
      <c r="L1046" s="28" t="s">
        <v>11</v>
      </c>
      <c r="M1046" s="14"/>
      <c r="N1046" s="10" t="s">
        <v>1096</v>
      </c>
    </row>
    <row r="1047" spans="1:14" ht="22.5" customHeight="1">
      <c r="A1047" s="8">
        <v>46002.529225057871</v>
      </c>
      <c r="B1047" s="9" t="s">
        <v>14</v>
      </c>
      <c r="C1047" s="9" t="s">
        <v>15</v>
      </c>
      <c r="D1047" s="10" t="s">
        <v>2355</v>
      </c>
      <c r="E1047" s="9" t="s">
        <v>22</v>
      </c>
      <c r="F1047" s="10">
        <v>27</v>
      </c>
      <c r="G1047" s="11">
        <v>9035352655</v>
      </c>
      <c r="H1047" s="10" t="s">
        <v>2347</v>
      </c>
      <c r="I1047" s="10" t="s">
        <v>27</v>
      </c>
      <c r="J1047" s="10" t="s">
        <v>2348</v>
      </c>
      <c r="K1047" s="12">
        <v>46002</v>
      </c>
      <c r="L1047" s="28" t="s">
        <v>11</v>
      </c>
      <c r="M1047" s="14"/>
      <c r="N1047" s="10" t="s">
        <v>1028</v>
      </c>
    </row>
    <row r="1048" spans="1:14" ht="22.5" customHeight="1">
      <c r="A1048" s="8">
        <v>46002.529813726855</v>
      </c>
      <c r="B1048" s="9" t="s">
        <v>14</v>
      </c>
      <c r="C1048" s="9" t="s">
        <v>15</v>
      </c>
      <c r="D1048" s="10" t="s">
        <v>2386</v>
      </c>
      <c r="E1048" s="9" t="s">
        <v>17</v>
      </c>
      <c r="F1048" s="10">
        <v>27</v>
      </c>
      <c r="G1048" s="11">
        <v>9063101039</v>
      </c>
      <c r="H1048" s="10" t="s">
        <v>2387</v>
      </c>
      <c r="I1048" s="10" t="s">
        <v>27</v>
      </c>
      <c r="J1048" s="10" t="s">
        <v>2006</v>
      </c>
      <c r="K1048" s="12">
        <v>46002</v>
      </c>
      <c r="L1048" s="28" t="s">
        <v>11</v>
      </c>
      <c r="M1048" s="14"/>
      <c r="N1048" s="10" t="s">
        <v>1028</v>
      </c>
    </row>
    <row r="1049" spans="1:14" ht="22.5" customHeight="1">
      <c r="A1049" s="8">
        <v>46002.531765451393</v>
      </c>
      <c r="B1049" s="9" t="s">
        <v>14</v>
      </c>
      <c r="C1049" s="9" t="s">
        <v>15</v>
      </c>
      <c r="D1049" s="10" t="s">
        <v>2388</v>
      </c>
      <c r="E1049" s="9" t="s">
        <v>17</v>
      </c>
      <c r="F1049" s="10">
        <v>32</v>
      </c>
      <c r="G1049" s="11">
        <v>8033360113</v>
      </c>
      <c r="H1049" s="10" t="s">
        <v>2389</v>
      </c>
      <c r="I1049" s="10" t="s">
        <v>49</v>
      </c>
      <c r="J1049" s="10" t="s">
        <v>60</v>
      </c>
      <c r="K1049" s="12">
        <v>46002</v>
      </c>
      <c r="L1049" s="28" t="s">
        <v>11</v>
      </c>
      <c r="M1049" s="14"/>
      <c r="N1049" s="10" t="s">
        <v>1028</v>
      </c>
    </row>
    <row r="1050" spans="1:14" ht="22.5" customHeight="1">
      <c r="A1050" s="8">
        <v>46002.532764108793</v>
      </c>
      <c r="B1050" s="9" t="s">
        <v>14</v>
      </c>
      <c r="C1050" s="9" t="s">
        <v>15</v>
      </c>
      <c r="D1050" s="10" t="s">
        <v>2390</v>
      </c>
      <c r="E1050" s="9" t="s">
        <v>17</v>
      </c>
      <c r="F1050" s="10">
        <v>34</v>
      </c>
      <c r="G1050" s="11">
        <v>8148237377</v>
      </c>
      <c r="H1050" s="10" t="s">
        <v>2391</v>
      </c>
      <c r="I1050" s="10" t="s">
        <v>19</v>
      </c>
      <c r="J1050" s="10" t="s">
        <v>2392</v>
      </c>
      <c r="K1050" s="12">
        <v>46002</v>
      </c>
      <c r="L1050" s="28" t="s">
        <v>11</v>
      </c>
      <c r="M1050" s="14"/>
      <c r="N1050" s="10" t="s">
        <v>1028</v>
      </c>
    </row>
    <row r="1051" spans="1:14" ht="22.5" customHeight="1">
      <c r="A1051" s="8">
        <v>46002.534806608797</v>
      </c>
      <c r="B1051" s="9" t="s">
        <v>14</v>
      </c>
      <c r="C1051" s="9" t="s">
        <v>15</v>
      </c>
      <c r="D1051" s="10" t="s">
        <v>2393</v>
      </c>
      <c r="E1051" s="9" t="s">
        <v>22</v>
      </c>
      <c r="F1051" s="10">
        <v>20</v>
      </c>
      <c r="G1051" s="11">
        <v>8052814392</v>
      </c>
      <c r="H1051" s="10" t="s">
        <v>2394</v>
      </c>
      <c r="I1051" s="10" t="s">
        <v>45</v>
      </c>
      <c r="J1051" s="10" t="s">
        <v>2395</v>
      </c>
      <c r="K1051" s="12">
        <v>46002</v>
      </c>
      <c r="L1051" s="28" t="s">
        <v>11</v>
      </c>
      <c r="M1051" s="14"/>
      <c r="N1051" s="10" t="s">
        <v>1096</v>
      </c>
    </row>
    <row r="1052" spans="1:14" ht="22.5" customHeight="1">
      <c r="A1052" s="8">
        <v>46002.535194247685</v>
      </c>
      <c r="B1052" s="9" t="s">
        <v>14</v>
      </c>
      <c r="C1052" s="9" t="s">
        <v>15</v>
      </c>
      <c r="D1052" s="10" t="s">
        <v>2396</v>
      </c>
      <c r="E1052" s="9" t="s">
        <v>17</v>
      </c>
      <c r="F1052" s="10">
        <v>31</v>
      </c>
      <c r="G1052" s="11">
        <v>8038378789</v>
      </c>
      <c r="H1052" s="10" t="s">
        <v>2397</v>
      </c>
      <c r="I1052" s="10" t="s">
        <v>27</v>
      </c>
      <c r="J1052" s="10" t="s">
        <v>2006</v>
      </c>
      <c r="K1052" s="12">
        <v>46002</v>
      </c>
      <c r="L1052" s="28" t="s">
        <v>11</v>
      </c>
      <c r="M1052" s="14"/>
      <c r="N1052" s="10" t="s">
        <v>1028</v>
      </c>
    </row>
    <row r="1053" spans="1:14" ht="22.5" customHeight="1">
      <c r="A1053" s="8">
        <v>46002.536313460645</v>
      </c>
      <c r="B1053" s="9" t="s">
        <v>14</v>
      </c>
      <c r="C1053" s="9" t="s">
        <v>15</v>
      </c>
      <c r="D1053" s="10" t="s">
        <v>2398</v>
      </c>
      <c r="E1053" s="9" t="s">
        <v>22</v>
      </c>
      <c r="F1053" s="10">
        <v>30</v>
      </c>
      <c r="G1053" s="11">
        <v>8164305339</v>
      </c>
      <c r="H1053" s="10" t="s">
        <v>2399</v>
      </c>
      <c r="I1053" s="10" t="s">
        <v>27</v>
      </c>
      <c r="J1053" s="10" t="s">
        <v>372</v>
      </c>
      <c r="K1053" s="12">
        <v>45973</v>
      </c>
      <c r="L1053" s="28" t="s">
        <v>11</v>
      </c>
      <c r="M1053" s="14"/>
      <c r="N1053" s="10" t="s">
        <v>1028</v>
      </c>
    </row>
    <row r="1054" spans="1:14" ht="22.5" customHeight="1">
      <c r="A1054" s="8">
        <v>46002.538674143521</v>
      </c>
      <c r="B1054" s="9" t="s">
        <v>14</v>
      </c>
      <c r="C1054" s="9" t="s">
        <v>15</v>
      </c>
      <c r="D1054" s="10" t="s">
        <v>2400</v>
      </c>
      <c r="E1054" s="9" t="s">
        <v>22</v>
      </c>
      <c r="F1054" s="10">
        <v>23</v>
      </c>
      <c r="G1054" s="11">
        <v>8062796508</v>
      </c>
      <c r="H1054" s="10" t="s">
        <v>2401</v>
      </c>
      <c r="I1054" s="10" t="s">
        <v>27</v>
      </c>
      <c r="J1054" s="10" t="s">
        <v>372</v>
      </c>
      <c r="K1054" s="12">
        <v>46002</v>
      </c>
      <c r="L1054" s="28" t="s">
        <v>11</v>
      </c>
      <c r="M1054" s="14"/>
      <c r="N1054" s="10" t="s">
        <v>1028</v>
      </c>
    </row>
    <row r="1055" spans="1:14" ht="22.5" customHeight="1">
      <c r="A1055" s="8">
        <v>46002.541903993057</v>
      </c>
      <c r="B1055" s="9" t="s">
        <v>14</v>
      </c>
      <c r="C1055" s="9" t="s">
        <v>15</v>
      </c>
      <c r="D1055" s="10" t="s">
        <v>2402</v>
      </c>
      <c r="E1055" s="9" t="s">
        <v>17</v>
      </c>
      <c r="F1055" s="10">
        <v>32</v>
      </c>
      <c r="G1055" s="11">
        <v>7034244153</v>
      </c>
      <c r="H1055" s="10" t="s">
        <v>2403</v>
      </c>
      <c r="I1055" s="10" t="s">
        <v>27</v>
      </c>
      <c r="J1055" s="10" t="s">
        <v>2006</v>
      </c>
      <c r="K1055" s="12">
        <v>46002</v>
      </c>
      <c r="L1055" s="28" t="s">
        <v>11</v>
      </c>
      <c r="M1055" s="14"/>
      <c r="N1055" s="10" t="s">
        <v>1028</v>
      </c>
    </row>
    <row r="1056" spans="1:14" ht="22.5" customHeight="1">
      <c r="A1056" s="8">
        <v>46002.54196018519</v>
      </c>
      <c r="B1056" s="9" t="s">
        <v>14</v>
      </c>
      <c r="C1056" s="9" t="s">
        <v>15</v>
      </c>
      <c r="D1056" s="10" t="s">
        <v>2404</v>
      </c>
      <c r="E1056" s="9" t="s">
        <v>17</v>
      </c>
      <c r="F1056" s="10">
        <v>35</v>
      </c>
      <c r="G1056" s="11">
        <f t="shared" ref="G1056" si="23">2347066056683</f>
        <v>2347066056683</v>
      </c>
      <c r="H1056" s="10" t="s">
        <v>2405</v>
      </c>
      <c r="I1056" s="10" t="s">
        <v>27</v>
      </c>
      <c r="J1056" s="10" t="s">
        <v>1559</v>
      </c>
      <c r="K1056" s="12">
        <v>46002</v>
      </c>
      <c r="L1056" s="28" t="s">
        <v>11</v>
      </c>
      <c r="M1056" s="14"/>
      <c r="N1056" s="10" t="s">
        <v>1028</v>
      </c>
    </row>
    <row r="1057" spans="1:14" ht="22.5" customHeight="1">
      <c r="A1057" s="8">
        <v>46002.543243171298</v>
      </c>
      <c r="B1057" s="9" t="s">
        <v>14</v>
      </c>
      <c r="C1057" s="9" t="s">
        <v>15</v>
      </c>
      <c r="D1057" s="10" t="s">
        <v>2406</v>
      </c>
      <c r="E1057" s="9" t="s">
        <v>22</v>
      </c>
      <c r="F1057" s="10">
        <v>29</v>
      </c>
      <c r="G1057" s="11">
        <v>7032874562</v>
      </c>
      <c r="H1057" s="10" t="s">
        <v>2407</v>
      </c>
      <c r="I1057" s="10" t="s">
        <v>27</v>
      </c>
      <c r="J1057" s="10" t="s">
        <v>70</v>
      </c>
      <c r="K1057" s="12">
        <v>46002</v>
      </c>
      <c r="L1057" s="28" t="s">
        <v>11</v>
      </c>
      <c r="M1057" s="14"/>
      <c r="N1057" s="10" t="s">
        <v>1028</v>
      </c>
    </row>
    <row r="1058" spans="1:14" ht="22.5" customHeight="1">
      <c r="A1058" s="8">
        <v>46002.545357719908</v>
      </c>
      <c r="B1058" s="9" t="s">
        <v>14</v>
      </c>
      <c r="C1058" s="9" t="s">
        <v>15</v>
      </c>
      <c r="D1058" s="10" t="s">
        <v>2408</v>
      </c>
      <c r="E1058" s="9" t="s">
        <v>17</v>
      </c>
      <c r="F1058" s="10">
        <v>27</v>
      </c>
      <c r="G1058" s="11">
        <v>9064080332</v>
      </c>
      <c r="H1058" s="10" t="s">
        <v>2409</v>
      </c>
      <c r="I1058" s="10" t="s">
        <v>31</v>
      </c>
      <c r="J1058" s="10" t="s">
        <v>2410</v>
      </c>
      <c r="K1058" s="12">
        <v>46002</v>
      </c>
      <c r="L1058" s="28" t="s">
        <v>11</v>
      </c>
      <c r="M1058" s="14"/>
      <c r="N1058" s="10" t="s">
        <v>1028</v>
      </c>
    </row>
    <row r="1059" spans="1:14" ht="22.5" customHeight="1">
      <c r="A1059" s="8">
        <v>46002.545666886574</v>
      </c>
      <c r="B1059" s="9" t="s">
        <v>14</v>
      </c>
      <c r="C1059" s="9" t="s">
        <v>15</v>
      </c>
      <c r="D1059" s="10" t="s">
        <v>2411</v>
      </c>
      <c r="E1059" s="9" t="s">
        <v>17</v>
      </c>
      <c r="F1059" s="10">
        <v>30</v>
      </c>
      <c r="G1059" s="11">
        <v>8068677143</v>
      </c>
      <c r="H1059" s="10" t="s">
        <v>2412</v>
      </c>
      <c r="I1059" s="10" t="s">
        <v>27</v>
      </c>
      <c r="J1059" s="10" t="s">
        <v>2006</v>
      </c>
      <c r="K1059" s="12">
        <v>46002</v>
      </c>
      <c r="L1059" s="28" t="s">
        <v>11</v>
      </c>
      <c r="M1059" s="14"/>
      <c r="N1059" s="10" t="s">
        <v>1028</v>
      </c>
    </row>
    <row r="1060" spans="1:14" ht="22.5" customHeight="1">
      <c r="A1060" s="8">
        <v>46002.545749282406</v>
      </c>
      <c r="B1060" s="9" t="s">
        <v>14</v>
      </c>
      <c r="C1060" s="9" t="s">
        <v>15</v>
      </c>
      <c r="D1060" s="10" t="s">
        <v>2413</v>
      </c>
      <c r="E1060" s="9" t="s">
        <v>22</v>
      </c>
      <c r="F1060" s="10">
        <v>25</v>
      </c>
      <c r="G1060" s="11">
        <v>7046995443</v>
      </c>
      <c r="H1060" s="10" t="s">
        <v>2414</v>
      </c>
      <c r="I1060" s="10" t="s">
        <v>27</v>
      </c>
      <c r="J1060" s="10" t="s">
        <v>2006</v>
      </c>
      <c r="K1060" s="12">
        <v>46002</v>
      </c>
      <c r="L1060" s="28" t="s">
        <v>11</v>
      </c>
      <c r="M1060" s="14"/>
      <c r="N1060" s="10" t="s">
        <v>1028</v>
      </c>
    </row>
    <row r="1061" spans="1:14" ht="22.5" customHeight="1">
      <c r="A1061" s="8">
        <v>46002.546116041667</v>
      </c>
      <c r="B1061" s="9" t="s">
        <v>14</v>
      </c>
      <c r="C1061" s="9" t="s">
        <v>15</v>
      </c>
      <c r="D1061" s="10" t="s">
        <v>2415</v>
      </c>
      <c r="E1061" s="9" t="s">
        <v>22</v>
      </c>
      <c r="F1061" s="10">
        <v>24</v>
      </c>
      <c r="G1061" s="11">
        <v>8068570707</v>
      </c>
      <c r="H1061" s="10" t="s">
        <v>2416</v>
      </c>
      <c r="I1061" s="10" t="s">
        <v>27</v>
      </c>
      <c r="J1061" s="10" t="s">
        <v>2417</v>
      </c>
      <c r="K1061" s="12">
        <v>46002</v>
      </c>
      <c r="L1061" s="28" t="s">
        <v>11</v>
      </c>
      <c r="M1061" s="14"/>
      <c r="N1061" s="10" t="s">
        <v>1028</v>
      </c>
    </row>
    <row r="1062" spans="1:14" ht="22.5" customHeight="1">
      <c r="A1062" s="8">
        <v>46002.546809560183</v>
      </c>
      <c r="B1062" s="9" t="s">
        <v>14</v>
      </c>
      <c r="C1062" s="9" t="s">
        <v>15</v>
      </c>
      <c r="D1062" s="10" t="s">
        <v>2418</v>
      </c>
      <c r="E1062" s="9" t="s">
        <v>22</v>
      </c>
      <c r="F1062" s="10">
        <v>32</v>
      </c>
      <c r="G1062" s="11">
        <v>8132376286</v>
      </c>
      <c r="H1062" s="10" t="s">
        <v>2419</v>
      </c>
      <c r="I1062" s="10" t="s">
        <v>27</v>
      </c>
      <c r="J1062" s="10" t="s">
        <v>172</v>
      </c>
      <c r="K1062" s="12">
        <v>46002</v>
      </c>
      <c r="L1062" s="28" t="s">
        <v>11</v>
      </c>
      <c r="M1062" s="14"/>
      <c r="N1062" s="10" t="s">
        <v>1028</v>
      </c>
    </row>
    <row r="1063" spans="1:14" ht="22.5" customHeight="1">
      <c r="A1063" s="8">
        <v>46002.555376805554</v>
      </c>
      <c r="B1063" s="9" t="s">
        <v>14</v>
      </c>
      <c r="C1063" s="9" t="s">
        <v>15</v>
      </c>
      <c r="D1063" s="10" t="s">
        <v>2420</v>
      </c>
      <c r="E1063" s="9" t="s">
        <v>22</v>
      </c>
      <c r="F1063" s="10">
        <v>31</v>
      </c>
      <c r="G1063" s="11">
        <v>8038795169</v>
      </c>
      <c r="H1063" s="10" t="s">
        <v>2421</v>
      </c>
      <c r="I1063" s="10" t="s">
        <v>27</v>
      </c>
      <c r="J1063" s="10" t="s">
        <v>1456</v>
      </c>
      <c r="K1063" s="12">
        <v>46002</v>
      </c>
      <c r="L1063" s="28" t="s">
        <v>11</v>
      </c>
      <c r="M1063" s="14"/>
      <c r="N1063" s="10" t="s">
        <v>1028</v>
      </c>
    </row>
    <row r="1064" spans="1:14" ht="22.5" customHeight="1">
      <c r="A1064" s="8">
        <v>46002.555632256946</v>
      </c>
      <c r="B1064" s="9" t="s">
        <v>14</v>
      </c>
      <c r="C1064" s="9" t="s">
        <v>15</v>
      </c>
      <c r="D1064" s="10" t="s">
        <v>2422</v>
      </c>
      <c r="E1064" s="9" t="s">
        <v>22</v>
      </c>
      <c r="F1064" s="10">
        <v>22</v>
      </c>
      <c r="G1064" s="11">
        <v>7042554157</v>
      </c>
      <c r="H1064" s="10" t="s">
        <v>2423</v>
      </c>
      <c r="I1064" s="10" t="s">
        <v>27</v>
      </c>
      <c r="J1064" s="10" t="s">
        <v>94</v>
      </c>
      <c r="K1064" s="12">
        <v>46002</v>
      </c>
      <c r="L1064" s="28" t="s">
        <v>11</v>
      </c>
      <c r="M1064" s="14"/>
      <c r="N1064" s="10" t="s">
        <v>1028</v>
      </c>
    </row>
    <row r="1065" spans="1:14" ht="22.5" customHeight="1">
      <c r="A1065" s="8">
        <v>46002.555880347223</v>
      </c>
      <c r="B1065" s="9" t="s">
        <v>14</v>
      </c>
      <c r="C1065" s="9" t="s">
        <v>15</v>
      </c>
      <c r="D1065" s="10" t="s">
        <v>2424</v>
      </c>
      <c r="E1065" s="9" t="s">
        <v>22</v>
      </c>
      <c r="F1065" s="10">
        <v>32</v>
      </c>
      <c r="G1065" s="11">
        <v>8060318607</v>
      </c>
      <c r="H1065" s="10" t="s">
        <v>2425</v>
      </c>
      <c r="I1065" s="10" t="s">
        <v>27</v>
      </c>
      <c r="J1065" s="10" t="s">
        <v>2426</v>
      </c>
      <c r="K1065" s="12">
        <v>46002</v>
      </c>
      <c r="L1065" s="28" t="s">
        <v>11</v>
      </c>
      <c r="M1065" s="14"/>
      <c r="N1065" s="10" t="s">
        <v>1028</v>
      </c>
    </row>
    <row r="1066" spans="1:14" ht="22.5" customHeight="1">
      <c r="A1066" s="8">
        <v>46002.556882106481</v>
      </c>
      <c r="B1066" s="9" t="s">
        <v>14</v>
      </c>
      <c r="C1066" s="9" t="s">
        <v>15</v>
      </c>
      <c r="D1066" s="10" t="s">
        <v>2427</v>
      </c>
      <c r="E1066" s="9" t="s">
        <v>17</v>
      </c>
      <c r="F1066" s="10">
        <v>35</v>
      </c>
      <c r="G1066" s="11">
        <v>8035350551</v>
      </c>
      <c r="H1066" s="10" t="s">
        <v>2428</v>
      </c>
      <c r="I1066" s="10" t="s">
        <v>27</v>
      </c>
      <c r="J1066" s="10" t="s">
        <v>1924</v>
      </c>
      <c r="K1066" s="12">
        <v>46002</v>
      </c>
      <c r="L1066" s="28" t="s">
        <v>11</v>
      </c>
      <c r="M1066" s="14"/>
      <c r="N1066" s="10" t="s">
        <v>1028</v>
      </c>
    </row>
    <row r="1067" spans="1:14" ht="22.5" customHeight="1">
      <c r="A1067" s="8">
        <v>46002.557315254628</v>
      </c>
      <c r="B1067" s="9" t="s">
        <v>14</v>
      </c>
      <c r="C1067" s="9" t="s">
        <v>15</v>
      </c>
      <c r="D1067" s="10" t="s">
        <v>2429</v>
      </c>
      <c r="E1067" s="9" t="s">
        <v>22</v>
      </c>
      <c r="F1067" s="10">
        <v>29</v>
      </c>
      <c r="G1067" s="11">
        <v>8132750019</v>
      </c>
      <c r="H1067" s="10" t="s">
        <v>2430</v>
      </c>
      <c r="I1067" s="10" t="s">
        <v>27</v>
      </c>
      <c r="J1067" s="10" t="s">
        <v>372</v>
      </c>
      <c r="K1067" s="12">
        <v>46002</v>
      </c>
      <c r="L1067" s="28" t="s">
        <v>11</v>
      </c>
      <c r="M1067" s="14"/>
      <c r="N1067" s="10" t="s">
        <v>1028</v>
      </c>
    </row>
    <row r="1068" spans="1:14" ht="22.5" customHeight="1">
      <c r="A1068" s="8">
        <v>46002.560649479172</v>
      </c>
      <c r="B1068" s="9" t="s">
        <v>14</v>
      </c>
      <c r="C1068" s="9" t="s">
        <v>15</v>
      </c>
      <c r="D1068" s="10" t="s">
        <v>2431</v>
      </c>
      <c r="E1068" s="9" t="s">
        <v>17</v>
      </c>
      <c r="F1068" s="10">
        <v>30</v>
      </c>
      <c r="G1068" s="11">
        <f t="shared" ref="G1068" si="24">2348032654694</f>
        <v>2348032654694</v>
      </c>
      <c r="H1068" s="10" t="s">
        <v>2432</v>
      </c>
      <c r="I1068" s="10" t="s">
        <v>27</v>
      </c>
      <c r="J1068" s="10" t="s">
        <v>703</v>
      </c>
      <c r="K1068" s="12">
        <v>46002</v>
      </c>
      <c r="L1068" s="28" t="s">
        <v>11</v>
      </c>
      <c r="M1068" s="14"/>
      <c r="N1068" s="10" t="s">
        <v>1028</v>
      </c>
    </row>
    <row r="1069" spans="1:14" ht="22.5" customHeight="1">
      <c r="A1069" s="8">
        <v>46002.562348194449</v>
      </c>
      <c r="B1069" s="9" t="s">
        <v>14</v>
      </c>
      <c r="C1069" s="9" t="s">
        <v>15</v>
      </c>
      <c r="D1069" s="10" t="s">
        <v>2433</v>
      </c>
      <c r="E1069" s="9" t="s">
        <v>22</v>
      </c>
      <c r="F1069" s="10">
        <v>25</v>
      </c>
      <c r="G1069" s="11">
        <v>8163876972</v>
      </c>
      <c r="H1069" s="10" t="s">
        <v>2434</v>
      </c>
      <c r="I1069" s="10" t="s">
        <v>27</v>
      </c>
      <c r="J1069" s="10" t="s">
        <v>1456</v>
      </c>
      <c r="K1069" s="12">
        <v>46001</v>
      </c>
      <c r="L1069" s="28" t="s">
        <v>11</v>
      </c>
      <c r="M1069" s="14"/>
      <c r="N1069" s="10" t="s">
        <v>1028</v>
      </c>
    </row>
    <row r="1070" spans="1:14" ht="22.5" customHeight="1">
      <c r="A1070" s="8">
        <v>46002.56676425926</v>
      </c>
      <c r="B1070" s="9" t="s">
        <v>14</v>
      </c>
      <c r="C1070" s="9" t="s">
        <v>15</v>
      </c>
      <c r="D1070" s="10" t="s">
        <v>2435</v>
      </c>
      <c r="E1070" s="9" t="s">
        <v>22</v>
      </c>
      <c r="F1070" s="10">
        <v>33</v>
      </c>
      <c r="G1070" s="11">
        <v>7039691667</v>
      </c>
      <c r="H1070" s="10" t="s">
        <v>2436</v>
      </c>
      <c r="I1070" s="10" t="s">
        <v>27</v>
      </c>
      <c r="J1070" s="10" t="s">
        <v>1924</v>
      </c>
      <c r="K1070" s="12">
        <v>46002</v>
      </c>
      <c r="L1070" s="28" t="s">
        <v>11</v>
      </c>
      <c r="M1070" s="14"/>
      <c r="N1070" s="10" t="s">
        <v>1028</v>
      </c>
    </row>
    <row r="1071" spans="1:14" ht="22.5" customHeight="1">
      <c r="A1071" s="8">
        <v>46002.568115960647</v>
      </c>
      <c r="B1071" s="9" t="s">
        <v>14</v>
      </c>
      <c r="C1071" s="9" t="s">
        <v>15</v>
      </c>
      <c r="D1071" s="10" t="s">
        <v>2437</v>
      </c>
      <c r="E1071" s="9" t="s">
        <v>22</v>
      </c>
      <c r="F1071" s="10">
        <v>23</v>
      </c>
      <c r="G1071" s="11">
        <v>8140007909</v>
      </c>
      <c r="H1071" s="10" t="s">
        <v>2438</v>
      </c>
      <c r="I1071" s="10" t="s">
        <v>31</v>
      </c>
      <c r="J1071" s="10" t="s">
        <v>32</v>
      </c>
      <c r="K1071" s="12">
        <v>46002</v>
      </c>
      <c r="L1071" s="28" t="s">
        <v>11</v>
      </c>
      <c r="M1071" s="14"/>
      <c r="N1071" s="10" t="s">
        <v>1028</v>
      </c>
    </row>
    <row r="1072" spans="1:14" ht="22.5" customHeight="1">
      <c r="A1072" s="8">
        <v>46002.568284710651</v>
      </c>
      <c r="B1072" s="9" t="s">
        <v>14</v>
      </c>
      <c r="C1072" s="9" t="s">
        <v>15</v>
      </c>
      <c r="D1072" s="10" t="s">
        <v>2439</v>
      </c>
      <c r="E1072" s="9" t="s">
        <v>22</v>
      </c>
      <c r="F1072" s="19">
        <v>30</v>
      </c>
      <c r="G1072" s="11">
        <v>8135216405</v>
      </c>
      <c r="H1072" s="10" t="s">
        <v>2440</v>
      </c>
      <c r="I1072" s="10" t="s">
        <v>27</v>
      </c>
      <c r="J1072" s="10" t="s">
        <v>1288</v>
      </c>
      <c r="K1072" s="12">
        <v>46002</v>
      </c>
      <c r="L1072" s="28" t="s">
        <v>11</v>
      </c>
      <c r="M1072" s="10"/>
      <c r="N1072" s="10" t="s">
        <v>1028</v>
      </c>
    </row>
    <row r="1073" spans="1:14" ht="22.5" customHeight="1">
      <c r="A1073" s="8">
        <v>46002.569909270838</v>
      </c>
      <c r="B1073" s="9" t="s">
        <v>14</v>
      </c>
      <c r="C1073" s="9" t="s">
        <v>15</v>
      </c>
      <c r="D1073" s="10" t="s">
        <v>2441</v>
      </c>
      <c r="E1073" s="9" t="s">
        <v>17</v>
      </c>
      <c r="F1073" s="10">
        <v>32</v>
      </c>
      <c r="G1073" s="11">
        <v>8076697656</v>
      </c>
      <c r="H1073" s="10" t="s">
        <v>2442</v>
      </c>
      <c r="I1073" s="10" t="s">
        <v>45</v>
      </c>
      <c r="J1073" s="10" t="s">
        <v>901</v>
      </c>
      <c r="K1073" s="12">
        <v>46002</v>
      </c>
      <c r="L1073" s="28" t="s">
        <v>11</v>
      </c>
      <c r="M1073" s="14"/>
      <c r="N1073" s="10" t="s">
        <v>1096</v>
      </c>
    </row>
    <row r="1074" spans="1:14" ht="22.5" customHeight="1">
      <c r="A1074" s="8">
        <v>46002.57002702546</v>
      </c>
      <c r="B1074" s="9" t="s">
        <v>14</v>
      </c>
      <c r="C1074" s="9" t="s">
        <v>15</v>
      </c>
      <c r="D1074" s="10" t="s">
        <v>2443</v>
      </c>
      <c r="E1074" s="9" t="s">
        <v>17</v>
      </c>
      <c r="F1074" s="10">
        <v>25</v>
      </c>
      <c r="G1074" s="11">
        <v>9037720766</v>
      </c>
      <c r="H1074" s="10" t="s">
        <v>2444</v>
      </c>
      <c r="I1074" s="10" t="s">
        <v>49</v>
      </c>
      <c r="J1074" s="10" t="s">
        <v>103</v>
      </c>
      <c r="K1074" s="12">
        <v>46002</v>
      </c>
      <c r="L1074" s="28" t="s">
        <v>11</v>
      </c>
      <c r="M1074" s="14"/>
      <c r="N1074" s="10" t="s">
        <v>1028</v>
      </c>
    </row>
    <row r="1075" spans="1:14" ht="22.5" customHeight="1">
      <c r="A1075" s="8">
        <v>46002.573278912037</v>
      </c>
      <c r="B1075" s="9" t="s">
        <v>14</v>
      </c>
      <c r="C1075" s="9" t="s">
        <v>15</v>
      </c>
      <c r="D1075" s="10" t="s">
        <v>2445</v>
      </c>
      <c r="E1075" s="9" t="s">
        <v>17</v>
      </c>
      <c r="F1075" s="10">
        <v>36</v>
      </c>
      <c r="G1075" s="11">
        <v>7032323792</v>
      </c>
      <c r="H1075" s="10" t="s">
        <v>2446</v>
      </c>
      <c r="I1075" s="10" t="s">
        <v>49</v>
      </c>
      <c r="J1075" s="10" t="s">
        <v>106</v>
      </c>
      <c r="K1075" s="12">
        <v>46002</v>
      </c>
      <c r="L1075" s="28" t="s">
        <v>11</v>
      </c>
      <c r="M1075" s="14"/>
      <c r="N1075" s="10" t="s">
        <v>1028</v>
      </c>
    </row>
    <row r="1076" spans="1:14" ht="22.5" customHeight="1">
      <c r="A1076" s="8">
        <v>46002.575480659725</v>
      </c>
      <c r="B1076" s="9" t="s">
        <v>14</v>
      </c>
      <c r="C1076" s="9" t="s">
        <v>15</v>
      </c>
      <c r="D1076" s="10" t="s">
        <v>2447</v>
      </c>
      <c r="E1076" s="9" t="s">
        <v>17</v>
      </c>
      <c r="F1076" s="10">
        <v>26</v>
      </c>
      <c r="G1076" s="11">
        <v>9030830766</v>
      </c>
      <c r="H1076" s="10" t="s">
        <v>2448</v>
      </c>
      <c r="I1076" s="10" t="s">
        <v>27</v>
      </c>
      <c r="J1076" s="10" t="s">
        <v>2006</v>
      </c>
      <c r="K1076" s="12">
        <v>46002</v>
      </c>
      <c r="L1076" s="28" t="s">
        <v>11</v>
      </c>
      <c r="M1076" s="14"/>
      <c r="N1076" s="10" t="s">
        <v>1028</v>
      </c>
    </row>
    <row r="1077" spans="1:14" ht="22.5" customHeight="1">
      <c r="A1077" s="8">
        <v>46002.575506423615</v>
      </c>
      <c r="B1077" s="9" t="s">
        <v>14</v>
      </c>
      <c r="C1077" s="9" t="s">
        <v>15</v>
      </c>
      <c r="D1077" s="10" t="s">
        <v>2449</v>
      </c>
      <c r="E1077" s="9" t="s">
        <v>17</v>
      </c>
      <c r="F1077" s="10">
        <v>28</v>
      </c>
      <c r="G1077" s="11">
        <f t="shared" ref="G1077" si="25">2348037041261</f>
        <v>2348037041261</v>
      </c>
      <c r="H1077" s="10" t="s">
        <v>2450</v>
      </c>
      <c r="I1077" s="10" t="s">
        <v>27</v>
      </c>
      <c r="J1077" s="10" t="s">
        <v>1514</v>
      </c>
      <c r="K1077" s="12">
        <v>46002</v>
      </c>
      <c r="L1077" s="28" t="s">
        <v>11</v>
      </c>
      <c r="M1077" s="14"/>
      <c r="N1077" s="10" t="s">
        <v>1028</v>
      </c>
    </row>
    <row r="1078" spans="1:14" ht="22.5" customHeight="1">
      <c r="A1078" s="8">
        <v>46002.578632199074</v>
      </c>
      <c r="B1078" s="9" t="s">
        <v>14</v>
      </c>
      <c r="C1078" s="9" t="s">
        <v>15</v>
      </c>
      <c r="D1078" s="10" t="s">
        <v>2451</v>
      </c>
      <c r="E1078" s="9" t="s">
        <v>22</v>
      </c>
      <c r="F1078" s="10">
        <v>28</v>
      </c>
      <c r="G1078" s="11">
        <v>7065613512</v>
      </c>
      <c r="H1078" s="10" t="s">
        <v>2452</v>
      </c>
      <c r="I1078" s="10" t="s">
        <v>27</v>
      </c>
      <c r="J1078" s="10" t="s">
        <v>94</v>
      </c>
      <c r="K1078" s="12">
        <v>46002</v>
      </c>
      <c r="L1078" s="28" t="s">
        <v>11</v>
      </c>
      <c r="M1078" s="14"/>
      <c r="N1078" s="10" t="s">
        <v>1028</v>
      </c>
    </row>
    <row r="1079" spans="1:14" ht="22.5" customHeight="1">
      <c r="A1079" s="8">
        <v>46002.579306678235</v>
      </c>
      <c r="B1079" s="9" t="s">
        <v>14</v>
      </c>
      <c r="C1079" s="9" t="s">
        <v>15</v>
      </c>
      <c r="D1079" s="10" t="s">
        <v>2453</v>
      </c>
      <c r="E1079" s="9" t="s">
        <v>17</v>
      </c>
      <c r="F1079" s="10">
        <v>21</v>
      </c>
      <c r="G1079" s="11">
        <v>7031637975</v>
      </c>
      <c r="H1079" s="10" t="s">
        <v>2454</v>
      </c>
      <c r="I1079" s="10" t="s">
        <v>27</v>
      </c>
      <c r="J1079" s="10" t="s">
        <v>1907</v>
      </c>
      <c r="K1079" s="12">
        <v>46002</v>
      </c>
      <c r="L1079" s="28" t="s">
        <v>11</v>
      </c>
      <c r="M1079" s="14"/>
      <c r="N1079" s="10" t="s">
        <v>1028</v>
      </c>
    </row>
    <row r="1080" spans="1:14" ht="22.5" customHeight="1">
      <c r="A1080" s="8">
        <v>46002.580823101853</v>
      </c>
      <c r="B1080" s="9" t="s">
        <v>14</v>
      </c>
      <c r="C1080" s="9" t="s">
        <v>15</v>
      </c>
      <c r="D1080" s="10" t="s">
        <v>2455</v>
      </c>
      <c r="E1080" s="9" t="s">
        <v>22</v>
      </c>
      <c r="F1080" s="10">
        <v>33</v>
      </c>
      <c r="G1080" s="11">
        <v>8032177398</v>
      </c>
      <c r="H1080" s="10" t="s">
        <v>2456</v>
      </c>
      <c r="I1080" s="10" t="s">
        <v>27</v>
      </c>
      <c r="J1080" s="10" t="s">
        <v>94</v>
      </c>
      <c r="K1080" s="12">
        <v>46002</v>
      </c>
      <c r="L1080" s="28" t="s">
        <v>11</v>
      </c>
      <c r="M1080" s="14"/>
      <c r="N1080" s="10" t="s">
        <v>1028</v>
      </c>
    </row>
    <row r="1081" spans="1:14" ht="22.5" hidden="1" customHeight="1">
      <c r="A1081" s="8">
        <v>46002.580860682865</v>
      </c>
      <c r="B1081" s="9" t="s">
        <v>14</v>
      </c>
      <c r="C1081" s="9" t="s">
        <v>15</v>
      </c>
      <c r="D1081" s="10" t="s">
        <v>2457</v>
      </c>
      <c r="E1081" s="9" t="s">
        <v>22</v>
      </c>
      <c r="F1081" s="10">
        <v>28</v>
      </c>
      <c r="G1081" s="11">
        <v>9021416434</v>
      </c>
      <c r="H1081" s="10" t="s">
        <v>2458</v>
      </c>
      <c r="I1081" s="10" t="s">
        <v>27</v>
      </c>
      <c r="J1081" s="10" t="s">
        <v>2459</v>
      </c>
      <c r="K1081" s="12">
        <v>46002</v>
      </c>
      <c r="L1081" s="10" t="s">
        <v>441</v>
      </c>
      <c r="M1081" s="10" t="s">
        <v>2460</v>
      </c>
      <c r="N1081" s="10" t="s">
        <v>1563</v>
      </c>
    </row>
    <row r="1082" spans="1:14" ht="22.5" customHeight="1">
      <c r="A1082" s="8">
        <v>46002.581088506944</v>
      </c>
      <c r="B1082" s="9" t="s">
        <v>14</v>
      </c>
      <c r="C1082" s="9" t="s">
        <v>15</v>
      </c>
      <c r="D1082" s="10" t="s">
        <v>2461</v>
      </c>
      <c r="E1082" s="9" t="s">
        <v>22</v>
      </c>
      <c r="F1082" s="10">
        <v>25</v>
      </c>
      <c r="G1082" s="11">
        <v>8107404591</v>
      </c>
      <c r="H1082" s="10" t="s">
        <v>2462</v>
      </c>
      <c r="I1082" s="10" t="s">
        <v>27</v>
      </c>
      <c r="J1082" s="10" t="s">
        <v>94</v>
      </c>
      <c r="K1082" s="12">
        <v>46002</v>
      </c>
      <c r="L1082" s="28" t="s">
        <v>11</v>
      </c>
      <c r="M1082" s="14"/>
      <c r="N1082" s="10" t="s">
        <v>1028</v>
      </c>
    </row>
    <row r="1083" spans="1:14" ht="22.5" customHeight="1">
      <c r="A1083" s="8">
        <v>46002.5814865625</v>
      </c>
      <c r="B1083" s="9" t="s">
        <v>14</v>
      </c>
      <c r="C1083" s="9" t="s">
        <v>15</v>
      </c>
      <c r="D1083" s="10" t="s">
        <v>2463</v>
      </c>
      <c r="E1083" s="9" t="s">
        <v>17</v>
      </c>
      <c r="F1083" s="10">
        <v>26</v>
      </c>
      <c r="G1083" s="11">
        <v>7015003748</v>
      </c>
      <c r="H1083" s="10" t="s">
        <v>2464</v>
      </c>
      <c r="I1083" s="10" t="s">
        <v>27</v>
      </c>
      <c r="J1083" s="10" t="s">
        <v>172</v>
      </c>
      <c r="K1083" s="12">
        <v>46002</v>
      </c>
      <c r="L1083" s="28" t="s">
        <v>11</v>
      </c>
      <c r="M1083" s="14"/>
      <c r="N1083" s="10" t="s">
        <v>1028</v>
      </c>
    </row>
    <row r="1084" spans="1:14" ht="22.5" customHeight="1">
      <c r="A1084" s="8">
        <v>46002.581689872684</v>
      </c>
      <c r="B1084" s="9" t="s">
        <v>14</v>
      </c>
      <c r="C1084" s="9" t="s">
        <v>15</v>
      </c>
      <c r="D1084" s="10" t="s">
        <v>2465</v>
      </c>
      <c r="E1084" s="9" t="s">
        <v>17</v>
      </c>
      <c r="F1084" s="10">
        <v>32</v>
      </c>
      <c r="G1084" s="11">
        <v>7038309638</v>
      </c>
      <c r="H1084" s="10" t="s">
        <v>2466</v>
      </c>
      <c r="I1084" s="10" t="s">
        <v>27</v>
      </c>
      <c r="J1084" s="10" t="s">
        <v>2467</v>
      </c>
      <c r="K1084" s="12">
        <v>46002</v>
      </c>
      <c r="L1084" s="28" t="s">
        <v>11</v>
      </c>
      <c r="M1084" s="10"/>
      <c r="N1084" s="10" t="s">
        <v>1028</v>
      </c>
    </row>
    <row r="1085" spans="1:14" ht="22.5" hidden="1" customHeight="1">
      <c r="A1085" s="8">
        <v>46002.583031296293</v>
      </c>
      <c r="B1085" s="9" t="s">
        <v>14</v>
      </c>
      <c r="C1085" s="9" t="s">
        <v>15</v>
      </c>
      <c r="D1085" s="10" t="s">
        <v>2468</v>
      </c>
      <c r="E1085" s="9" t="s">
        <v>22</v>
      </c>
      <c r="F1085" s="10">
        <v>40</v>
      </c>
      <c r="G1085" s="11">
        <v>8039717487</v>
      </c>
      <c r="H1085" s="10" t="s">
        <v>2469</v>
      </c>
      <c r="I1085" s="10" t="s">
        <v>27</v>
      </c>
      <c r="J1085" s="10" t="s">
        <v>94</v>
      </c>
      <c r="K1085" s="12">
        <v>46002</v>
      </c>
      <c r="L1085" s="10" t="s">
        <v>441</v>
      </c>
      <c r="M1085" s="10" t="s">
        <v>1827</v>
      </c>
      <c r="N1085" s="10" t="s">
        <v>1028</v>
      </c>
    </row>
    <row r="1086" spans="1:14" ht="22.5" customHeight="1">
      <c r="A1086" s="8">
        <v>46002.583183831019</v>
      </c>
      <c r="B1086" s="9" t="s">
        <v>14</v>
      </c>
      <c r="C1086" s="9" t="s">
        <v>15</v>
      </c>
      <c r="D1086" s="10" t="s">
        <v>2470</v>
      </c>
      <c r="E1086" s="9" t="s">
        <v>22</v>
      </c>
      <c r="F1086" s="10">
        <v>32</v>
      </c>
      <c r="G1086" s="11">
        <v>8145948052</v>
      </c>
      <c r="H1086" s="10" t="s">
        <v>2471</v>
      </c>
      <c r="I1086" s="10" t="s">
        <v>27</v>
      </c>
      <c r="J1086" s="10" t="s">
        <v>172</v>
      </c>
      <c r="K1086" s="12">
        <v>46002</v>
      </c>
      <c r="L1086" s="28" t="s">
        <v>11</v>
      </c>
      <c r="M1086" s="14"/>
      <c r="N1086" s="10" t="s">
        <v>1028</v>
      </c>
    </row>
    <row r="1087" spans="1:14" ht="22.5" customHeight="1">
      <c r="A1087" s="8">
        <v>46002.583605138891</v>
      </c>
      <c r="B1087" s="9" t="s">
        <v>14</v>
      </c>
      <c r="C1087" s="9" t="s">
        <v>15</v>
      </c>
      <c r="D1087" s="10" t="s">
        <v>2472</v>
      </c>
      <c r="E1087" s="9" t="s">
        <v>17</v>
      </c>
      <c r="F1087" s="10">
        <v>25</v>
      </c>
      <c r="G1087" s="11">
        <v>8107613965</v>
      </c>
      <c r="H1087" s="10" t="s">
        <v>2473</v>
      </c>
      <c r="I1087" s="10" t="s">
        <v>27</v>
      </c>
      <c r="J1087" s="10" t="s">
        <v>2474</v>
      </c>
      <c r="K1087" s="12">
        <v>46002</v>
      </c>
      <c r="L1087" s="28" t="s">
        <v>11</v>
      </c>
      <c r="M1087" s="14"/>
      <c r="N1087" s="10" t="s">
        <v>1028</v>
      </c>
    </row>
    <row r="1088" spans="1:14" ht="22.5" customHeight="1">
      <c r="A1088" s="8">
        <v>46002.583747384255</v>
      </c>
      <c r="B1088" s="9" t="s">
        <v>14</v>
      </c>
      <c r="C1088" s="9" t="s">
        <v>15</v>
      </c>
      <c r="D1088" s="10" t="s">
        <v>2475</v>
      </c>
      <c r="E1088" s="9" t="s">
        <v>17</v>
      </c>
      <c r="F1088" s="10">
        <v>32</v>
      </c>
      <c r="G1088" s="11">
        <v>8099933083</v>
      </c>
      <c r="H1088" s="10" t="s">
        <v>2476</v>
      </c>
      <c r="I1088" s="10" t="s">
        <v>27</v>
      </c>
      <c r="J1088" s="10" t="s">
        <v>70</v>
      </c>
      <c r="K1088" s="12">
        <v>46002</v>
      </c>
      <c r="L1088" s="28" t="s">
        <v>11</v>
      </c>
      <c r="M1088" s="14"/>
      <c r="N1088" s="10" t="s">
        <v>1028</v>
      </c>
    </row>
    <row r="1089" spans="1:14" ht="22.5" customHeight="1">
      <c r="A1089" s="8">
        <v>46002.584439664352</v>
      </c>
      <c r="B1089" s="9" t="s">
        <v>14</v>
      </c>
      <c r="C1089" s="9" t="s">
        <v>15</v>
      </c>
      <c r="D1089" s="10" t="s">
        <v>2477</v>
      </c>
      <c r="E1089" s="9" t="s">
        <v>22</v>
      </c>
      <c r="F1089" s="18">
        <v>24</v>
      </c>
      <c r="G1089" s="11">
        <v>9060426985</v>
      </c>
      <c r="H1089" s="10" t="s">
        <v>2478</v>
      </c>
      <c r="I1089" s="10" t="s">
        <v>27</v>
      </c>
      <c r="J1089" s="10" t="s">
        <v>2479</v>
      </c>
      <c r="K1089" s="12">
        <v>46002</v>
      </c>
      <c r="L1089" s="28" t="s">
        <v>11</v>
      </c>
      <c r="M1089" s="14"/>
      <c r="N1089" s="10" t="s">
        <v>1028</v>
      </c>
    </row>
    <row r="1090" spans="1:14" ht="22.5" customHeight="1">
      <c r="A1090" s="8">
        <v>46002.585612777781</v>
      </c>
      <c r="B1090" s="9" t="s">
        <v>14</v>
      </c>
      <c r="C1090" s="9" t="s">
        <v>15</v>
      </c>
      <c r="D1090" s="10" t="s">
        <v>2480</v>
      </c>
      <c r="E1090" s="9" t="s">
        <v>17</v>
      </c>
      <c r="F1090" s="10">
        <v>28</v>
      </c>
      <c r="G1090" s="11">
        <v>7084866079</v>
      </c>
      <c r="H1090" s="10" t="s">
        <v>2481</v>
      </c>
      <c r="I1090" s="10" t="s">
        <v>27</v>
      </c>
      <c r="J1090" s="10" t="s">
        <v>1559</v>
      </c>
      <c r="K1090" s="12">
        <v>46002</v>
      </c>
      <c r="L1090" s="28" t="s">
        <v>11</v>
      </c>
      <c r="M1090" s="14"/>
      <c r="N1090" s="10" t="s">
        <v>1028</v>
      </c>
    </row>
    <row r="1091" spans="1:14" ht="22.5" customHeight="1">
      <c r="A1091" s="8">
        <v>46002.585798032407</v>
      </c>
      <c r="B1091" s="9" t="s">
        <v>14</v>
      </c>
      <c r="C1091" s="9" t="s">
        <v>15</v>
      </c>
      <c r="D1091" s="10" t="s">
        <v>2121</v>
      </c>
      <c r="E1091" s="9" t="s">
        <v>22</v>
      </c>
      <c r="F1091" s="10">
        <v>25</v>
      </c>
      <c r="G1091" s="11">
        <v>9165122245</v>
      </c>
      <c r="H1091" s="10" t="s">
        <v>2122</v>
      </c>
      <c r="I1091" s="10" t="s">
        <v>27</v>
      </c>
      <c r="J1091" s="10" t="s">
        <v>2069</v>
      </c>
      <c r="K1091" s="12">
        <v>36562</v>
      </c>
      <c r="L1091" s="28" t="s">
        <v>11</v>
      </c>
      <c r="M1091" s="14"/>
      <c r="N1091" s="10" t="s">
        <v>2482</v>
      </c>
    </row>
    <row r="1092" spans="1:14" ht="22.5" customHeight="1">
      <c r="A1092" s="8">
        <v>46002.589587430557</v>
      </c>
      <c r="B1092" s="9" t="s">
        <v>14</v>
      </c>
      <c r="C1092" s="9" t="s">
        <v>15</v>
      </c>
      <c r="D1092" s="10" t="s">
        <v>2483</v>
      </c>
      <c r="E1092" s="9" t="s">
        <v>22</v>
      </c>
      <c r="F1092" s="10">
        <v>19</v>
      </c>
      <c r="G1092" s="11">
        <v>739631779</v>
      </c>
      <c r="H1092" s="10" t="s">
        <v>2484</v>
      </c>
      <c r="I1092" s="10" t="s">
        <v>19</v>
      </c>
      <c r="J1092" s="10" t="s">
        <v>2485</v>
      </c>
      <c r="K1092" s="12">
        <v>46002</v>
      </c>
      <c r="L1092" s="28" t="s">
        <v>11</v>
      </c>
      <c r="M1092" s="14"/>
      <c r="N1092" s="10" t="s">
        <v>1028</v>
      </c>
    </row>
    <row r="1093" spans="1:14" ht="22.5" customHeight="1">
      <c r="A1093" s="8">
        <v>46002.590532256945</v>
      </c>
      <c r="B1093" s="9" t="s">
        <v>14</v>
      </c>
      <c r="C1093" s="9" t="s">
        <v>15</v>
      </c>
      <c r="D1093" s="10" t="s">
        <v>585</v>
      </c>
      <c r="E1093" s="9" t="s">
        <v>17</v>
      </c>
      <c r="F1093" s="10">
        <v>26</v>
      </c>
      <c r="G1093" s="11">
        <v>9064809729</v>
      </c>
      <c r="H1093" s="10" t="s">
        <v>2486</v>
      </c>
      <c r="I1093" s="10" t="s">
        <v>27</v>
      </c>
      <c r="J1093" s="10" t="s">
        <v>28</v>
      </c>
      <c r="K1093" s="12">
        <v>46002</v>
      </c>
      <c r="L1093" s="28" t="s">
        <v>11</v>
      </c>
      <c r="M1093" s="14"/>
      <c r="N1093" s="10" t="s">
        <v>1028</v>
      </c>
    </row>
    <row r="1094" spans="1:14" ht="22.5" customHeight="1">
      <c r="A1094" s="8">
        <v>46002.591049768518</v>
      </c>
      <c r="B1094" s="9" t="s">
        <v>14</v>
      </c>
      <c r="C1094" s="9" t="s">
        <v>15</v>
      </c>
      <c r="D1094" s="10" t="s">
        <v>2487</v>
      </c>
      <c r="E1094" s="9" t="s">
        <v>17</v>
      </c>
      <c r="F1094" s="10">
        <v>30</v>
      </c>
      <c r="G1094" s="11">
        <v>7038607036</v>
      </c>
      <c r="H1094" s="10" t="s">
        <v>2488</v>
      </c>
      <c r="I1094" s="10" t="s">
        <v>27</v>
      </c>
      <c r="J1094" s="10" t="s">
        <v>42</v>
      </c>
      <c r="K1094" s="12">
        <v>46002</v>
      </c>
      <c r="L1094" s="28" t="s">
        <v>11</v>
      </c>
      <c r="M1094" s="14"/>
      <c r="N1094" s="10" t="s">
        <v>1028</v>
      </c>
    </row>
    <row r="1095" spans="1:14" ht="22.5" hidden="1" customHeight="1">
      <c r="A1095" s="8">
        <v>46002.592281666672</v>
      </c>
      <c r="B1095" s="9" t="s">
        <v>14</v>
      </c>
      <c r="C1095" s="9" t="s">
        <v>15</v>
      </c>
      <c r="D1095" s="10" t="s">
        <v>2489</v>
      </c>
      <c r="E1095" s="9" t="s">
        <v>22</v>
      </c>
      <c r="F1095" s="10">
        <v>22</v>
      </c>
      <c r="G1095" s="11">
        <v>9121998061</v>
      </c>
      <c r="H1095" s="10" t="s">
        <v>2122</v>
      </c>
      <c r="I1095" s="10" t="s">
        <v>27</v>
      </c>
      <c r="J1095" s="10" t="s">
        <v>2069</v>
      </c>
      <c r="K1095" s="12">
        <v>37682</v>
      </c>
      <c r="L1095" s="10" t="s">
        <v>441</v>
      </c>
      <c r="M1095" s="10" t="s">
        <v>2490</v>
      </c>
      <c r="N1095" s="10" t="s">
        <v>1563</v>
      </c>
    </row>
    <row r="1096" spans="1:14" ht="22.5" customHeight="1">
      <c r="A1096" s="8">
        <v>46002.592455439815</v>
      </c>
      <c r="B1096" s="9" t="s">
        <v>14</v>
      </c>
      <c r="C1096" s="9" t="s">
        <v>15</v>
      </c>
      <c r="D1096" s="10" t="s">
        <v>2491</v>
      </c>
      <c r="E1096" s="9" t="s">
        <v>17</v>
      </c>
      <c r="F1096" s="10">
        <v>24</v>
      </c>
      <c r="G1096" s="11">
        <v>8063193598</v>
      </c>
      <c r="H1096" s="10" t="s">
        <v>2492</v>
      </c>
      <c r="I1096" s="10" t="s">
        <v>27</v>
      </c>
      <c r="J1096" s="10" t="s">
        <v>28</v>
      </c>
      <c r="K1096" s="12">
        <v>46002</v>
      </c>
      <c r="L1096" s="28" t="s">
        <v>11</v>
      </c>
      <c r="M1096" s="14"/>
      <c r="N1096" s="10" t="s">
        <v>1028</v>
      </c>
    </row>
    <row r="1097" spans="1:14" ht="22.5" customHeight="1">
      <c r="A1097" s="8">
        <v>46002.592803680556</v>
      </c>
      <c r="B1097" s="9" t="s">
        <v>14</v>
      </c>
      <c r="C1097" s="9" t="s">
        <v>15</v>
      </c>
      <c r="D1097" s="10" t="s">
        <v>2493</v>
      </c>
      <c r="E1097" s="9" t="s">
        <v>17</v>
      </c>
      <c r="F1097" s="10">
        <v>27</v>
      </c>
      <c r="G1097" s="11">
        <v>8103132647</v>
      </c>
      <c r="H1097" s="10" t="s">
        <v>2494</v>
      </c>
      <c r="I1097" s="10" t="s">
        <v>27</v>
      </c>
      <c r="J1097" s="10" t="s">
        <v>70</v>
      </c>
      <c r="K1097" s="12">
        <v>46002</v>
      </c>
      <c r="L1097" s="28" t="s">
        <v>11</v>
      </c>
      <c r="M1097" s="14"/>
      <c r="N1097" s="10" t="s">
        <v>1028</v>
      </c>
    </row>
    <row r="1098" spans="1:14" ht="22.5" customHeight="1">
      <c r="A1098" s="8">
        <v>46002.593620659725</v>
      </c>
      <c r="B1098" s="9" t="s">
        <v>14</v>
      </c>
      <c r="C1098" s="9" t="s">
        <v>15</v>
      </c>
      <c r="D1098" s="10" t="s">
        <v>2495</v>
      </c>
      <c r="E1098" s="9" t="s">
        <v>17</v>
      </c>
      <c r="F1098" s="10">
        <v>27</v>
      </c>
      <c r="G1098" s="11">
        <v>8066860082</v>
      </c>
      <c r="H1098" s="10" t="s">
        <v>2496</v>
      </c>
      <c r="I1098" s="10" t="s">
        <v>27</v>
      </c>
      <c r="J1098" s="10" t="s">
        <v>2006</v>
      </c>
      <c r="K1098" s="12">
        <v>46002</v>
      </c>
      <c r="L1098" s="28" t="s">
        <v>11</v>
      </c>
      <c r="M1098" s="14"/>
      <c r="N1098" s="10" t="s">
        <v>1096</v>
      </c>
    </row>
    <row r="1099" spans="1:14" ht="22.5" customHeight="1">
      <c r="A1099" s="8">
        <v>46002.593989340283</v>
      </c>
      <c r="B1099" s="9" t="s">
        <v>14</v>
      </c>
      <c r="C1099" s="9" t="s">
        <v>15</v>
      </c>
      <c r="D1099" s="10" t="s">
        <v>2497</v>
      </c>
      <c r="E1099" s="9" t="s">
        <v>17</v>
      </c>
      <c r="F1099" s="10">
        <v>27</v>
      </c>
      <c r="G1099" s="11">
        <v>7016987214</v>
      </c>
      <c r="H1099" s="10" t="s">
        <v>2498</v>
      </c>
      <c r="I1099" s="10" t="s">
        <v>27</v>
      </c>
      <c r="J1099" s="10" t="s">
        <v>1475</v>
      </c>
      <c r="K1099" s="12">
        <v>46002</v>
      </c>
      <c r="L1099" s="28" t="s">
        <v>11</v>
      </c>
      <c r="M1099" s="14"/>
      <c r="N1099" s="10" t="s">
        <v>1028</v>
      </c>
    </row>
    <row r="1100" spans="1:14" ht="22.5" customHeight="1">
      <c r="A1100" s="8">
        <v>46002.594425219911</v>
      </c>
      <c r="B1100" s="9" t="s">
        <v>14</v>
      </c>
      <c r="C1100" s="9" t="s">
        <v>15</v>
      </c>
      <c r="D1100" s="10" t="s">
        <v>2499</v>
      </c>
      <c r="E1100" s="9" t="s">
        <v>22</v>
      </c>
      <c r="F1100" s="10">
        <v>26</v>
      </c>
      <c r="G1100" s="11">
        <v>9031262698</v>
      </c>
      <c r="H1100" s="10" t="s">
        <v>2500</v>
      </c>
      <c r="I1100" s="10" t="s">
        <v>27</v>
      </c>
      <c r="J1100" s="10" t="s">
        <v>2006</v>
      </c>
      <c r="K1100" s="12">
        <v>46002</v>
      </c>
      <c r="L1100" s="28" t="s">
        <v>11</v>
      </c>
      <c r="M1100" s="14"/>
      <c r="N1100" s="10" t="s">
        <v>1028</v>
      </c>
    </row>
    <row r="1101" spans="1:14" ht="22.5" customHeight="1">
      <c r="A1101" s="8">
        <v>46002.594886747684</v>
      </c>
      <c r="B1101" s="9" t="s">
        <v>14</v>
      </c>
      <c r="C1101" s="9" t="s">
        <v>15</v>
      </c>
      <c r="D1101" s="10" t="s">
        <v>2501</v>
      </c>
      <c r="E1101" s="9" t="s">
        <v>22</v>
      </c>
      <c r="F1101" s="10">
        <v>27</v>
      </c>
      <c r="G1101" s="11">
        <v>8130663273</v>
      </c>
      <c r="H1101" s="10" t="s">
        <v>2502</v>
      </c>
      <c r="I1101" s="10" t="s">
        <v>27</v>
      </c>
      <c r="J1101" s="10" t="s">
        <v>1514</v>
      </c>
      <c r="K1101" s="12">
        <v>46002</v>
      </c>
      <c r="L1101" s="28" t="s">
        <v>11</v>
      </c>
      <c r="M1101" s="14"/>
      <c r="N1101" s="10" t="s">
        <v>1028</v>
      </c>
    </row>
    <row r="1102" spans="1:14" ht="22.5" customHeight="1">
      <c r="A1102" s="8">
        <v>46002.597102800923</v>
      </c>
      <c r="B1102" s="9" t="s">
        <v>14</v>
      </c>
      <c r="C1102" s="9" t="s">
        <v>15</v>
      </c>
      <c r="D1102" s="10" t="s">
        <v>2503</v>
      </c>
      <c r="E1102" s="9" t="s">
        <v>22</v>
      </c>
      <c r="F1102" s="19">
        <v>30</v>
      </c>
      <c r="G1102" s="11">
        <v>9165949500</v>
      </c>
      <c r="H1102" s="10" t="s">
        <v>2504</v>
      </c>
      <c r="I1102" s="10" t="s">
        <v>27</v>
      </c>
      <c r="J1102" s="10" t="s">
        <v>94</v>
      </c>
      <c r="K1102" s="12">
        <v>46002</v>
      </c>
      <c r="L1102" s="28" t="s">
        <v>11</v>
      </c>
      <c r="M1102" s="14"/>
      <c r="N1102" s="10" t="s">
        <v>1028</v>
      </c>
    </row>
    <row r="1103" spans="1:14" ht="22.5" customHeight="1">
      <c r="A1103" s="8">
        <v>46002.598558738428</v>
      </c>
      <c r="B1103" s="9" t="s">
        <v>14</v>
      </c>
      <c r="C1103" s="9" t="s">
        <v>15</v>
      </c>
      <c r="D1103" s="10" t="s">
        <v>2505</v>
      </c>
      <c r="E1103" s="9" t="s">
        <v>17</v>
      </c>
      <c r="F1103" s="10">
        <v>28</v>
      </c>
      <c r="G1103" s="11">
        <v>7016336402</v>
      </c>
      <c r="H1103" s="10" t="s">
        <v>2506</v>
      </c>
      <c r="I1103" s="10" t="s">
        <v>19</v>
      </c>
      <c r="J1103" s="10" t="s">
        <v>2507</v>
      </c>
      <c r="K1103" s="12">
        <v>46002</v>
      </c>
      <c r="L1103" s="28" t="s">
        <v>11</v>
      </c>
      <c r="M1103" s="14"/>
      <c r="N1103" s="10" t="s">
        <v>1028</v>
      </c>
    </row>
    <row r="1104" spans="1:14" ht="22.5" customHeight="1">
      <c r="A1104" s="8">
        <v>46002.599408182869</v>
      </c>
      <c r="B1104" s="9" t="s">
        <v>14</v>
      </c>
      <c r="C1104" s="9" t="s">
        <v>15</v>
      </c>
      <c r="D1104" s="10" t="s">
        <v>2508</v>
      </c>
      <c r="E1104" s="9" t="s">
        <v>17</v>
      </c>
      <c r="F1104" s="10">
        <v>29</v>
      </c>
      <c r="G1104" s="11">
        <v>8149350763</v>
      </c>
      <c r="H1104" s="10" t="s">
        <v>2509</v>
      </c>
      <c r="I1104" s="10" t="s">
        <v>27</v>
      </c>
      <c r="J1104" s="10" t="s">
        <v>94</v>
      </c>
      <c r="K1104" s="12">
        <v>46002</v>
      </c>
      <c r="L1104" s="28" t="s">
        <v>11</v>
      </c>
      <c r="M1104" s="14"/>
      <c r="N1104" s="10" t="s">
        <v>1096</v>
      </c>
    </row>
    <row r="1105" spans="1:14" ht="22.5" hidden="1" customHeight="1">
      <c r="A1105" s="8">
        <v>46002.600448912039</v>
      </c>
      <c r="B1105" s="9" t="s">
        <v>14</v>
      </c>
      <c r="C1105" s="9" t="s">
        <v>15</v>
      </c>
      <c r="D1105" s="10" t="s">
        <v>2510</v>
      </c>
      <c r="E1105" s="9" t="s">
        <v>17</v>
      </c>
      <c r="F1105" s="10">
        <v>23</v>
      </c>
      <c r="G1105" s="11">
        <v>9066123104</v>
      </c>
      <c r="H1105" s="10" t="s">
        <v>2511</v>
      </c>
      <c r="I1105" s="10" t="s">
        <v>27</v>
      </c>
      <c r="J1105" s="10" t="s">
        <v>2512</v>
      </c>
      <c r="K1105" s="12">
        <v>46002</v>
      </c>
      <c r="L1105" s="10" t="s">
        <v>441</v>
      </c>
      <c r="M1105" s="10" t="s">
        <v>2513</v>
      </c>
      <c r="N1105" s="10" t="s">
        <v>1028</v>
      </c>
    </row>
    <row r="1106" spans="1:14" ht="22.5" hidden="1" customHeight="1">
      <c r="A1106" s="8">
        <v>46002.600583020831</v>
      </c>
      <c r="B1106" s="9" t="s">
        <v>14</v>
      </c>
      <c r="C1106" s="9" t="s">
        <v>15</v>
      </c>
      <c r="D1106" s="10" t="s">
        <v>2514</v>
      </c>
      <c r="E1106" s="9" t="s">
        <v>17</v>
      </c>
      <c r="F1106" s="10">
        <v>22</v>
      </c>
      <c r="G1106" s="11">
        <v>7067612979</v>
      </c>
      <c r="H1106" s="10" t="s">
        <v>2515</v>
      </c>
      <c r="I1106" s="10" t="s">
        <v>27</v>
      </c>
      <c r="J1106" s="10" t="s">
        <v>2006</v>
      </c>
      <c r="K1106" s="12">
        <v>46002</v>
      </c>
      <c r="L1106" s="10" t="s">
        <v>441</v>
      </c>
      <c r="M1106" s="10" t="s">
        <v>1827</v>
      </c>
      <c r="N1106" s="10" t="s">
        <v>1096</v>
      </c>
    </row>
    <row r="1107" spans="1:14" ht="22.5" customHeight="1">
      <c r="A1107" s="8">
        <v>46002.600973460649</v>
      </c>
      <c r="B1107" s="9" t="s">
        <v>14</v>
      </c>
      <c r="C1107" s="9" t="s">
        <v>15</v>
      </c>
      <c r="D1107" s="10" t="s">
        <v>2516</v>
      </c>
      <c r="E1107" s="9" t="s">
        <v>17</v>
      </c>
      <c r="F1107" s="10">
        <v>31</v>
      </c>
      <c r="G1107" s="11">
        <v>8036834150</v>
      </c>
      <c r="H1107" s="10" t="s">
        <v>2517</v>
      </c>
      <c r="I1107" s="10" t="s">
        <v>27</v>
      </c>
      <c r="J1107" s="10" t="s">
        <v>1559</v>
      </c>
      <c r="K1107" s="12">
        <v>46002</v>
      </c>
      <c r="L1107" s="28" t="s">
        <v>11</v>
      </c>
      <c r="M1107" s="14"/>
      <c r="N1107" s="10" t="s">
        <v>1028</v>
      </c>
    </row>
    <row r="1108" spans="1:14" ht="22.5" customHeight="1">
      <c r="A1108" s="8">
        <v>46002.602593923613</v>
      </c>
      <c r="B1108" s="9" t="s">
        <v>14</v>
      </c>
      <c r="C1108" s="9" t="s">
        <v>15</v>
      </c>
      <c r="D1108" s="10" t="s">
        <v>2518</v>
      </c>
      <c r="E1108" s="9" t="s">
        <v>22</v>
      </c>
      <c r="F1108" s="10">
        <v>20</v>
      </c>
      <c r="G1108" s="11">
        <v>9121570269</v>
      </c>
      <c r="H1108" s="10" t="s">
        <v>2519</v>
      </c>
      <c r="I1108" s="10" t="s">
        <v>27</v>
      </c>
      <c r="J1108" s="10" t="s">
        <v>172</v>
      </c>
      <c r="K1108" s="12">
        <v>46002</v>
      </c>
      <c r="L1108" s="28" t="s">
        <v>11</v>
      </c>
      <c r="M1108" s="14"/>
      <c r="N1108" s="10" t="s">
        <v>1028</v>
      </c>
    </row>
    <row r="1109" spans="1:14" ht="22.5" customHeight="1">
      <c r="A1109" s="8">
        <v>46002.602666250001</v>
      </c>
      <c r="B1109" s="9" t="s">
        <v>14</v>
      </c>
      <c r="C1109" s="9" t="s">
        <v>15</v>
      </c>
      <c r="D1109" s="10" t="s">
        <v>2520</v>
      </c>
      <c r="E1109" s="9" t="s">
        <v>22</v>
      </c>
      <c r="F1109" s="10">
        <v>20</v>
      </c>
      <c r="G1109" s="11">
        <v>9026006119</v>
      </c>
      <c r="H1109" s="10" t="s">
        <v>2521</v>
      </c>
      <c r="I1109" s="10" t="s">
        <v>27</v>
      </c>
      <c r="J1109" s="10" t="s">
        <v>70</v>
      </c>
      <c r="K1109" s="12">
        <v>46002</v>
      </c>
      <c r="L1109" s="28" t="s">
        <v>11</v>
      </c>
      <c r="M1109" s="14"/>
      <c r="N1109" s="10" t="s">
        <v>1028</v>
      </c>
    </row>
    <row r="1110" spans="1:14" ht="22.5" customHeight="1">
      <c r="A1110" s="8">
        <v>46002.603694201389</v>
      </c>
      <c r="B1110" s="9" t="s">
        <v>14</v>
      </c>
      <c r="C1110" s="9" t="s">
        <v>15</v>
      </c>
      <c r="D1110" s="10" t="s">
        <v>2522</v>
      </c>
      <c r="E1110" s="9" t="s">
        <v>17</v>
      </c>
      <c r="F1110" s="10">
        <v>25</v>
      </c>
      <c r="G1110" s="11">
        <v>8144937750</v>
      </c>
      <c r="H1110" s="10" t="s">
        <v>2523</v>
      </c>
      <c r="I1110" s="10" t="s">
        <v>27</v>
      </c>
      <c r="J1110" s="10" t="s">
        <v>2006</v>
      </c>
      <c r="K1110" s="12">
        <v>46002</v>
      </c>
      <c r="L1110" s="28" t="s">
        <v>11</v>
      </c>
      <c r="M1110" s="14"/>
      <c r="N1110" s="10" t="s">
        <v>1028</v>
      </c>
    </row>
    <row r="1111" spans="1:14" ht="22.5" customHeight="1">
      <c r="A1111" s="8">
        <v>46002.606159745366</v>
      </c>
      <c r="B1111" s="9" t="s">
        <v>14</v>
      </c>
      <c r="C1111" s="9" t="s">
        <v>15</v>
      </c>
      <c r="D1111" s="10" t="s">
        <v>2524</v>
      </c>
      <c r="E1111" s="9" t="s">
        <v>22</v>
      </c>
      <c r="F1111" s="10">
        <v>33</v>
      </c>
      <c r="G1111" s="11">
        <v>7067027314</v>
      </c>
      <c r="H1111" s="10" t="s">
        <v>2525</v>
      </c>
      <c r="I1111" s="10" t="s">
        <v>27</v>
      </c>
      <c r="J1111" s="10" t="s">
        <v>42</v>
      </c>
      <c r="K1111" s="12">
        <v>46002</v>
      </c>
      <c r="L1111" s="28" t="s">
        <v>11</v>
      </c>
      <c r="M1111" s="14"/>
      <c r="N1111" s="10" t="s">
        <v>1028</v>
      </c>
    </row>
    <row r="1112" spans="1:14" ht="22.5" customHeight="1">
      <c r="A1112" s="8">
        <v>46002.608093090283</v>
      </c>
      <c r="B1112" s="9" t="s">
        <v>14</v>
      </c>
      <c r="C1112" s="9" t="s">
        <v>15</v>
      </c>
      <c r="D1112" s="10" t="s">
        <v>2526</v>
      </c>
      <c r="E1112" s="9" t="s">
        <v>22</v>
      </c>
      <c r="F1112" s="10">
        <v>23</v>
      </c>
      <c r="G1112" s="11">
        <v>8100527510</v>
      </c>
      <c r="H1112" s="10" t="s">
        <v>2527</v>
      </c>
      <c r="I1112" s="10" t="s">
        <v>27</v>
      </c>
      <c r="J1112" s="10" t="s">
        <v>2528</v>
      </c>
      <c r="K1112" s="12">
        <v>46002</v>
      </c>
      <c r="L1112" s="28" t="s">
        <v>11</v>
      </c>
      <c r="M1112" s="14"/>
      <c r="N1112" s="10" t="s">
        <v>1028</v>
      </c>
    </row>
    <row r="1113" spans="1:14" ht="22.5" hidden="1" customHeight="1">
      <c r="A1113" s="8">
        <v>46002.608129537039</v>
      </c>
      <c r="B1113" s="9" t="s">
        <v>14</v>
      </c>
      <c r="C1113" s="9" t="s">
        <v>15</v>
      </c>
      <c r="D1113" s="10" t="s">
        <v>2529</v>
      </c>
      <c r="E1113" s="9" t="s">
        <v>17</v>
      </c>
      <c r="F1113" s="10">
        <v>37</v>
      </c>
      <c r="G1113" s="11">
        <v>7031941916</v>
      </c>
      <c r="H1113" s="10" t="s">
        <v>2530</v>
      </c>
      <c r="I1113" s="10" t="s">
        <v>27</v>
      </c>
      <c r="J1113" s="10" t="s">
        <v>1949</v>
      </c>
      <c r="K1113" s="12">
        <v>46002</v>
      </c>
      <c r="L1113" s="10" t="s">
        <v>441</v>
      </c>
      <c r="M1113" s="10" t="s">
        <v>1361</v>
      </c>
      <c r="N1113" s="10" t="s">
        <v>1028</v>
      </c>
    </row>
    <row r="1114" spans="1:14" ht="22.5" customHeight="1">
      <c r="A1114" s="8">
        <v>46002.609054016204</v>
      </c>
      <c r="B1114" s="9" t="s">
        <v>14</v>
      </c>
      <c r="C1114" s="9" t="s">
        <v>15</v>
      </c>
      <c r="D1114" s="10" t="s">
        <v>2531</v>
      </c>
      <c r="E1114" s="9" t="s">
        <v>22</v>
      </c>
      <c r="F1114" s="10">
        <v>20</v>
      </c>
      <c r="G1114" s="11">
        <v>8164447607</v>
      </c>
      <c r="H1114" s="10" t="s">
        <v>2532</v>
      </c>
      <c r="I1114" s="10" t="s">
        <v>27</v>
      </c>
      <c r="J1114" s="10" t="s">
        <v>2533</v>
      </c>
      <c r="K1114" s="12">
        <v>46002</v>
      </c>
      <c r="L1114" s="28" t="s">
        <v>11</v>
      </c>
      <c r="M1114" s="14"/>
      <c r="N1114" s="10" t="s">
        <v>1028</v>
      </c>
    </row>
    <row r="1115" spans="1:14" ht="22.5" customHeight="1">
      <c r="A1115" s="8">
        <v>46002.611282141203</v>
      </c>
      <c r="B1115" s="9" t="s">
        <v>14</v>
      </c>
      <c r="C1115" s="9" t="s">
        <v>15</v>
      </c>
      <c r="D1115" s="10" t="s">
        <v>2534</v>
      </c>
      <c r="E1115" s="9" t="s">
        <v>17</v>
      </c>
      <c r="F1115" s="10">
        <v>35</v>
      </c>
      <c r="G1115" s="11">
        <v>8161711906</v>
      </c>
      <c r="H1115" s="10" t="s">
        <v>2535</v>
      </c>
      <c r="I1115" s="10" t="s">
        <v>27</v>
      </c>
      <c r="J1115" s="10" t="s">
        <v>1456</v>
      </c>
      <c r="K1115" s="12">
        <v>46002</v>
      </c>
      <c r="L1115" s="28" t="s">
        <v>11</v>
      </c>
      <c r="M1115" s="14"/>
      <c r="N1115" s="10" t="s">
        <v>1028</v>
      </c>
    </row>
    <row r="1116" spans="1:14" ht="22.5" customHeight="1">
      <c r="A1116" s="8">
        <v>46002.611450914352</v>
      </c>
      <c r="B1116" s="9" t="s">
        <v>14</v>
      </c>
      <c r="C1116" s="9" t="s">
        <v>15</v>
      </c>
      <c r="D1116" s="10" t="s">
        <v>2536</v>
      </c>
      <c r="E1116" s="9" t="s">
        <v>22</v>
      </c>
      <c r="F1116" s="10">
        <v>20</v>
      </c>
      <c r="G1116" s="11">
        <v>8039770339</v>
      </c>
      <c r="H1116" s="10" t="s">
        <v>2537</v>
      </c>
      <c r="I1116" s="10" t="s">
        <v>27</v>
      </c>
      <c r="J1116" s="10" t="s">
        <v>42</v>
      </c>
      <c r="K1116" s="12">
        <v>46002</v>
      </c>
      <c r="L1116" s="28" t="s">
        <v>11</v>
      </c>
      <c r="M1116" s="14"/>
      <c r="N1116" s="10" t="s">
        <v>1028</v>
      </c>
    </row>
    <row r="1117" spans="1:14" ht="22.5" customHeight="1">
      <c r="A1117" s="8">
        <v>46002.613457569445</v>
      </c>
      <c r="B1117" s="9" t="s">
        <v>14</v>
      </c>
      <c r="C1117" s="9" t="s">
        <v>15</v>
      </c>
      <c r="D1117" s="10" t="s">
        <v>2538</v>
      </c>
      <c r="E1117" s="9" t="s">
        <v>22</v>
      </c>
      <c r="F1117" s="10">
        <v>18</v>
      </c>
      <c r="G1117" s="11">
        <v>7036767129</v>
      </c>
      <c r="H1117" s="10" t="s">
        <v>2539</v>
      </c>
      <c r="I1117" s="10" t="s">
        <v>27</v>
      </c>
      <c r="J1117" s="10" t="s">
        <v>70</v>
      </c>
      <c r="K1117" s="12">
        <v>46002</v>
      </c>
      <c r="L1117" s="28" t="s">
        <v>11</v>
      </c>
      <c r="M1117" s="14"/>
      <c r="N1117" s="10" t="s">
        <v>1028</v>
      </c>
    </row>
    <row r="1118" spans="1:14" ht="22.5" customHeight="1">
      <c r="A1118" s="8">
        <v>46002.613951446758</v>
      </c>
      <c r="B1118" s="9" t="s">
        <v>14</v>
      </c>
      <c r="C1118" s="9" t="s">
        <v>15</v>
      </c>
      <c r="D1118" s="10" t="s">
        <v>2540</v>
      </c>
      <c r="E1118" s="9" t="s">
        <v>22</v>
      </c>
      <c r="F1118" s="10">
        <v>28</v>
      </c>
      <c r="G1118" s="11">
        <v>9066656421</v>
      </c>
      <c r="H1118" s="10" t="s">
        <v>2541</v>
      </c>
      <c r="I1118" s="10" t="s">
        <v>27</v>
      </c>
      <c r="J1118" s="10" t="s">
        <v>2105</v>
      </c>
      <c r="K1118" s="12">
        <v>46002</v>
      </c>
      <c r="L1118" s="28" t="s">
        <v>11</v>
      </c>
      <c r="M1118" s="14"/>
      <c r="N1118" s="10" t="s">
        <v>1028</v>
      </c>
    </row>
    <row r="1119" spans="1:14" ht="22.5" customHeight="1">
      <c r="A1119" s="8">
        <v>46002.614632534722</v>
      </c>
      <c r="B1119" s="9" t="s">
        <v>14</v>
      </c>
      <c r="C1119" s="9" t="s">
        <v>15</v>
      </c>
      <c r="D1119" s="10" t="s">
        <v>2542</v>
      </c>
      <c r="E1119" s="9" t="s">
        <v>17</v>
      </c>
      <c r="F1119" s="10">
        <v>25</v>
      </c>
      <c r="G1119" s="11">
        <v>9023600525</v>
      </c>
      <c r="H1119" s="10" t="s">
        <v>2543</v>
      </c>
      <c r="I1119" s="10" t="s">
        <v>27</v>
      </c>
      <c r="J1119" s="10" t="s">
        <v>172</v>
      </c>
      <c r="K1119" s="12">
        <v>46002</v>
      </c>
      <c r="L1119" s="28" t="s">
        <v>11</v>
      </c>
      <c r="M1119" s="14"/>
      <c r="N1119" s="10" t="s">
        <v>1028</v>
      </c>
    </row>
    <row r="1120" spans="1:14" ht="22.5" customHeight="1">
      <c r="A1120" s="8">
        <v>46002.614940347223</v>
      </c>
      <c r="B1120" s="9" t="s">
        <v>14</v>
      </c>
      <c r="C1120" s="9" t="s">
        <v>15</v>
      </c>
      <c r="D1120" s="10" t="s">
        <v>2544</v>
      </c>
      <c r="E1120" s="9" t="s">
        <v>22</v>
      </c>
      <c r="F1120" s="10">
        <v>26</v>
      </c>
      <c r="G1120" s="11">
        <f t="shared" ref="G1120" si="26">254712022315</f>
        <v>254712022315</v>
      </c>
      <c r="H1120" s="10" t="s">
        <v>2545</v>
      </c>
      <c r="I1120" s="10" t="s">
        <v>19</v>
      </c>
      <c r="J1120" s="10" t="s">
        <v>2546</v>
      </c>
      <c r="K1120" s="12">
        <v>46002</v>
      </c>
      <c r="L1120" s="28" t="s">
        <v>11</v>
      </c>
      <c r="M1120" s="14"/>
      <c r="N1120" s="10" t="s">
        <v>2547</v>
      </c>
    </row>
    <row r="1121" spans="1:14" ht="22.5" customHeight="1">
      <c r="A1121" s="8">
        <v>46002.615791851851</v>
      </c>
      <c r="B1121" s="9" t="s">
        <v>14</v>
      </c>
      <c r="C1121" s="9" t="s">
        <v>15</v>
      </c>
      <c r="D1121" s="10" t="s">
        <v>2548</v>
      </c>
      <c r="E1121" s="9" t="s">
        <v>22</v>
      </c>
      <c r="F1121" s="10">
        <v>25</v>
      </c>
      <c r="G1121" s="11">
        <v>8142953626</v>
      </c>
      <c r="H1121" s="10" t="s">
        <v>2549</v>
      </c>
      <c r="I1121" s="10" t="s">
        <v>27</v>
      </c>
      <c r="J1121" s="10" t="s">
        <v>70</v>
      </c>
      <c r="K1121" s="12">
        <v>46002</v>
      </c>
      <c r="L1121" s="28" t="s">
        <v>11</v>
      </c>
      <c r="M1121" s="14"/>
      <c r="N1121" s="10" t="s">
        <v>1028</v>
      </c>
    </row>
    <row r="1122" spans="1:14" ht="22.5" customHeight="1">
      <c r="A1122" s="8">
        <v>46002.615904548613</v>
      </c>
      <c r="B1122" s="9" t="s">
        <v>14</v>
      </c>
      <c r="C1122" s="9" t="s">
        <v>15</v>
      </c>
      <c r="D1122" s="10" t="s">
        <v>2550</v>
      </c>
      <c r="E1122" s="9" t="s">
        <v>22</v>
      </c>
      <c r="F1122" s="10">
        <v>19</v>
      </c>
      <c r="G1122" s="11">
        <v>8135349382</v>
      </c>
      <c r="H1122" s="10" t="s">
        <v>2551</v>
      </c>
      <c r="I1122" s="10" t="s">
        <v>27</v>
      </c>
      <c r="J1122" s="10" t="s">
        <v>42</v>
      </c>
      <c r="K1122" s="12">
        <v>46002</v>
      </c>
      <c r="L1122" s="28" t="s">
        <v>11</v>
      </c>
      <c r="M1122" s="14"/>
      <c r="N1122" s="10" t="s">
        <v>1028</v>
      </c>
    </row>
    <row r="1123" spans="1:14" ht="22.5" customHeight="1">
      <c r="A1123" s="8">
        <v>46002.61665729167</v>
      </c>
      <c r="B1123" s="9" t="s">
        <v>14</v>
      </c>
      <c r="C1123" s="9" t="s">
        <v>15</v>
      </c>
      <c r="D1123" s="10" t="s">
        <v>2552</v>
      </c>
      <c r="E1123" s="9" t="s">
        <v>22</v>
      </c>
      <c r="F1123" s="10">
        <v>31</v>
      </c>
      <c r="G1123" s="11">
        <v>8106016846</v>
      </c>
      <c r="H1123" s="10" t="s">
        <v>2553</v>
      </c>
      <c r="I1123" s="10" t="s">
        <v>27</v>
      </c>
      <c r="J1123" s="10" t="s">
        <v>1475</v>
      </c>
      <c r="K1123" s="12">
        <v>46002</v>
      </c>
      <c r="L1123" s="28" t="s">
        <v>11</v>
      </c>
      <c r="M1123" s="14"/>
      <c r="N1123" s="10" t="s">
        <v>1028</v>
      </c>
    </row>
    <row r="1124" spans="1:14" ht="22.5" hidden="1" customHeight="1">
      <c r="A1124" s="8">
        <v>46002.616674490739</v>
      </c>
      <c r="B1124" s="9" t="s">
        <v>14</v>
      </c>
      <c r="C1124" s="9" t="s">
        <v>15</v>
      </c>
      <c r="D1124" s="10" t="s">
        <v>2554</v>
      </c>
      <c r="E1124" s="9" t="s">
        <v>17</v>
      </c>
      <c r="F1124" s="18">
        <v>22</v>
      </c>
      <c r="G1124" s="11">
        <v>7045166388</v>
      </c>
      <c r="H1124" s="10" t="s">
        <v>2555</v>
      </c>
      <c r="I1124" s="10" t="s">
        <v>27</v>
      </c>
      <c r="J1124" s="10" t="s">
        <v>2556</v>
      </c>
      <c r="K1124" s="12">
        <v>37956</v>
      </c>
      <c r="L1124" s="10" t="s">
        <v>441</v>
      </c>
      <c r="M1124" s="10" t="s">
        <v>1161</v>
      </c>
      <c r="N1124" s="10" t="s">
        <v>1028</v>
      </c>
    </row>
    <row r="1125" spans="1:14" ht="22.5" customHeight="1">
      <c r="A1125" s="8">
        <v>46002.616794270834</v>
      </c>
      <c r="B1125" s="9" t="s">
        <v>14</v>
      </c>
      <c r="C1125" s="9" t="s">
        <v>15</v>
      </c>
      <c r="D1125" s="10" t="s">
        <v>2557</v>
      </c>
      <c r="E1125" s="9" t="s">
        <v>22</v>
      </c>
      <c r="F1125" s="10">
        <v>29</v>
      </c>
      <c r="G1125" s="11">
        <v>8102649882</v>
      </c>
      <c r="H1125" s="10" t="s">
        <v>2558</v>
      </c>
      <c r="I1125" s="10" t="s">
        <v>27</v>
      </c>
      <c r="J1125" s="10" t="s">
        <v>172</v>
      </c>
      <c r="K1125" s="12">
        <v>46002</v>
      </c>
      <c r="L1125" s="28" t="s">
        <v>11</v>
      </c>
      <c r="M1125" s="14"/>
      <c r="N1125" s="10" t="s">
        <v>1028</v>
      </c>
    </row>
    <row r="1126" spans="1:14" ht="22.5" customHeight="1">
      <c r="A1126" s="8">
        <v>46002.619652071764</v>
      </c>
      <c r="B1126" s="9" t="s">
        <v>14</v>
      </c>
      <c r="C1126" s="9" t="s">
        <v>15</v>
      </c>
      <c r="D1126" s="10" t="s">
        <v>2559</v>
      </c>
      <c r="E1126" s="9" t="s">
        <v>17</v>
      </c>
      <c r="F1126" s="10">
        <v>36</v>
      </c>
      <c r="G1126" s="11">
        <v>8065108679</v>
      </c>
      <c r="H1126" s="10" t="s">
        <v>2560</v>
      </c>
      <c r="I1126" s="10" t="s">
        <v>27</v>
      </c>
      <c r="J1126" s="10" t="s">
        <v>2006</v>
      </c>
      <c r="K1126" s="12">
        <v>46002</v>
      </c>
      <c r="L1126" s="28" t="s">
        <v>11</v>
      </c>
      <c r="M1126" s="14"/>
      <c r="N1126" s="10" t="s">
        <v>1028</v>
      </c>
    </row>
    <row r="1127" spans="1:14" ht="22.5" customHeight="1">
      <c r="A1127" s="8">
        <v>46002.621607581023</v>
      </c>
      <c r="B1127" s="9" t="s">
        <v>14</v>
      </c>
      <c r="C1127" s="9" t="s">
        <v>15</v>
      </c>
      <c r="D1127" s="10" t="s">
        <v>2561</v>
      </c>
      <c r="E1127" s="9" t="s">
        <v>17</v>
      </c>
      <c r="F1127" s="10">
        <v>32</v>
      </c>
      <c r="G1127" s="11">
        <v>7054378093</v>
      </c>
      <c r="H1127" s="10" t="s">
        <v>2562</v>
      </c>
      <c r="I1127" s="10" t="s">
        <v>27</v>
      </c>
      <c r="J1127" s="10" t="s">
        <v>2006</v>
      </c>
      <c r="K1127" s="12">
        <v>46002</v>
      </c>
      <c r="L1127" s="28" t="s">
        <v>11</v>
      </c>
      <c r="M1127" s="14"/>
      <c r="N1127" s="10" t="s">
        <v>1028</v>
      </c>
    </row>
    <row r="1128" spans="1:14" ht="22.5" customHeight="1">
      <c r="A1128" s="8">
        <v>46002.622322222218</v>
      </c>
      <c r="B1128" s="9" t="s">
        <v>14</v>
      </c>
      <c r="C1128" s="9" t="s">
        <v>15</v>
      </c>
      <c r="D1128" s="10" t="s">
        <v>2563</v>
      </c>
      <c r="E1128" s="9" t="s">
        <v>22</v>
      </c>
      <c r="F1128" s="10">
        <v>28</v>
      </c>
      <c r="G1128" s="11">
        <v>8164622330</v>
      </c>
      <c r="H1128" s="10" t="s">
        <v>2564</v>
      </c>
      <c r="I1128" s="10" t="s">
        <v>27</v>
      </c>
      <c r="J1128" s="10" t="s">
        <v>2565</v>
      </c>
      <c r="K1128" s="12">
        <v>35460</v>
      </c>
      <c r="L1128" s="28" t="s">
        <v>11</v>
      </c>
      <c r="M1128" s="14"/>
      <c r="N1128" s="10" t="s">
        <v>1028</v>
      </c>
    </row>
    <row r="1129" spans="1:14" ht="22.5" customHeight="1">
      <c r="A1129" s="8">
        <v>46002.624941875001</v>
      </c>
      <c r="B1129" s="9" t="s">
        <v>14</v>
      </c>
      <c r="C1129" s="9" t="s">
        <v>15</v>
      </c>
      <c r="D1129" s="10" t="s">
        <v>2566</v>
      </c>
      <c r="E1129" s="9" t="s">
        <v>22</v>
      </c>
      <c r="F1129" s="10">
        <v>28</v>
      </c>
      <c r="G1129" s="11">
        <v>8063338125</v>
      </c>
      <c r="H1129" s="10" t="s">
        <v>2541</v>
      </c>
      <c r="I1129" s="10" t="s">
        <v>27</v>
      </c>
      <c r="J1129" s="10" t="s">
        <v>2105</v>
      </c>
      <c r="K1129" s="12">
        <v>46002</v>
      </c>
      <c r="L1129" s="28" t="s">
        <v>11</v>
      </c>
      <c r="M1129" s="14"/>
      <c r="N1129" s="10" t="s">
        <v>1028</v>
      </c>
    </row>
    <row r="1130" spans="1:14" ht="22.5" customHeight="1">
      <c r="A1130" s="8">
        <v>46002.626545081017</v>
      </c>
      <c r="B1130" s="9" t="s">
        <v>14</v>
      </c>
      <c r="C1130" s="9" t="s">
        <v>15</v>
      </c>
      <c r="D1130" s="10" t="s">
        <v>2567</v>
      </c>
      <c r="E1130" s="9" t="s">
        <v>17</v>
      </c>
      <c r="F1130" s="10">
        <v>28</v>
      </c>
      <c r="G1130" s="11">
        <v>8135185861</v>
      </c>
      <c r="H1130" s="10" t="s">
        <v>2568</v>
      </c>
      <c r="I1130" s="10" t="s">
        <v>27</v>
      </c>
      <c r="J1130" s="10" t="s">
        <v>1514</v>
      </c>
      <c r="K1130" s="12">
        <v>46002</v>
      </c>
      <c r="L1130" s="28" t="s">
        <v>11</v>
      </c>
      <c r="M1130" s="14"/>
      <c r="N1130" s="10" t="s">
        <v>1028</v>
      </c>
    </row>
    <row r="1131" spans="1:14" ht="22.5" customHeight="1">
      <c r="A1131" s="8">
        <v>46002.627213229163</v>
      </c>
      <c r="B1131" s="9" t="s">
        <v>14</v>
      </c>
      <c r="C1131" s="9" t="s">
        <v>15</v>
      </c>
      <c r="D1131" s="10" t="s">
        <v>2569</v>
      </c>
      <c r="E1131" s="9" t="s">
        <v>22</v>
      </c>
      <c r="F1131" s="10">
        <v>22</v>
      </c>
      <c r="G1131" s="11">
        <v>8140507045</v>
      </c>
      <c r="H1131" s="10" t="s">
        <v>2570</v>
      </c>
      <c r="I1131" s="10" t="s">
        <v>27</v>
      </c>
      <c r="J1131" s="10" t="s">
        <v>2571</v>
      </c>
      <c r="K1131" s="12">
        <v>46002</v>
      </c>
      <c r="L1131" s="28" t="s">
        <v>11</v>
      </c>
      <c r="M1131" s="14"/>
      <c r="N1131" s="10" t="s">
        <v>1028</v>
      </c>
    </row>
    <row r="1132" spans="1:14" ht="22.5" customHeight="1">
      <c r="A1132" s="8">
        <v>46002.627554317129</v>
      </c>
      <c r="B1132" s="9" t="s">
        <v>14</v>
      </c>
      <c r="C1132" s="9" t="s">
        <v>15</v>
      </c>
      <c r="D1132" s="10" t="s">
        <v>2572</v>
      </c>
      <c r="E1132" s="9" t="s">
        <v>22</v>
      </c>
      <c r="F1132" s="10">
        <v>31</v>
      </c>
      <c r="G1132" s="11">
        <v>8164760746</v>
      </c>
      <c r="H1132" s="10" t="s">
        <v>2573</v>
      </c>
      <c r="I1132" s="10" t="s">
        <v>27</v>
      </c>
      <c r="J1132" s="10" t="s">
        <v>2006</v>
      </c>
      <c r="K1132" s="12">
        <v>46002</v>
      </c>
      <c r="L1132" s="28" t="s">
        <v>11</v>
      </c>
      <c r="M1132" s="10"/>
      <c r="N1132" s="10" t="s">
        <v>1096</v>
      </c>
    </row>
    <row r="1133" spans="1:14" ht="22.5" customHeight="1">
      <c r="A1133" s="8">
        <v>46002.630272083334</v>
      </c>
      <c r="B1133" s="9" t="s">
        <v>14</v>
      </c>
      <c r="C1133" s="9" t="s">
        <v>15</v>
      </c>
      <c r="D1133" s="10" t="s">
        <v>2574</v>
      </c>
      <c r="E1133" s="9" t="s">
        <v>17</v>
      </c>
      <c r="F1133" s="10">
        <v>26</v>
      </c>
      <c r="G1133" s="11">
        <v>7071986972</v>
      </c>
      <c r="H1133" s="10" t="s">
        <v>2575</v>
      </c>
      <c r="I1133" s="10" t="s">
        <v>27</v>
      </c>
      <c r="J1133" s="10" t="s">
        <v>2556</v>
      </c>
      <c r="K1133" s="12">
        <v>46002</v>
      </c>
      <c r="L1133" s="28" t="s">
        <v>11</v>
      </c>
      <c r="M1133" s="14"/>
      <c r="N1133" s="10" t="s">
        <v>1028</v>
      </c>
    </row>
    <row r="1134" spans="1:14" ht="22.5" customHeight="1">
      <c r="A1134" s="8">
        <v>46002.631314537037</v>
      </c>
      <c r="B1134" s="9" t="s">
        <v>14</v>
      </c>
      <c r="C1134" s="9" t="s">
        <v>15</v>
      </c>
      <c r="D1134" s="10" t="s">
        <v>2576</v>
      </c>
      <c r="E1134" s="9" t="s">
        <v>22</v>
      </c>
      <c r="F1134" s="10">
        <v>18</v>
      </c>
      <c r="G1134" s="11">
        <v>9079643459</v>
      </c>
      <c r="H1134" s="10" t="s">
        <v>2577</v>
      </c>
      <c r="I1134" s="10" t="s">
        <v>27</v>
      </c>
      <c r="J1134" s="10" t="s">
        <v>1293</v>
      </c>
      <c r="K1134" s="12">
        <v>46002</v>
      </c>
      <c r="L1134" s="28" t="s">
        <v>11</v>
      </c>
      <c r="M1134" s="14"/>
      <c r="N1134" s="10" t="s">
        <v>1028</v>
      </c>
    </row>
    <row r="1135" spans="1:14" ht="22.5" customHeight="1">
      <c r="A1135" s="8">
        <v>46002.632473912032</v>
      </c>
      <c r="B1135" s="9" t="s">
        <v>14</v>
      </c>
      <c r="C1135" s="9" t="s">
        <v>15</v>
      </c>
      <c r="D1135" s="10" t="s">
        <v>2578</v>
      </c>
      <c r="E1135" s="9" t="s">
        <v>17</v>
      </c>
      <c r="F1135" s="10">
        <v>32</v>
      </c>
      <c r="G1135" s="11">
        <v>8034227425</v>
      </c>
      <c r="H1135" s="10" t="s">
        <v>2579</v>
      </c>
      <c r="I1135" s="10" t="s">
        <v>27</v>
      </c>
      <c r="J1135" s="10" t="s">
        <v>2006</v>
      </c>
      <c r="K1135" s="12">
        <v>46002</v>
      </c>
      <c r="L1135" s="28" t="s">
        <v>11</v>
      </c>
      <c r="M1135" s="14"/>
      <c r="N1135" s="10" t="s">
        <v>1028</v>
      </c>
    </row>
    <row r="1136" spans="1:14" ht="22.5" customHeight="1">
      <c r="A1136" s="8">
        <v>46002.632733125</v>
      </c>
      <c r="B1136" s="9" t="s">
        <v>14</v>
      </c>
      <c r="C1136" s="9" t="s">
        <v>15</v>
      </c>
      <c r="D1136" s="10" t="s">
        <v>2580</v>
      </c>
      <c r="E1136" s="9" t="s">
        <v>22</v>
      </c>
      <c r="F1136" s="10">
        <v>21</v>
      </c>
      <c r="G1136" s="11">
        <v>9166422080</v>
      </c>
      <c r="H1136" s="10" t="s">
        <v>2581</v>
      </c>
      <c r="I1136" s="10" t="s">
        <v>27</v>
      </c>
      <c r="J1136" s="10" t="s">
        <v>53</v>
      </c>
      <c r="K1136" s="12">
        <v>46002</v>
      </c>
      <c r="L1136" s="28" t="s">
        <v>11</v>
      </c>
      <c r="M1136" s="14"/>
      <c r="N1136" s="10" t="s">
        <v>1028</v>
      </c>
    </row>
    <row r="1137" spans="1:14" ht="22.5" hidden="1" customHeight="1">
      <c r="A1137" s="8">
        <v>46002.634020462967</v>
      </c>
      <c r="B1137" s="9" t="s">
        <v>14</v>
      </c>
      <c r="C1137" s="9" t="s">
        <v>15</v>
      </c>
      <c r="D1137" s="10" t="s">
        <v>2582</v>
      </c>
      <c r="E1137" s="9" t="s">
        <v>22</v>
      </c>
      <c r="F1137" s="10">
        <v>26</v>
      </c>
      <c r="G1137" s="11">
        <v>8167341295</v>
      </c>
      <c r="H1137" s="10" t="s">
        <v>2583</v>
      </c>
      <c r="I1137" s="10" t="s">
        <v>27</v>
      </c>
      <c r="J1137" s="10" t="s">
        <v>2584</v>
      </c>
      <c r="K1137" s="12">
        <v>46002</v>
      </c>
      <c r="L1137" s="10" t="s">
        <v>441</v>
      </c>
      <c r="M1137" s="14"/>
      <c r="N1137" s="10" t="s">
        <v>1028</v>
      </c>
    </row>
    <row r="1138" spans="1:14" ht="22.5" customHeight="1">
      <c r="A1138" s="8">
        <v>46002.634725104166</v>
      </c>
      <c r="B1138" s="9" t="s">
        <v>14</v>
      </c>
      <c r="C1138" s="9" t="s">
        <v>15</v>
      </c>
      <c r="D1138" s="10" t="s">
        <v>2585</v>
      </c>
      <c r="E1138" s="9" t="s">
        <v>17</v>
      </c>
      <c r="F1138" s="10">
        <v>23</v>
      </c>
      <c r="G1138" s="11">
        <v>8126776993</v>
      </c>
      <c r="H1138" s="10" t="s">
        <v>2586</v>
      </c>
      <c r="I1138" s="10" t="s">
        <v>27</v>
      </c>
      <c r="J1138" s="10" t="s">
        <v>94</v>
      </c>
      <c r="K1138" s="12">
        <v>46002</v>
      </c>
      <c r="L1138" s="28" t="s">
        <v>11</v>
      </c>
      <c r="M1138" s="10"/>
      <c r="N1138" s="10" t="s">
        <v>1028</v>
      </c>
    </row>
    <row r="1139" spans="1:14" ht="22.5" customHeight="1">
      <c r="A1139" s="8">
        <v>46002.635953773148</v>
      </c>
      <c r="B1139" s="9" t="s">
        <v>14</v>
      </c>
      <c r="C1139" s="9" t="s">
        <v>15</v>
      </c>
      <c r="D1139" s="10" t="s">
        <v>2587</v>
      </c>
      <c r="E1139" s="9" t="s">
        <v>22</v>
      </c>
      <c r="F1139" s="10">
        <v>34</v>
      </c>
      <c r="G1139" s="11">
        <v>8033656211</v>
      </c>
      <c r="H1139" s="10" t="s">
        <v>2588</v>
      </c>
      <c r="I1139" s="10" t="s">
        <v>27</v>
      </c>
      <c r="J1139" s="10" t="s">
        <v>94</v>
      </c>
      <c r="K1139" s="12">
        <v>46002</v>
      </c>
      <c r="L1139" s="28" t="s">
        <v>11</v>
      </c>
      <c r="M1139" s="14"/>
      <c r="N1139" s="10" t="s">
        <v>1028</v>
      </c>
    </row>
    <row r="1140" spans="1:14" ht="22.5" customHeight="1">
      <c r="A1140" s="8">
        <v>46002.636910740737</v>
      </c>
      <c r="B1140" s="9" t="s">
        <v>14</v>
      </c>
      <c r="C1140" s="9" t="s">
        <v>15</v>
      </c>
      <c r="D1140" s="10" t="s">
        <v>2589</v>
      </c>
      <c r="E1140" s="9" t="s">
        <v>17</v>
      </c>
      <c r="F1140" s="10">
        <v>25</v>
      </c>
      <c r="G1140" s="11">
        <v>9026444401</v>
      </c>
      <c r="H1140" s="10" t="s">
        <v>2590</v>
      </c>
      <c r="I1140" s="10" t="s">
        <v>27</v>
      </c>
      <c r="J1140" s="10" t="s">
        <v>2591</v>
      </c>
      <c r="K1140" s="12">
        <v>46002</v>
      </c>
      <c r="L1140" s="28" t="s">
        <v>11</v>
      </c>
      <c r="M1140" s="14"/>
      <c r="N1140" s="10" t="s">
        <v>1028</v>
      </c>
    </row>
    <row r="1141" spans="1:14" ht="22.5" customHeight="1">
      <c r="A1141" s="8">
        <v>46002.637718032405</v>
      </c>
      <c r="B1141" s="9" t="s">
        <v>14</v>
      </c>
      <c r="C1141" s="9" t="s">
        <v>15</v>
      </c>
      <c r="D1141" s="10" t="s">
        <v>2592</v>
      </c>
      <c r="E1141" s="9" t="s">
        <v>17</v>
      </c>
      <c r="F1141" s="10">
        <v>24</v>
      </c>
      <c r="G1141" s="11">
        <v>9038307240</v>
      </c>
      <c r="H1141" s="10" t="s">
        <v>2593</v>
      </c>
      <c r="I1141" s="10" t="s">
        <v>45</v>
      </c>
      <c r="J1141" s="10" t="s">
        <v>521</v>
      </c>
      <c r="K1141" s="12">
        <v>46002</v>
      </c>
      <c r="L1141" s="28" t="s">
        <v>11</v>
      </c>
      <c r="M1141" s="14"/>
      <c r="N1141" s="10" t="s">
        <v>1096</v>
      </c>
    </row>
    <row r="1142" spans="1:14" ht="22.5" customHeight="1">
      <c r="A1142" s="8">
        <v>46002.638945289349</v>
      </c>
      <c r="B1142" s="9" t="s">
        <v>14</v>
      </c>
      <c r="C1142" s="9" t="s">
        <v>15</v>
      </c>
      <c r="D1142" s="10" t="s">
        <v>2594</v>
      </c>
      <c r="E1142" s="9" t="s">
        <v>22</v>
      </c>
      <c r="F1142" s="10">
        <v>30</v>
      </c>
      <c r="G1142" s="11">
        <v>8032761177</v>
      </c>
      <c r="H1142" s="10" t="s">
        <v>2595</v>
      </c>
      <c r="I1142" s="10" t="s">
        <v>27</v>
      </c>
      <c r="J1142" s="10" t="s">
        <v>172</v>
      </c>
      <c r="K1142" s="12">
        <v>46002</v>
      </c>
      <c r="L1142" s="28" t="s">
        <v>11</v>
      </c>
      <c r="M1142" s="14"/>
      <c r="N1142" s="10" t="s">
        <v>1028</v>
      </c>
    </row>
    <row r="1143" spans="1:14" ht="22.5" customHeight="1">
      <c r="A1143" s="8">
        <v>46002.641083946757</v>
      </c>
      <c r="B1143" s="9" t="s">
        <v>14</v>
      </c>
      <c r="C1143" s="9" t="s">
        <v>15</v>
      </c>
      <c r="D1143" s="10" t="s">
        <v>2596</v>
      </c>
      <c r="E1143" s="9" t="s">
        <v>17</v>
      </c>
      <c r="F1143" s="10">
        <v>33</v>
      </c>
      <c r="G1143" s="11">
        <v>8024949004</v>
      </c>
      <c r="H1143" s="10" t="s">
        <v>2597</v>
      </c>
      <c r="I1143" s="10" t="s">
        <v>27</v>
      </c>
      <c r="J1143" s="10" t="s">
        <v>1949</v>
      </c>
      <c r="K1143" s="12">
        <v>46002</v>
      </c>
      <c r="L1143" s="28" t="s">
        <v>11</v>
      </c>
      <c r="M1143" s="14"/>
      <c r="N1143" s="10" t="s">
        <v>1028</v>
      </c>
    </row>
    <row r="1144" spans="1:14" ht="22.5" customHeight="1">
      <c r="A1144" s="8">
        <v>46002.641572187495</v>
      </c>
      <c r="B1144" s="9" t="s">
        <v>14</v>
      </c>
      <c r="C1144" s="9" t="s">
        <v>15</v>
      </c>
      <c r="D1144" s="10" t="s">
        <v>2598</v>
      </c>
      <c r="E1144" s="9" t="s">
        <v>22</v>
      </c>
      <c r="F1144" s="10">
        <v>29</v>
      </c>
      <c r="G1144" s="11">
        <v>8065039821</v>
      </c>
      <c r="H1144" s="10" t="s">
        <v>2599</v>
      </c>
      <c r="I1144" s="10" t="s">
        <v>27</v>
      </c>
      <c r="J1144" s="10" t="s">
        <v>703</v>
      </c>
      <c r="K1144" s="12">
        <v>46002</v>
      </c>
      <c r="L1144" s="28" t="s">
        <v>11</v>
      </c>
      <c r="M1144" s="14"/>
      <c r="N1144" s="10" t="s">
        <v>1028</v>
      </c>
    </row>
    <row r="1145" spans="1:14" ht="22.5" customHeight="1">
      <c r="A1145" s="8">
        <v>46002.643983402777</v>
      </c>
      <c r="B1145" s="9" t="s">
        <v>14</v>
      </c>
      <c r="C1145" s="9" t="s">
        <v>15</v>
      </c>
      <c r="D1145" s="10" t="s">
        <v>2600</v>
      </c>
      <c r="E1145" s="9" t="s">
        <v>22</v>
      </c>
      <c r="F1145" s="10">
        <v>29</v>
      </c>
      <c r="G1145" s="11">
        <v>7052102537</v>
      </c>
      <c r="H1145" s="10" t="s">
        <v>2601</v>
      </c>
      <c r="I1145" s="10" t="s">
        <v>27</v>
      </c>
      <c r="J1145" s="10" t="s">
        <v>28</v>
      </c>
      <c r="K1145" s="12">
        <v>46002</v>
      </c>
      <c r="L1145" s="28" t="s">
        <v>11</v>
      </c>
      <c r="M1145" s="14"/>
      <c r="N1145" s="10" t="s">
        <v>1028</v>
      </c>
    </row>
    <row r="1146" spans="1:14" ht="22.5" customHeight="1">
      <c r="A1146" s="8">
        <v>46002.646163333338</v>
      </c>
      <c r="B1146" s="9" t="s">
        <v>14</v>
      </c>
      <c r="C1146" s="9" t="s">
        <v>15</v>
      </c>
      <c r="D1146" s="10" t="s">
        <v>2602</v>
      </c>
      <c r="E1146" s="9" t="s">
        <v>17</v>
      </c>
      <c r="F1146" s="10">
        <v>24</v>
      </c>
      <c r="G1146" s="11">
        <v>9077655710</v>
      </c>
      <c r="H1146" s="10" t="s">
        <v>2603</v>
      </c>
      <c r="I1146" s="10" t="s">
        <v>27</v>
      </c>
      <c r="J1146" s="10" t="s">
        <v>703</v>
      </c>
      <c r="K1146" s="12">
        <v>46002</v>
      </c>
      <c r="L1146" s="28" t="s">
        <v>11</v>
      </c>
      <c r="M1146" s="14"/>
      <c r="N1146" s="10" t="s">
        <v>1028</v>
      </c>
    </row>
    <row r="1147" spans="1:14" ht="22.5" hidden="1" customHeight="1">
      <c r="A1147" s="8">
        <v>46002.646352326388</v>
      </c>
      <c r="B1147" s="9" t="s">
        <v>14</v>
      </c>
      <c r="C1147" s="9" t="s">
        <v>15</v>
      </c>
      <c r="D1147" s="10" t="s">
        <v>2604</v>
      </c>
      <c r="E1147" s="9" t="s">
        <v>17</v>
      </c>
      <c r="F1147" s="10">
        <v>29</v>
      </c>
      <c r="G1147" s="11">
        <v>7031589720</v>
      </c>
      <c r="H1147" s="10" t="s">
        <v>2605</v>
      </c>
      <c r="I1147" s="10" t="s">
        <v>27</v>
      </c>
      <c r="J1147" s="10" t="s">
        <v>2006</v>
      </c>
      <c r="K1147" s="12">
        <v>46002</v>
      </c>
      <c r="L1147" s="10" t="s">
        <v>441</v>
      </c>
      <c r="M1147" s="14"/>
      <c r="N1147" s="10" t="s">
        <v>1028</v>
      </c>
    </row>
    <row r="1148" spans="1:14" ht="22.5" hidden="1" customHeight="1">
      <c r="A1148" s="8">
        <v>46002.647185729162</v>
      </c>
      <c r="B1148" s="9" t="s">
        <v>14</v>
      </c>
      <c r="C1148" s="9" t="s">
        <v>15</v>
      </c>
      <c r="D1148" s="10" t="s">
        <v>2606</v>
      </c>
      <c r="E1148" s="9" t="s">
        <v>22</v>
      </c>
      <c r="F1148" s="10">
        <v>25</v>
      </c>
      <c r="G1148" s="11">
        <v>9030809954</v>
      </c>
      <c r="H1148" s="10" t="s">
        <v>2607</v>
      </c>
      <c r="I1148" s="10" t="s">
        <v>27</v>
      </c>
      <c r="J1148" s="10" t="s">
        <v>42</v>
      </c>
      <c r="K1148" s="12">
        <v>46002</v>
      </c>
      <c r="L1148" s="10" t="s">
        <v>441</v>
      </c>
      <c r="M1148" s="10" t="s">
        <v>1562</v>
      </c>
      <c r="N1148" s="10" t="s">
        <v>1028</v>
      </c>
    </row>
    <row r="1149" spans="1:14" ht="22.5" hidden="1" customHeight="1">
      <c r="A1149" s="8">
        <v>46002.648047314811</v>
      </c>
      <c r="B1149" s="9" t="s">
        <v>14</v>
      </c>
      <c r="C1149" s="9" t="s">
        <v>15</v>
      </c>
      <c r="D1149" s="10" t="s">
        <v>2608</v>
      </c>
      <c r="E1149" s="9" t="s">
        <v>22</v>
      </c>
      <c r="F1149" s="10">
        <v>40</v>
      </c>
      <c r="G1149" s="11">
        <v>8039717487</v>
      </c>
      <c r="H1149" s="10" t="s">
        <v>2469</v>
      </c>
      <c r="I1149" s="10" t="s">
        <v>27</v>
      </c>
      <c r="J1149" s="10" t="s">
        <v>94</v>
      </c>
      <c r="K1149" s="12">
        <v>46002</v>
      </c>
      <c r="L1149" s="10" t="s">
        <v>441</v>
      </c>
      <c r="M1149" s="10" t="s">
        <v>1827</v>
      </c>
      <c r="N1149" s="10" t="s">
        <v>1028</v>
      </c>
    </row>
    <row r="1150" spans="1:14" ht="22.5" customHeight="1">
      <c r="A1150" s="8">
        <v>46002.648408252317</v>
      </c>
      <c r="B1150" s="9" t="s">
        <v>14</v>
      </c>
      <c r="C1150" s="9" t="s">
        <v>15</v>
      </c>
      <c r="D1150" s="10" t="s">
        <v>2609</v>
      </c>
      <c r="E1150" s="9" t="s">
        <v>22</v>
      </c>
      <c r="F1150" s="10">
        <v>40</v>
      </c>
      <c r="G1150" s="11">
        <v>9165593835</v>
      </c>
      <c r="H1150" s="10" t="s">
        <v>2610</v>
      </c>
      <c r="I1150" s="10" t="s">
        <v>27</v>
      </c>
      <c r="J1150" s="10" t="s">
        <v>2611</v>
      </c>
      <c r="K1150" s="12">
        <v>46002</v>
      </c>
      <c r="L1150" s="28" t="s">
        <v>11</v>
      </c>
      <c r="M1150" s="14"/>
      <c r="N1150" s="10" t="s">
        <v>1028</v>
      </c>
    </row>
    <row r="1151" spans="1:14" ht="22.5" customHeight="1">
      <c r="A1151" s="8">
        <v>46002.649883425926</v>
      </c>
      <c r="B1151" s="9" t="s">
        <v>14</v>
      </c>
      <c r="C1151" s="9" t="s">
        <v>15</v>
      </c>
      <c r="D1151" s="10" t="s">
        <v>2612</v>
      </c>
      <c r="E1151" s="9" t="s">
        <v>22</v>
      </c>
      <c r="F1151" s="10">
        <v>38</v>
      </c>
      <c r="G1151" s="11">
        <v>8134631110</v>
      </c>
      <c r="H1151" s="10" t="s">
        <v>2613</v>
      </c>
      <c r="I1151" s="10" t="s">
        <v>27</v>
      </c>
      <c r="J1151" s="10" t="s">
        <v>372</v>
      </c>
      <c r="K1151" s="12">
        <v>46002</v>
      </c>
      <c r="L1151" s="28" t="s">
        <v>11</v>
      </c>
      <c r="M1151" s="14"/>
      <c r="N1151" s="10" t="s">
        <v>1028</v>
      </c>
    </row>
    <row r="1152" spans="1:14" ht="22.5" customHeight="1">
      <c r="A1152" s="8">
        <v>46002.65112638889</v>
      </c>
      <c r="B1152" s="9" t="s">
        <v>14</v>
      </c>
      <c r="C1152" s="9" t="s">
        <v>15</v>
      </c>
      <c r="D1152" s="10" t="s">
        <v>2614</v>
      </c>
      <c r="E1152" s="9" t="s">
        <v>22</v>
      </c>
      <c r="F1152" s="19">
        <v>33</v>
      </c>
      <c r="G1152" s="11">
        <v>7038301323</v>
      </c>
      <c r="H1152" s="10" t="s">
        <v>2615</v>
      </c>
      <c r="I1152" s="10" t="s">
        <v>27</v>
      </c>
      <c r="J1152" s="10" t="s">
        <v>703</v>
      </c>
      <c r="K1152" s="12">
        <v>46002</v>
      </c>
      <c r="L1152" s="28" t="s">
        <v>11</v>
      </c>
      <c r="M1152" s="14"/>
      <c r="N1152" s="10" t="s">
        <v>1028</v>
      </c>
    </row>
    <row r="1153" spans="1:14" ht="22.5" customHeight="1">
      <c r="A1153" s="8">
        <v>46002.653305752319</v>
      </c>
      <c r="B1153" s="9" t="s">
        <v>14</v>
      </c>
      <c r="C1153" s="9" t="s">
        <v>15</v>
      </c>
      <c r="D1153" s="10" t="s">
        <v>2616</v>
      </c>
      <c r="E1153" s="9" t="s">
        <v>22</v>
      </c>
      <c r="F1153" s="10">
        <v>32</v>
      </c>
      <c r="G1153" s="11">
        <v>8122770772</v>
      </c>
      <c r="H1153" s="10" t="s">
        <v>2617</v>
      </c>
      <c r="I1153" s="10" t="s">
        <v>27</v>
      </c>
      <c r="J1153" s="10" t="s">
        <v>372</v>
      </c>
      <c r="K1153" s="12">
        <v>46002</v>
      </c>
      <c r="L1153" s="28" t="s">
        <v>11</v>
      </c>
      <c r="M1153" s="14"/>
      <c r="N1153" s="10" t="s">
        <v>1028</v>
      </c>
    </row>
    <row r="1154" spans="1:14" ht="22.5" hidden="1" customHeight="1">
      <c r="A1154" s="8">
        <v>46002.653995231478</v>
      </c>
      <c r="B1154" s="9" t="s">
        <v>14</v>
      </c>
      <c r="C1154" s="9" t="s">
        <v>15</v>
      </c>
      <c r="D1154" s="10" t="s">
        <v>2618</v>
      </c>
      <c r="E1154" s="9" t="s">
        <v>17</v>
      </c>
      <c r="F1154" s="10">
        <v>41</v>
      </c>
      <c r="G1154" s="11">
        <v>9043257756</v>
      </c>
      <c r="H1154" s="10" t="s">
        <v>2619</v>
      </c>
      <c r="I1154" s="10" t="s">
        <v>19</v>
      </c>
      <c r="J1154" s="10" t="s">
        <v>2620</v>
      </c>
      <c r="K1154" s="12">
        <v>46002</v>
      </c>
      <c r="L1154" s="10" t="s">
        <v>441</v>
      </c>
      <c r="M1154" s="10" t="s">
        <v>1361</v>
      </c>
      <c r="N1154" s="10" t="s">
        <v>1028</v>
      </c>
    </row>
    <row r="1155" spans="1:14" ht="22.5" customHeight="1">
      <c r="A1155" s="8">
        <v>46002.656805520834</v>
      </c>
      <c r="B1155" s="9" t="s">
        <v>14</v>
      </c>
      <c r="C1155" s="9" t="s">
        <v>15</v>
      </c>
      <c r="D1155" s="10" t="s">
        <v>2621</v>
      </c>
      <c r="E1155" s="9" t="s">
        <v>22</v>
      </c>
      <c r="F1155" s="10">
        <v>27</v>
      </c>
      <c r="G1155" s="11">
        <v>8035575330</v>
      </c>
      <c r="H1155" s="10" t="s">
        <v>2622</v>
      </c>
      <c r="I1155" s="10" t="s">
        <v>27</v>
      </c>
      <c r="J1155" s="10" t="s">
        <v>94</v>
      </c>
      <c r="K1155" s="12">
        <v>46002</v>
      </c>
      <c r="L1155" s="28" t="s">
        <v>11</v>
      </c>
      <c r="M1155" s="14"/>
      <c r="N1155" s="10" t="s">
        <v>1028</v>
      </c>
    </row>
    <row r="1156" spans="1:14" ht="22.5" customHeight="1">
      <c r="A1156" s="8">
        <v>46002.65889100694</v>
      </c>
      <c r="B1156" s="9" t="s">
        <v>14</v>
      </c>
      <c r="C1156" s="9" t="s">
        <v>15</v>
      </c>
      <c r="D1156" s="10" t="s">
        <v>2623</v>
      </c>
      <c r="E1156" s="9" t="s">
        <v>17</v>
      </c>
      <c r="F1156" s="10">
        <v>26</v>
      </c>
      <c r="G1156" s="11">
        <v>7037100216</v>
      </c>
      <c r="H1156" s="10" t="s">
        <v>2624</v>
      </c>
      <c r="I1156" s="10" t="s">
        <v>27</v>
      </c>
      <c r="J1156" s="10" t="s">
        <v>2625</v>
      </c>
      <c r="K1156" s="12">
        <v>46002</v>
      </c>
      <c r="L1156" s="28" t="s">
        <v>11</v>
      </c>
      <c r="M1156" s="10"/>
      <c r="N1156" s="10" t="s">
        <v>1028</v>
      </c>
    </row>
    <row r="1157" spans="1:14" ht="22.5" customHeight="1">
      <c r="A1157" s="8">
        <v>46002.659558113424</v>
      </c>
      <c r="B1157" s="9" t="s">
        <v>14</v>
      </c>
      <c r="C1157" s="9" t="s">
        <v>15</v>
      </c>
      <c r="D1157" s="10" t="s">
        <v>2626</v>
      </c>
      <c r="E1157" s="9" t="s">
        <v>17</v>
      </c>
      <c r="F1157" s="10">
        <v>30</v>
      </c>
      <c r="G1157" s="11">
        <v>933790896</v>
      </c>
      <c r="H1157" s="10" t="s">
        <v>2627</v>
      </c>
      <c r="I1157" s="10" t="s">
        <v>19</v>
      </c>
      <c r="J1157" s="10" t="s">
        <v>2628</v>
      </c>
      <c r="K1157" s="12">
        <v>46002</v>
      </c>
      <c r="L1157" s="28" t="s">
        <v>11</v>
      </c>
      <c r="M1157" s="14"/>
      <c r="N1157" s="10" t="s">
        <v>1028</v>
      </c>
    </row>
    <row r="1158" spans="1:14" ht="22.5" customHeight="1">
      <c r="A1158" s="8">
        <v>46002.660599502313</v>
      </c>
      <c r="B1158" s="9" t="s">
        <v>14</v>
      </c>
      <c r="C1158" s="9" t="s">
        <v>15</v>
      </c>
      <c r="D1158" s="10" t="s">
        <v>2629</v>
      </c>
      <c r="E1158" s="9" t="s">
        <v>17</v>
      </c>
      <c r="F1158" s="10">
        <v>37</v>
      </c>
      <c r="G1158" s="11">
        <v>8032613357</v>
      </c>
      <c r="H1158" s="10" t="s">
        <v>2630</v>
      </c>
      <c r="I1158" s="10" t="s">
        <v>27</v>
      </c>
      <c r="J1158" s="10" t="s">
        <v>94</v>
      </c>
      <c r="K1158" s="12">
        <v>46002</v>
      </c>
      <c r="L1158" s="28" t="s">
        <v>11</v>
      </c>
      <c r="M1158" s="14"/>
      <c r="N1158" s="10" t="s">
        <v>1028</v>
      </c>
    </row>
    <row r="1159" spans="1:14" ht="22.5" customHeight="1">
      <c r="A1159" s="8">
        <v>46002.660730243057</v>
      </c>
      <c r="B1159" s="9" t="s">
        <v>14</v>
      </c>
      <c r="C1159" s="9" t="s">
        <v>15</v>
      </c>
      <c r="D1159" s="10" t="s">
        <v>2631</v>
      </c>
      <c r="E1159" s="9" t="s">
        <v>22</v>
      </c>
      <c r="F1159" s="10">
        <v>24</v>
      </c>
      <c r="G1159" s="11">
        <v>8062316006</v>
      </c>
      <c r="H1159" s="10" t="s">
        <v>2632</v>
      </c>
      <c r="I1159" s="10" t="s">
        <v>27</v>
      </c>
      <c r="J1159" s="10" t="s">
        <v>2258</v>
      </c>
      <c r="K1159" s="12">
        <v>46001</v>
      </c>
      <c r="L1159" s="28" t="s">
        <v>11</v>
      </c>
      <c r="M1159" s="14"/>
      <c r="N1159" s="10" t="s">
        <v>1028</v>
      </c>
    </row>
    <row r="1160" spans="1:14" ht="22.5" customHeight="1">
      <c r="A1160" s="8">
        <v>46002.661772256943</v>
      </c>
      <c r="B1160" s="9" t="s">
        <v>14</v>
      </c>
      <c r="C1160" s="9" t="s">
        <v>15</v>
      </c>
      <c r="D1160" s="10" t="s">
        <v>2633</v>
      </c>
      <c r="E1160" s="9" t="s">
        <v>22</v>
      </c>
      <c r="F1160" s="10">
        <v>26</v>
      </c>
      <c r="G1160" s="11">
        <v>8037121501</v>
      </c>
      <c r="H1160" s="10" t="s">
        <v>2634</v>
      </c>
      <c r="I1160" s="10" t="s">
        <v>27</v>
      </c>
      <c r="J1160" s="10" t="s">
        <v>28</v>
      </c>
      <c r="K1160" s="12">
        <v>46002</v>
      </c>
      <c r="L1160" s="28" t="s">
        <v>11</v>
      </c>
      <c r="M1160" s="14"/>
      <c r="N1160" s="10" t="s">
        <v>1028</v>
      </c>
    </row>
    <row r="1161" spans="1:14" ht="22.5" customHeight="1">
      <c r="A1161" s="8">
        <v>46002.663995034723</v>
      </c>
      <c r="B1161" s="9" t="s">
        <v>14</v>
      </c>
      <c r="C1161" s="9" t="s">
        <v>15</v>
      </c>
      <c r="D1161" s="10" t="s">
        <v>2635</v>
      </c>
      <c r="E1161" s="9" t="s">
        <v>22</v>
      </c>
      <c r="F1161" s="10">
        <v>32</v>
      </c>
      <c r="G1161" s="11">
        <v>7064752715</v>
      </c>
      <c r="H1161" s="10" t="s">
        <v>2636</v>
      </c>
      <c r="I1161" s="10" t="s">
        <v>27</v>
      </c>
      <c r="J1161" s="10" t="s">
        <v>28</v>
      </c>
      <c r="K1161" s="12">
        <v>46002</v>
      </c>
      <c r="L1161" s="28" t="s">
        <v>11</v>
      </c>
      <c r="M1161" s="14"/>
      <c r="N1161" s="10" t="s">
        <v>1028</v>
      </c>
    </row>
    <row r="1162" spans="1:14" ht="22.5" customHeight="1">
      <c r="A1162" s="8">
        <v>46002.664548877314</v>
      </c>
      <c r="B1162" s="9" t="s">
        <v>14</v>
      </c>
      <c r="C1162" s="9" t="s">
        <v>15</v>
      </c>
      <c r="D1162" s="10" t="s">
        <v>2637</v>
      </c>
      <c r="E1162" s="9" t="s">
        <v>17</v>
      </c>
      <c r="F1162" s="10">
        <v>38</v>
      </c>
      <c r="G1162" s="11">
        <v>7038330249</v>
      </c>
      <c r="H1162" s="10" t="s">
        <v>2638</v>
      </c>
      <c r="I1162" s="10" t="s">
        <v>27</v>
      </c>
      <c r="J1162" s="10" t="s">
        <v>2639</v>
      </c>
      <c r="K1162" s="12">
        <v>46002</v>
      </c>
      <c r="L1162" s="28" t="s">
        <v>11</v>
      </c>
      <c r="M1162" s="14"/>
      <c r="N1162" s="10" t="s">
        <v>1028</v>
      </c>
    </row>
    <row r="1163" spans="1:14" ht="22.5" customHeight="1">
      <c r="A1163" s="8">
        <v>46002.664679409718</v>
      </c>
      <c r="B1163" s="9" t="s">
        <v>14</v>
      </c>
      <c r="C1163" s="9" t="s">
        <v>15</v>
      </c>
      <c r="D1163" s="10" t="s">
        <v>2640</v>
      </c>
      <c r="E1163" s="9" t="s">
        <v>22</v>
      </c>
      <c r="F1163" s="10">
        <v>27</v>
      </c>
      <c r="G1163" s="11">
        <v>8135569060</v>
      </c>
      <c r="H1163" s="10" t="s">
        <v>2641</v>
      </c>
      <c r="I1163" s="10" t="s">
        <v>27</v>
      </c>
      <c r="J1163" s="10" t="s">
        <v>2258</v>
      </c>
      <c r="K1163" s="12">
        <v>46002</v>
      </c>
      <c r="L1163" s="28" t="s">
        <v>11</v>
      </c>
      <c r="M1163" s="14"/>
      <c r="N1163" s="10" t="s">
        <v>1028</v>
      </c>
    </row>
    <row r="1164" spans="1:14" ht="22.5" customHeight="1">
      <c r="A1164" s="8">
        <v>46002.664967222227</v>
      </c>
      <c r="B1164" s="9" t="s">
        <v>14</v>
      </c>
      <c r="C1164" s="9" t="s">
        <v>15</v>
      </c>
      <c r="D1164" s="10" t="s">
        <v>2642</v>
      </c>
      <c r="E1164" s="9" t="s">
        <v>22</v>
      </c>
      <c r="F1164" s="18">
        <v>28</v>
      </c>
      <c r="G1164" s="11">
        <v>9035592217</v>
      </c>
      <c r="H1164" s="10" t="s">
        <v>2643</v>
      </c>
      <c r="I1164" s="10" t="s">
        <v>27</v>
      </c>
      <c r="J1164" s="10" t="s">
        <v>372</v>
      </c>
      <c r="K1164" s="12">
        <v>46002</v>
      </c>
      <c r="L1164" s="28" t="s">
        <v>11</v>
      </c>
      <c r="M1164" s="14"/>
      <c r="N1164" s="10" t="s">
        <v>1028</v>
      </c>
    </row>
    <row r="1165" spans="1:14" ht="22.5" customHeight="1">
      <c r="A1165" s="8">
        <v>46002.665654363431</v>
      </c>
      <c r="B1165" s="9" t="s">
        <v>14</v>
      </c>
      <c r="C1165" s="9" t="s">
        <v>15</v>
      </c>
      <c r="D1165" s="10" t="s">
        <v>2644</v>
      </c>
      <c r="E1165" s="9" t="s">
        <v>17</v>
      </c>
      <c r="F1165" s="10">
        <v>38</v>
      </c>
      <c r="G1165" s="11">
        <v>8130357835</v>
      </c>
      <c r="H1165" s="10" t="s">
        <v>2645</v>
      </c>
      <c r="I1165" s="10" t="s">
        <v>27</v>
      </c>
      <c r="J1165" s="10" t="s">
        <v>372</v>
      </c>
      <c r="K1165" s="12">
        <v>46002</v>
      </c>
      <c r="L1165" s="28" t="s">
        <v>11</v>
      </c>
      <c r="M1165" s="14"/>
      <c r="N1165" s="10" t="s">
        <v>1028</v>
      </c>
    </row>
    <row r="1166" spans="1:14" ht="22.5" customHeight="1">
      <c r="A1166" s="8">
        <v>46002.666728796292</v>
      </c>
      <c r="B1166" s="9" t="s">
        <v>14</v>
      </c>
      <c r="C1166" s="9" t="s">
        <v>15</v>
      </c>
      <c r="D1166" s="10" t="s">
        <v>2646</v>
      </c>
      <c r="E1166" s="9" t="s">
        <v>17</v>
      </c>
      <c r="F1166" s="10">
        <v>28</v>
      </c>
      <c r="G1166" s="11">
        <v>9073803853</v>
      </c>
      <c r="H1166" s="10" t="s">
        <v>2647</v>
      </c>
      <c r="I1166" s="10" t="s">
        <v>27</v>
      </c>
      <c r="J1166" s="10" t="s">
        <v>1735</v>
      </c>
      <c r="K1166" s="12">
        <v>46002</v>
      </c>
      <c r="L1166" s="28" t="s">
        <v>11</v>
      </c>
      <c r="M1166" s="14"/>
      <c r="N1166" s="10" t="s">
        <v>1028</v>
      </c>
    </row>
    <row r="1167" spans="1:14" ht="22.5" customHeight="1">
      <c r="A1167" s="8">
        <v>46002.666838877311</v>
      </c>
      <c r="B1167" s="9" t="s">
        <v>14</v>
      </c>
      <c r="C1167" s="9" t="s">
        <v>15</v>
      </c>
      <c r="D1167" s="10" t="s">
        <v>2648</v>
      </c>
      <c r="E1167" s="9" t="s">
        <v>22</v>
      </c>
      <c r="F1167" s="10">
        <v>28</v>
      </c>
      <c r="G1167" s="11">
        <v>7060679717</v>
      </c>
      <c r="H1167" s="10" t="s">
        <v>2649</v>
      </c>
      <c r="I1167" s="10" t="s">
        <v>27</v>
      </c>
      <c r="J1167" s="10" t="s">
        <v>1514</v>
      </c>
      <c r="K1167" s="12">
        <v>46002</v>
      </c>
      <c r="L1167" s="28" t="s">
        <v>11</v>
      </c>
      <c r="M1167" s="14"/>
      <c r="N1167" s="10" t="s">
        <v>1028</v>
      </c>
    </row>
    <row r="1168" spans="1:14" ht="22.5" customHeight="1">
      <c r="A1168" s="8">
        <v>46002.668976932866</v>
      </c>
      <c r="B1168" s="9" t="s">
        <v>14</v>
      </c>
      <c r="C1168" s="9" t="s">
        <v>15</v>
      </c>
      <c r="D1168" s="10" t="s">
        <v>2650</v>
      </c>
      <c r="E1168" s="9" t="s">
        <v>22</v>
      </c>
      <c r="F1168" s="10">
        <v>20</v>
      </c>
      <c r="G1168" s="11">
        <v>7031448585</v>
      </c>
      <c r="H1168" s="10" t="s">
        <v>2651</v>
      </c>
      <c r="I1168" s="10" t="s">
        <v>27</v>
      </c>
      <c r="J1168" s="10" t="s">
        <v>1672</v>
      </c>
      <c r="K1168" s="12">
        <v>46002</v>
      </c>
      <c r="L1168" s="28" t="s">
        <v>11</v>
      </c>
      <c r="M1168" s="14"/>
      <c r="N1168" s="10" t="s">
        <v>1028</v>
      </c>
    </row>
    <row r="1169" spans="1:14" ht="22.5" customHeight="1">
      <c r="A1169" s="8">
        <v>46002.671218703705</v>
      </c>
      <c r="B1169" s="9" t="s">
        <v>14</v>
      </c>
      <c r="C1169" s="9" t="s">
        <v>15</v>
      </c>
      <c r="D1169" s="10" t="s">
        <v>2652</v>
      </c>
      <c r="E1169" s="9" t="s">
        <v>17</v>
      </c>
      <c r="F1169" s="10">
        <v>26</v>
      </c>
      <c r="G1169" s="11">
        <v>8110166258</v>
      </c>
      <c r="H1169" s="10" t="s">
        <v>2653</v>
      </c>
      <c r="I1169" s="10" t="s">
        <v>27</v>
      </c>
      <c r="J1169" s="10" t="s">
        <v>1514</v>
      </c>
      <c r="K1169" s="12">
        <v>46002</v>
      </c>
      <c r="L1169" s="28" t="s">
        <v>11</v>
      </c>
      <c r="M1169" s="14"/>
      <c r="N1169" s="10" t="s">
        <v>1028</v>
      </c>
    </row>
    <row r="1170" spans="1:14" ht="22.5" customHeight="1">
      <c r="A1170" s="8">
        <v>46002.673641238427</v>
      </c>
      <c r="B1170" s="9" t="s">
        <v>14</v>
      </c>
      <c r="C1170" s="9" t="s">
        <v>15</v>
      </c>
      <c r="D1170" s="10" t="s">
        <v>2654</v>
      </c>
      <c r="E1170" s="9" t="s">
        <v>22</v>
      </c>
      <c r="F1170" s="10">
        <v>33</v>
      </c>
      <c r="G1170" s="11">
        <v>7062868014</v>
      </c>
      <c r="H1170" s="10" t="s">
        <v>2655</v>
      </c>
      <c r="I1170" s="10" t="s">
        <v>27</v>
      </c>
      <c r="J1170" s="10" t="s">
        <v>703</v>
      </c>
      <c r="K1170" s="12">
        <v>33666</v>
      </c>
      <c r="L1170" s="28" t="s">
        <v>11</v>
      </c>
      <c r="M1170" s="14"/>
      <c r="N1170" s="10" t="s">
        <v>1028</v>
      </c>
    </row>
    <row r="1171" spans="1:14" ht="22.5" customHeight="1">
      <c r="A1171" s="8">
        <v>46002.674192280094</v>
      </c>
      <c r="B1171" s="9" t="s">
        <v>14</v>
      </c>
      <c r="C1171" s="9" t="s">
        <v>15</v>
      </c>
      <c r="D1171" s="10" t="s">
        <v>2656</v>
      </c>
      <c r="E1171" s="9" t="s">
        <v>17</v>
      </c>
      <c r="F1171" s="10">
        <v>33</v>
      </c>
      <c r="G1171" s="11">
        <v>7065983315</v>
      </c>
      <c r="H1171" s="10" t="s">
        <v>2657</v>
      </c>
      <c r="I1171" s="10" t="s">
        <v>27</v>
      </c>
      <c r="J1171" s="10" t="s">
        <v>2006</v>
      </c>
      <c r="K1171" s="12">
        <v>46002</v>
      </c>
      <c r="L1171" s="28" t="s">
        <v>11</v>
      </c>
      <c r="M1171" s="14"/>
      <c r="N1171" s="10" t="s">
        <v>1028</v>
      </c>
    </row>
    <row r="1172" spans="1:14" ht="22.5" hidden="1" customHeight="1">
      <c r="A1172" s="8">
        <v>46002.675665196759</v>
      </c>
      <c r="B1172" s="9" t="s">
        <v>14</v>
      </c>
      <c r="C1172" s="9" t="s">
        <v>15</v>
      </c>
      <c r="D1172" s="10" t="s">
        <v>2618</v>
      </c>
      <c r="E1172" s="9" t="s">
        <v>17</v>
      </c>
      <c r="F1172" s="10">
        <v>41</v>
      </c>
      <c r="G1172" s="11">
        <v>9043257756</v>
      </c>
      <c r="H1172" s="10" t="s">
        <v>2619</v>
      </c>
      <c r="I1172" s="10" t="s">
        <v>19</v>
      </c>
      <c r="J1172" s="10" t="s">
        <v>2658</v>
      </c>
      <c r="K1172" s="12">
        <v>46002</v>
      </c>
      <c r="L1172" s="10" t="s">
        <v>441</v>
      </c>
      <c r="M1172" s="10" t="s">
        <v>1361</v>
      </c>
      <c r="N1172" s="10" t="s">
        <v>1028</v>
      </c>
    </row>
    <row r="1173" spans="1:14" ht="22.5" customHeight="1">
      <c r="A1173" s="8">
        <v>46002.678782256946</v>
      </c>
      <c r="B1173" s="9" t="s">
        <v>14</v>
      </c>
      <c r="C1173" s="9" t="s">
        <v>15</v>
      </c>
      <c r="D1173" s="10" t="s">
        <v>2659</v>
      </c>
      <c r="E1173" s="9" t="s">
        <v>17</v>
      </c>
      <c r="F1173" s="10">
        <v>20</v>
      </c>
      <c r="G1173" s="11">
        <v>8149461086</v>
      </c>
      <c r="H1173" s="10" t="s">
        <v>2660</v>
      </c>
      <c r="I1173" s="10" t="s">
        <v>27</v>
      </c>
      <c r="J1173" s="10" t="s">
        <v>1949</v>
      </c>
      <c r="K1173" s="12">
        <v>46002</v>
      </c>
      <c r="L1173" s="28" t="s">
        <v>11</v>
      </c>
      <c r="M1173" s="14"/>
      <c r="N1173" s="10" t="s">
        <v>1028</v>
      </c>
    </row>
    <row r="1174" spans="1:14" ht="22.5" customHeight="1">
      <c r="A1174" s="8">
        <v>46002.680414745366</v>
      </c>
      <c r="B1174" s="9" t="s">
        <v>14</v>
      </c>
      <c r="C1174" s="9" t="s">
        <v>15</v>
      </c>
      <c r="D1174" s="10" t="s">
        <v>2661</v>
      </c>
      <c r="E1174" s="9" t="s">
        <v>22</v>
      </c>
      <c r="F1174" s="10">
        <v>27</v>
      </c>
      <c r="G1174" s="11">
        <v>8129375665</v>
      </c>
      <c r="H1174" s="10" t="s">
        <v>2662</v>
      </c>
      <c r="I1174" s="10" t="s">
        <v>27</v>
      </c>
      <c r="J1174" s="10" t="s">
        <v>1456</v>
      </c>
      <c r="K1174" s="12">
        <v>46002</v>
      </c>
      <c r="L1174" s="28" t="s">
        <v>11</v>
      </c>
      <c r="M1174" s="14"/>
      <c r="N1174" s="10" t="s">
        <v>1028</v>
      </c>
    </row>
    <row r="1175" spans="1:14" ht="22.5" customHeight="1">
      <c r="A1175" s="8">
        <v>46002.681388819445</v>
      </c>
      <c r="B1175" s="9" t="s">
        <v>14</v>
      </c>
      <c r="C1175" s="9" t="s">
        <v>15</v>
      </c>
      <c r="D1175" s="10" t="s">
        <v>2663</v>
      </c>
      <c r="E1175" s="9" t="s">
        <v>22</v>
      </c>
      <c r="F1175" s="10">
        <v>23</v>
      </c>
      <c r="G1175" s="11">
        <v>9119308127</v>
      </c>
      <c r="H1175" s="10" t="s">
        <v>2664</v>
      </c>
      <c r="I1175" s="10" t="s">
        <v>27</v>
      </c>
      <c r="J1175" s="10" t="s">
        <v>70</v>
      </c>
      <c r="K1175" s="12">
        <v>46002</v>
      </c>
      <c r="L1175" s="28" t="s">
        <v>11</v>
      </c>
      <c r="M1175" s="14"/>
      <c r="N1175" s="10" t="s">
        <v>1028</v>
      </c>
    </row>
    <row r="1176" spans="1:14" ht="22.5" hidden="1" customHeight="1">
      <c r="A1176" s="8">
        <v>46002.682113379633</v>
      </c>
      <c r="B1176" s="9" t="s">
        <v>14</v>
      </c>
      <c r="C1176" s="9" t="s">
        <v>15</v>
      </c>
      <c r="D1176" s="10" t="s">
        <v>2665</v>
      </c>
      <c r="E1176" s="9" t="s">
        <v>22</v>
      </c>
      <c r="F1176" s="10">
        <v>49</v>
      </c>
      <c r="G1176" s="11">
        <v>8065537233</v>
      </c>
      <c r="H1176" s="10" t="s">
        <v>2666</v>
      </c>
      <c r="I1176" s="10" t="s">
        <v>27</v>
      </c>
      <c r="J1176" s="10" t="s">
        <v>2105</v>
      </c>
      <c r="K1176" s="12">
        <v>46002</v>
      </c>
      <c r="L1176" s="10" t="s">
        <v>441</v>
      </c>
      <c r="M1176" s="10" t="s">
        <v>1827</v>
      </c>
      <c r="N1176" s="10" t="s">
        <v>1028</v>
      </c>
    </row>
    <row r="1177" spans="1:14" ht="22.5" customHeight="1">
      <c r="A1177" s="8">
        <v>46002.684560960653</v>
      </c>
      <c r="B1177" s="9" t="s">
        <v>14</v>
      </c>
      <c r="C1177" s="9" t="s">
        <v>15</v>
      </c>
      <c r="D1177" s="10" t="s">
        <v>2667</v>
      </c>
      <c r="E1177" s="9" t="s">
        <v>17</v>
      </c>
      <c r="F1177" s="10">
        <v>24</v>
      </c>
      <c r="G1177" s="11">
        <v>8142347800</v>
      </c>
      <c r="H1177" s="10" t="s">
        <v>2668</v>
      </c>
      <c r="I1177" s="10" t="s">
        <v>27</v>
      </c>
      <c r="J1177" s="10" t="s">
        <v>2669</v>
      </c>
      <c r="K1177" s="12">
        <v>46002</v>
      </c>
      <c r="L1177" s="28" t="s">
        <v>11</v>
      </c>
      <c r="M1177" s="14"/>
      <c r="N1177" s="10" t="s">
        <v>1028</v>
      </c>
    </row>
    <row r="1178" spans="1:14" ht="22.5" hidden="1" customHeight="1">
      <c r="A1178" s="8">
        <v>46002.689333321759</v>
      </c>
      <c r="B1178" s="9" t="s">
        <v>14</v>
      </c>
      <c r="C1178" s="9" t="s">
        <v>15</v>
      </c>
      <c r="D1178" s="10" t="s">
        <v>2670</v>
      </c>
      <c r="E1178" s="9" t="s">
        <v>17</v>
      </c>
      <c r="F1178" s="19">
        <v>28</v>
      </c>
      <c r="G1178" s="11">
        <v>8081658606</v>
      </c>
      <c r="H1178" s="10" t="s">
        <v>2671</v>
      </c>
      <c r="I1178" s="10" t="s">
        <v>27</v>
      </c>
      <c r="J1178" s="10" t="s">
        <v>2672</v>
      </c>
      <c r="K1178" s="12">
        <v>46002</v>
      </c>
      <c r="L1178" s="10" t="s">
        <v>441</v>
      </c>
      <c r="M1178" s="10" t="s">
        <v>1161</v>
      </c>
      <c r="N1178" s="10" t="s">
        <v>1028</v>
      </c>
    </row>
    <row r="1179" spans="1:14" ht="22.5" customHeight="1">
      <c r="A1179" s="8">
        <v>46002.690826805556</v>
      </c>
      <c r="B1179" s="9" t="s">
        <v>14</v>
      </c>
      <c r="C1179" s="9" t="s">
        <v>15</v>
      </c>
      <c r="D1179" s="10" t="s">
        <v>2673</v>
      </c>
      <c r="E1179" s="9" t="s">
        <v>17</v>
      </c>
      <c r="F1179" s="10">
        <v>21</v>
      </c>
      <c r="G1179" s="11">
        <v>9168752026</v>
      </c>
      <c r="H1179" s="10" t="s">
        <v>2674</v>
      </c>
      <c r="I1179" s="10" t="s">
        <v>27</v>
      </c>
      <c r="J1179" s="10" t="s">
        <v>2675</v>
      </c>
      <c r="K1179" s="12">
        <v>46002</v>
      </c>
      <c r="L1179" s="28" t="s">
        <v>11</v>
      </c>
      <c r="M1179" s="14"/>
      <c r="N1179" s="10" t="s">
        <v>1028</v>
      </c>
    </row>
    <row r="1180" spans="1:14" ht="22.5" customHeight="1">
      <c r="A1180" s="8">
        <v>46002.691831168981</v>
      </c>
      <c r="B1180" s="9" t="s">
        <v>14</v>
      </c>
      <c r="C1180" s="9" t="s">
        <v>15</v>
      </c>
      <c r="D1180" s="10" t="s">
        <v>2676</v>
      </c>
      <c r="E1180" s="9" t="s">
        <v>17</v>
      </c>
      <c r="F1180" s="10">
        <v>28</v>
      </c>
      <c r="G1180" s="11">
        <v>7036146025</v>
      </c>
      <c r="H1180" s="10" t="s">
        <v>2677</v>
      </c>
      <c r="I1180" s="10" t="s">
        <v>27</v>
      </c>
      <c r="J1180" s="10" t="s">
        <v>1895</v>
      </c>
      <c r="K1180" s="12">
        <v>46002</v>
      </c>
      <c r="L1180" s="28" t="s">
        <v>11</v>
      </c>
      <c r="M1180" s="14"/>
      <c r="N1180" s="10" t="s">
        <v>1028</v>
      </c>
    </row>
    <row r="1181" spans="1:14" ht="22.5" customHeight="1">
      <c r="A1181" s="8">
        <v>46002.692546273145</v>
      </c>
      <c r="B1181" s="9" t="s">
        <v>14</v>
      </c>
      <c r="C1181" s="9" t="s">
        <v>15</v>
      </c>
      <c r="D1181" s="10" t="s">
        <v>2678</v>
      </c>
      <c r="E1181" s="9" t="s">
        <v>17</v>
      </c>
      <c r="F1181" s="10">
        <v>28</v>
      </c>
      <c r="G1181" s="11">
        <v>8108557236</v>
      </c>
      <c r="H1181" s="10" t="s">
        <v>2679</v>
      </c>
      <c r="I1181" s="10" t="s">
        <v>145</v>
      </c>
      <c r="J1181" s="10" t="s">
        <v>2680</v>
      </c>
      <c r="K1181" s="12">
        <v>46002</v>
      </c>
      <c r="L1181" s="28" t="s">
        <v>11</v>
      </c>
      <c r="M1181" s="14"/>
      <c r="N1181" s="10" t="s">
        <v>1096</v>
      </c>
    </row>
    <row r="1182" spans="1:14" ht="22.5" customHeight="1">
      <c r="A1182" s="8">
        <v>46002.692629513884</v>
      </c>
      <c r="B1182" s="9" t="s">
        <v>14</v>
      </c>
      <c r="C1182" s="9" t="s">
        <v>15</v>
      </c>
      <c r="D1182" s="10" t="s">
        <v>2681</v>
      </c>
      <c r="E1182" s="9" t="s">
        <v>17</v>
      </c>
      <c r="F1182" s="10">
        <v>26</v>
      </c>
      <c r="G1182" s="11">
        <v>9124146481</v>
      </c>
      <c r="H1182" s="10" t="s">
        <v>2682</v>
      </c>
      <c r="I1182" s="10" t="s">
        <v>27</v>
      </c>
      <c r="J1182" s="10" t="s">
        <v>372</v>
      </c>
      <c r="K1182" s="12">
        <v>46002</v>
      </c>
      <c r="L1182" s="28" t="s">
        <v>11</v>
      </c>
      <c r="M1182" s="14"/>
      <c r="N1182" s="10" t="s">
        <v>1028</v>
      </c>
    </row>
    <row r="1183" spans="1:14" ht="22.5" customHeight="1">
      <c r="A1183" s="8">
        <v>46002.695421296296</v>
      </c>
      <c r="B1183" s="9" t="s">
        <v>14</v>
      </c>
      <c r="C1183" s="9" t="s">
        <v>15</v>
      </c>
      <c r="D1183" s="10" t="s">
        <v>2683</v>
      </c>
      <c r="E1183" s="9" t="s">
        <v>22</v>
      </c>
      <c r="F1183" s="18">
        <v>33</v>
      </c>
      <c r="G1183" s="11">
        <v>8102847562</v>
      </c>
      <c r="H1183" s="10" t="s">
        <v>2684</v>
      </c>
      <c r="I1183" s="10" t="s">
        <v>27</v>
      </c>
      <c r="J1183" s="10" t="s">
        <v>70</v>
      </c>
      <c r="K1183" s="12">
        <v>33716</v>
      </c>
      <c r="L1183" s="28" t="s">
        <v>11</v>
      </c>
      <c r="M1183" s="14"/>
      <c r="N1183" s="10" t="s">
        <v>1028</v>
      </c>
    </row>
    <row r="1184" spans="1:14" ht="22.5" customHeight="1">
      <c r="A1184" s="8">
        <v>46002.695578310188</v>
      </c>
      <c r="B1184" s="9" t="s">
        <v>14</v>
      </c>
      <c r="C1184" s="9" t="s">
        <v>15</v>
      </c>
      <c r="D1184" s="10" t="s">
        <v>2685</v>
      </c>
      <c r="E1184" s="9" t="s">
        <v>17</v>
      </c>
      <c r="F1184" s="10">
        <v>33</v>
      </c>
      <c r="G1184" s="11">
        <f t="shared" ref="G1184" si="27">2347066210660</f>
        <v>2347066210660</v>
      </c>
      <c r="H1184" s="10" t="s">
        <v>2686</v>
      </c>
      <c r="I1184" s="10" t="s">
        <v>27</v>
      </c>
      <c r="J1184" s="10" t="s">
        <v>172</v>
      </c>
      <c r="K1184" s="12">
        <v>46002</v>
      </c>
      <c r="L1184" s="28" t="s">
        <v>11</v>
      </c>
      <c r="M1184" s="14"/>
      <c r="N1184" s="10" t="s">
        <v>1028</v>
      </c>
    </row>
    <row r="1185" spans="1:14" ht="22.5" customHeight="1">
      <c r="A1185" s="8">
        <v>46002.701118124998</v>
      </c>
      <c r="B1185" s="9" t="s">
        <v>14</v>
      </c>
      <c r="C1185" s="9" t="s">
        <v>15</v>
      </c>
      <c r="D1185" s="10" t="s">
        <v>2687</v>
      </c>
      <c r="E1185" s="9" t="s">
        <v>17</v>
      </c>
      <c r="F1185" s="10">
        <v>28</v>
      </c>
      <c r="G1185" s="11">
        <v>7066002926</v>
      </c>
      <c r="H1185" s="10" t="s">
        <v>2688</v>
      </c>
      <c r="I1185" s="10" t="s">
        <v>27</v>
      </c>
      <c r="J1185" s="10" t="s">
        <v>1514</v>
      </c>
      <c r="K1185" s="12">
        <v>46002</v>
      </c>
      <c r="L1185" s="28" t="s">
        <v>11</v>
      </c>
      <c r="M1185" s="14"/>
      <c r="N1185" s="10" t="s">
        <v>1028</v>
      </c>
    </row>
    <row r="1186" spans="1:14" ht="22.5" customHeight="1">
      <c r="A1186" s="8">
        <v>46002.702985057869</v>
      </c>
      <c r="B1186" s="9" t="s">
        <v>14</v>
      </c>
      <c r="C1186" s="9" t="s">
        <v>15</v>
      </c>
      <c r="D1186" s="10" t="s">
        <v>2689</v>
      </c>
      <c r="E1186" s="9" t="s">
        <v>17</v>
      </c>
      <c r="F1186" s="10">
        <v>28</v>
      </c>
      <c r="G1186" s="11">
        <v>7030771429</v>
      </c>
      <c r="H1186" s="10" t="s">
        <v>2690</v>
      </c>
      <c r="I1186" s="10" t="s">
        <v>27</v>
      </c>
      <c r="J1186" s="10" t="s">
        <v>2196</v>
      </c>
      <c r="K1186" s="12">
        <v>46002</v>
      </c>
      <c r="L1186" s="28" t="s">
        <v>11</v>
      </c>
      <c r="M1186" s="14"/>
      <c r="N1186" s="10" t="s">
        <v>1028</v>
      </c>
    </row>
    <row r="1187" spans="1:14" ht="22.5" customHeight="1">
      <c r="A1187" s="8">
        <v>46002.704657141207</v>
      </c>
      <c r="B1187" s="9" t="s">
        <v>14</v>
      </c>
      <c r="C1187" s="9" t="s">
        <v>15</v>
      </c>
      <c r="D1187" s="10" t="s">
        <v>2691</v>
      </c>
      <c r="E1187" s="9" t="s">
        <v>17</v>
      </c>
      <c r="F1187" s="10">
        <v>30</v>
      </c>
      <c r="G1187" s="11">
        <v>7061153048</v>
      </c>
      <c r="H1187" s="10" t="s">
        <v>2692</v>
      </c>
      <c r="I1187" s="10" t="s">
        <v>27</v>
      </c>
      <c r="J1187" s="10" t="s">
        <v>1194</v>
      </c>
      <c r="K1187" s="12">
        <v>34487</v>
      </c>
      <c r="L1187" s="28" t="s">
        <v>11</v>
      </c>
      <c r="M1187" s="14"/>
      <c r="N1187" s="10" t="s">
        <v>1096</v>
      </c>
    </row>
    <row r="1188" spans="1:14" ht="22.5" customHeight="1">
      <c r="A1188" s="8">
        <v>46002.70494758102</v>
      </c>
      <c r="B1188" s="9" t="s">
        <v>14</v>
      </c>
      <c r="C1188" s="9" t="s">
        <v>15</v>
      </c>
      <c r="D1188" s="10" t="s">
        <v>2693</v>
      </c>
      <c r="E1188" s="9" t="s">
        <v>17</v>
      </c>
      <c r="F1188" s="10">
        <v>25</v>
      </c>
      <c r="G1188" s="11">
        <v>8161478147</v>
      </c>
      <c r="H1188" s="10" t="s">
        <v>2694</v>
      </c>
      <c r="I1188" s="10" t="s">
        <v>27</v>
      </c>
      <c r="J1188" s="10" t="s">
        <v>2196</v>
      </c>
      <c r="K1188" s="12">
        <v>46002</v>
      </c>
      <c r="L1188" s="28" t="s">
        <v>11</v>
      </c>
      <c r="M1188" s="14"/>
      <c r="N1188" s="10" t="s">
        <v>1028</v>
      </c>
    </row>
    <row r="1189" spans="1:14" ht="22.5" customHeight="1">
      <c r="A1189" s="8">
        <v>46002.705909351847</v>
      </c>
      <c r="B1189" s="9" t="s">
        <v>14</v>
      </c>
      <c r="C1189" s="9" t="s">
        <v>15</v>
      </c>
      <c r="D1189" s="10" t="s">
        <v>2695</v>
      </c>
      <c r="E1189" s="9" t="s">
        <v>17</v>
      </c>
      <c r="F1189" s="10">
        <v>19</v>
      </c>
      <c r="G1189" s="11">
        <v>9160631855</v>
      </c>
      <c r="H1189" s="10" t="s">
        <v>2696</v>
      </c>
      <c r="I1189" s="10" t="s">
        <v>27</v>
      </c>
      <c r="J1189" s="10" t="s">
        <v>703</v>
      </c>
      <c r="K1189" s="12">
        <v>46002</v>
      </c>
      <c r="L1189" s="28" t="s">
        <v>11</v>
      </c>
      <c r="M1189" s="14"/>
      <c r="N1189" s="10" t="s">
        <v>1028</v>
      </c>
    </row>
    <row r="1190" spans="1:14" ht="22.5" customHeight="1">
      <c r="A1190" s="8">
        <v>46002.70783569444</v>
      </c>
      <c r="B1190" s="9" t="s">
        <v>14</v>
      </c>
      <c r="C1190" s="9" t="s">
        <v>15</v>
      </c>
      <c r="D1190" s="10" t="s">
        <v>2697</v>
      </c>
      <c r="E1190" s="9" t="s">
        <v>17</v>
      </c>
      <c r="F1190" s="10">
        <v>24</v>
      </c>
      <c r="G1190" s="11">
        <v>8064540142</v>
      </c>
      <c r="H1190" s="10" t="s">
        <v>2698</v>
      </c>
      <c r="I1190" s="10" t="s">
        <v>27</v>
      </c>
      <c r="J1190" s="10" t="s">
        <v>94</v>
      </c>
      <c r="K1190" s="12">
        <v>37194</v>
      </c>
      <c r="L1190" s="28" t="s">
        <v>11</v>
      </c>
      <c r="M1190" s="14"/>
      <c r="N1190" s="10" t="s">
        <v>1028</v>
      </c>
    </row>
    <row r="1191" spans="1:14" ht="22.5" customHeight="1">
      <c r="A1191" s="8">
        <v>46002.709306238423</v>
      </c>
      <c r="B1191" s="9" t="s">
        <v>14</v>
      </c>
      <c r="C1191" s="9" t="s">
        <v>15</v>
      </c>
      <c r="D1191" s="10" t="s">
        <v>2699</v>
      </c>
      <c r="E1191" s="9" t="s">
        <v>22</v>
      </c>
      <c r="F1191" s="10">
        <v>25</v>
      </c>
      <c r="G1191" s="11">
        <v>7037651729</v>
      </c>
      <c r="H1191" s="10" t="s">
        <v>2700</v>
      </c>
      <c r="I1191" s="10" t="s">
        <v>27</v>
      </c>
      <c r="J1191" s="10" t="s">
        <v>94</v>
      </c>
      <c r="K1191" s="12">
        <v>46002</v>
      </c>
      <c r="L1191" s="28" t="s">
        <v>11</v>
      </c>
      <c r="M1191" s="14"/>
      <c r="N1191" s="10" t="s">
        <v>1028</v>
      </c>
    </row>
    <row r="1192" spans="1:14" ht="22.5" customHeight="1">
      <c r="A1192" s="8">
        <v>46002.710873865741</v>
      </c>
      <c r="B1192" s="9" t="s">
        <v>14</v>
      </c>
      <c r="C1192" s="9" t="s">
        <v>15</v>
      </c>
      <c r="D1192" s="10" t="s">
        <v>2701</v>
      </c>
      <c r="E1192" s="9" t="s">
        <v>17</v>
      </c>
      <c r="F1192" s="10">
        <v>23</v>
      </c>
      <c r="G1192" s="11">
        <v>9165256102</v>
      </c>
      <c r="H1192" s="10" t="s">
        <v>2702</v>
      </c>
      <c r="I1192" s="10" t="s">
        <v>27</v>
      </c>
      <c r="J1192" s="10" t="s">
        <v>2105</v>
      </c>
      <c r="K1192" s="12">
        <v>46002</v>
      </c>
      <c r="L1192" s="28" t="s">
        <v>11</v>
      </c>
      <c r="M1192" s="14"/>
      <c r="N1192" s="10" t="s">
        <v>1028</v>
      </c>
    </row>
    <row r="1193" spans="1:14" ht="22.5" customHeight="1">
      <c r="A1193" s="8">
        <v>46002.711188043977</v>
      </c>
      <c r="B1193" s="9" t="s">
        <v>14</v>
      </c>
      <c r="C1193" s="9" t="s">
        <v>15</v>
      </c>
      <c r="D1193" s="10" t="s">
        <v>2703</v>
      </c>
      <c r="E1193" s="9" t="s">
        <v>17</v>
      </c>
      <c r="F1193" s="10">
        <v>22</v>
      </c>
      <c r="G1193" s="11">
        <v>8130770434</v>
      </c>
      <c r="H1193" s="10" t="s">
        <v>2704</v>
      </c>
      <c r="I1193" s="10" t="s">
        <v>27</v>
      </c>
      <c r="J1193" s="10" t="s">
        <v>70</v>
      </c>
      <c r="K1193" s="12">
        <v>46002</v>
      </c>
      <c r="L1193" s="28" t="s">
        <v>11</v>
      </c>
      <c r="M1193" s="10"/>
      <c r="N1193" s="10" t="s">
        <v>2705</v>
      </c>
    </row>
    <row r="1194" spans="1:14" ht="22.5" customHeight="1">
      <c r="A1194" s="8">
        <v>46002.711528275468</v>
      </c>
      <c r="B1194" s="9" t="s">
        <v>14</v>
      </c>
      <c r="C1194" s="9" t="s">
        <v>15</v>
      </c>
      <c r="D1194" s="10" t="s">
        <v>2706</v>
      </c>
      <c r="E1194" s="9" t="s">
        <v>22</v>
      </c>
      <c r="F1194" s="10">
        <v>20</v>
      </c>
      <c r="G1194" s="11">
        <v>9063253179</v>
      </c>
      <c r="H1194" s="10" t="s">
        <v>2707</v>
      </c>
      <c r="I1194" s="10" t="s">
        <v>27</v>
      </c>
      <c r="J1194" s="10" t="s">
        <v>2196</v>
      </c>
      <c r="K1194" s="12">
        <v>46002</v>
      </c>
      <c r="L1194" s="28" t="s">
        <v>11</v>
      </c>
      <c r="M1194" s="14"/>
      <c r="N1194" s="10" t="s">
        <v>1028</v>
      </c>
    </row>
    <row r="1195" spans="1:14" ht="22.5" customHeight="1">
      <c r="A1195" s="8">
        <v>46002.716874016201</v>
      </c>
      <c r="B1195" s="9" t="s">
        <v>14</v>
      </c>
      <c r="C1195" s="9" t="s">
        <v>15</v>
      </c>
      <c r="D1195" s="10" t="s">
        <v>2708</v>
      </c>
      <c r="E1195" s="9" t="s">
        <v>17</v>
      </c>
      <c r="F1195" s="10">
        <v>25</v>
      </c>
      <c r="G1195" s="11">
        <v>9066795586</v>
      </c>
      <c r="H1195" s="10" t="s">
        <v>2709</v>
      </c>
      <c r="I1195" s="10" t="s">
        <v>45</v>
      </c>
      <c r="J1195" s="10" t="s">
        <v>2710</v>
      </c>
      <c r="K1195" s="12">
        <v>46002</v>
      </c>
      <c r="L1195" s="28" t="s">
        <v>11</v>
      </c>
      <c r="M1195" s="14"/>
      <c r="N1195" s="10" t="s">
        <v>1096</v>
      </c>
    </row>
    <row r="1196" spans="1:14" ht="22.5" customHeight="1">
      <c r="A1196" s="8">
        <v>46002.716953287032</v>
      </c>
      <c r="B1196" s="9" t="s">
        <v>14</v>
      </c>
      <c r="C1196" s="9" t="s">
        <v>15</v>
      </c>
      <c r="D1196" s="10" t="s">
        <v>2711</v>
      </c>
      <c r="E1196" s="9" t="s">
        <v>22</v>
      </c>
      <c r="F1196" s="10">
        <v>22</v>
      </c>
      <c r="G1196" s="11">
        <v>9160711477</v>
      </c>
      <c r="H1196" s="10" t="s">
        <v>2712</v>
      </c>
      <c r="I1196" s="10" t="s">
        <v>27</v>
      </c>
      <c r="J1196" s="10" t="s">
        <v>2713</v>
      </c>
      <c r="K1196" s="12">
        <v>46002</v>
      </c>
      <c r="L1196" s="28" t="s">
        <v>11</v>
      </c>
      <c r="M1196" s="14"/>
      <c r="N1196" s="10" t="s">
        <v>1028</v>
      </c>
    </row>
    <row r="1197" spans="1:14" ht="22.5" customHeight="1">
      <c r="A1197" s="8">
        <v>46002.717452858793</v>
      </c>
      <c r="B1197" s="9" t="s">
        <v>14</v>
      </c>
      <c r="C1197" s="9" t="s">
        <v>15</v>
      </c>
      <c r="D1197" s="10" t="s">
        <v>2714</v>
      </c>
      <c r="E1197" s="9" t="s">
        <v>22</v>
      </c>
      <c r="F1197" s="10">
        <v>24</v>
      </c>
      <c r="G1197" s="11">
        <v>9066963013</v>
      </c>
      <c r="H1197" s="10" t="s">
        <v>2715</v>
      </c>
      <c r="I1197" s="10" t="s">
        <v>27</v>
      </c>
      <c r="J1197" s="10" t="s">
        <v>172</v>
      </c>
      <c r="K1197" s="12">
        <v>46002</v>
      </c>
      <c r="L1197" s="28" t="s">
        <v>11</v>
      </c>
      <c r="M1197" s="14"/>
      <c r="N1197" s="10" t="s">
        <v>1028</v>
      </c>
    </row>
    <row r="1198" spans="1:14" ht="22.5" customHeight="1">
      <c r="A1198" s="8">
        <v>46002.717488449074</v>
      </c>
      <c r="B1198" s="9" t="s">
        <v>14</v>
      </c>
      <c r="C1198" s="9" t="s">
        <v>15</v>
      </c>
      <c r="D1198" s="10" t="s">
        <v>2716</v>
      </c>
      <c r="E1198" s="9" t="s">
        <v>17</v>
      </c>
      <c r="F1198" s="10">
        <v>35</v>
      </c>
      <c r="G1198" s="11">
        <v>8126203042</v>
      </c>
      <c r="H1198" s="10" t="s">
        <v>2717</v>
      </c>
      <c r="I1198" s="10" t="s">
        <v>27</v>
      </c>
      <c r="J1198" s="10" t="s">
        <v>172</v>
      </c>
      <c r="K1198" s="12">
        <v>46002</v>
      </c>
      <c r="L1198" s="28" t="s">
        <v>11</v>
      </c>
      <c r="M1198" s="14"/>
      <c r="N1198" s="10" t="s">
        <v>1028</v>
      </c>
    </row>
    <row r="1199" spans="1:14" ht="22.5" customHeight="1">
      <c r="A1199" s="8">
        <v>46002.718019687498</v>
      </c>
      <c r="B1199" s="9" t="s">
        <v>14</v>
      </c>
      <c r="C1199" s="9" t="s">
        <v>15</v>
      </c>
      <c r="D1199" s="10" t="s">
        <v>2718</v>
      </c>
      <c r="E1199" s="9" t="s">
        <v>22</v>
      </c>
      <c r="F1199" s="10">
        <v>25</v>
      </c>
      <c r="G1199" s="11">
        <v>9131675522</v>
      </c>
      <c r="H1199" s="10" t="s">
        <v>2719</v>
      </c>
      <c r="I1199" s="10" t="s">
        <v>27</v>
      </c>
      <c r="J1199" s="10" t="s">
        <v>1514</v>
      </c>
      <c r="K1199" s="12">
        <v>46002</v>
      </c>
      <c r="L1199" s="28" t="s">
        <v>11</v>
      </c>
      <c r="M1199" s="14"/>
      <c r="N1199" s="10" t="s">
        <v>1028</v>
      </c>
    </row>
    <row r="1200" spans="1:14" ht="22.5" customHeight="1">
      <c r="A1200" s="8">
        <v>46002.718561145834</v>
      </c>
      <c r="B1200" s="9" t="s">
        <v>14</v>
      </c>
      <c r="C1200" s="9" t="s">
        <v>15</v>
      </c>
      <c r="D1200" s="10" t="s">
        <v>2720</v>
      </c>
      <c r="E1200" s="9" t="s">
        <v>22</v>
      </c>
      <c r="F1200" s="10">
        <v>30</v>
      </c>
      <c r="G1200" s="11">
        <v>7031695052</v>
      </c>
      <c r="H1200" s="10" t="s">
        <v>2721</v>
      </c>
      <c r="I1200" s="10" t="s">
        <v>27</v>
      </c>
      <c r="J1200" s="10" t="s">
        <v>2417</v>
      </c>
      <c r="K1200" s="12">
        <v>46002</v>
      </c>
      <c r="L1200" s="28" t="s">
        <v>11</v>
      </c>
      <c r="M1200" s="10"/>
      <c r="N1200" s="10" t="s">
        <v>1028</v>
      </c>
    </row>
    <row r="1201" spans="1:20" ht="22.5" customHeight="1">
      <c r="A1201" s="8">
        <v>46002.72069357639</v>
      </c>
      <c r="B1201" s="9" t="s">
        <v>14</v>
      </c>
      <c r="C1201" s="9" t="s">
        <v>15</v>
      </c>
      <c r="D1201" s="10" t="s">
        <v>2722</v>
      </c>
      <c r="E1201" s="9" t="s">
        <v>17</v>
      </c>
      <c r="F1201" s="10">
        <v>26</v>
      </c>
      <c r="G1201" s="11">
        <v>7066562527</v>
      </c>
      <c r="H1201" s="10" t="s">
        <v>2723</v>
      </c>
      <c r="I1201" s="10" t="s">
        <v>27</v>
      </c>
      <c r="J1201" s="10" t="s">
        <v>42</v>
      </c>
      <c r="K1201" s="12">
        <v>46002</v>
      </c>
      <c r="L1201" s="28" t="s">
        <v>11</v>
      </c>
      <c r="M1201" s="14"/>
      <c r="N1201" s="10" t="s">
        <v>1028</v>
      </c>
    </row>
    <row r="1202" spans="1:20" ht="22.5" customHeight="1">
      <c r="A1202" s="8">
        <v>46002.721870775466</v>
      </c>
      <c r="B1202" s="9" t="s">
        <v>14</v>
      </c>
      <c r="C1202" s="9" t="s">
        <v>15</v>
      </c>
      <c r="D1202" s="10" t="s">
        <v>2724</v>
      </c>
      <c r="E1202" s="9" t="s">
        <v>22</v>
      </c>
      <c r="F1202" s="10">
        <v>42</v>
      </c>
      <c r="G1202" s="11">
        <v>8131655416</v>
      </c>
      <c r="H1202" s="10" t="s">
        <v>2725</v>
      </c>
      <c r="I1202" s="10" t="s">
        <v>27</v>
      </c>
      <c r="J1202" s="10" t="s">
        <v>70</v>
      </c>
      <c r="K1202" s="12">
        <v>46002</v>
      </c>
      <c r="L1202" s="28" t="s">
        <v>11</v>
      </c>
      <c r="M1202" s="14"/>
      <c r="N1202" s="10" t="s">
        <v>1028</v>
      </c>
    </row>
    <row r="1203" spans="1:20" ht="22.5" customHeight="1">
      <c r="A1203" s="8">
        <v>46002.724266990743</v>
      </c>
      <c r="B1203" s="9" t="s">
        <v>14</v>
      </c>
      <c r="C1203" s="9" t="s">
        <v>15</v>
      </c>
      <c r="D1203" s="10" t="s">
        <v>2726</v>
      </c>
      <c r="E1203" s="9" t="s">
        <v>17</v>
      </c>
      <c r="F1203" s="10">
        <v>27</v>
      </c>
      <c r="G1203" s="11">
        <v>8129642215</v>
      </c>
      <c r="H1203" s="10" t="s">
        <v>2727</v>
      </c>
      <c r="I1203" s="10" t="s">
        <v>27</v>
      </c>
      <c r="J1203" s="10" t="s">
        <v>94</v>
      </c>
      <c r="K1203" s="12">
        <v>46002</v>
      </c>
      <c r="L1203" s="28" t="s">
        <v>11</v>
      </c>
      <c r="M1203" s="10"/>
      <c r="N1203" s="10" t="s">
        <v>1028</v>
      </c>
    </row>
    <row r="1204" spans="1:20" ht="22.5" customHeight="1">
      <c r="A1204" s="8">
        <v>46002.725870381946</v>
      </c>
      <c r="B1204" s="9" t="s">
        <v>14</v>
      </c>
      <c r="C1204" s="9" t="s">
        <v>15</v>
      </c>
      <c r="D1204" s="10" t="s">
        <v>2728</v>
      </c>
      <c r="E1204" s="9" t="s">
        <v>17</v>
      </c>
      <c r="F1204" s="10">
        <v>54</v>
      </c>
      <c r="G1204" s="11">
        <v>8065670218</v>
      </c>
      <c r="H1204" s="10" t="s">
        <v>2729</v>
      </c>
      <c r="I1204" s="10" t="s">
        <v>27</v>
      </c>
      <c r="J1204" s="10" t="s">
        <v>1514</v>
      </c>
      <c r="K1204" s="12">
        <v>46002</v>
      </c>
      <c r="L1204" s="28" t="s">
        <v>11</v>
      </c>
      <c r="M1204" s="14"/>
      <c r="N1204" s="10" t="s">
        <v>1028</v>
      </c>
    </row>
    <row r="1205" spans="1:20" ht="22.5" customHeight="1">
      <c r="A1205" s="8">
        <v>46002.726989282412</v>
      </c>
      <c r="B1205" s="9" t="s">
        <v>14</v>
      </c>
      <c r="C1205" s="9" t="s">
        <v>15</v>
      </c>
      <c r="D1205" s="10" t="s">
        <v>2730</v>
      </c>
      <c r="E1205" s="9" t="s">
        <v>22</v>
      </c>
      <c r="F1205" s="10">
        <v>25</v>
      </c>
      <c r="G1205" s="11">
        <v>8026043265</v>
      </c>
      <c r="H1205" s="10" t="s">
        <v>2731</v>
      </c>
      <c r="I1205" s="10" t="s">
        <v>27</v>
      </c>
      <c r="J1205" s="10" t="s">
        <v>2069</v>
      </c>
      <c r="K1205" s="12">
        <v>46002</v>
      </c>
      <c r="L1205" s="28" t="s">
        <v>11</v>
      </c>
      <c r="M1205" s="10"/>
      <c r="N1205" s="10" t="s">
        <v>1028</v>
      </c>
      <c r="O1205" s="16"/>
      <c r="P1205" s="17"/>
      <c r="Q1205" s="17"/>
      <c r="R1205" s="17"/>
      <c r="S1205" s="17"/>
      <c r="T1205" s="17"/>
    </row>
    <row r="1206" spans="1:20" ht="22.5" customHeight="1">
      <c r="A1206" s="8">
        <v>46002.728676053244</v>
      </c>
      <c r="B1206" s="9" t="s">
        <v>14</v>
      </c>
      <c r="C1206" s="9" t="s">
        <v>15</v>
      </c>
      <c r="D1206" s="10" t="s">
        <v>2463</v>
      </c>
      <c r="E1206" s="9" t="s">
        <v>17</v>
      </c>
      <c r="F1206" s="10">
        <v>26</v>
      </c>
      <c r="G1206" s="11">
        <v>7015003748</v>
      </c>
      <c r="H1206" s="10" t="s">
        <v>2464</v>
      </c>
      <c r="I1206" s="10" t="s">
        <v>27</v>
      </c>
      <c r="J1206" s="10" t="s">
        <v>172</v>
      </c>
      <c r="K1206" s="12">
        <v>46002</v>
      </c>
      <c r="L1206" s="28" t="s">
        <v>11</v>
      </c>
      <c r="M1206" s="14"/>
      <c r="N1206" s="10" t="s">
        <v>1028</v>
      </c>
    </row>
    <row r="1207" spans="1:20" ht="22.5" customHeight="1">
      <c r="A1207" s="8">
        <v>46002.728782349535</v>
      </c>
      <c r="B1207" s="9" t="s">
        <v>14</v>
      </c>
      <c r="C1207" s="9" t="s">
        <v>15</v>
      </c>
      <c r="D1207" s="10" t="s">
        <v>2732</v>
      </c>
      <c r="E1207" s="9" t="s">
        <v>22</v>
      </c>
      <c r="F1207" s="10">
        <v>21</v>
      </c>
      <c r="G1207" s="11">
        <v>9063510181</v>
      </c>
      <c r="H1207" s="10" t="s">
        <v>2733</v>
      </c>
      <c r="I1207" s="10" t="s">
        <v>27</v>
      </c>
      <c r="J1207" s="10" t="s">
        <v>2734</v>
      </c>
      <c r="K1207" s="12">
        <v>46002</v>
      </c>
      <c r="L1207" s="28" t="s">
        <v>11</v>
      </c>
      <c r="M1207" s="14"/>
      <c r="N1207" s="10" t="s">
        <v>1028</v>
      </c>
    </row>
    <row r="1208" spans="1:20" ht="22.5" customHeight="1">
      <c r="A1208" s="8">
        <v>46002.729505081021</v>
      </c>
      <c r="B1208" s="9" t="s">
        <v>14</v>
      </c>
      <c r="C1208" s="9" t="s">
        <v>15</v>
      </c>
      <c r="D1208" s="10" t="s">
        <v>2735</v>
      </c>
      <c r="E1208" s="9" t="s">
        <v>22</v>
      </c>
      <c r="F1208" s="10">
        <v>28</v>
      </c>
      <c r="G1208" s="11">
        <v>9029335895</v>
      </c>
      <c r="H1208" s="10" t="s">
        <v>2736</v>
      </c>
      <c r="I1208" s="10" t="s">
        <v>27</v>
      </c>
      <c r="J1208" s="10" t="s">
        <v>70</v>
      </c>
      <c r="K1208" s="12">
        <v>36050</v>
      </c>
      <c r="L1208" s="28" t="s">
        <v>11</v>
      </c>
      <c r="M1208" s="10"/>
      <c r="N1208" s="10" t="s">
        <v>1028</v>
      </c>
    </row>
    <row r="1209" spans="1:20" ht="22.5" customHeight="1">
      <c r="A1209" s="8">
        <v>46002.73094212963</v>
      </c>
      <c r="B1209" s="9" t="s">
        <v>14</v>
      </c>
      <c r="C1209" s="9" t="s">
        <v>15</v>
      </c>
      <c r="D1209" s="10" t="s">
        <v>2737</v>
      </c>
      <c r="E1209" s="9" t="s">
        <v>22</v>
      </c>
      <c r="F1209" s="10">
        <v>35</v>
      </c>
      <c r="G1209" s="11">
        <v>7030594711</v>
      </c>
      <c r="H1209" s="10" t="s">
        <v>2738</v>
      </c>
      <c r="I1209" s="10" t="s">
        <v>27</v>
      </c>
      <c r="J1209" s="10" t="s">
        <v>28</v>
      </c>
      <c r="K1209" s="12">
        <v>46002</v>
      </c>
      <c r="L1209" s="28" t="s">
        <v>11</v>
      </c>
      <c r="M1209" s="14"/>
      <c r="N1209" s="10" t="s">
        <v>1028</v>
      </c>
    </row>
    <row r="1210" spans="1:20" ht="22.5" customHeight="1">
      <c r="A1210" s="8">
        <v>46002.731401643519</v>
      </c>
      <c r="B1210" s="9" t="s">
        <v>14</v>
      </c>
      <c r="C1210" s="9" t="s">
        <v>15</v>
      </c>
      <c r="D1210" s="10" t="s">
        <v>2739</v>
      </c>
      <c r="E1210" s="9" t="s">
        <v>17</v>
      </c>
      <c r="F1210" s="10">
        <v>22</v>
      </c>
      <c r="G1210" s="11">
        <v>8146617427</v>
      </c>
      <c r="H1210" s="10" t="s">
        <v>2740</v>
      </c>
      <c r="I1210" s="10" t="s">
        <v>27</v>
      </c>
      <c r="J1210" s="10" t="s">
        <v>1907</v>
      </c>
      <c r="K1210" s="12">
        <v>46002</v>
      </c>
      <c r="L1210" s="28" t="s">
        <v>11</v>
      </c>
      <c r="M1210" s="14"/>
      <c r="N1210" s="10" t="s">
        <v>1028</v>
      </c>
    </row>
    <row r="1211" spans="1:20" ht="22.5" customHeight="1">
      <c r="A1211" s="8">
        <v>46002.731418090276</v>
      </c>
      <c r="B1211" s="9" t="s">
        <v>14</v>
      </c>
      <c r="C1211" s="9" t="s">
        <v>15</v>
      </c>
      <c r="D1211" s="10" t="s">
        <v>2741</v>
      </c>
      <c r="E1211" s="9" t="s">
        <v>17</v>
      </c>
      <c r="F1211" s="10">
        <v>32</v>
      </c>
      <c r="G1211" s="11">
        <v>9030346099</v>
      </c>
      <c r="H1211" s="10" t="s">
        <v>2742</v>
      </c>
      <c r="I1211" s="10" t="s">
        <v>27</v>
      </c>
      <c r="J1211" s="10" t="s">
        <v>2006</v>
      </c>
      <c r="K1211" s="12">
        <v>34186</v>
      </c>
      <c r="L1211" s="28" t="s">
        <v>11</v>
      </c>
      <c r="M1211" s="14"/>
      <c r="N1211" s="10" t="s">
        <v>1028</v>
      </c>
    </row>
    <row r="1212" spans="1:20" ht="22.5" customHeight="1">
      <c r="A1212" s="8">
        <v>46002.731475300927</v>
      </c>
      <c r="B1212" s="9" t="s">
        <v>14</v>
      </c>
      <c r="C1212" s="9" t="s">
        <v>15</v>
      </c>
      <c r="D1212" s="10" t="s">
        <v>2743</v>
      </c>
      <c r="E1212" s="9" t="s">
        <v>22</v>
      </c>
      <c r="F1212" s="10">
        <v>23</v>
      </c>
      <c r="G1212" s="11">
        <v>7016427841</v>
      </c>
      <c r="H1212" s="10" t="s">
        <v>2744</v>
      </c>
      <c r="I1212" s="10" t="s">
        <v>27</v>
      </c>
      <c r="J1212" s="10" t="s">
        <v>172</v>
      </c>
      <c r="K1212" s="12">
        <v>46002</v>
      </c>
      <c r="L1212" s="28" t="s">
        <v>11</v>
      </c>
      <c r="M1212" s="14"/>
      <c r="N1212" s="10" t="s">
        <v>1028</v>
      </c>
    </row>
    <row r="1213" spans="1:20" ht="22.5" customHeight="1">
      <c r="A1213" s="8">
        <v>46002.732976354164</v>
      </c>
      <c r="B1213" s="9" t="s">
        <v>14</v>
      </c>
      <c r="C1213" s="9" t="s">
        <v>15</v>
      </c>
      <c r="D1213" s="10" t="s">
        <v>2745</v>
      </c>
      <c r="E1213" s="9" t="s">
        <v>22</v>
      </c>
      <c r="F1213" s="10">
        <v>40</v>
      </c>
      <c r="G1213" s="11">
        <v>8030660790</v>
      </c>
      <c r="H1213" s="10" t="s">
        <v>2746</v>
      </c>
      <c r="I1213" s="10" t="s">
        <v>27</v>
      </c>
      <c r="J1213" s="10" t="s">
        <v>172</v>
      </c>
      <c r="K1213" s="12">
        <v>46002</v>
      </c>
      <c r="L1213" s="28" t="s">
        <v>11</v>
      </c>
      <c r="M1213" s="14"/>
      <c r="N1213" s="10" t="s">
        <v>1028</v>
      </c>
    </row>
    <row r="1214" spans="1:20" ht="22.5" hidden="1" customHeight="1">
      <c r="A1214" s="8">
        <v>46002.734341539355</v>
      </c>
      <c r="B1214" s="9" t="s">
        <v>14</v>
      </c>
      <c r="C1214" s="9" t="s">
        <v>15</v>
      </c>
      <c r="D1214" s="10" t="s">
        <v>2747</v>
      </c>
      <c r="E1214" s="9" t="s">
        <v>22</v>
      </c>
      <c r="F1214" s="10">
        <v>22</v>
      </c>
      <c r="G1214" s="11">
        <v>9122368786</v>
      </c>
      <c r="H1214" s="10" t="s">
        <v>2748</v>
      </c>
      <c r="I1214" s="10" t="s">
        <v>27</v>
      </c>
      <c r="J1214" s="10" t="s">
        <v>2069</v>
      </c>
      <c r="K1214" s="12">
        <v>46002</v>
      </c>
      <c r="L1214" s="10" t="s">
        <v>441</v>
      </c>
      <c r="M1214" s="10" t="s">
        <v>1361</v>
      </c>
      <c r="N1214" s="10" t="s">
        <v>1028</v>
      </c>
    </row>
    <row r="1215" spans="1:20" ht="22.5" customHeight="1">
      <c r="A1215" s="8">
        <v>46002.735447395833</v>
      </c>
      <c r="B1215" s="9" t="s">
        <v>14</v>
      </c>
      <c r="C1215" s="9" t="s">
        <v>15</v>
      </c>
      <c r="D1215" s="10" t="s">
        <v>2749</v>
      </c>
      <c r="E1215" s="9" t="s">
        <v>17</v>
      </c>
      <c r="F1215" s="10">
        <v>25</v>
      </c>
      <c r="G1215" s="11">
        <v>7063731774</v>
      </c>
      <c r="H1215" s="10" t="s">
        <v>2750</v>
      </c>
      <c r="I1215" s="10" t="s">
        <v>27</v>
      </c>
      <c r="J1215" s="10" t="s">
        <v>94</v>
      </c>
      <c r="K1215" s="12">
        <v>46002</v>
      </c>
      <c r="L1215" s="28" t="s">
        <v>11</v>
      </c>
      <c r="M1215" s="14"/>
      <c r="N1215" s="10" t="s">
        <v>1028</v>
      </c>
    </row>
    <row r="1216" spans="1:20" ht="22.5" customHeight="1">
      <c r="A1216" s="8">
        <v>46002.737862685186</v>
      </c>
      <c r="B1216" s="9" t="s">
        <v>14</v>
      </c>
      <c r="C1216" s="9" t="s">
        <v>15</v>
      </c>
      <c r="D1216" s="10" t="s">
        <v>2751</v>
      </c>
      <c r="E1216" s="9" t="s">
        <v>22</v>
      </c>
      <c r="F1216" s="10">
        <v>35</v>
      </c>
      <c r="G1216" s="11">
        <v>8065993994</v>
      </c>
      <c r="H1216" s="10" t="s">
        <v>2752</v>
      </c>
      <c r="I1216" s="10" t="s">
        <v>27</v>
      </c>
      <c r="J1216" s="10" t="s">
        <v>172</v>
      </c>
      <c r="K1216" s="12">
        <v>46002</v>
      </c>
      <c r="L1216" s="28" t="s">
        <v>11</v>
      </c>
      <c r="M1216" s="14"/>
      <c r="N1216" s="10" t="s">
        <v>1028</v>
      </c>
    </row>
    <row r="1217" spans="1:20" ht="22.5" customHeight="1">
      <c r="A1217" s="8">
        <v>46002.739376863421</v>
      </c>
      <c r="B1217" s="9" t="s">
        <v>14</v>
      </c>
      <c r="C1217" s="9" t="s">
        <v>15</v>
      </c>
      <c r="D1217" s="10" t="s">
        <v>2753</v>
      </c>
      <c r="E1217" s="9" t="s">
        <v>22</v>
      </c>
      <c r="F1217" s="10">
        <v>21</v>
      </c>
      <c r="G1217" s="11">
        <v>7041688519</v>
      </c>
      <c r="H1217" s="10" t="s">
        <v>2754</v>
      </c>
      <c r="I1217" s="10" t="s">
        <v>27</v>
      </c>
      <c r="J1217" s="10" t="s">
        <v>28</v>
      </c>
      <c r="K1217" s="12">
        <v>38261</v>
      </c>
      <c r="L1217" s="28" t="s">
        <v>11</v>
      </c>
      <c r="M1217" s="14"/>
      <c r="N1217" s="10" t="s">
        <v>1028</v>
      </c>
    </row>
    <row r="1218" spans="1:20" ht="22.5" customHeight="1">
      <c r="A1218" s="8">
        <v>46002.739438680554</v>
      </c>
      <c r="B1218" s="9" t="s">
        <v>14</v>
      </c>
      <c r="C1218" s="9" t="s">
        <v>15</v>
      </c>
      <c r="D1218" s="10" t="s">
        <v>2755</v>
      </c>
      <c r="E1218" s="9" t="s">
        <v>22</v>
      </c>
      <c r="F1218" s="10">
        <v>21</v>
      </c>
      <c r="G1218" s="11">
        <f>2347063510062</f>
        <v>2347063510062</v>
      </c>
      <c r="H1218" s="10" t="s">
        <v>2756</v>
      </c>
      <c r="I1218" s="10" t="s">
        <v>45</v>
      </c>
      <c r="J1218" s="10" t="s">
        <v>1247</v>
      </c>
      <c r="K1218" s="12">
        <v>46002</v>
      </c>
      <c r="L1218" s="28" t="s">
        <v>11</v>
      </c>
      <c r="M1218" s="14"/>
      <c r="N1218" s="10" t="s">
        <v>1028</v>
      </c>
    </row>
    <row r="1219" spans="1:20" ht="22.5" customHeight="1">
      <c r="A1219" s="8">
        <v>46002.739589166667</v>
      </c>
      <c r="B1219" s="9" t="s">
        <v>14</v>
      </c>
      <c r="C1219" s="9" t="s">
        <v>15</v>
      </c>
      <c r="D1219" s="10" t="s">
        <v>2757</v>
      </c>
      <c r="E1219" s="9" t="s">
        <v>22</v>
      </c>
      <c r="F1219" s="10">
        <v>27</v>
      </c>
      <c r="G1219" s="11">
        <v>9122934609</v>
      </c>
      <c r="H1219" s="10" t="s">
        <v>2758</v>
      </c>
      <c r="I1219" s="10" t="s">
        <v>27</v>
      </c>
      <c r="J1219" s="10" t="s">
        <v>70</v>
      </c>
      <c r="K1219" s="12">
        <v>46002</v>
      </c>
      <c r="L1219" s="28" t="s">
        <v>11</v>
      </c>
      <c r="M1219" s="14"/>
      <c r="N1219" s="10" t="s">
        <v>1028</v>
      </c>
    </row>
    <row r="1220" spans="1:20" ht="22.5" customHeight="1">
      <c r="A1220" s="8">
        <v>46002.739652199074</v>
      </c>
      <c r="B1220" s="9" t="s">
        <v>14</v>
      </c>
      <c r="C1220" s="9" t="s">
        <v>15</v>
      </c>
      <c r="D1220" s="10" t="s">
        <v>2759</v>
      </c>
      <c r="E1220" s="9" t="s">
        <v>22</v>
      </c>
      <c r="F1220" s="10">
        <v>27</v>
      </c>
      <c r="G1220" s="11">
        <v>9135013305</v>
      </c>
      <c r="H1220" s="10" t="s">
        <v>2760</v>
      </c>
      <c r="I1220" s="10" t="s">
        <v>45</v>
      </c>
      <c r="J1220" s="10" t="s">
        <v>2761</v>
      </c>
      <c r="K1220" s="12">
        <v>46002</v>
      </c>
      <c r="L1220" s="28" t="s">
        <v>11</v>
      </c>
      <c r="M1220" s="14"/>
      <c r="N1220" s="10" t="s">
        <v>1096</v>
      </c>
    </row>
    <row r="1221" spans="1:20" ht="22.5" customHeight="1">
      <c r="A1221" s="8">
        <v>46002.739659108796</v>
      </c>
      <c r="B1221" s="9" t="s">
        <v>14</v>
      </c>
      <c r="C1221" s="9" t="s">
        <v>15</v>
      </c>
      <c r="D1221" s="10" t="s">
        <v>2762</v>
      </c>
      <c r="E1221" s="9" t="s">
        <v>22</v>
      </c>
      <c r="F1221" s="10">
        <v>25</v>
      </c>
      <c r="G1221" s="11">
        <v>8035900702</v>
      </c>
      <c r="H1221" s="10" t="s">
        <v>2763</v>
      </c>
      <c r="I1221" s="10" t="s">
        <v>27</v>
      </c>
      <c r="J1221" s="10" t="s">
        <v>28</v>
      </c>
      <c r="K1221" s="12">
        <v>46002</v>
      </c>
      <c r="L1221" s="28" t="s">
        <v>11</v>
      </c>
      <c r="M1221" s="14"/>
      <c r="N1221" s="10" t="s">
        <v>1028</v>
      </c>
    </row>
    <row r="1222" spans="1:20" ht="22.5" customHeight="1">
      <c r="A1222" s="8">
        <v>46002.739922916662</v>
      </c>
      <c r="B1222" s="9" t="s">
        <v>14</v>
      </c>
      <c r="C1222" s="9" t="s">
        <v>15</v>
      </c>
      <c r="D1222" s="10" t="s">
        <v>2764</v>
      </c>
      <c r="E1222" s="9" t="s">
        <v>22</v>
      </c>
      <c r="F1222" s="10">
        <v>35</v>
      </c>
      <c r="G1222" s="11">
        <v>9036656889</v>
      </c>
      <c r="H1222" s="10" t="s">
        <v>2765</v>
      </c>
      <c r="I1222" s="10" t="s">
        <v>27</v>
      </c>
      <c r="J1222" s="10" t="s">
        <v>2766</v>
      </c>
      <c r="K1222" s="12">
        <v>46002</v>
      </c>
      <c r="L1222" s="28" t="s">
        <v>11</v>
      </c>
      <c r="M1222" s="14"/>
      <c r="N1222" s="10" t="s">
        <v>1028</v>
      </c>
      <c r="O1222" s="16"/>
      <c r="P1222" s="17"/>
      <c r="Q1222" s="17"/>
      <c r="R1222" s="17"/>
      <c r="S1222" s="17"/>
      <c r="T1222" s="17"/>
    </row>
    <row r="1223" spans="1:20" ht="22.5" customHeight="1">
      <c r="A1223" s="8">
        <v>46002.742142037037</v>
      </c>
      <c r="B1223" s="9" t="s">
        <v>14</v>
      </c>
      <c r="C1223" s="9" t="s">
        <v>15</v>
      </c>
      <c r="D1223" s="10" t="s">
        <v>2767</v>
      </c>
      <c r="E1223" s="9" t="s">
        <v>22</v>
      </c>
      <c r="F1223" s="10">
        <v>30</v>
      </c>
      <c r="G1223" s="11">
        <f t="shared" ref="G1223" si="28">2348034380553</f>
        <v>2348034380553</v>
      </c>
      <c r="H1223" s="10" t="s">
        <v>2768</v>
      </c>
      <c r="I1223" s="10" t="s">
        <v>27</v>
      </c>
      <c r="J1223" s="10" t="s">
        <v>70</v>
      </c>
      <c r="K1223" s="12">
        <v>46002</v>
      </c>
      <c r="L1223" s="28" t="s">
        <v>11</v>
      </c>
      <c r="M1223" s="14"/>
      <c r="N1223" s="10" t="s">
        <v>1028</v>
      </c>
    </row>
    <row r="1224" spans="1:20" ht="22.5" customHeight="1">
      <c r="A1224" s="8">
        <v>46002.742494074075</v>
      </c>
      <c r="B1224" s="9" t="s">
        <v>14</v>
      </c>
      <c r="C1224" s="9" t="s">
        <v>15</v>
      </c>
      <c r="D1224" s="10" t="s">
        <v>2769</v>
      </c>
      <c r="E1224" s="9" t="s">
        <v>17</v>
      </c>
      <c r="F1224" s="10">
        <v>41</v>
      </c>
      <c r="G1224" s="11">
        <v>8032183850</v>
      </c>
      <c r="H1224" s="10" t="s">
        <v>2770</v>
      </c>
      <c r="I1224" s="10" t="s">
        <v>49</v>
      </c>
      <c r="J1224" s="10" t="s">
        <v>103</v>
      </c>
      <c r="K1224" s="12">
        <v>46002</v>
      </c>
      <c r="L1224" s="28" t="s">
        <v>11</v>
      </c>
      <c r="M1224" s="14"/>
      <c r="N1224" s="10" t="s">
        <v>1028</v>
      </c>
    </row>
    <row r="1225" spans="1:20" ht="22.5" customHeight="1">
      <c r="A1225" s="8">
        <v>46002.742546238427</v>
      </c>
      <c r="B1225" s="9" t="s">
        <v>14</v>
      </c>
      <c r="C1225" s="9" t="s">
        <v>15</v>
      </c>
      <c r="D1225" s="10" t="s">
        <v>2771</v>
      </c>
      <c r="E1225" s="9" t="s">
        <v>22</v>
      </c>
      <c r="F1225" s="10">
        <v>25</v>
      </c>
      <c r="G1225" s="11">
        <v>8038295401</v>
      </c>
      <c r="H1225" s="10" t="s">
        <v>2772</v>
      </c>
      <c r="I1225" s="10" t="s">
        <v>27</v>
      </c>
      <c r="J1225" s="10" t="s">
        <v>2773</v>
      </c>
      <c r="K1225" s="12">
        <v>46002</v>
      </c>
      <c r="L1225" s="28" t="s">
        <v>11</v>
      </c>
      <c r="M1225" s="10"/>
      <c r="N1225" s="10" t="s">
        <v>1028</v>
      </c>
    </row>
    <row r="1226" spans="1:20" ht="22.5" customHeight="1">
      <c r="A1226" s="8">
        <v>46002.743909687502</v>
      </c>
      <c r="B1226" s="9" t="s">
        <v>14</v>
      </c>
      <c r="C1226" s="9" t="s">
        <v>15</v>
      </c>
      <c r="D1226" s="10" t="s">
        <v>2774</v>
      </c>
      <c r="E1226" s="9" t="s">
        <v>17</v>
      </c>
      <c r="F1226" s="10">
        <v>38</v>
      </c>
      <c r="G1226" s="11">
        <v>8061631070</v>
      </c>
      <c r="H1226" s="10" t="s">
        <v>2775</v>
      </c>
      <c r="I1226" s="10" t="s">
        <v>27</v>
      </c>
      <c r="J1226" s="10" t="s">
        <v>1514</v>
      </c>
      <c r="K1226" s="12">
        <v>46002</v>
      </c>
      <c r="L1226" s="28" t="s">
        <v>11</v>
      </c>
      <c r="M1226" s="14"/>
      <c r="N1226" s="10" t="s">
        <v>1028</v>
      </c>
    </row>
    <row r="1227" spans="1:20" ht="22.5" customHeight="1">
      <c r="A1227" s="8">
        <v>46002.744463900468</v>
      </c>
      <c r="B1227" s="9" t="s">
        <v>14</v>
      </c>
      <c r="C1227" s="9" t="s">
        <v>15</v>
      </c>
      <c r="D1227" s="10" t="s">
        <v>2776</v>
      </c>
      <c r="E1227" s="9" t="s">
        <v>17</v>
      </c>
      <c r="F1227" s="10">
        <v>35</v>
      </c>
      <c r="G1227" s="11">
        <v>8133171151</v>
      </c>
      <c r="H1227" s="10" t="s">
        <v>2777</v>
      </c>
      <c r="I1227" s="10" t="s">
        <v>27</v>
      </c>
      <c r="J1227" s="10" t="s">
        <v>42</v>
      </c>
      <c r="K1227" s="12">
        <v>46002</v>
      </c>
      <c r="L1227" s="28" t="s">
        <v>11</v>
      </c>
      <c r="M1227" s="14"/>
      <c r="N1227" s="10" t="s">
        <v>1028</v>
      </c>
    </row>
    <row r="1228" spans="1:20" ht="22.5" customHeight="1">
      <c r="A1228" s="8">
        <v>46002.745279537034</v>
      </c>
      <c r="B1228" s="9" t="s">
        <v>14</v>
      </c>
      <c r="C1228" s="9" t="s">
        <v>15</v>
      </c>
      <c r="D1228" s="10" t="s">
        <v>2778</v>
      </c>
      <c r="E1228" s="9" t="s">
        <v>22</v>
      </c>
      <c r="F1228" s="10">
        <v>22</v>
      </c>
      <c r="G1228" s="11">
        <v>661023533</v>
      </c>
      <c r="H1228" s="10" t="s">
        <v>2779</v>
      </c>
      <c r="I1228" s="10" t="s">
        <v>45</v>
      </c>
      <c r="J1228" s="10" t="s">
        <v>2780</v>
      </c>
      <c r="K1228" s="12">
        <v>46002</v>
      </c>
      <c r="L1228" s="28" t="s">
        <v>11</v>
      </c>
      <c r="M1228" s="14"/>
      <c r="N1228" s="10" t="s">
        <v>2781</v>
      </c>
    </row>
    <row r="1229" spans="1:20" ht="22.5" customHeight="1">
      <c r="A1229" s="8">
        <v>46002.746283125001</v>
      </c>
      <c r="B1229" s="9" t="s">
        <v>14</v>
      </c>
      <c r="C1229" s="9" t="s">
        <v>15</v>
      </c>
      <c r="D1229" s="10" t="s">
        <v>2782</v>
      </c>
      <c r="E1229" s="9" t="s">
        <v>22</v>
      </c>
      <c r="F1229" s="10">
        <v>21</v>
      </c>
      <c r="G1229" s="11">
        <v>9070866267</v>
      </c>
      <c r="H1229" s="10" t="s">
        <v>2783</v>
      </c>
      <c r="I1229" s="10" t="s">
        <v>27</v>
      </c>
      <c r="J1229" s="10" t="s">
        <v>172</v>
      </c>
      <c r="K1229" s="12">
        <v>46002</v>
      </c>
      <c r="L1229" s="28" t="s">
        <v>11</v>
      </c>
      <c r="M1229" s="14"/>
      <c r="N1229" s="10" t="s">
        <v>1028</v>
      </c>
    </row>
    <row r="1230" spans="1:20" ht="22.5" customHeight="1">
      <c r="A1230" s="8">
        <v>46002.747469814814</v>
      </c>
      <c r="B1230" s="9" t="s">
        <v>14</v>
      </c>
      <c r="C1230" s="9" t="s">
        <v>15</v>
      </c>
      <c r="D1230" s="10" t="s">
        <v>2784</v>
      </c>
      <c r="E1230" s="9" t="s">
        <v>22</v>
      </c>
      <c r="F1230" s="19">
        <v>28</v>
      </c>
      <c r="G1230" s="11">
        <v>8144395940</v>
      </c>
      <c r="H1230" s="10" t="s">
        <v>2785</v>
      </c>
      <c r="I1230" s="10" t="s">
        <v>27</v>
      </c>
      <c r="J1230" s="10" t="s">
        <v>172</v>
      </c>
      <c r="K1230" s="12">
        <v>46002</v>
      </c>
      <c r="L1230" s="28" t="s">
        <v>11</v>
      </c>
      <c r="M1230" s="14"/>
      <c r="N1230" s="10" t="s">
        <v>1028</v>
      </c>
    </row>
    <row r="1231" spans="1:20" ht="22.5" customHeight="1">
      <c r="A1231" s="8">
        <v>46002.750173263892</v>
      </c>
      <c r="B1231" s="9" t="s">
        <v>14</v>
      </c>
      <c r="C1231" s="9" t="s">
        <v>15</v>
      </c>
      <c r="D1231" s="10" t="s">
        <v>2786</v>
      </c>
      <c r="E1231" s="9" t="s">
        <v>22</v>
      </c>
      <c r="F1231" s="10">
        <v>25</v>
      </c>
      <c r="G1231" s="11">
        <v>7026334327</v>
      </c>
      <c r="H1231" s="10" t="s">
        <v>2787</v>
      </c>
      <c r="I1231" s="10" t="s">
        <v>27</v>
      </c>
      <c r="J1231" s="10" t="s">
        <v>1456</v>
      </c>
      <c r="K1231" s="12">
        <v>46002</v>
      </c>
      <c r="L1231" s="28" t="s">
        <v>11</v>
      </c>
      <c r="M1231" s="14"/>
      <c r="N1231" s="10" t="s">
        <v>1140</v>
      </c>
    </row>
    <row r="1232" spans="1:20" ht="22.5" customHeight="1">
      <c r="A1232" s="8">
        <v>46002.753446909723</v>
      </c>
      <c r="B1232" s="9" t="s">
        <v>14</v>
      </c>
      <c r="C1232" s="9" t="s">
        <v>15</v>
      </c>
      <c r="D1232" s="10" t="s">
        <v>2788</v>
      </c>
      <c r="E1232" s="9" t="s">
        <v>22</v>
      </c>
      <c r="F1232" s="10">
        <v>27</v>
      </c>
      <c r="G1232" s="11">
        <v>7040395131</v>
      </c>
      <c r="H1232" s="10" t="s">
        <v>2789</v>
      </c>
      <c r="I1232" s="10" t="s">
        <v>27</v>
      </c>
      <c r="J1232" s="10" t="s">
        <v>372</v>
      </c>
      <c r="K1232" s="12">
        <v>46002</v>
      </c>
      <c r="L1232" s="28" t="s">
        <v>11</v>
      </c>
      <c r="M1232" s="14"/>
      <c r="N1232" s="10" t="s">
        <v>1028</v>
      </c>
    </row>
    <row r="1233" spans="1:20" ht="22.5" customHeight="1">
      <c r="A1233" s="8">
        <v>46002.753941678238</v>
      </c>
      <c r="B1233" s="9" t="s">
        <v>14</v>
      </c>
      <c r="C1233" s="9" t="s">
        <v>15</v>
      </c>
      <c r="D1233" s="10" t="s">
        <v>2790</v>
      </c>
      <c r="E1233" s="9" t="s">
        <v>22</v>
      </c>
      <c r="F1233" s="10">
        <v>22</v>
      </c>
      <c r="G1233" s="11">
        <v>9167834142</v>
      </c>
      <c r="H1233" s="10" t="s">
        <v>2791</v>
      </c>
      <c r="I1233" s="10" t="s">
        <v>27</v>
      </c>
      <c r="J1233" s="10" t="s">
        <v>372</v>
      </c>
      <c r="K1233" s="12">
        <v>46002</v>
      </c>
      <c r="L1233" s="28" t="s">
        <v>11</v>
      </c>
      <c r="M1233" s="14"/>
      <c r="N1233" s="10" t="s">
        <v>1028</v>
      </c>
    </row>
    <row r="1234" spans="1:20" ht="22.5" customHeight="1">
      <c r="A1234" s="8">
        <v>46002.75441040509</v>
      </c>
      <c r="B1234" s="9" t="s">
        <v>14</v>
      </c>
      <c r="C1234" s="9" t="s">
        <v>15</v>
      </c>
      <c r="D1234" s="10" t="s">
        <v>2792</v>
      </c>
      <c r="E1234" s="9" t="s">
        <v>17</v>
      </c>
      <c r="F1234" s="10">
        <v>27</v>
      </c>
      <c r="G1234" s="11">
        <v>7035678157</v>
      </c>
      <c r="H1234" s="10" t="s">
        <v>2793</v>
      </c>
      <c r="I1234" s="10" t="s">
        <v>27</v>
      </c>
      <c r="J1234" s="10" t="s">
        <v>172</v>
      </c>
      <c r="K1234" s="12">
        <v>46002</v>
      </c>
      <c r="L1234" s="28" t="s">
        <v>11</v>
      </c>
      <c r="M1234" s="14"/>
      <c r="N1234" s="10" t="s">
        <v>1028</v>
      </c>
    </row>
    <row r="1235" spans="1:20" ht="22.5" customHeight="1">
      <c r="A1235" s="8">
        <v>46002.755091307874</v>
      </c>
      <c r="B1235" s="9" t="s">
        <v>14</v>
      </c>
      <c r="C1235" s="9" t="s">
        <v>15</v>
      </c>
      <c r="D1235" s="10" t="s">
        <v>2794</v>
      </c>
      <c r="E1235" s="9" t="s">
        <v>22</v>
      </c>
      <c r="F1235" s="10">
        <v>23</v>
      </c>
      <c r="G1235" s="11">
        <v>80362356</v>
      </c>
      <c r="H1235" s="10" t="s">
        <v>2795</v>
      </c>
      <c r="I1235" s="10" t="s">
        <v>27</v>
      </c>
      <c r="J1235" s="10" t="s">
        <v>94</v>
      </c>
      <c r="K1235" s="12">
        <v>46002</v>
      </c>
      <c r="L1235" s="28" t="s">
        <v>11</v>
      </c>
      <c r="M1235" s="14"/>
      <c r="N1235" s="10" t="s">
        <v>1028</v>
      </c>
    </row>
    <row r="1236" spans="1:20" ht="22.5" customHeight="1">
      <c r="A1236" s="8">
        <v>46002.756976458331</v>
      </c>
      <c r="B1236" s="9" t="s">
        <v>14</v>
      </c>
      <c r="C1236" s="9" t="s">
        <v>15</v>
      </c>
      <c r="D1236" s="10" t="s">
        <v>2796</v>
      </c>
      <c r="E1236" s="9" t="s">
        <v>22</v>
      </c>
      <c r="F1236" s="10">
        <v>32</v>
      </c>
      <c r="G1236" s="11">
        <v>8169230555</v>
      </c>
      <c r="H1236" s="10" t="s">
        <v>2797</v>
      </c>
      <c r="I1236" s="10" t="s">
        <v>27</v>
      </c>
      <c r="J1236" s="10" t="s">
        <v>2798</v>
      </c>
      <c r="K1236" s="12">
        <v>46002</v>
      </c>
      <c r="L1236" s="28" t="s">
        <v>11</v>
      </c>
      <c r="M1236" s="14"/>
      <c r="N1236" s="10" t="s">
        <v>1028</v>
      </c>
    </row>
    <row r="1237" spans="1:20" ht="22.5" customHeight="1">
      <c r="A1237" s="8">
        <v>46002.758968148148</v>
      </c>
      <c r="B1237" s="9" t="s">
        <v>14</v>
      </c>
      <c r="C1237" s="9" t="s">
        <v>15</v>
      </c>
      <c r="D1237" s="10" t="s">
        <v>2799</v>
      </c>
      <c r="E1237" s="9" t="s">
        <v>17</v>
      </c>
      <c r="F1237" s="18">
        <v>21</v>
      </c>
      <c r="G1237" s="11">
        <v>7042966571</v>
      </c>
      <c r="H1237" s="10" t="s">
        <v>2800</v>
      </c>
      <c r="I1237" s="10" t="s">
        <v>27</v>
      </c>
      <c r="J1237" s="10" t="s">
        <v>1514</v>
      </c>
      <c r="K1237" s="12">
        <v>46002</v>
      </c>
      <c r="L1237" s="28" t="s">
        <v>11</v>
      </c>
      <c r="M1237" s="14"/>
      <c r="N1237" s="10" t="s">
        <v>1028</v>
      </c>
    </row>
    <row r="1238" spans="1:20" ht="22.5" customHeight="1">
      <c r="A1238" s="8">
        <v>46002.760494618051</v>
      </c>
      <c r="B1238" s="9" t="s">
        <v>14</v>
      </c>
      <c r="C1238" s="9" t="s">
        <v>15</v>
      </c>
      <c r="D1238" s="10" t="s">
        <v>2801</v>
      </c>
      <c r="E1238" s="9" t="s">
        <v>17</v>
      </c>
      <c r="F1238" s="10">
        <v>26</v>
      </c>
      <c r="G1238" s="11">
        <v>9064756547</v>
      </c>
      <c r="H1238" s="10" t="s">
        <v>2802</v>
      </c>
      <c r="I1238" s="10" t="s">
        <v>49</v>
      </c>
      <c r="J1238" s="10" t="s">
        <v>452</v>
      </c>
      <c r="K1238" s="12">
        <v>46002</v>
      </c>
      <c r="L1238" s="28" t="s">
        <v>11</v>
      </c>
      <c r="M1238" s="14"/>
      <c r="N1238" s="10" t="s">
        <v>1028</v>
      </c>
    </row>
    <row r="1239" spans="1:20" ht="22.5" customHeight="1">
      <c r="A1239" s="8">
        <v>46002.761138680551</v>
      </c>
      <c r="B1239" s="9" t="s">
        <v>14</v>
      </c>
      <c r="C1239" s="9" t="s">
        <v>15</v>
      </c>
      <c r="D1239" s="10" t="s">
        <v>2803</v>
      </c>
      <c r="E1239" s="9" t="s">
        <v>22</v>
      </c>
      <c r="F1239" s="10">
        <v>28</v>
      </c>
      <c r="G1239" s="11">
        <v>9061316991</v>
      </c>
      <c r="H1239" s="10" t="s">
        <v>2804</v>
      </c>
      <c r="I1239" s="10" t="s">
        <v>27</v>
      </c>
      <c r="J1239" s="10" t="s">
        <v>172</v>
      </c>
      <c r="K1239" s="12">
        <v>46002</v>
      </c>
      <c r="L1239" s="28" t="s">
        <v>11</v>
      </c>
      <c r="M1239" s="14"/>
      <c r="N1239" s="10" t="s">
        <v>1028</v>
      </c>
    </row>
    <row r="1240" spans="1:20" ht="22.5" customHeight="1">
      <c r="A1240" s="8">
        <v>46002.762010300925</v>
      </c>
      <c r="B1240" s="9" t="s">
        <v>14</v>
      </c>
      <c r="C1240" s="9" t="s">
        <v>15</v>
      </c>
      <c r="D1240" s="10" t="s">
        <v>2805</v>
      </c>
      <c r="E1240" s="9" t="s">
        <v>22</v>
      </c>
      <c r="F1240" s="10">
        <v>19</v>
      </c>
      <c r="G1240" s="11">
        <v>7047839595</v>
      </c>
      <c r="H1240" s="10" t="s">
        <v>2806</v>
      </c>
      <c r="I1240" s="10" t="s">
        <v>27</v>
      </c>
      <c r="J1240" s="10" t="s">
        <v>172</v>
      </c>
      <c r="K1240" s="12">
        <v>46002</v>
      </c>
      <c r="L1240" s="28" t="s">
        <v>11</v>
      </c>
      <c r="M1240" s="14"/>
      <c r="N1240" s="10" t="s">
        <v>1028</v>
      </c>
    </row>
    <row r="1241" spans="1:20" ht="22.5" customHeight="1">
      <c r="A1241" s="8">
        <v>46002.762708576389</v>
      </c>
      <c r="B1241" s="9" t="s">
        <v>14</v>
      </c>
      <c r="C1241" s="9" t="s">
        <v>15</v>
      </c>
      <c r="D1241" s="10" t="s">
        <v>2807</v>
      </c>
      <c r="E1241" s="9" t="s">
        <v>17</v>
      </c>
      <c r="F1241" s="10">
        <v>32</v>
      </c>
      <c r="G1241" s="11">
        <f>251921134201</f>
        <v>251921134201</v>
      </c>
      <c r="H1241" s="10" t="s">
        <v>2808</v>
      </c>
      <c r="I1241" s="10" t="s">
        <v>202</v>
      </c>
      <c r="J1241" s="10" t="s">
        <v>2809</v>
      </c>
      <c r="K1241" s="12">
        <v>46002</v>
      </c>
      <c r="L1241" s="28" t="s">
        <v>11</v>
      </c>
      <c r="M1241" s="14"/>
      <c r="N1241" s="10" t="s">
        <v>1028</v>
      </c>
    </row>
    <row r="1242" spans="1:20" ht="22.5" customHeight="1">
      <c r="A1242" s="8">
        <v>46002.764006145837</v>
      </c>
      <c r="B1242" s="9" t="s">
        <v>14</v>
      </c>
      <c r="C1242" s="9" t="s">
        <v>15</v>
      </c>
      <c r="D1242" s="10" t="s">
        <v>2759</v>
      </c>
      <c r="E1242" s="9" t="s">
        <v>22</v>
      </c>
      <c r="F1242" s="10">
        <v>27</v>
      </c>
      <c r="G1242" s="11">
        <v>9135013305</v>
      </c>
      <c r="H1242" s="10" t="s">
        <v>2760</v>
      </c>
      <c r="I1242" s="10" t="s">
        <v>45</v>
      </c>
      <c r="J1242" s="10" t="s">
        <v>339</v>
      </c>
      <c r="K1242" s="12">
        <v>46002</v>
      </c>
      <c r="L1242" s="28" t="s">
        <v>11</v>
      </c>
      <c r="M1242" s="14"/>
      <c r="N1242" s="10" t="s">
        <v>1096</v>
      </c>
    </row>
    <row r="1243" spans="1:20" ht="22.5" customHeight="1">
      <c r="A1243" s="8">
        <v>46002.764286574078</v>
      </c>
      <c r="B1243" s="9" t="s">
        <v>14</v>
      </c>
      <c r="C1243" s="9" t="s">
        <v>15</v>
      </c>
      <c r="D1243" s="10" t="s">
        <v>2810</v>
      </c>
      <c r="E1243" s="9" t="s">
        <v>17</v>
      </c>
      <c r="F1243" s="10">
        <v>26</v>
      </c>
      <c r="G1243" s="11">
        <v>7081036632</v>
      </c>
      <c r="H1243" s="10" t="s">
        <v>2811</v>
      </c>
      <c r="I1243" s="10" t="s">
        <v>27</v>
      </c>
      <c r="J1243" s="10" t="s">
        <v>172</v>
      </c>
      <c r="K1243" s="12">
        <v>46002</v>
      </c>
      <c r="L1243" s="28" t="s">
        <v>11</v>
      </c>
      <c r="M1243" s="14"/>
      <c r="N1243" s="10" t="s">
        <v>1028</v>
      </c>
    </row>
    <row r="1244" spans="1:20" ht="22.5" customHeight="1">
      <c r="A1244" s="8">
        <v>46002.766348113422</v>
      </c>
      <c r="B1244" s="9" t="s">
        <v>14</v>
      </c>
      <c r="C1244" s="9" t="s">
        <v>15</v>
      </c>
      <c r="D1244" s="10" t="s">
        <v>2812</v>
      </c>
      <c r="E1244" s="9" t="s">
        <v>22</v>
      </c>
      <c r="F1244" s="10">
        <v>22</v>
      </c>
      <c r="G1244" s="11">
        <v>9023706696</v>
      </c>
      <c r="H1244" s="10" t="s">
        <v>2813</v>
      </c>
      <c r="I1244" s="10" t="s">
        <v>27</v>
      </c>
      <c r="J1244" s="10" t="s">
        <v>172</v>
      </c>
      <c r="K1244" s="12">
        <v>46002</v>
      </c>
      <c r="L1244" s="28" t="s">
        <v>11</v>
      </c>
      <c r="M1244" s="10"/>
      <c r="N1244" s="10" t="s">
        <v>1028</v>
      </c>
    </row>
    <row r="1245" spans="1:20" ht="22.5" customHeight="1">
      <c r="A1245" s="8">
        <v>46002.767994490743</v>
      </c>
      <c r="B1245" s="9" t="s">
        <v>14</v>
      </c>
      <c r="C1245" s="9" t="s">
        <v>15</v>
      </c>
      <c r="D1245" s="10" t="s">
        <v>2814</v>
      </c>
      <c r="E1245" s="9" t="s">
        <v>17</v>
      </c>
      <c r="F1245" s="10">
        <v>32</v>
      </c>
      <c r="G1245" s="11">
        <v>8144249251</v>
      </c>
      <c r="H1245" s="10" t="s">
        <v>2815</v>
      </c>
      <c r="I1245" s="10" t="s">
        <v>27</v>
      </c>
      <c r="J1245" s="10" t="s">
        <v>1895</v>
      </c>
      <c r="K1245" s="12">
        <v>46002</v>
      </c>
      <c r="L1245" s="28" t="s">
        <v>11</v>
      </c>
      <c r="M1245" s="14"/>
      <c r="N1245" s="10" t="s">
        <v>1028</v>
      </c>
    </row>
    <row r="1246" spans="1:20" ht="22.5" customHeight="1">
      <c r="A1246" s="8">
        <v>46002.769788518519</v>
      </c>
      <c r="B1246" s="9" t="s">
        <v>14</v>
      </c>
      <c r="C1246" s="9" t="s">
        <v>15</v>
      </c>
      <c r="D1246" s="10" t="s">
        <v>2816</v>
      </c>
      <c r="E1246" s="9" t="s">
        <v>22</v>
      </c>
      <c r="F1246" s="10">
        <v>26</v>
      </c>
      <c r="G1246" s="11">
        <v>8062742167</v>
      </c>
      <c r="H1246" s="10" t="s">
        <v>2817</v>
      </c>
      <c r="I1246" s="10" t="s">
        <v>27</v>
      </c>
      <c r="J1246" s="10" t="s">
        <v>42</v>
      </c>
      <c r="K1246" s="12">
        <v>46002</v>
      </c>
      <c r="L1246" s="28" t="s">
        <v>11</v>
      </c>
      <c r="M1246" s="14"/>
      <c r="N1246" s="10" t="s">
        <v>1028</v>
      </c>
      <c r="O1246" s="29"/>
      <c r="P1246" s="30"/>
      <c r="Q1246" s="30"/>
      <c r="R1246" s="30"/>
      <c r="S1246" s="30"/>
      <c r="T1246" s="30"/>
    </row>
    <row r="1247" spans="1:20" ht="22.5" customHeight="1">
      <c r="A1247" s="8">
        <v>46002.770603807869</v>
      </c>
      <c r="B1247" s="9" t="s">
        <v>14</v>
      </c>
      <c r="C1247" s="9" t="s">
        <v>15</v>
      </c>
      <c r="D1247" s="10" t="s">
        <v>2818</v>
      </c>
      <c r="E1247" s="9" t="s">
        <v>22</v>
      </c>
      <c r="F1247" s="10">
        <v>33</v>
      </c>
      <c r="G1247" s="11">
        <v>8035582337</v>
      </c>
      <c r="H1247" s="10" t="s">
        <v>2819</v>
      </c>
      <c r="I1247" s="10" t="s">
        <v>27</v>
      </c>
      <c r="J1247" s="10" t="s">
        <v>1559</v>
      </c>
      <c r="K1247" s="12">
        <v>46002</v>
      </c>
      <c r="L1247" s="28" t="s">
        <v>11</v>
      </c>
      <c r="M1247" s="14"/>
      <c r="N1247" s="10" t="s">
        <v>1028</v>
      </c>
    </row>
    <row r="1248" spans="1:20" ht="22.5" customHeight="1">
      <c r="A1248" s="8">
        <v>46002.771274618055</v>
      </c>
      <c r="B1248" s="9" t="s">
        <v>14</v>
      </c>
      <c r="C1248" s="9" t="s">
        <v>15</v>
      </c>
      <c r="D1248" s="10" t="s">
        <v>2820</v>
      </c>
      <c r="E1248" s="9" t="s">
        <v>22</v>
      </c>
      <c r="F1248" s="10">
        <v>25</v>
      </c>
      <c r="G1248" s="11">
        <v>8109004300</v>
      </c>
      <c r="H1248" s="10" t="s">
        <v>2227</v>
      </c>
      <c r="I1248" s="10" t="s">
        <v>27</v>
      </c>
      <c r="J1248" s="10" t="s">
        <v>2228</v>
      </c>
      <c r="K1248" s="12">
        <v>46002</v>
      </c>
      <c r="L1248" s="28" t="s">
        <v>11</v>
      </c>
      <c r="M1248" s="14"/>
      <c r="N1248" s="10" t="s">
        <v>1028</v>
      </c>
    </row>
    <row r="1249" spans="1:14" ht="22.5" customHeight="1">
      <c r="A1249" s="8">
        <v>46002.772117858796</v>
      </c>
      <c r="B1249" s="9" t="s">
        <v>14</v>
      </c>
      <c r="C1249" s="9" t="s">
        <v>15</v>
      </c>
      <c r="D1249" s="10" t="s">
        <v>2821</v>
      </c>
      <c r="E1249" s="9" t="s">
        <v>22</v>
      </c>
      <c r="F1249" s="10">
        <v>20</v>
      </c>
      <c r="G1249" s="11">
        <v>8060561092</v>
      </c>
      <c r="H1249" s="10" t="s">
        <v>2822</v>
      </c>
      <c r="I1249" s="10" t="s">
        <v>27</v>
      </c>
      <c r="J1249" s="10" t="s">
        <v>1907</v>
      </c>
      <c r="K1249" s="12">
        <v>46002</v>
      </c>
      <c r="L1249" s="28" t="s">
        <v>11</v>
      </c>
      <c r="M1249" s="14"/>
      <c r="N1249" s="10" t="s">
        <v>1028</v>
      </c>
    </row>
    <row r="1250" spans="1:14" ht="22.5" customHeight="1">
      <c r="A1250" s="8">
        <v>46002.772293425922</v>
      </c>
      <c r="B1250" s="9" t="s">
        <v>14</v>
      </c>
      <c r="C1250" s="9" t="s">
        <v>15</v>
      </c>
      <c r="D1250" s="10" t="s">
        <v>2823</v>
      </c>
      <c r="E1250" s="9" t="s">
        <v>17</v>
      </c>
      <c r="F1250" s="10">
        <v>27</v>
      </c>
      <c r="G1250" s="11">
        <v>8069429989</v>
      </c>
      <c r="H1250" s="10" t="s">
        <v>2824</v>
      </c>
      <c r="I1250" s="10" t="s">
        <v>27</v>
      </c>
      <c r="J1250" s="10" t="s">
        <v>1456</v>
      </c>
      <c r="K1250" s="12">
        <v>46002</v>
      </c>
      <c r="L1250" s="28" t="s">
        <v>11</v>
      </c>
      <c r="M1250" s="14"/>
      <c r="N1250" s="10" t="s">
        <v>1028</v>
      </c>
    </row>
    <row r="1251" spans="1:14" ht="22.5" customHeight="1">
      <c r="A1251" s="8">
        <v>46002.77328090278</v>
      </c>
      <c r="B1251" s="9" t="s">
        <v>14</v>
      </c>
      <c r="C1251" s="9" t="s">
        <v>15</v>
      </c>
      <c r="D1251" s="10" t="s">
        <v>2825</v>
      </c>
      <c r="E1251" s="9" t="s">
        <v>22</v>
      </c>
      <c r="F1251" s="10">
        <v>29</v>
      </c>
      <c r="G1251" s="11">
        <v>8164254741</v>
      </c>
      <c r="H1251" s="10" t="s">
        <v>2826</v>
      </c>
      <c r="I1251" s="10" t="s">
        <v>27</v>
      </c>
      <c r="J1251" s="10" t="s">
        <v>94</v>
      </c>
      <c r="K1251" s="12">
        <v>46002</v>
      </c>
      <c r="L1251" s="28" t="s">
        <v>11</v>
      </c>
      <c r="M1251" s="14"/>
      <c r="N1251" s="10" t="s">
        <v>1028</v>
      </c>
    </row>
    <row r="1252" spans="1:14" ht="22.5" customHeight="1">
      <c r="A1252" s="8">
        <v>46002.773547256947</v>
      </c>
      <c r="B1252" s="9" t="s">
        <v>14</v>
      </c>
      <c r="C1252" s="9" t="s">
        <v>15</v>
      </c>
      <c r="D1252" s="10" t="s">
        <v>2827</v>
      </c>
      <c r="E1252" s="9" t="s">
        <v>22</v>
      </c>
      <c r="F1252" s="10">
        <v>55</v>
      </c>
      <c r="G1252" s="11">
        <v>8028524064</v>
      </c>
      <c r="H1252" s="10" t="s">
        <v>2828</v>
      </c>
      <c r="I1252" s="10" t="s">
        <v>49</v>
      </c>
      <c r="J1252" s="10" t="s">
        <v>2829</v>
      </c>
      <c r="K1252" s="12">
        <v>46002</v>
      </c>
      <c r="L1252" s="28" t="s">
        <v>11</v>
      </c>
      <c r="M1252" s="14"/>
      <c r="N1252" s="10" t="s">
        <v>1096</v>
      </c>
    </row>
    <row r="1253" spans="1:14" ht="22.5" customHeight="1">
      <c r="A1253" s="8">
        <v>46002.773598854168</v>
      </c>
      <c r="B1253" s="9" t="s">
        <v>14</v>
      </c>
      <c r="C1253" s="9" t="s">
        <v>15</v>
      </c>
      <c r="D1253" s="10" t="s">
        <v>2830</v>
      </c>
      <c r="E1253" s="9" t="s">
        <v>22</v>
      </c>
      <c r="F1253" s="10">
        <v>30</v>
      </c>
      <c r="G1253" s="11">
        <v>8132559971</v>
      </c>
      <c r="H1253" s="10" t="s">
        <v>2831</v>
      </c>
      <c r="I1253" s="10" t="s">
        <v>27</v>
      </c>
      <c r="J1253" s="10" t="s">
        <v>172</v>
      </c>
      <c r="K1253" s="12">
        <v>46002</v>
      </c>
      <c r="L1253" s="28" t="s">
        <v>11</v>
      </c>
      <c r="M1253" s="14"/>
      <c r="N1253" s="10" t="s">
        <v>1028</v>
      </c>
    </row>
    <row r="1254" spans="1:14" ht="22.5" customHeight="1">
      <c r="A1254" s="8">
        <v>46002.775692349533</v>
      </c>
      <c r="B1254" s="9" t="s">
        <v>14</v>
      </c>
      <c r="C1254" s="9" t="s">
        <v>15</v>
      </c>
      <c r="D1254" s="10" t="s">
        <v>2832</v>
      </c>
      <c r="E1254" s="9" t="s">
        <v>22</v>
      </c>
      <c r="F1254" s="10">
        <v>22</v>
      </c>
      <c r="G1254" s="11">
        <v>7015335872</v>
      </c>
      <c r="H1254" s="10" t="s">
        <v>2833</v>
      </c>
      <c r="I1254" s="10" t="s">
        <v>27</v>
      </c>
      <c r="J1254" s="10" t="s">
        <v>70</v>
      </c>
      <c r="K1254" s="12">
        <v>46002</v>
      </c>
      <c r="L1254" s="28" t="s">
        <v>11</v>
      </c>
      <c r="M1254" s="14"/>
      <c r="N1254" s="10" t="s">
        <v>1028</v>
      </c>
    </row>
    <row r="1255" spans="1:14" ht="22.5" customHeight="1">
      <c r="A1255" s="8">
        <v>46002.777630046301</v>
      </c>
      <c r="B1255" s="9" t="s">
        <v>14</v>
      </c>
      <c r="C1255" s="9" t="s">
        <v>15</v>
      </c>
      <c r="D1255" s="10" t="s">
        <v>2834</v>
      </c>
      <c r="E1255" s="9" t="s">
        <v>22</v>
      </c>
      <c r="F1255" s="10">
        <v>24</v>
      </c>
      <c r="G1255" s="11">
        <v>7043423070</v>
      </c>
      <c r="H1255" s="10" t="s">
        <v>2835</v>
      </c>
      <c r="I1255" s="10" t="s">
        <v>27</v>
      </c>
      <c r="J1255" s="10" t="s">
        <v>2836</v>
      </c>
      <c r="K1255" s="12">
        <v>46002</v>
      </c>
      <c r="L1255" s="28" t="s">
        <v>11</v>
      </c>
      <c r="M1255" s="10"/>
      <c r="N1255" s="10" t="s">
        <v>845</v>
      </c>
    </row>
    <row r="1256" spans="1:14" ht="22.5" customHeight="1">
      <c r="A1256" s="8">
        <v>46002.778079733791</v>
      </c>
      <c r="B1256" s="9" t="s">
        <v>14</v>
      </c>
      <c r="C1256" s="9" t="s">
        <v>15</v>
      </c>
      <c r="D1256" s="10" t="s">
        <v>2837</v>
      </c>
      <c r="E1256" s="9" t="s">
        <v>17</v>
      </c>
      <c r="F1256" s="10">
        <v>25</v>
      </c>
      <c r="G1256" s="11">
        <v>7044124902</v>
      </c>
      <c r="H1256" s="10" t="s">
        <v>2838</v>
      </c>
      <c r="I1256" s="10" t="s">
        <v>27</v>
      </c>
      <c r="J1256" s="10" t="s">
        <v>2556</v>
      </c>
      <c r="K1256" s="12">
        <v>46002</v>
      </c>
      <c r="L1256" s="28" t="s">
        <v>11</v>
      </c>
      <c r="M1256" s="14"/>
      <c r="N1256" s="10" t="s">
        <v>1028</v>
      </c>
    </row>
    <row r="1257" spans="1:14" ht="22.5" customHeight="1">
      <c r="A1257" s="8">
        <v>46002.778349641201</v>
      </c>
      <c r="B1257" s="9" t="s">
        <v>14</v>
      </c>
      <c r="C1257" s="9" t="s">
        <v>15</v>
      </c>
      <c r="D1257" s="10" t="s">
        <v>2839</v>
      </c>
      <c r="E1257" s="9" t="s">
        <v>17</v>
      </c>
      <c r="F1257" s="10">
        <v>35</v>
      </c>
      <c r="G1257" s="11">
        <v>8032416261</v>
      </c>
      <c r="H1257" s="10" t="s">
        <v>2840</v>
      </c>
      <c r="I1257" s="10" t="s">
        <v>27</v>
      </c>
      <c r="J1257" s="10" t="s">
        <v>2841</v>
      </c>
      <c r="K1257" s="12">
        <v>32016</v>
      </c>
      <c r="L1257" s="28" t="s">
        <v>11</v>
      </c>
      <c r="M1257" s="14"/>
      <c r="N1257" s="10" t="s">
        <v>1028</v>
      </c>
    </row>
    <row r="1258" spans="1:14" ht="22.5" hidden="1" customHeight="1">
      <c r="A1258" s="8">
        <v>46002.778840092593</v>
      </c>
      <c r="B1258" s="9" t="s">
        <v>14</v>
      </c>
      <c r="C1258" s="9" t="s">
        <v>15</v>
      </c>
      <c r="D1258" s="10" t="s">
        <v>2842</v>
      </c>
      <c r="E1258" s="9" t="s">
        <v>17</v>
      </c>
      <c r="F1258" s="10">
        <v>33</v>
      </c>
      <c r="G1258" s="11">
        <v>8057120130</v>
      </c>
      <c r="H1258" s="10" t="s">
        <v>2843</v>
      </c>
      <c r="I1258" s="10" t="s">
        <v>27</v>
      </c>
      <c r="J1258" s="10" t="s">
        <v>2317</v>
      </c>
      <c r="K1258" s="12">
        <v>46002</v>
      </c>
      <c r="L1258" s="10" t="s">
        <v>441</v>
      </c>
      <c r="M1258" s="10" t="s">
        <v>2844</v>
      </c>
      <c r="N1258" s="10" t="s">
        <v>1028</v>
      </c>
    </row>
    <row r="1259" spans="1:14" ht="22.5" customHeight="1">
      <c r="A1259" s="8">
        <v>46002.778917164353</v>
      </c>
      <c r="B1259" s="9" t="s">
        <v>14</v>
      </c>
      <c r="C1259" s="9" t="s">
        <v>15</v>
      </c>
      <c r="D1259" s="10" t="s">
        <v>2845</v>
      </c>
      <c r="E1259" s="9" t="s">
        <v>17</v>
      </c>
      <c r="F1259" s="10">
        <v>28</v>
      </c>
      <c r="G1259" s="11">
        <v>9033963352</v>
      </c>
      <c r="H1259" s="10" t="s">
        <v>2846</v>
      </c>
      <c r="I1259" s="10" t="s">
        <v>27</v>
      </c>
      <c r="J1259" s="10" t="s">
        <v>172</v>
      </c>
      <c r="K1259" s="12">
        <v>35641</v>
      </c>
      <c r="L1259" s="28" t="s">
        <v>11</v>
      </c>
      <c r="M1259" s="14"/>
      <c r="N1259" s="10" t="s">
        <v>1028</v>
      </c>
    </row>
    <row r="1260" spans="1:14" ht="22.5" customHeight="1">
      <c r="A1260" s="8">
        <v>46002.779264074074</v>
      </c>
      <c r="B1260" s="9" t="s">
        <v>14</v>
      </c>
      <c r="C1260" s="9" t="s">
        <v>15</v>
      </c>
      <c r="D1260" s="10" t="s">
        <v>2847</v>
      </c>
      <c r="E1260" s="9" t="s">
        <v>17</v>
      </c>
      <c r="F1260" s="10">
        <v>28</v>
      </c>
      <c r="G1260" s="11">
        <v>8134945552</v>
      </c>
      <c r="H1260" s="10" t="s">
        <v>2848</v>
      </c>
      <c r="I1260" s="10" t="s">
        <v>27</v>
      </c>
      <c r="J1260" s="10" t="s">
        <v>2849</v>
      </c>
      <c r="K1260" s="12">
        <v>46002</v>
      </c>
      <c r="L1260" s="28" t="s">
        <v>11</v>
      </c>
      <c r="M1260" s="14"/>
      <c r="N1260" s="10" t="s">
        <v>1028</v>
      </c>
    </row>
    <row r="1261" spans="1:14" ht="22.5" customHeight="1">
      <c r="A1261" s="8">
        <v>46002.779314085652</v>
      </c>
      <c r="B1261" s="9" t="s">
        <v>14</v>
      </c>
      <c r="C1261" s="9" t="s">
        <v>15</v>
      </c>
      <c r="D1261" s="10" t="s">
        <v>2850</v>
      </c>
      <c r="E1261" s="9" t="s">
        <v>22</v>
      </c>
      <c r="F1261" s="10">
        <v>34</v>
      </c>
      <c r="G1261" s="11">
        <v>7039585054</v>
      </c>
      <c r="H1261" s="10" t="s">
        <v>2851</v>
      </c>
      <c r="I1261" s="10" t="s">
        <v>27</v>
      </c>
      <c r="J1261" s="10" t="s">
        <v>703</v>
      </c>
      <c r="K1261" s="12">
        <v>46002</v>
      </c>
      <c r="L1261" s="28" t="s">
        <v>11</v>
      </c>
      <c r="M1261" s="14"/>
      <c r="N1261" s="10" t="s">
        <v>1028</v>
      </c>
    </row>
    <row r="1262" spans="1:14" ht="22.5" customHeight="1">
      <c r="A1262" s="8">
        <v>46002.781774201387</v>
      </c>
      <c r="B1262" s="9" t="s">
        <v>14</v>
      </c>
      <c r="C1262" s="9" t="s">
        <v>15</v>
      </c>
      <c r="D1262" s="10" t="s">
        <v>941</v>
      </c>
      <c r="E1262" s="9" t="s">
        <v>17</v>
      </c>
      <c r="F1262" s="10">
        <v>27</v>
      </c>
      <c r="G1262" s="11">
        <v>8060248718</v>
      </c>
      <c r="H1262" s="10" t="s">
        <v>2852</v>
      </c>
      <c r="I1262" s="10" t="s">
        <v>27</v>
      </c>
      <c r="J1262" s="10" t="s">
        <v>1456</v>
      </c>
      <c r="K1262" s="12">
        <v>46002</v>
      </c>
      <c r="L1262" s="28" t="s">
        <v>11</v>
      </c>
      <c r="M1262" s="14"/>
      <c r="N1262" s="10" t="s">
        <v>1028</v>
      </c>
    </row>
    <row r="1263" spans="1:14" ht="22.5" customHeight="1">
      <c r="A1263" s="8">
        <v>46002.782582025466</v>
      </c>
      <c r="B1263" s="9" t="s">
        <v>14</v>
      </c>
      <c r="C1263" s="9" t="s">
        <v>15</v>
      </c>
      <c r="D1263" s="10" t="s">
        <v>2853</v>
      </c>
      <c r="E1263" s="9" t="s">
        <v>17</v>
      </c>
      <c r="F1263" s="10">
        <v>28</v>
      </c>
      <c r="G1263" s="11">
        <v>8103386289</v>
      </c>
      <c r="H1263" s="10" t="s">
        <v>2854</v>
      </c>
      <c r="I1263" s="10" t="s">
        <v>27</v>
      </c>
      <c r="J1263" s="10" t="s">
        <v>2855</v>
      </c>
      <c r="K1263" s="12">
        <v>46002</v>
      </c>
      <c r="L1263" s="28" t="s">
        <v>11</v>
      </c>
      <c r="M1263" s="14"/>
      <c r="N1263" s="10" t="s">
        <v>1028</v>
      </c>
    </row>
    <row r="1264" spans="1:14" ht="22.5" customHeight="1">
      <c r="A1264" s="8">
        <v>46002.782926828702</v>
      </c>
      <c r="B1264" s="9" t="s">
        <v>14</v>
      </c>
      <c r="C1264" s="9" t="s">
        <v>15</v>
      </c>
      <c r="D1264" s="10" t="s">
        <v>2856</v>
      </c>
      <c r="E1264" s="9" t="s">
        <v>22</v>
      </c>
      <c r="F1264" s="10">
        <v>30</v>
      </c>
      <c r="G1264" s="11">
        <v>7016160533</v>
      </c>
      <c r="H1264" s="10" t="s">
        <v>2857</v>
      </c>
      <c r="I1264" s="10" t="s">
        <v>27</v>
      </c>
      <c r="J1264" s="10" t="s">
        <v>2858</v>
      </c>
      <c r="K1264" s="12">
        <v>46002</v>
      </c>
      <c r="L1264" s="28" t="s">
        <v>11</v>
      </c>
      <c r="M1264" s="14"/>
      <c r="N1264" s="10" t="s">
        <v>1028</v>
      </c>
    </row>
    <row r="1265" spans="1:20" ht="22.5" customHeight="1">
      <c r="A1265" s="8">
        <v>46002.783513263887</v>
      </c>
      <c r="B1265" s="9" t="s">
        <v>14</v>
      </c>
      <c r="C1265" s="9" t="s">
        <v>15</v>
      </c>
      <c r="D1265" s="10" t="s">
        <v>2859</v>
      </c>
      <c r="E1265" s="9" t="s">
        <v>17</v>
      </c>
      <c r="F1265" s="10">
        <v>26</v>
      </c>
      <c r="G1265" s="11">
        <v>9022232283</v>
      </c>
      <c r="H1265" s="10" t="s">
        <v>2860</v>
      </c>
      <c r="I1265" s="10" t="s">
        <v>27</v>
      </c>
      <c r="J1265" s="10" t="s">
        <v>2861</v>
      </c>
      <c r="K1265" s="12">
        <v>46002</v>
      </c>
      <c r="L1265" s="28" t="s">
        <v>11</v>
      </c>
      <c r="M1265" s="14"/>
      <c r="N1265" s="10" t="s">
        <v>1028</v>
      </c>
      <c r="O1265" s="16"/>
      <c r="P1265" s="17"/>
      <c r="Q1265" s="17"/>
      <c r="R1265" s="17"/>
      <c r="S1265" s="17"/>
      <c r="T1265" s="17"/>
    </row>
    <row r="1266" spans="1:20" ht="22.5" customHeight="1">
      <c r="A1266" s="8">
        <v>46002.785608437502</v>
      </c>
      <c r="B1266" s="9" t="s">
        <v>14</v>
      </c>
      <c r="C1266" s="9" t="s">
        <v>15</v>
      </c>
      <c r="D1266" s="10" t="s">
        <v>2862</v>
      </c>
      <c r="E1266" s="9" t="s">
        <v>22</v>
      </c>
      <c r="F1266" s="10">
        <v>28</v>
      </c>
      <c r="G1266" s="11">
        <v>7041371095</v>
      </c>
      <c r="H1266" s="10" t="s">
        <v>2863</v>
      </c>
      <c r="I1266" s="10" t="s">
        <v>27</v>
      </c>
      <c r="J1266" s="10" t="s">
        <v>94</v>
      </c>
      <c r="K1266" s="12">
        <v>46002</v>
      </c>
      <c r="L1266" s="28" t="s">
        <v>11</v>
      </c>
      <c r="M1266" s="14"/>
      <c r="N1266" s="10" t="s">
        <v>1028</v>
      </c>
    </row>
    <row r="1267" spans="1:20" ht="22.5" hidden="1" customHeight="1">
      <c r="A1267" s="8">
        <v>46002.785954270832</v>
      </c>
      <c r="B1267" s="9" t="s">
        <v>14</v>
      </c>
      <c r="C1267" s="9" t="s">
        <v>15</v>
      </c>
      <c r="D1267" s="10" t="s">
        <v>2864</v>
      </c>
      <c r="E1267" s="9" t="s">
        <v>22</v>
      </c>
      <c r="F1267" s="10">
        <v>25</v>
      </c>
      <c r="G1267" s="11">
        <v>9032583442</v>
      </c>
      <c r="H1267" s="10" t="s">
        <v>2865</v>
      </c>
      <c r="I1267" s="10" t="s">
        <v>27</v>
      </c>
      <c r="J1267" s="10" t="s">
        <v>70</v>
      </c>
      <c r="K1267" s="12">
        <v>45638</v>
      </c>
      <c r="L1267" s="10" t="s">
        <v>441</v>
      </c>
      <c r="M1267" s="10" t="s">
        <v>1361</v>
      </c>
      <c r="N1267" s="10" t="s">
        <v>1563</v>
      </c>
    </row>
    <row r="1268" spans="1:20" ht="22.5" customHeight="1">
      <c r="A1268" s="8">
        <v>46002.786184386576</v>
      </c>
      <c r="B1268" s="9" t="s">
        <v>14</v>
      </c>
      <c r="C1268" s="9" t="s">
        <v>15</v>
      </c>
      <c r="D1268" s="10" t="s">
        <v>2866</v>
      </c>
      <c r="E1268" s="9" t="s">
        <v>22</v>
      </c>
      <c r="F1268" s="10">
        <v>20</v>
      </c>
      <c r="G1268" s="11">
        <v>8120251074</v>
      </c>
      <c r="H1268" s="10" t="s">
        <v>2867</v>
      </c>
      <c r="I1268" s="10" t="s">
        <v>27</v>
      </c>
      <c r="J1268" s="10" t="s">
        <v>70</v>
      </c>
      <c r="K1268" s="12">
        <v>46002</v>
      </c>
      <c r="L1268" s="28" t="s">
        <v>11</v>
      </c>
      <c r="M1268" s="14"/>
      <c r="N1268" s="10" t="s">
        <v>1028</v>
      </c>
    </row>
    <row r="1269" spans="1:20" ht="22.5" customHeight="1">
      <c r="A1269" s="8">
        <v>46002.787419166663</v>
      </c>
      <c r="B1269" s="9" t="s">
        <v>14</v>
      </c>
      <c r="C1269" s="9" t="s">
        <v>15</v>
      </c>
      <c r="D1269" s="10" t="s">
        <v>2868</v>
      </c>
      <c r="E1269" s="9" t="s">
        <v>22</v>
      </c>
      <c r="F1269" s="10">
        <v>29</v>
      </c>
      <c r="G1269" s="11">
        <v>8036731017</v>
      </c>
      <c r="H1269" s="10" t="s">
        <v>2869</v>
      </c>
      <c r="I1269" s="10" t="s">
        <v>27</v>
      </c>
      <c r="J1269" s="10" t="s">
        <v>172</v>
      </c>
      <c r="K1269" s="12">
        <v>35094</v>
      </c>
      <c r="L1269" s="28" t="s">
        <v>11</v>
      </c>
      <c r="M1269" s="14"/>
      <c r="N1269" s="10" t="s">
        <v>1028</v>
      </c>
      <c r="O1269" s="16"/>
      <c r="P1269" s="17"/>
      <c r="Q1269" s="17"/>
      <c r="R1269" s="17"/>
      <c r="S1269" s="17"/>
      <c r="T1269" s="17"/>
    </row>
    <row r="1270" spans="1:20" ht="22.5" customHeight="1">
      <c r="A1270" s="8">
        <v>46002.787706736111</v>
      </c>
      <c r="B1270" s="9" t="s">
        <v>14</v>
      </c>
      <c r="C1270" s="9" t="s">
        <v>15</v>
      </c>
      <c r="D1270" s="10" t="s">
        <v>2870</v>
      </c>
      <c r="E1270" s="9" t="s">
        <v>17</v>
      </c>
      <c r="F1270" s="10">
        <v>28</v>
      </c>
      <c r="G1270" s="11">
        <v>8089820866</v>
      </c>
      <c r="H1270" s="10" t="s">
        <v>2871</v>
      </c>
      <c r="I1270" s="10" t="s">
        <v>27</v>
      </c>
      <c r="J1270" s="10" t="s">
        <v>94</v>
      </c>
      <c r="K1270" s="12">
        <v>35881</v>
      </c>
      <c r="L1270" s="28" t="s">
        <v>11</v>
      </c>
      <c r="M1270" s="14"/>
      <c r="N1270" s="10" t="s">
        <v>1028</v>
      </c>
    </row>
    <row r="1271" spans="1:20" ht="22.5" customHeight="1">
      <c r="A1271" s="8">
        <v>46002.789365185185</v>
      </c>
      <c r="B1271" s="9" t="s">
        <v>14</v>
      </c>
      <c r="C1271" s="9" t="s">
        <v>15</v>
      </c>
      <c r="D1271" s="10" t="s">
        <v>2872</v>
      </c>
      <c r="E1271" s="9" t="s">
        <v>22</v>
      </c>
      <c r="F1271" s="10">
        <v>35</v>
      </c>
      <c r="G1271" s="11">
        <v>8163734925</v>
      </c>
      <c r="H1271" s="10" t="s">
        <v>2873</v>
      </c>
      <c r="I1271" s="10" t="s">
        <v>27</v>
      </c>
      <c r="J1271" s="10" t="s">
        <v>1288</v>
      </c>
      <c r="K1271" s="12">
        <v>46002</v>
      </c>
      <c r="L1271" s="28" t="s">
        <v>11</v>
      </c>
      <c r="M1271" s="14"/>
      <c r="N1271" s="10" t="s">
        <v>1028</v>
      </c>
    </row>
    <row r="1272" spans="1:20" ht="22.5" customHeight="1">
      <c r="A1272" s="8">
        <v>46002.79075148148</v>
      </c>
      <c r="B1272" s="9" t="s">
        <v>14</v>
      </c>
      <c r="C1272" s="9" t="s">
        <v>15</v>
      </c>
      <c r="D1272" s="10" t="s">
        <v>2874</v>
      </c>
      <c r="E1272" s="9" t="s">
        <v>22</v>
      </c>
      <c r="F1272" s="10">
        <v>35</v>
      </c>
      <c r="G1272" s="11">
        <v>8062877967</v>
      </c>
      <c r="H1272" s="10" t="s">
        <v>2875</v>
      </c>
      <c r="I1272" s="10" t="s">
        <v>27</v>
      </c>
      <c r="J1272" s="10" t="s">
        <v>94</v>
      </c>
      <c r="K1272" s="12">
        <v>46002</v>
      </c>
      <c r="L1272" s="28" t="s">
        <v>11</v>
      </c>
      <c r="M1272" s="10"/>
      <c r="N1272" s="10" t="s">
        <v>1028</v>
      </c>
    </row>
    <row r="1273" spans="1:20" ht="22.5" customHeight="1">
      <c r="A1273" s="8">
        <v>46002.790982361112</v>
      </c>
      <c r="B1273" s="9" t="s">
        <v>14</v>
      </c>
      <c r="C1273" s="9" t="s">
        <v>15</v>
      </c>
      <c r="D1273" s="10" t="s">
        <v>2876</v>
      </c>
      <c r="E1273" s="9" t="s">
        <v>22</v>
      </c>
      <c r="F1273" s="10">
        <v>32</v>
      </c>
      <c r="G1273" s="11">
        <v>7046225256</v>
      </c>
      <c r="H1273" s="10" t="s">
        <v>2005</v>
      </c>
      <c r="I1273" s="10" t="s">
        <v>27</v>
      </c>
      <c r="J1273" s="10" t="s">
        <v>2006</v>
      </c>
      <c r="K1273" s="12">
        <v>46002</v>
      </c>
      <c r="L1273" s="28" t="s">
        <v>11</v>
      </c>
      <c r="M1273" s="10"/>
      <c r="N1273" s="10" t="s">
        <v>1028</v>
      </c>
    </row>
    <row r="1274" spans="1:20" ht="22.5" customHeight="1">
      <c r="A1274" s="8">
        <v>46002.791236192134</v>
      </c>
      <c r="B1274" s="9" t="s">
        <v>14</v>
      </c>
      <c r="C1274" s="9" t="s">
        <v>15</v>
      </c>
      <c r="D1274" s="10" t="s">
        <v>2877</v>
      </c>
      <c r="E1274" s="9" t="s">
        <v>22</v>
      </c>
      <c r="F1274" s="10">
        <v>26</v>
      </c>
      <c r="G1274" s="11">
        <v>8166523636</v>
      </c>
      <c r="H1274" s="10" t="s">
        <v>2878</v>
      </c>
      <c r="I1274" s="10" t="s">
        <v>27</v>
      </c>
      <c r="J1274" s="10" t="s">
        <v>94</v>
      </c>
      <c r="K1274" s="12">
        <v>46002</v>
      </c>
      <c r="L1274" s="28" t="s">
        <v>11</v>
      </c>
      <c r="M1274" s="14"/>
      <c r="N1274" s="10" t="s">
        <v>1028</v>
      </c>
    </row>
    <row r="1275" spans="1:20" ht="22.5" customHeight="1">
      <c r="A1275" s="8">
        <v>46002.793417986111</v>
      </c>
      <c r="B1275" s="9" t="s">
        <v>14</v>
      </c>
      <c r="C1275" s="9" t="s">
        <v>15</v>
      </c>
      <c r="D1275" s="10" t="s">
        <v>2879</v>
      </c>
      <c r="E1275" s="9" t="s">
        <v>22</v>
      </c>
      <c r="F1275" s="10">
        <v>31</v>
      </c>
      <c r="G1275" s="11">
        <v>8038334460</v>
      </c>
      <c r="H1275" s="10" t="s">
        <v>2880</v>
      </c>
      <c r="I1275" s="10" t="s">
        <v>27</v>
      </c>
      <c r="J1275" s="10" t="s">
        <v>703</v>
      </c>
      <c r="K1275" s="12">
        <v>46002</v>
      </c>
      <c r="L1275" s="28" t="s">
        <v>11</v>
      </c>
      <c r="M1275" s="14"/>
      <c r="N1275" s="10" t="s">
        <v>1028</v>
      </c>
    </row>
    <row r="1276" spans="1:20" ht="22.5" customHeight="1">
      <c r="A1276" s="8">
        <v>46002.793716053246</v>
      </c>
      <c r="B1276" s="9" t="s">
        <v>14</v>
      </c>
      <c r="C1276" s="9" t="s">
        <v>15</v>
      </c>
      <c r="D1276" s="10" t="s">
        <v>2881</v>
      </c>
      <c r="E1276" s="9" t="s">
        <v>22</v>
      </c>
      <c r="F1276" s="10">
        <v>38</v>
      </c>
      <c r="G1276" s="11">
        <v>9036256526</v>
      </c>
      <c r="H1276" s="10" t="s">
        <v>2882</v>
      </c>
      <c r="I1276" s="10" t="s">
        <v>27</v>
      </c>
      <c r="J1276" s="10" t="s">
        <v>2858</v>
      </c>
      <c r="K1276" s="12">
        <v>46002</v>
      </c>
      <c r="L1276" s="28" t="s">
        <v>11</v>
      </c>
      <c r="M1276" s="14"/>
      <c r="N1276" s="10" t="s">
        <v>1028</v>
      </c>
    </row>
    <row r="1277" spans="1:20" ht="22.5" customHeight="1">
      <c r="A1277" s="8">
        <v>46002.793725439813</v>
      </c>
      <c r="B1277" s="9" t="s">
        <v>14</v>
      </c>
      <c r="C1277" s="9" t="s">
        <v>15</v>
      </c>
      <c r="D1277" s="10" t="s">
        <v>2883</v>
      </c>
      <c r="E1277" s="9" t="s">
        <v>22</v>
      </c>
      <c r="F1277" s="10">
        <v>24</v>
      </c>
      <c r="G1277" s="11">
        <v>8064041722</v>
      </c>
      <c r="H1277" s="10" t="s">
        <v>2884</v>
      </c>
      <c r="I1277" s="10" t="s">
        <v>27</v>
      </c>
      <c r="J1277" s="10" t="s">
        <v>94</v>
      </c>
      <c r="K1277" s="12">
        <v>36956</v>
      </c>
      <c r="L1277" s="28" t="s">
        <v>11</v>
      </c>
      <c r="M1277" s="14"/>
      <c r="N1277" s="10" t="s">
        <v>1028</v>
      </c>
    </row>
    <row r="1278" spans="1:20" ht="22.5" customHeight="1">
      <c r="A1278" s="8">
        <v>46002.793945115744</v>
      </c>
      <c r="B1278" s="9" t="s">
        <v>14</v>
      </c>
      <c r="C1278" s="9" t="s">
        <v>15</v>
      </c>
      <c r="D1278" s="10" t="s">
        <v>2885</v>
      </c>
      <c r="E1278" s="9" t="s">
        <v>22</v>
      </c>
      <c r="F1278" s="10">
        <v>26</v>
      </c>
      <c r="G1278" s="11">
        <f t="shared" ref="G1278" si="29">2349077541740</f>
        <v>2349077541740</v>
      </c>
      <c r="H1278" s="10" t="s">
        <v>2886</v>
      </c>
      <c r="I1278" s="10" t="s">
        <v>45</v>
      </c>
      <c r="J1278" s="10" t="s">
        <v>2887</v>
      </c>
      <c r="K1278" s="12">
        <v>46002</v>
      </c>
      <c r="L1278" s="28" t="s">
        <v>11</v>
      </c>
      <c r="M1278" s="14"/>
      <c r="N1278" s="10" t="s">
        <v>1028</v>
      </c>
    </row>
    <row r="1279" spans="1:20" ht="22.5" hidden="1" customHeight="1">
      <c r="A1279" s="8">
        <v>46002.794101018517</v>
      </c>
      <c r="B1279" s="9" t="s">
        <v>14</v>
      </c>
      <c r="C1279" s="9" t="s">
        <v>15</v>
      </c>
      <c r="D1279" s="10" t="s">
        <v>2888</v>
      </c>
      <c r="E1279" s="9" t="s">
        <v>22</v>
      </c>
      <c r="F1279" s="10">
        <v>24</v>
      </c>
      <c r="G1279" s="11">
        <v>8168202900</v>
      </c>
      <c r="H1279" s="10" t="s">
        <v>2889</v>
      </c>
      <c r="I1279" s="10" t="s">
        <v>27</v>
      </c>
      <c r="J1279" s="10" t="s">
        <v>28</v>
      </c>
      <c r="K1279" s="12">
        <v>46002</v>
      </c>
      <c r="L1279" s="10" t="s">
        <v>441</v>
      </c>
      <c r="M1279" s="10" t="s">
        <v>1827</v>
      </c>
      <c r="N1279" s="10" t="s">
        <v>1028</v>
      </c>
    </row>
    <row r="1280" spans="1:20" ht="22.5" customHeight="1">
      <c r="A1280" s="8">
        <v>46002.794355057871</v>
      </c>
      <c r="B1280" s="9" t="s">
        <v>14</v>
      </c>
      <c r="C1280" s="9" t="s">
        <v>15</v>
      </c>
      <c r="D1280" s="10" t="s">
        <v>2890</v>
      </c>
      <c r="E1280" s="9" t="s">
        <v>17</v>
      </c>
      <c r="F1280" s="10">
        <v>30</v>
      </c>
      <c r="G1280" s="11">
        <v>7062133867</v>
      </c>
      <c r="H1280" s="10" t="s">
        <v>2891</v>
      </c>
      <c r="I1280" s="10" t="s">
        <v>27</v>
      </c>
      <c r="J1280" s="10" t="s">
        <v>53</v>
      </c>
      <c r="K1280" s="12">
        <v>46002</v>
      </c>
      <c r="L1280" s="28" t="s">
        <v>11</v>
      </c>
      <c r="M1280" s="14"/>
      <c r="N1280" s="10" t="s">
        <v>1028</v>
      </c>
    </row>
    <row r="1281" spans="1:14" ht="22.5" customHeight="1">
      <c r="A1281" s="8">
        <v>46002.79538059028</v>
      </c>
      <c r="B1281" s="9" t="s">
        <v>14</v>
      </c>
      <c r="C1281" s="9" t="s">
        <v>15</v>
      </c>
      <c r="D1281" s="10" t="s">
        <v>2892</v>
      </c>
      <c r="E1281" s="9" t="s">
        <v>17</v>
      </c>
      <c r="F1281" s="10">
        <v>20</v>
      </c>
      <c r="G1281" s="11">
        <v>9040080712</v>
      </c>
      <c r="H1281" s="10" t="s">
        <v>2893</v>
      </c>
      <c r="I1281" s="10" t="s">
        <v>27</v>
      </c>
      <c r="J1281" s="10" t="s">
        <v>28</v>
      </c>
      <c r="K1281" s="12">
        <v>46002</v>
      </c>
      <c r="L1281" s="28" t="s">
        <v>11</v>
      </c>
      <c r="M1281" s="14"/>
      <c r="N1281" s="10" t="s">
        <v>1028</v>
      </c>
    </row>
    <row r="1282" spans="1:14" ht="22.5" customHeight="1">
      <c r="A1282" s="8">
        <v>46002.799518912041</v>
      </c>
      <c r="B1282" s="9" t="s">
        <v>14</v>
      </c>
      <c r="C1282" s="9" t="s">
        <v>15</v>
      </c>
      <c r="D1282" s="10" t="s">
        <v>2559</v>
      </c>
      <c r="E1282" s="9" t="s">
        <v>17</v>
      </c>
      <c r="F1282" s="10">
        <v>36</v>
      </c>
      <c r="G1282" s="11">
        <v>8065108679</v>
      </c>
      <c r="H1282" s="10" t="s">
        <v>2560</v>
      </c>
      <c r="I1282" s="10" t="s">
        <v>27</v>
      </c>
      <c r="J1282" s="10" t="s">
        <v>2006</v>
      </c>
      <c r="K1282" s="12">
        <v>46002</v>
      </c>
      <c r="L1282" s="28" t="s">
        <v>11</v>
      </c>
      <c r="M1282" s="14"/>
      <c r="N1282" s="10" t="s">
        <v>1028</v>
      </c>
    </row>
    <row r="1283" spans="1:14" ht="22.5" customHeight="1">
      <c r="A1283" s="8">
        <v>46002.801469733793</v>
      </c>
      <c r="B1283" s="9" t="s">
        <v>14</v>
      </c>
      <c r="C1283" s="9" t="s">
        <v>15</v>
      </c>
      <c r="D1283" s="10" t="s">
        <v>2894</v>
      </c>
      <c r="E1283" s="9" t="s">
        <v>17</v>
      </c>
      <c r="F1283" s="10">
        <v>20</v>
      </c>
      <c r="G1283" s="11">
        <v>8148027977</v>
      </c>
      <c r="H1283" s="10" t="s">
        <v>2895</v>
      </c>
      <c r="I1283" s="10" t="s">
        <v>27</v>
      </c>
      <c r="J1283" s="10" t="s">
        <v>94</v>
      </c>
      <c r="K1283" s="12">
        <v>46002</v>
      </c>
      <c r="L1283" s="28" t="s">
        <v>11</v>
      </c>
      <c r="M1283" s="14"/>
      <c r="N1283" s="10" t="s">
        <v>1028</v>
      </c>
    </row>
    <row r="1284" spans="1:14" ht="22.5" customHeight="1">
      <c r="A1284" s="8">
        <v>46002.802201053244</v>
      </c>
      <c r="B1284" s="9" t="s">
        <v>14</v>
      </c>
      <c r="C1284" s="9" t="s">
        <v>15</v>
      </c>
      <c r="D1284" s="10" t="s">
        <v>2896</v>
      </c>
      <c r="E1284" s="9" t="s">
        <v>22</v>
      </c>
      <c r="F1284" s="10">
        <v>26</v>
      </c>
      <c r="G1284" s="11">
        <v>9035275090</v>
      </c>
      <c r="H1284" s="10" t="s">
        <v>2897</v>
      </c>
      <c r="I1284" s="10" t="s">
        <v>27</v>
      </c>
      <c r="J1284" s="10" t="s">
        <v>172</v>
      </c>
      <c r="K1284" s="12">
        <v>46002</v>
      </c>
      <c r="L1284" s="28" t="s">
        <v>11</v>
      </c>
      <c r="M1284" s="14"/>
      <c r="N1284" s="10" t="s">
        <v>1028</v>
      </c>
    </row>
    <row r="1285" spans="1:14" ht="22.5" customHeight="1">
      <c r="A1285" s="8">
        <v>46002.802614560183</v>
      </c>
      <c r="B1285" s="9" t="s">
        <v>14</v>
      </c>
      <c r="C1285" s="9" t="s">
        <v>15</v>
      </c>
      <c r="D1285" s="10" t="s">
        <v>2898</v>
      </c>
      <c r="E1285" s="9" t="s">
        <v>17</v>
      </c>
      <c r="F1285" s="10">
        <v>22</v>
      </c>
      <c r="G1285" s="11">
        <v>9030578470</v>
      </c>
      <c r="H1285" s="10" t="s">
        <v>2899</v>
      </c>
      <c r="I1285" s="10" t="s">
        <v>27</v>
      </c>
      <c r="J1285" s="10" t="s">
        <v>53</v>
      </c>
      <c r="K1285" s="12">
        <v>46002</v>
      </c>
      <c r="L1285" s="28" t="s">
        <v>11</v>
      </c>
      <c r="M1285" s="14"/>
      <c r="N1285" s="10" t="s">
        <v>1028</v>
      </c>
    </row>
    <row r="1286" spans="1:14" ht="22.5" customHeight="1">
      <c r="A1286" s="8">
        <v>46002.804324097218</v>
      </c>
      <c r="B1286" s="9" t="s">
        <v>14</v>
      </c>
      <c r="C1286" s="9" t="s">
        <v>15</v>
      </c>
      <c r="D1286" s="10" t="s">
        <v>2900</v>
      </c>
      <c r="E1286" s="9" t="s">
        <v>17</v>
      </c>
      <c r="F1286" s="19">
        <v>21</v>
      </c>
      <c r="G1286" s="11">
        <v>8102608923</v>
      </c>
      <c r="H1286" s="10" t="s">
        <v>2901</v>
      </c>
      <c r="I1286" s="10" t="s">
        <v>49</v>
      </c>
      <c r="J1286" s="10" t="s">
        <v>181</v>
      </c>
      <c r="K1286" s="12">
        <v>46002</v>
      </c>
      <c r="L1286" s="28" t="s">
        <v>11</v>
      </c>
      <c r="M1286" s="14"/>
      <c r="N1286" s="10" t="s">
        <v>1028</v>
      </c>
    </row>
    <row r="1287" spans="1:14" ht="22.5" customHeight="1">
      <c r="A1287" s="8">
        <v>46002.805276747684</v>
      </c>
      <c r="B1287" s="9" t="s">
        <v>14</v>
      </c>
      <c r="C1287" s="9" t="s">
        <v>15</v>
      </c>
      <c r="D1287" s="10" t="s">
        <v>2902</v>
      </c>
      <c r="E1287" s="9" t="s">
        <v>22</v>
      </c>
      <c r="F1287" s="10">
        <v>34</v>
      </c>
      <c r="G1287" s="11">
        <v>9134298036</v>
      </c>
      <c r="H1287" s="10" t="s">
        <v>2903</v>
      </c>
      <c r="I1287" s="10" t="s">
        <v>27</v>
      </c>
      <c r="J1287" s="10" t="s">
        <v>94</v>
      </c>
      <c r="K1287" s="12">
        <v>46002</v>
      </c>
      <c r="L1287" s="28" t="s">
        <v>11</v>
      </c>
      <c r="M1287" s="14"/>
      <c r="N1287" s="10" t="s">
        <v>1028</v>
      </c>
    </row>
    <row r="1288" spans="1:14" ht="22.5" customHeight="1">
      <c r="A1288" s="8">
        <v>46002.80735101852</v>
      </c>
      <c r="B1288" s="9" t="s">
        <v>14</v>
      </c>
      <c r="C1288" s="9" t="s">
        <v>15</v>
      </c>
      <c r="D1288" s="10" t="s">
        <v>2904</v>
      </c>
      <c r="E1288" s="9" t="s">
        <v>17</v>
      </c>
      <c r="F1288" s="10">
        <v>33</v>
      </c>
      <c r="G1288" s="11">
        <v>8136505054</v>
      </c>
      <c r="H1288" s="10" t="s">
        <v>2905</v>
      </c>
      <c r="I1288" s="10" t="s">
        <v>27</v>
      </c>
      <c r="J1288" s="10" t="s">
        <v>1194</v>
      </c>
      <c r="K1288" s="12">
        <v>46002</v>
      </c>
      <c r="L1288" s="28" t="s">
        <v>11</v>
      </c>
      <c r="M1288" s="14"/>
      <c r="N1288" s="10" t="s">
        <v>1028</v>
      </c>
    </row>
    <row r="1289" spans="1:14" ht="22.5" customHeight="1">
      <c r="A1289" s="8">
        <v>46002.808225300927</v>
      </c>
      <c r="B1289" s="9" t="s">
        <v>14</v>
      </c>
      <c r="C1289" s="9" t="s">
        <v>15</v>
      </c>
      <c r="D1289" s="10" t="s">
        <v>2906</v>
      </c>
      <c r="E1289" s="9" t="s">
        <v>22</v>
      </c>
      <c r="F1289" s="10">
        <v>35</v>
      </c>
      <c r="G1289" s="11">
        <f t="shared" ref="G1289" si="30">2348134399134</f>
        <v>2348134399134</v>
      </c>
      <c r="H1289" s="10" t="s">
        <v>2907</v>
      </c>
      <c r="I1289" s="10" t="s">
        <v>27</v>
      </c>
      <c r="J1289" s="10" t="s">
        <v>94</v>
      </c>
      <c r="K1289" s="12">
        <v>46002</v>
      </c>
      <c r="L1289" s="28" t="s">
        <v>11</v>
      </c>
      <c r="M1289" s="14"/>
      <c r="N1289" s="10" t="s">
        <v>1028</v>
      </c>
    </row>
    <row r="1290" spans="1:14" ht="22.5" customHeight="1">
      <c r="A1290" s="8">
        <v>46002.80988833333</v>
      </c>
      <c r="B1290" s="9" t="s">
        <v>14</v>
      </c>
      <c r="C1290" s="9" t="s">
        <v>15</v>
      </c>
      <c r="D1290" s="10" t="s">
        <v>2908</v>
      </c>
      <c r="E1290" s="9" t="s">
        <v>17</v>
      </c>
      <c r="F1290" s="10">
        <v>25</v>
      </c>
      <c r="G1290" s="11">
        <v>8166949658</v>
      </c>
      <c r="H1290" s="10" t="s">
        <v>2909</v>
      </c>
      <c r="I1290" s="10" t="s">
        <v>27</v>
      </c>
      <c r="J1290" s="10" t="s">
        <v>2836</v>
      </c>
      <c r="K1290" s="12">
        <v>46002</v>
      </c>
      <c r="L1290" s="28" t="s">
        <v>11</v>
      </c>
      <c r="M1290" s="14"/>
      <c r="N1290" s="10" t="s">
        <v>1028</v>
      </c>
    </row>
    <row r="1291" spans="1:14" ht="22.5" customHeight="1">
      <c r="A1291" s="8">
        <v>46002.81019945602</v>
      </c>
      <c r="B1291" s="9" t="s">
        <v>14</v>
      </c>
      <c r="C1291" s="9" t="s">
        <v>15</v>
      </c>
      <c r="D1291" s="10" t="s">
        <v>2910</v>
      </c>
      <c r="E1291" s="9" t="s">
        <v>22</v>
      </c>
      <c r="F1291" s="10">
        <v>21</v>
      </c>
      <c r="G1291" s="11">
        <v>9060809642</v>
      </c>
      <c r="H1291" s="10" t="s">
        <v>2911</v>
      </c>
      <c r="I1291" s="10" t="s">
        <v>27</v>
      </c>
      <c r="J1291" s="10" t="s">
        <v>70</v>
      </c>
      <c r="K1291" s="12">
        <v>46002</v>
      </c>
      <c r="L1291" s="28" t="s">
        <v>11</v>
      </c>
      <c r="M1291" s="14"/>
      <c r="N1291" s="10" t="s">
        <v>1028</v>
      </c>
    </row>
    <row r="1292" spans="1:14" ht="22.5" customHeight="1">
      <c r="A1292" s="8">
        <v>46002.810485208334</v>
      </c>
      <c r="B1292" s="9" t="s">
        <v>14</v>
      </c>
      <c r="C1292" s="9" t="s">
        <v>15</v>
      </c>
      <c r="D1292" s="10" t="s">
        <v>2912</v>
      </c>
      <c r="E1292" s="9" t="s">
        <v>22</v>
      </c>
      <c r="F1292" s="10">
        <v>35</v>
      </c>
      <c r="G1292" s="11">
        <v>8165660473</v>
      </c>
      <c r="H1292" s="10" t="s">
        <v>2913</v>
      </c>
      <c r="I1292" s="10" t="s">
        <v>27</v>
      </c>
      <c r="J1292" s="10" t="s">
        <v>1514</v>
      </c>
      <c r="K1292" s="12">
        <v>46002</v>
      </c>
      <c r="L1292" s="28" t="s">
        <v>11</v>
      </c>
      <c r="M1292" s="14"/>
      <c r="N1292" s="10" t="s">
        <v>1028</v>
      </c>
    </row>
    <row r="1293" spans="1:14" ht="22.5" hidden="1" customHeight="1">
      <c r="A1293" s="8">
        <v>46002.811361215281</v>
      </c>
      <c r="B1293" s="9" t="s">
        <v>14</v>
      </c>
      <c r="C1293" s="9" t="s">
        <v>15</v>
      </c>
      <c r="D1293" s="10" t="s">
        <v>2888</v>
      </c>
      <c r="E1293" s="9" t="s">
        <v>22</v>
      </c>
      <c r="F1293" s="10">
        <v>24</v>
      </c>
      <c r="G1293" s="11">
        <v>8168202900</v>
      </c>
      <c r="H1293" s="10" t="s">
        <v>2914</v>
      </c>
      <c r="I1293" s="10" t="s">
        <v>27</v>
      </c>
      <c r="J1293" s="10" t="s">
        <v>28</v>
      </c>
      <c r="K1293" s="12">
        <v>46002</v>
      </c>
      <c r="L1293" s="10" t="s">
        <v>441</v>
      </c>
      <c r="M1293" s="10" t="s">
        <v>1827</v>
      </c>
      <c r="N1293" s="10" t="s">
        <v>1028</v>
      </c>
    </row>
    <row r="1294" spans="1:14" ht="22.5" customHeight="1">
      <c r="A1294" s="8">
        <v>46002.813576180561</v>
      </c>
      <c r="B1294" s="9" t="s">
        <v>14</v>
      </c>
      <c r="C1294" s="9" t="s">
        <v>15</v>
      </c>
      <c r="D1294" s="10" t="s">
        <v>2915</v>
      </c>
      <c r="E1294" s="9" t="s">
        <v>22</v>
      </c>
      <c r="F1294" s="10">
        <v>23</v>
      </c>
      <c r="G1294" s="11">
        <v>9162813483</v>
      </c>
      <c r="H1294" s="10" t="s">
        <v>2916</v>
      </c>
      <c r="I1294" s="10" t="s">
        <v>27</v>
      </c>
      <c r="J1294" s="10" t="s">
        <v>172</v>
      </c>
      <c r="K1294" s="12">
        <v>46002</v>
      </c>
      <c r="L1294" s="28" t="s">
        <v>11</v>
      </c>
      <c r="M1294" s="14"/>
      <c r="N1294" s="10" t="s">
        <v>1028</v>
      </c>
    </row>
    <row r="1295" spans="1:14" ht="22.5" customHeight="1">
      <c r="A1295" s="8">
        <v>46002.814397685186</v>
      </c>
      <c r="B1295" s="9" t="s">
        <v>14</v>
      </c>
      <c r="C1295" s="9" t="s">
        <v>15</v>
      </c>
      <c r="D1295" s="10" t="s">
        <v>2917</v>
      </c>
      <c r="E1295" s="9" t="s">
        <v>22</v>
      </c>
      <c r="F1295" s="10">
        <v>33</v>
      </c>
      <c r="G1295" s="11">
        <v>7046527204</v>
      </c>
      <c r="H1295" s="10" t="s">
        <v>2918</v>
      </c>
      <c r="I1295" s="10" t="s">
        <v>27</v>
      </c>
      <c r="J1295" s="10" t="s">
        <v>172</v>
      </c>
      <c r="K1295" s="12">
        <v>46002</v>
      </c>
      <c r="L1295" s="28" t="s">
        <v>11</v>
      </c>
      <c r="M1295" s="14"/>
      <c r="N1295" s="10" t="s">
        <v>1028</v>
      </c>
    </row>
    <row r="1296" spans="1:14" ht="22.5" customHeight="1">
      <c r="A1296" s="8">
        <v>46002.815834004628</v>
      </c>
      <c r="B1296" s="9" t="s">
        <v>14</v>
      </c>
      <c r="C1296" s="9" t="s">
        <v>15</v>
      </c>
      <c r="D1296" s="10" t="s">
        <v>2919</v>
      </c>
      <c r="E1296" s="9" t="s">
        <v>22</v>
      </c>
      <c r="F1296" s="10">
        <v>30</v>
      </c>
      <c r="G1296" s="11">
        <v>7038309447</v>
      </c>
      <c r="H1296" s="10" t="s">
        <v>2920</v>
      </c>
      <c r="I1296" s="10" t="s">
        <v>27</v>
      </c>
      <c r="J1296" s="10" t="s">
        <v>70</v>
      </c>
      <c r="K1296" s="12">
        <v>46002</v>
      </c>
      <c r="L1296" s="28" t="s">
        <v>11</v>
      </c>
      <c r="M1296" s="14"/>
      <c r="N1296" s="10" t="s">
        <v>1028</v>
      </c>
    </row>
    <row r="1297" spans="1:14" ht="22.5" customHeight="1">
      <c r="A1297" s="8">
        <v>46002.817177025463</v>
      </c>
      <c r="B1297" s="9" t="s">
        <v>14</v>
      </c>
      <c r="C1297" s="9" t="s">
        <v>15</v>
      </c>
      <c r="D1297" s="10" t="s">
        <v>2921</v>
      </c>
      <c r="E1297" s="9" t="s">
        <v>22</v>
      </c>
      <c r="F1297" s="10">
        <v>28</v>
      </c>
      <c r="G1297" s="11">
        <v>9069188763</v>
      </c>
      <c r="H1297" s="10" t="s">
        <v>2922</v>
      </c>
      <c r="I1297" s="10" t="s">
        <v>27</v>
      </c>
      <c r="J1297" s="10" t="s">
        <v>28</v>
      </c>
      <c r="K1297" s="12">
        <v>46002</v>
      </c>
      <c r="L1297" s="28" t="s">
        <v>11</v>
      </c>
      <c r="M1297" s="14"/>
      <c r="N1297" s="10" t="s">
        <v>1140</v>
      </c>
    </row>
    <row r="1298" spans="1:14" ht="22.5" customHeight="1">
      <c r="A1298" s="8">
        <v>46002.817261400458</v>
      </c>
      <c r="B1298" s="9" t="s">
        <v>14</v>
      </c>
      <c r="C1298" s="9" t="s">
        <v>15</v>
      </c>
      <c r="D1298" s="10" t="s">
        <v>2923</v>
      </c>
      <c r="E1298" s="9" t="s">
        <v>22</v>
      </c>
      <c r="F1298" s="10">
        <v>35</v>
      </c>
      <c r="G1298" s="11">
        <v>7066937197</v>
      </c>
      <c r="H1298" s="10" t="s">
        <v>2924</v>
      </c>
      <c r="I1298" s="10" t="s">
        <v>27</v>
      </c>
      <c r="J1298" s="10" t="s">
        <v>2196</v>
      </c>
      <c r="K1298" s="12">
        <v>46002</v>
      </c>
      <c r="L1298" s="28" t="s">
        <v>11</v>
      </c>
      <c r="M1298" s="14"/>
      <c r="N1298" s="10" t="s">
        <v>1096</v>
      </c>
    </row>
    <row r="1299" spans="1:14" ht="22.5" hidden="1" customHeight="1">
      <c r="A1299" s="8">
        <v>46002.817604525466</v>
      </c>
      <c r="B1299" s="9" t="s">
        <v>14</v>
      </c>
      <c r="C1299" s="9" t="s">
        <v>15</v>
      </c>
      <c r="D1299" s="10" t="s">
        <v>2856</v>
      </c>
      <c r="E1299" s="9" t="s">
        <v>22</v>
      </c>
      <c r="F1299" s="10">
        <v>30</v>
      </c>
      <c r="G1299" s="11">
        <v>7016160533</v>
      </c>
      <c r="H1299" s="10" t="s">
        <v>2857</v>
      </c>
      <c r="I1299" s="10" t="s">
        <v>27</v>
      </c>
      <c r="J1299" s="10" t="s">
        <v>2858</v>
      </c>
      <c r="K1299" s="12">
        <v>46002</v>
      </c>
      <c r="L1299" s="10" t="s">
        <v>441</v>
      </c>
      <c r="M1299" s="14"/>
      <c r="N1299" s="10" t="s">
        <v>1096</v>
      </c>
    </row>
    <row r="1300" spans="1:14" ht="22.5" customHeight="1">
      <c r="A1300" s="8">
        <v>46002.819036458328</v>
      </c>
      <c r="B1300" s="9" t="s">
        <v>14</v>
      </c>
      <c r="C1300" s="9" t="s">
        <v>15</v>
      </c>
      <c r="D1300" s="10" t="s">
        <v>2925</v>
      </c>
      <c r="E1300" s="9" t="s">
        <v>22</v>
      </c>
      <c r="F1300" s="10">
        <v>18</v>
      </c>
      <c r="G1300" s="11">
        <v>9011107623</v>
      </c>
      <c r="H1300" s="10" t="s">
        <v>2926</v>
      </c>
      <c r="I1300" s="10" t="s">
        <v>27</v>
      </c>
      <c r="J1300" s="10" t="s">
        <v>94</v>
      </c>
      <c r="K1300" s="12">
        <v>46002</v>
      </c>
      <c r="L1300" s="28" t="s">
        <v>11</v>
      </c>
      <c r="M1300" s="14"/>
      <c r="N1300" s="10" t="s">
        <v>1028</v>
      </c>
    </row>
    <row r="1301" spans="1:14" ht="22.5" hidden="1" customHeight="1">
      <c r="A1301" s="8">
        <v>46002.819490243055</v>
      </c>
      <c r="B1301" s="9" t="s">
        <v>14</v>
      </c>
      <c r="C1301" s="9" t="s">
        <v>15</v>
      </c>
      <c r="D1301" s="10" t="s">
        <v>2927</v>
      </c>
      <c r="E1301" s="9" t="s">
        <v>22</v>
      </c>
      <c r="F1301" s="10">
        <v>31</v>
      </c>
      <c r="G1301" s="11">
        <v>8160199112</v>
      </c>
      <c r="H1301" s="10" t="s">
        <v>2928</v>
      </c>
      <c r="I1301" s="10" t="s">
        <v>27</v>
      </c>
      <c r="J1301" s="10" t="s">
        <v>172</v>
      </c>
      <c r="K1301" s="12">
        <v>46002</v>
      </c>
      <c r="L1301" s="10" t="s">
        <v>441</v>
      </c>
      <c r="M1301" s="14"/>
      <c r="N1301" s="10" t="s">
        <v>1028</v>
      </c>
    </row>
    <row r="1302" spans="1:14" ht="22.5" customHeight="1">
      <c r="A1302" s="8">
        <v>46002.820760613424</v>
      </c>
      <c r="B1302" s="9" t="s">
        <v>14</v>
      </c>
      <c r="C1302" s="9" t="s">
        <v>15</v>
      </c>
      <c r="D1302" s="10" t="s">
        <v>2929</v>
      </c>
      <c r="E1302" s="9" t="s">
        <v>17</v>
      </c>
      <c r="F1302" s="10">
        <v>23</v>
      </c>
      <c r="G1302" s="11">
        <v>8154898309</v>
      </c>
      <c r="H1302" s="10" t="s">
        <v>2930</v>
      </c>
      <c r="I1302" s="10" t="s">
        <v>27</v>
      </c>
      <c r="J1302" s="10" t="s">
        <v>2931</v>
      </c>
      <c r="K1302" s="12">
        <v>46002</v>
      </c>
      <c r="L1302" s="28" t="s">
        <v>11</v>
      </c>
      <c r="M1302" s="14"/>
      <c r="N1302" s="10" t="s">
        <v>1028</v>
      </c>
    </row>
    <row r="1303" spans="1:14" ht="22.5" customHeight="1">
      <c r="A1303" s="8">
        <v>46002.821179467588</v>
      </c>
      <c r="B1303" s="9" t="s">
        <v>14</v>
      </c>
      <c r="C1303" s="9" t="s">
        <v>15</v>
      </c>
      <c r="D1303" s="10" t="s">
        <v>2932</v>
      </c>
      <c r="E1303" s="9" t="s">
        <v>17</v>
      </c>
      <c r="F1303" s="10">
        <v>27</v>
      </c>
      <c r="G1303" s="11">
        <v>9064196565</v>
      </c>
      <c r="H1303" s="10" t="s">
        <v>2933</v>
      </c>
      <c r="I1303" s="10" t="s">
        <v>19</v>
      </c>
      <c r="J1303" s="10" t="s">
        <v>2934</v>
      </c>
      <c r="K1303" s="12">
        <v>46002</v>
      </c>
      <c r="L1303" s="28" t="s">
        <v>11</v>
      </c>
      <c r="M1303" s="14"/>
      <c r="N1303" s="10" t="s">
        <v>1028</v>
      </c>
    </row>
    <row r="1304" spans="1:14" ht="22.5" hidden="1" customHeight="1">
      <c r="A1304" s="8">
        <v>46002.822797685185</v>
      </c>
      <c r="B1304" s="9" t="s">
        <v>14</v>
      </c>
      <c r="C1304" s="9" t="s">
        <v>15</v>
      </c>
      <c r="D1304" s="10" t="s">
        <v>2935</v>
      </c>
      <c r="E1304" s="9" t="s">
        <v>17</v>
      </c>
      <c r="F1304" s="10">
        <v>27</v>
      </c>
      <c r="G1304" s="11">
        <v>9031898639</v>
      </c>
      <c r="H1304" s="10" t="s">
        <v>2936</v>
      </c>
      <c r="I1304" s="10" t="s">
        <v>27</v>
      </c>
      <c r="J1304" s="10" t="s">
        <v>703</v>
      </c>
      <c r="K1304" s="12">
        <v>46002</v>
      </c>
      <c r="L1304" s="10" t="s">
        <v>441</v>
      </c>
      <c r="M1304" s="10" t="s">
        <v>1361</v>
      </c>
      <c r="N1304" s="10" t="s">
        <v>1028</v>
      </c>
    </row>
    <row r="1305" spans="1:14" ht="22.5" customHeight="1">
      <c r="A1305" s="8">
        <v>46002.824114236108</v>
      </c>
      <c r="B1305" s="9" t="s">
        <v>14</v>
      </c>
      <c r="C1305" s="9" t="s">
        <v>15</v>
      </c>
      <c r="D1305" s="10" t="s">
        <v>2937</v>
      </c>
      <c r="E1305" s="9" t="s">
        <v>17</v>
      </c>
      <c r="F1305" s="10">
        <v>25</v>
      </c>
      <c r="G1305" s="11">
        <v>7043352060</v>
      </c>
      <c r="H1305" s="10" t="s">
        <v>2938</v>
      </c>
      <c r="I1305" s="10" t="s">
        <v>27</v>
      </c>
      <c r="J1305" s="10" t="s">
        <v>1895</v>
      </c>
      <c r="K1305" s="12">
        <v>46002</v>
      </c>
      <c r="L1305" s="28" t="s">
        <v>11</v>
      </c>
      <c r="M1305" s="14"/>
      <c r="N1305" s="10" t="s">
        <v>1028</v>
      </c>
    </row>
    <row r="1306" spans="1:14" ht="22.5" hidden="1" customHeight="1">
      <c r="A1306" s="8">
        <v>46002.825108865742</v>
      </c>
      <c r="B1306" s="9" t="s">
        <v>14</v>
      </c>
      <c r="C1306" s="9" t="s">
        <v>15</v>
      </c>
      <c r="D1306" s="10" t="s">
        <v>2939</v>
      </c>
      <c r="E1306" s="9" t="s">
        <v>17</v>
      </c>
      <c r="F1306" s="18">
        <v>1</v>
      </c>
      <c r="G1306" s="11">
        <v>7088182484</v>
      </c>
      <c r="H1306" s="10" t="s">
        <v>2940</v>
      </c>
      <c r="I1306" s="10" t="s">
        <v>27</v>
      </c>
      <c r="J1306" s="10" t="s">
        <v>42</v>
      </c>
      <c r="K1306" s="12">
        <v>46002</v>
      </c>
      <c r="L1306" s="10" t="s">
        <v>441</v>
      </c>
      <c r="M1306" s="10" t="s">
        <v>1361</v>
      </c>
      <c r="N1306" s="10" t="s">
        <v>1028</v>
      </c>
    </row>
    <row r="1307" spans="1:14" ht="22.5" customHeight="1">
      <c r="A1307" s="8">
        <v>46002.825969872691</v>
      </c>
      <c r="B1307" s="9" t="s">
        <v>14</v>
      </c>
      <c r="C1307" s="9" t="s">
        <v>15</v>
      </c>
      <c r="D1307" s="10" t="s">
        <v>2941</v>
      </c>
      <c r="E1307" s="9" t="s">
        <v>17</v>
      </c>
      <c r="F1307" s="10">
        <v>26</v>
      </c>
      <c r="G1307" s="11">
        <v>8109566511</v>
      </c>
      <c r="H1307" s="10" t="s">
        <v>2942</v>
      </c>
      <c r="I1307" s="10" t="s">
        <v>27</v>
      </c>
      <c r="J1307" s="10" t="s">
        <v>1456</v>
      </c>
      <c r="K1307" s="12">
        <v>46002</v>
      </c>
      <c r="L1307" s="28" t="s">
        <v>11</v>
      </c>
      <c r="M1307" s="14"/>
      <c r="N1307" s="10" t="s">
        <v>1028</v>
      </c>
    </row>
    <row r="1308" spans="1:14" ht="22.5" customHeight="1">
      <c r="A1308" s="8">
        <v>46002.826527662037</v>
      </c>
      <c r="B1308" s="9" t="s">
        <v>14</v>
      </c>
      <c r="C1308" s="9" t="s">
        <v>15</v>
      </c>
      <c r="D1308" s="10" t="s">
        <v>2943</v>
      </c>
      <c r="E1308" s="9" t="s">
        <v>22</v>
      </c>
      <c r="F1308" s="10">
        <v>23</v>
      </c>
      <c r="G1308" s="11">
        <v>9026286589</v>
      </c>
      <c r="H1308" s="10" t="s">
        <v>2944</v>
      </c>
      <c r="I1308" s="10" t="s">
        <v>27</v>
      </c>
      <c r="J1308" s="10" t="s">
        <v>1514</v>
      </c>
      <c r="K1308" s="12">
        <v>46002</v>
      </c>
      <c r="L1308" s="28" t="s">
        <v>11</v>
      </c>
      <c r="M1308" s="14"/>
      <c r="N1308" s="10" t="s">
        <v>1028</v>
      </c>
    </row>
    <row r="1309" spans="1:14" ht="22.5" customHeight="1">
      <c r="A1309" s="8">
        <v>46002.828517268514</v>
      </c>
      <c r="B1309" s="9" t="s">
        <v>14</v>
      </c>
      <c r="C1309" s="9" t="s">
        <v>15</v>
      </c>
      <c r="D1309" s="10" t="s">
        <v>2945</v>
      </c>
      <c r="E1309" s="9" t="s">
        <v>22</v>
      </c>
      <c r="F1309" s="10">
        <v>56</v>
      </c>
      <c r="G1309" s="11">
        <v>7060738722</v>
      </c>
      <c r="H1309" s="10" t="s">
        <v>2946</v>
      </c>
      <c r="I1309" s="10" t="s">
        <v>27</v>
      </c>
      <c r="J1309" s="10" t="s">
        <v>70</v>
      </c>
      <c r="K1309" s="12">
        <v>46002</v>
      </c>
      <c r="L1309" s="28" t="s">
        <v>11</v>
      </c>
      <c r="M1309" s="14"/>
      <c r="N1309" s="10" t="s">
        <v>1028</v>
      </c>
    </row>
    <row r="1310" spans="1:14" ht="22.5" customHeight="1">
      <c r="A1310" s="8">
        <v>46002.830889780089</v>
      </c>
      <c r="B1310" s="9" t="s">
        <v>14</v>
      </c>
      <c r="C1310" s="9" t="s">
        <v>15</v>
      </c>
      <c r="D1310" s="10" t="s">
        <v>2947</v>
      </c>
      <c r="E1310" s="9" t="s">
        <v>17</v>
      </c>
      <c r="F1310" s="10">
        <v>35</v>
      </c>
      <c r="G1310" s="11">
        <v>8026513965</v>
      </c>
      <c r="H1310" s="10" t="s">
        <v>2948</v>
      </c>
      <c r="I1310" s="10" t="s">
        <v>27</v>
      </c>
      <c r="J1310" s="10" t="s">
        <v>2006</v>
      </c>
      <c r="K1310" s="12">
        <v>46002</v>
      </c>
      <c r="L1310" s="28" t="s">
        <v>11</v>
      </c>
      <c r="M1310" s="14"/>
      <c r="N1310" s="10" t="s">
        <v>1028</v>
      </c>
    </row>
    <row r="1311" spans="1:14" ht="22.5" customHeight="1">
      <c r="A1311" s="8">
        <v>46002.831038472221</v>
      </c>
      <c r="B1311" s="9" t="s">
        <v>14</v>
      </c>
      <c r="C1311" s="9" t="s">
        <v>15</v>
      </c>
      <c r="D1311" s="10" t="s">
        <v>2949</v>
      </c>
      <c r="E1311" s="9" t="s">
        <v>17</v>
      </c>
      <c r="F1311" s="10">
        <v>28</v>
      </c>
      <c r="G1311" s="11">
        <v>9033486719</v>
      </c>
      <c r="H1311" s="10" t="s">
        <v>2950</v>
      </c>
      <c r="I1311" s="10" t="s">
        <v>27</v>
      </c>
      <c r="J1311" s="10" t="s">
        <v>42</v>
      </c>
      <c r="K1311" s="12">
        <v>46002</v>
      </c>
      <c r="L1311" s="28" t="s">
        <v>11</v>
      </c>
      <c r="M1311" s="14"/>
      <c r="N1311" s="10" t="s">
        <v>1028</v>
      </c>
    </row>
    <row r="1312" spans="1:14" ht="22.5" customHeight="1">
      <c r="A1312" s="8">
        <v>46002.831493252314</v>
      </c>
      <c r="B1312" s="9" t="s">
        <v>14</v>
      </c>
      <c r="C1312" s="9" t="s">
        <v>15</v>
      </c>
      <c r="D1312" s="10" t="s">
        <v>2951</v>
      </c>
      <c r="E1312" s="9" t="s">
        <v>17</v>
      </c>
      <c r="F1312" s="10">
        <v>30</v>
      </c>
      <c r="G1312" s="11">
        <v>7063994868</v>
      </c>
      <c r="H1312" s="10" t="s">
        <v>2952</v>
      </c>
      <c r="I1312" s="10" t="s">
        <v>27</v>
      </c>
      <c r="J1312" s="10" t="s">
        <v>70</v>
      </c>
      <c r="K1312" s="12">
        <v>46002</v>
      </c>
      <c r="L1312" s="28" t="s">
        <v>11</v>
      </c>
      <c r="M1312" s="14"/>
      <c r="N1312" s="10" t="s">
        <v>1028</v>
      </c>
    </row>
    <row r="1313" spans="1:14" ht="22.5" customHeight="1">
      <c r="A1313" s="8">
        <v>46002.831836412035</v>
      </c>
      <c r="B1313" s="9" t="s">
        <v>14</v>
      </c>
      <c r="C1313" s="9" t="s">
        <v>15</v>
      </c>
      <c r="D1313" s="10" t="s">
        <v>2953</v>
      </c>
      <c r="E1313" s="9" t="s">
        <v>22</v>
      </c>
      <c r="F1313" s="10">
        <v>27</v>
      </c>
      <c r="G1313" s="11">
        <v>9035998668</v>
      </c>
      <c r="H1313" s="10" t="s">
        <v>2954</v>
      </c>
      <c r="I1313" s="10" t="s">
        <v>27</v>
      </c>
      <c r="J1313" s="10" t="s">
        <v>70</v>
      </c>
      <c r="K1313" s="12">
        <v>46002</v>
      </c>
      <c r="L1313" s="28" t="s">
        <v>11</v>
      </c>
      <c r="M1313" s="14"/>
      <c r="N1313" s="10" t="s">
        <v>1028</v>
      </c>
    </row>
    <row r="1314" spans="1:14" ht="22.5" customHeight="1">
      <c r="A1314" s="8">
        <v>46002.831930798609</v>
      </c>
      <c r="B1314" s="9" t="s">
        <v>14</v>
      </c>
      <c r="C1314" s="9" t="s">
        <v>15</v>
      </c>
      <c r="D1314" s="10" t="s">
        <v>2955</v>
      </c>
      <c r="E1314" s="9" t="s">
        <v>22</v>
      </c>
      <c r="F1314" s="10">
        <v>21</v>
      </c>
      <c r="G1314" s="11">
        <v>9164565938</v>
      </c>
      <c r="H1314" s="10" t="s">
        <v>2956</v>
      </c>
      <c r="I1314" s="10" t="s">
        <v>27</v>
      </c>
      <c r="J1314" s="10" t="s">
        <v>28</v>
      </c>
      <c r="K1314" s="12">
        <v>46002</v>
      </c>
      <c r="L1314" s="28" t="s">
        <v>11</v>
      </c>
      <c r="M1314" s="14"/>
      <c r="N1314" s="10" t="s">
        <v>1028</v>
      </c>
    </row>
    <row r="1315" spans="1:14" ht="22.5" customHeight="1">
      <c r="A1315" s="8">
        <v>46002.832586990742</v>
      </c>
      <c r="B1315" s="9" t="s">
        <v>14</v>
      </c>
      <c r="C1315" s="9" t="s">
        <v>15</v>
      </c>
      <c r="D1315" s="10" t="s">
        <v>2957</v>
      </c>
      <c r="E1315" s="9" t="s">
        <v>22</v>
      </c>
      <c r="F1315" s="10">
        <v>27</v>
      </c>
      <c r="G1315" s="11">
        <v>8164514664</v>
      </c>
      <c r="H1315" s="10" t="s">
        <v>2958</v>
      </c>
      <c r="I1315" s="10" t="s">
        <v>27</v>
      </c>
      <c r="J1315" s="10" t="s">
        <v>2959</v>
      </c>
      <c r="K1315" s="12">
        <v>46002</v>
      </c>
      <c r="L1315" s="28" t="s">
        <v>11</v>
      </c>
      <c r="M1315" s="14"/>
      <c r="N1315" s="10" t="s">
        <v>1096</v>
      </c>
    </row>
    <row r="1316" spans="1:14" ht="22.5" customHeight="1">
      <c r="A1316" s="8">
        <v>46002.834869942133</v>
      </c>
      <c r="B1316" s="9" t="s">
        <v>14</v>
      </c>
      <c r="C1316" s="9" t="s">
        <v>15</v>
      </c>
      <c r="D1316" s="10" t="s">
        <v>2960</v>
      </c>
      <c r="E1316" s="9" t="s">
        <v>22</v>
      </c>
      <c r="F1316" s="10">
        <v>26</v>
      </c>
      <c r="G1316" s="11">
        <v>9064892125</v>
      </c>
      <c r="H1316" s="10" t="s">
        <v>2961</v>
      </c>
      <c r="I1316" s="10" t="s">
        <v>27</v>
      </c>
      <c r="J1316" s="10" t="s">
        <v>94</v>
      </c>
      <c r="K1316" s="12">
        <v>46002</v>
      </c>
      <c r="L1316" s="28" t="s">
        <v>11</v>
      </c>
      <c r="M1316" s="10"/>
      <c r="N1316" s="10" t="s">
        <v>1028</v>
      </c>
    </row>
    <row r="1317" spans="1:14" ht="22.5" hidden="1" customHeight="1">
      <c r="A1317" s="8">
        <v>46002.835103912032</v>
      </c>
      <c r="B1317" s="9" t="s">
        <v>14</v>
      </c>
      <c r="C1317" s="9" t="s">
        <v>15</v>
      </c>
      <c r="D1317" s="10" t="s">
        <v>2962</v>
      </c>
      <c r="E1317" s="9" t="s">
        <v>17</v>
      </c>
      <c r="F1317" s="10">
        <v>18</v>
      </c>
      <c r="G1317" s="11">
        <v>8067413688</v>
      </c>
      <c r="H1317" s="10" t="s">
        <v>2963</v>
      </c>
      <c r="I1317" s="10" t="s">
        <v>27</v>
      </c>
      <c r="J1317" s="10" t="s">
        <v>172</v>
      </c>
      <c r="K1317" s="12">
        <v>46002</v>
      </c>
      <c r="L1317" s="10" t="s">
        <v>441</v>
      </c>
      <c r="M1317" s="10" t="s">
        <v>1356</v>
      </c>
      <c r="N1317" s="10" t="s">
        <v>1028</v>
      </c>
    </row>
    <row r="1318" spans="1:14" ht="22.5" customHeight="1">
      <c r="A1318" s="8">
        <v>46002.836013136577</v>
      </c>
      <c r="B1318" s="9" t="s">
        <v>14</v>
      </c>
      <c r="C1318" s="9" t="s">
        <v>15</v>
      </c>
      <c r="D1318" s="10" t="s">
        <v>2964</v>
      </c>
      <c r="E1318" s="9" t="s">
        <v>17</v>
      </c>
      <c r="F1318" s="10">
        <v>22</v>
      </c>
      <c r="G1318" s="11">
        <f t="shared" ref="G1318" si="31">256745409729</f>
        <v>256745409729</v>
      </c>
      <c r="H1318" s="10" t="s">
        <v>2965</v>
      </c>
      <c r="I1318" s="10" t="s">
        <v>19</v>
      </c>
      <c r="J1318" s="10" t="s">
        <v>2966</v>
      </c>
      <c r="K1318" s="12">
        <v>46002</v>
      </c>
      <c r="L1318" s="28" t="s">
        <v>11</v>
      </c>
      <c r="M1318" s="14"/>
      <c r="N1318" s="10" t="s">
        <v>2967</v>
      </c>
    </row>
    <row r="1319" spans="1:14" ht="22.5" customHeight="1">
      <c r="A1319" s="8">
        <v>46002.836590659717</v>
      </c>
      <c r="B1319" s="9" t="s">
        <v>14</v>
      </c>
      <c r="C1319" s="9" t="s">
        <v>15</v>
      </c>
      <c r="D1319" s="10" t="s">
        <v>2968</v>
      </c>
      <c r="E1319" s="9" t="s">
        <v>22</v>
      </c>
      <c r="F1319" s="10">
        <v>27</v>
      </c>
      <c r="G1319" s="11">
        <v>8109431681</v>
      </c>
      <c r="H1319" s="10" t="s">
        <v>2969</v>
      </c>
      <c r="I1319" s="10" t="s">
        <v>27</v>
      </c>
      <c r="J1319" s="10" t="s">
        <v>1456</v>
      </c>
      <c r="K1319" s="12">
        <v>46002</v>
      </c>
      <c r="L1319" s="28" t="s">
        <v>11</v>
      </c>
      <c r="M1319" s="14"/>
      <c r="N1319" s="10" t="s">
        <v>1028</v>
      </c>
    </row>
    <row r="1320" spans="1:14" ht="22.5" customHeight="1">
      <c r="A1320" s="8">
        <v>46002.836893657412</v>
      </c>
      <c r="B1320" s="9" t="s">
        <v>14</v>
      </c>
      <c r="C1320" s="9" t="s">
        <v>15</v>
      </c>
      <c r="D1320" s="10" t="s">
        <v>2970</v>
      </c>
      <c r="E1320" s="9" t="s">
        <v>17</v>
      </c>
      <c r="F1320" s="10">
        <v>23</v>
      </c>
      <c r="G1320" s="11">
        <v>7084434805</v>
      </c>
      <c r="H1320" s="10" t="s">
        <v>2971</v>
      </c>
      <c r="I1320" s="10" t="s">
        <v>27</v>
      </c>
      <c r="J1320" s="10" t="s">
        <v>42</v>
      </c>
      <c r="K1320" s="12">
        <v>37459</v>
      </c>
      <c r="L1320" s="28" t="s">
        <v>11</v>
      </c>
      <c r="M1320" s="14"/>
      <c r="N1320" s="10" t="s">
        <v>1028</v>
      </c>
    </row>
    <row r="1321" spans="1:14" ht="22.5" customHeight="1">
      <c r="A1321" s="8">
        <v>46002.83753553241</v>
      </c>
      <c r="B1321" s="9" t="s">
        <v>14</v>
      </c>
      <c r="C1321" s="9" t="s">
        <v>15</v>
      </c>
      <c r="D1321" s="10" t="s">
        <v>2972</v>
      </c>
      <c r="E1321" s="9" t="s">
        <v>17</v>
      </c>
      <c r="F1321" s="10">
        <v>26</v>
      </c>
      <c r="G1321" s="11">
        <v>9036965043</v>
      </c>
      <c r="H1321" s="10" t="s">
        <v>2973</v>
      </c>
      <c r="I1321" s="10" t="s">
        <v>27</v>
      </c>
      <c r="J1321" s="10" t="s">
        <v>2974</v>
      </c>
      <c r="K1321" s="12">
        <v>46002</v>
      </c>
      <c r="L1321" s="28" t="s">
        <v>11</v>
      </c>
      <c r="M1321" s="10"/>
      <c r="N1321" s="10" t="s">
        <v>1028</v>
      </c>
    </row>
    <row r="1322" spans="1:14" ht="22.5" customHeight="1">
      <c r="A1322" s="8">
        <v>46002.83866642361</v>
      </c>
      <c r="B1322" s="9" t="s">
        <v>14</v>
      </c>
      <c r="C1322" s="9" t="s">
        <v>15</v>
      </c>
      <c r="D1322" s="10" t="s">
        <v>2975</v>
      </c>
      <c r="E1322" s="9" t="s">
        <v>22</v>
      </c>
      <c r="F1322" s="10">
        <v>48</v>
      </c>
      <c r="G1322" s="11">
        <v>9016290356</v>
      </c>
      <c r="H1322" s="10" t="s">
        <v>2976</v>
      </c>
      <c r="I1322" s="10" t="s">
        <v>27</v>
      </c>
      <c r="J1322" s="10" t="s">
        <v>1514</v>
      </c>
      <c r="K1322" s="12">
        <v>46002</v>
      </c>
      <c r="L1322" s="28" t="s">
        <v>11</v>
      </c>
      <c r="M1322" s="14"/>
      <c r="N1322" s="10" t="s">
        <v>1028</v>
      </c>
    </row>
    <row r="1323" spans="1:14" ht="22.5" customHeight="1">
      <c r="A1323" s="8">
        <v>46002.840066828707</v>
      </c>
      <c r="B1323" s="9" t="s">
        <v>14</v>
      </c>
      <c r="C1323" s="9" t="s">
        <v>15</v>
      </c>
      <c r="D1323" s="10" t="s">
        <v>2977</v>
      </c>
      <c r="E1323" s="9" t="s">
        <v>17</v>
      </c>
      <c r="F1323" s="10">
        <v>27</v>
      </c>
      <c r="G1323" s="11">
        <f>2348064109432</f>
        <v>2348064109432</v>
      </c>
      <c r="H1323" s="10" t="s">
        <v>2978</v>
      </c>
      <c r="I1323" s="10" t="s">
        <v>27</v>
      </c>
      <c r="J1323" s="10" t="s">
        <v>94</v>
      </c>
      <c r="K1323" s="12">
        <v>46002</v>
      </c>
      <c r="L1323" s="28" t="s">
        <v>11</v>
      </c>
      <c r="M1323" s="14"/>
      <c r="N1323" s="10" t="s">
        <v>1096</v>
      </c>
    </row>
    <row r="1324" spans="1:14" ht="22.5" customHeight="1">
      <c r="A1324" s="8">
        <v>46002.840763206019</v>
      </c>
      <c r="B1324" s="9" t="s">
        <v>14</v>
      </c>
      <c r="C1324" s="9" t="s">
        <v>15</v>
      </c>
      <c r="D1324" s="10" t="s">
        <v>2979</v>
      </c>
      <c r="E1324" s="9" t="s">
        <v>22</v>
      </c>
      <c r="F1324" s="10">
        <v>25</v>
      </c>
      <c r="G1324" s="11">
        <v>8034352255</v>
      </c>
      <c r="H1324" s="10" t="s">
        <v>2980</v>
      </c>
      <c r="I1324" s="10" t="s">
        <v>27</v>
      </c>
      <c r="J1324" s="10" t="s">
        <v>94</v>
      </c>
      <c r="K1324" s="12">
        <v>46002</v>
      </c>
      <c r="L1324" s="28" t="s">
        <v>11</v>
      </c>
      <c r="M1324" s="14"/>
      <c r="N1324" s="10" t="s">
        <v>1028</v>
      </c>
    </row>
    <row r="1325" spans="1:14" ht="22.5" customHeight="1">
      <c r="A1325" s="8">
        <v>46002.842634062501</v>
      </c>
      <c r="B1325" s="9" t="s">
        <v>14</v>
      </c>
      <c r="C1325" s="9" t="s">
        <v>15</v>
      </c>
      <c r="D1325" s="10" t="s">
        <v>2981</v>
      </c>
      <c r="E1325" s="9" t="s">
        <v>22</v>
      </c>
      <c r="F1325" s="10">
        <v>27</v>
      </c>
      <c r="G1325" s="11">
        <v>7033501995</v>
      </c>
      <c r="H1325" s="10" t="s">
        <v>2982</v>
      </c>
      <c r="I1325" s="10" t="s">
        <v>27</v>
      </c>
      <c r="J1325" s="10" t="s">
        <v>1456</v>
      </c>
      <c r="K1325" s="12">
        <v>46002</v>
      </c>
      <c r="L1325" s="28" t="s">
        <v>11</v>
      </c>
      <c r="M1325" s="14"/>
      <c r="N1325" s="10" t="s">
        <v>1028</v>
      </c>
    </row>
    <row r="1326" spans="1:14" ht="22.5" customHeight="1">
      <c r="A1326" s="8">
        <v>46002.842861180558</v>
      </c>
      <c r="B1326" s="9" t="s">
        <v>14</v>
      </c>
      <c r="C1326" s="9" t="s">
        <v>15</v>
      </c>
      <c r="D1326" s="10" t="s">
        <v>2983</v>
      </c>
      <c r="E1326" s="9" t="s">
        <v>22</v>
      </c>
      <c r="F1326" s="10">
        <v>30</v>
      </c>
      <c r="G1326" s="11">
        <v>8033972289</v>
      </c>
      <c r="H1326" s="10" t="s">
        <v>2984</v>
      </c>
      <c r="I1326" s="10" t="s">
        <v>27</v>
      </c>
      <c r="J1326" s="10" t="s">
        <v>28</v>
      </c>
      <c r="K1326" s="12">
        <v>46002</v>
      </c>
      <c r="L1326" s="28" t="s">
        <v>11</v>
      </c>
      <c r="M1326" s="14"/>
      <c r="N1326" s="10" t="s">
        <v>1028</v>
      </c>
    </row>
    <row r="1327" spans="1:14" ht="22.5" customHeight="1">
      <c r="A1327" s="8">
        <v>46002.843938831022</v>
      </c>
      <c r="B1327" s="9" t="s">
        <v>14</v>
      </c>
      <c r="C1327" s="9" t="s">
        <v>15</v>
      </c>
      <c r="D1327" s="10" t="s">
        <v>2985</v>
      </c>
      <c r="E1327" s="9" t="s">
        <v>22</v>
      </c>
      <c r="F1327" s="10">
        <v>24</v>
      </c>
      <c r="G1327" s="11">
        <v>8142350603</v>
      </c>
      <c r="H1327" s="10" t="s">
        <v>2986</v>
      </c>
      <c r="I1327" s="10" t="s">
        <v>27</v>
      </c>
      <c r="J1327" s="10" t="s">
        <v>42</v>
      </c>
      <c r="K1327" s="12">
        <v>45973</v>
      </c>
      <c r="L1327" s="28" t="s">
        <v>11</v>
      </c>
      <c r="M1327" s="14"/>
      <c r="N1327" s="10" t="s">
        <v>1028</v>
      </c>
    </row>
    <row r="1328" spans="1:14" ht="22.5" hidden="1" customHeight="1">
      <c r="A1328" s="8">
        <v>46002.844089872684</v>
      </c>
      <c r="B1328" s="9" t="s">
        <v>14</v>
      </c>
      <c r="C1328" s="9" t="s">
        <v>15</v>
      </c>
      <c r="D1328" s="10" t="s">
        <v>2987</v>
      </c>
      <c r="E1328" s="9" t="s">
        <v>22</v>
      </c>
      <c r="F1328" s="10">
        <v>22</v>
      </c>
      <c r="G1328" s="11">
        <v>8027253229</v>
      </c>
      <c r="H1328" s="10" t="s">
        <v>2988</v>
      </c>
      <c r="I1328" s="10" t="s">
        <v>27</v>
      </c>
      <c r="J1328" s="10" t="s">
        <v>2258</v>
      </c>
      <c r="K1328" s="12">
        <v>46002</v>
      </c>
      <c r="L1328" s="10" t="s">
        <v>441</v>
      </c>
      <c r="M1328" s="10" t="s">
        <v>1361</v>
      </c>
      <c r="N1328" s="10" t="s">
        <v>1028</v>
      </c>
    </row>
    <row r="1329" spans="1:14" ht="22.5" customHeight="1">
      <c r="A1329" s="8">
        <v>46002.844743391208</v>
      </c>
      <c r="B1329" s="9" t="s">
        <v>14</v>
      </c>
      <c r="C1329" s="9" t="s">
        <v>15</v>
      </c>
      <c r="D1329" s="10" t="s">
        <v>2989</v>
      </c>
      <c r="E1329" s="9" t="s">
        <v>17</v>
      </c>
      <c r="F1329" s="10">
        <v>20</v>
      </c>
      <c r="G1329" s="11">
        <v>8061750075</v>
      </c>
      <c r="H1329" s="10" t="s">
        <v>2990</v>
      </c>
      <c r="I1329" s="10" t="s">
        <v>27</v>
      </c>
      <c r="J1329" s="10" t="s">
        <v>70</v>
      </c>
      <c r="K1329" s="12">
        <v>46002</v>
      </c>
      <c r="L1329" s="28" t="s">
        <v>11</v>
      </c>
      <c r="M1329" s="14"/>
      <c r="N1329" s="10" t="s">
        <v>1028</v>
      </c>
    </row>
    <row r="1330" spans="1:14" ht="22.5" customHeight="1">
      <c r="A1330" s="8">
        <v>46002.845181886572</v>
      </c>
      <c r="B1330" s="9" t="s">
        <v>14</v>
      </c>
      <c r="C1330" s="9" t="s">
        <v>15</v>
      </c>
      <c r="D1330" s="10" t="s">
        <v>2991</v>
      </c>
      <c r="E1330" s="9" t="s">
        <v>22</v>
      </c>
      <c r="F1330" s="10">
        <v>28</v>
      </c>
      <c r="G1330" s="11">
        <v>7040017164</v>
      </c>
      <c r="H1330" s="10" t="s">
        <v>2992</v>
      </c>
      <c r="I1330" s="10" t="s">
        <v>27</v>
      </c>
      <c r="J1330" s="10" t="s">
        <v>2328</v>
      </c>
      <c r="K1330" s="12">
        <v>46002</v>
      </c>
      <c r="L1330" s="28" t="s">
        <v>11</v>
      </c>
      <c r="M1330" s="14"/>
      <c r="N1330" s="10" t="s">
        <v>1028</v>
      </c>
    </row>
    <row r="1331" spans="1:14" ht="22.5" customHeight="1">
      <c r="A1331" s="8">
        <v>46002.846027314816</v>
      </c>
      <c r="B1331" s="9" t="s">
        <v>14</v>
      </c>
      <c r="C1331" s="9" t="s">
        <v>15</v>
      </c>
      <c r="D1331" s="10" t="s">
        <v>2993</v>
      </c>
      <c r="E1331" s="9" t="s">
        <v>17</v>
      </c>
      <c r="F1331" s="10">
        <v>22</v>
      </c>
      <c r="G1331" s="11">
        <v>8123740241</v>
      </c>
      <c r="H1331" s="10" t="s">
        <v>2994</v>
      </c>
      <c r="I1331" s="10" t="s">
        <v>27</v>
      </c>
      <c r="J1331" s="10" t="s">
        <v>372</v>
      </c>
      <c r="K1331" s="12">
        <v>46002</v>
      </c>
      <c r="L1331" s="28" t="s">
        <v>11</v>
      </c>
      <c r="M1331" s="14"/>
      <c r="N1331" s="10" t="s">
        <v>1028</v>
      </c>
    </row>
    <row r="1332" spans="1:14" ht="22.5" customHeight="1">
      <c r="A1332" s="8">
        <v>46002.847337881947</v>
      </c>
      <c r="B1332" s="9" t="s">
        <v>14</v>
      </c>
      <c r="C1332" s="9" t="s">
        <v>15</v>
      </c>
      <c r="D1332" s="10" t="s">
        <v>2995</v>
      </c>
      <c r="E1332" s="9" t="s">
        <v>22</v>
      </c>
      <c r="F1332" s="10">
        <v>21</v>
      </c>
      <c r="G1332" s="11">
        <v>9025965785</v>
      </c>
      <c r="H1332" s="10" t="s">
        <v>2996</v>
      </c>
      <c r="I1332" s="10" t="s">
        <v>27</v>
      </c>
      <c r="J1332" s="10" t="s">
        <v>1514</v>
      </c>
      <c r="K1332" s="12">
        <v>46002</v>
      </c>
      <c r="L1332" s="28" t="s">
        <v>11</v>
      </c>
      <c r="M1332" s="14"/>
      <c r="N1332" s="10" t="s">
        <v>1028</v>
      </c>
    </row>
    <row r="1333" spans="1:14" ht="22.5" hidden="1" customHeight="1">
      <c r="A1333" s="8">
        <v>46002.84734670139</v>
      </c>
      <c r="B1333" s="9" t="s">
        <v>14</v>
      </c>
      <c r="C1333" s="9" t="s">
        <v>15</v>
      </c>
      <c r="D1333" s="10" t="s">
        <v>2997</v>
      </c>
      <c r="E1333" s="9" t="s">
        <v>17</v>
      </c>
      <c r="F1333" s="10">
        <v>26</v>
      </c>
      <c r="G1333" s="11">
        <v>8100933988</v>
      </c>
      <c r="H1333" s="10" t="s">
        <v>2998</v>
      </c>
      <c r="I1333" s="10" t="s">
        <v>27</v>
      </c>
      <c r="J1333" s="10" t="s">
        <v>42</v>
      </c>
      <c r="K1333" s="12">
        <v>36025</v>
      </c>
      <c r="L1333" s="10" t="s">
        <v>441</v>
      </c>
      <c r="M1333" s="10" t="s">
        <v>2999</v>
      </c>
      <c r="N1333" s="10" t="s">
        <v>1563</v>
      </c>
    </row>
    <row r="1334" spans="1:14" ht="22.5" customHeight="1">
      <c r="A1334" s="8">
        <v>46002.847607118056</v>
      </c>
      <c r="B1334" s="9" t="s">
        <v>14</v>
      </c>
      <c r="C1334" s="9" t="s">
        <v>15</v>
      </c>
      <c r="D1334" s="10" t="s">
        <v>3000</v>
      </c>
      <c r="E1334" s="9" t="s">
        <v>17</v>
      </c>
      <c r="F1334" s="10">
        <v>32</v>
      </c>
      <c r="G1334" s="11">
        <f t="shared" ref="G1334" si="32">255718616294</f>
        <v>255718616294</v>
      </c>
      <c r="H1334" s="10" t="s">
        <v>3001</v>
      </c>
      <c r="I1334" s="10" t="s">
        <v>19</v>
      </c>
      <c r="J1334" s="10" t="s">
        <v>3002</v>
      </c>
      <c r="K1334" s="12">
        <v>46002</v>
      </c>
      <c r="L1334" s="28" t="s">
        <v>11</v>
      </c>
      <c r="M1334" s="14"/>
      <c r="N1334" s="10" t="s">
        <v>1096</v>
      </c>
    </row>
    <row r="1335" spans="1:14" ht="22.5" customHeight="1">
      <c r="A1335" s="8">
        <v>46002.847783159727</v>
      </c>
      <c r="B1335" s="9" t="s">
        <v>14</v>
      </c>
      <c r="C1335" s="9" t="s">
        <v>15</v>
      </c>
      <c r="D1335" s="10" t="s">
        <v>2534</v>
      </c>
      <c r="E1335" s="9" t="s">
        <v>17</v>
      </c>
      <c r="F1335" s="10">
        <v>41</v>
      </c>
      <c r="G1335" s="11">
        <v>8066225273</v>
      </c>
      <c r="H1335" s="10" t="s">
        <v>3003</v>
      </c>
      <c r="I1335" s="10" t="s">
        <v>27</v>
      </c>
      <c r="J1335" s="10" t="s">
        <v>172</v>
      </c>
      <c r="K1335" s="12">
        <v>46002</v>
      </c>
      <c r="L1335" s="28" t="s">
        <v>11</v>
      </c>
      <c r="M1335" s="14"/>
      <c r="N1335" s="10" t="s">
        <v>1096</v>
      </c>
    </row>
    <row r="1336" spans="1:14" ht="22.5" customHeight="1">
      <c r="A1336" s="8">
        <v>46002.848526886577</v>
      </c>
      <c r="B1336" s="9" t="s">
        <v>14</v>
      </c>
      <c r="C1336" s="9" t="s">
        <v>15</v>
      </c>
      <c r="D1336" s="10" t="s">
        <v>3004</v>
      </c>
      <c r="E1336" s="9" t="s">
        <v>17</v>
      </c>
      <c r="F1336" s="10">
        <v>35</v>
      </c>
      <c r="G1336" s="11">
        <v>8036209248</v>
      </c>
      <c r="H1336" s="10" t="s">
        <v>3005</v>
      </c>
      <c r="I1336" s="10" t="s">
        <v>27</v>
      </c>
      <c r="J1336" s="10" t="s">
        <v>172</v>
      </c>
      <c r="K1336" s="12">
        <v>46002</v>
      </c>
      <c r="L1336" s="28" t="s">
        <v>11</v>
      </c>
      <c r="M1336" s="14"/>
      <c r="N1336" s="10" t="s">
        <v>1028</v>
      </c>
    </row>
    <row r="1337" spans="1:14" ht="22.5" customHeight="1">
      <c r="A1337" s="8">
        <v>46002.848666516205</v>
      </c>
      <c r="B1337" s="9" t="s">
        <v>14</v>
      </c>
      <c r="C1337" s="9" t="s">
        <v>15</v>
      </c>
      <c r="D1337" s="10" t="s">
        <v>3006</v>
      </c>
      <c r="E1337" s="9" t="s">
        <v>22</v>
      </c>
      <c r="F1337" s="10">
        <v>34</v>
      </c>
      <c r="G1337" s="11">
        <v>7035345408</v>
      </c>
      <c r="H1337" s="10" t="s">
        <v>3007</v>
      </c>
      <c r="I1337" s="10" t="s">
        <v>27</v>
      </c>
      <c r="J1337" s="10" t="s">
        <v>42</v>
      </c>
      <c r="K1337" s="12">
        <v>46002</v>
      </c>
      <c r="L1337" s="28" t="s">
        <v>11</v>
      </c>
      <c r="M1337" s="14"/>
      <c r="N1337" s="10" t="s">
        <v>1028</v>
      </c>
    </row>
    <row r="1338" spans="1:14" ht="22.5" customHeight="1">
      <c r="A1338" s="8">
        <v>46002.849588425925</v>
      </c>
      <c r="B1338" s="9" t="s">
        <v>14</v>
      </c>
      <c r="C1338" s="9" t="s">
        <v>15</v>
      </c>
      <c r="D1338" s="10" t="s">
        <v>2955</v>
      </c>
      <c r="E1338" s="9" t="s">
        <v>22</v>
      </c>
      <c r="F1338" s="10">
        <v>21</v>
      </c>
      <c r="G1338" s="11">
        <v>9164565938</v>
      </c>
      <c r="H1338" s="10" t="s">
        <v>2956</v>
      </c>
      <c r="I1338" s="10" t="s">
        <v>27</v>
      </c>
      <c r="J1338" s="10" t="s">
        <v>28</v>
      </c>
      <c r="K1338" s="12">
        <v>46002</v>
      </c>
      <c r="L1338" s="28" t="s">
        <v>11</v>
      </c>
      <c r="M1338" s="14"/>
      <c r="N1338" s="10" t="s">
        <v>1028</v>
      </c>
    </row>
    <row r="1339" spans="1:14" ht="22.5" customHeight="1">
      <c r="A1339" s="8">
        <v>46002.850275937497</v>
      </c>
      <c r="B1339" s="9" t="s">
        <v>14</v>
      </c>
      <c r="C1339" s="9" t="s">
        <v>15</v>
      </c>
      <c r="D1339" s="10" t="s">
        <v>3008</v>
      </c>
      <c r="E1339" s="9" t="s">
        <v>17</v>
      </c>
      <c r="F1339" s="10">
        <v>28</v>
      </c>
      <c r="G1339" s="11">
        <v>8123468260</v>
      </c>
      <c r="H1339" s="10" t="s">
        <v>3009</v>
      </c>
      <c r="I1339" s="10" t="s">
        <v>27</v>
      </c>
      <c r="J1339" s="10" t="s">
        <v>2105</v>
      </c>
      <c r="K1339" s="12">
        <v>46002</v>
      </c>
      <c r="L1339" s="28" t="s">
        <v>11</v>
      </c>
      <c r="M1339" s="14"/>
      <c r="N1339" s="10" t="s">
        <v>1028</v>
      </c>
    </row>
    <row r="1340" spans="1:14" ht="22.5" customHeight="1">
      <c r="A1340" s="8">
        <v>46002.850349548607</v>
      </c>
      <c r="B1340" s="9" t="s">
        <v>14</v>
      </c>
      <c r="C1340" s="9" t="s">
        <v>15</v>
      </c>
      <c r="D1340" s="10" t="s">
        <v>3010</v>
      </c>
      <c r="E1340" s="9" t="s">
        <v>17</v>
      </c>
      <c r="F1340" s="10">
        <v>30</v>
      </c>
      <c r="G1340" s="11">
        <v>8063469221</v>
      </c>
      <c r="H1340" s="10" t="s">
        <v>3011</v>
      </c>
      <c r="I1340" s="10" t="s">
        <v>27</v>
      </c>
      <c r="J1340" s="10" t="s">
        <v>2006</v>
      </c>
      <c r="K1340" s="12">
        <v>46002</v>
      </c>
      <c r="L1340" s="28" t="s">
        <v>11</v>
      </c>
      <c r="M1340" s="14"/>
      <c r="N1340" s="10" t="s">
        <v>1028</v>
      </c>
    </row>
    <row r="1341" spans="1:14" ht="22.5" customHeight="1">
      <c r="A1341" s="8">
        <v>46002.850561458334</v>
      </c>
      <c r="B1341" s="9" t="s">
        <v>14</v>
      </c>
      <c r="C1341" s="9" t="s">
        <v>15</v>
      </c>
      <c r="D1341" s="10" t="s">
        <v>3012</v>
      </c>
      <c r="E1341" s="9" t="s">
        <v>17</v>
      </c>
      <c r="F1341" s="10">
        <v>27</v>
      </c>
      <c r="G1341" s="11">
        <v>9023813517</v>
      </c>
      <c r="H1341" s="10" t="s">
        <v>3013</v>
      </c>
      <c r="I1341" s="10" t="s">
        <v>27</v>
      </c>
      <c r="J1341" s="10" t="s">
        <v>94</v>
      </c>
      <c r="K1341" s="12">
        <v>46002</v>
      </c>
      <c r="L1341" s="28" t="s">
        <v>11</v>
      </c>
      <c r="M1341" s="14"/>
      <c r="N1341" s="10" t="s">
        <v>1028</v>
      </c>
    </row>
    <row r="1342" spans="1:14" ht="22.5" customHeight="1">
      <c r="A1342" s="8">
        <v>46002.852037766206</v>
      </c>
      <c r="B1342" s="9" t="s">
        <v>14</v>
      </c>
      <c r="C1342" s="9" t="s">
        <v>15</v>
      </c>
      <c r="D1342" s="10" t="s">
        <v>3014</v>
      </c>
      <c r="E1342" s="9" t="s">
        <v>22</v>
      </c>
      <c r="F1342" s="10">
        <v>29</v>
      </c>
      <c r="G1342" s="11">
        <v>7034981711</v>
      </c>
      <c r="H1342" s="10" t="s">
        <v>3015</v>
      </c>
      <c r="I1342" s="10" t="s">
        <v>27</v>
      </c>
      <c r="J1342" s="10" t="s">
        <v>94</v>
      </c>
      <c r="K1342" s="12">
        <v>35223</v>
      </c>
      <c r="L1342" s="28" t="s">
        <v>11</v>
      </c>
      <c r="M1342" s="14"/>
      <c r="N1342" s="10" t="s">
        <v>1028</v>
      </c>
    </row>
    <row r="1343" spans="1:14" ht="22.5" customHeight="1">
      <c r="A1343" s="8">
        <v>46002.852951701389</v>
      </c>
      <c r="B1343" s="9" t="s">
        <v>14</v>
      </c>
      <c r="C1343" s="9" t="s">
        <v>15</v>
      </c>
      <c r="D1343" s="10" t="s">
        <v>3016</v>
      </c>
      <c r="E1343" s="9" t="s">
        <v>17</v>
      </c>
      <c r="F1343" s="10">
        <v>21</v>
      </c>
      <c r="G1343" s="11">
        <v>9134503670</v>
      </c>
      <c r="H1343" s="10" t="s">
        <v>3017</v>
      </c>
      <c r="I1343" s="10" t="s">
        <v>27</v>
      </c>
      <c r="J1343" s="10" t="s">
        <v>42</v>
      </c>
      <c r="K1343" s="12">
        <v>46002</v>
      </c>
      <c r="L1343" s="28" t="s">
        <v>11</v>
      </c>
      <c r="M1343" s="14"/>
      <c r="N1343" s="10" t="s">
        <v>1028</v>
      </c>
    </row>
    <row r="1344" spans="1:14" ht="22.5" customHeight="1">
      <c r="A1344" s="8">
        <v>46002.853124351852</v>
      </c>
      <c r="B1344" s="9" t="s">
        <v>14</v>
      </c>
      <c r="C1344" s="9" t="s">
        <v>15</v>
      </c>
      <c r="D1344" s="10" t="s">
        <v>3018</v>
      </c>
      <c r="E1344" s="9" t="s">
        <v>17</v>
      </c>
      <c r="F1344" s="10">
        <v>32</v>
      </c>
      <c r="G1344" s="11">
        <v>8039433733</v>
      </c>
      <c r="H1344" s="10" t="s">
        <v>3019</v>
      </c>
      <c r="I1344" s="10" t="s">
        <v>27</v>
      </c>
      <c r="J1344" s="10" t="s">
        <v>1902</v>
      </c>
      <c r="K1344" s="12">
        <v>46002</v>
      </c>
      <c r="L1344" s="28" t="s">
        <v>11</v>
      </c>
      <c r="M1344" s="14"/>
      <c r="N1344" s="10" t="s">
        <v>1028</v>
      </c>
    </row>
    <row r="1345" spans="1:14" ht="22.5" customHeight="1">
      <c r="A1345" s="8">
        <v>46002.854538645828</v>
      </c>
      <c r="B1345" s="9" t="s">
        <v>14</v>
      </c>
      <c r="C1345" s="9" t="s">
        <v>15</v>
      </c>
      <c r="D1345" s="10" t="s">
        <v>3020</v>
      </c>
      <c r="E1345" s="9" t="s">
        <v>17</v>
      </c>
      <c r="F1345" s="10">
        <v>34</v>
      </c>
      <c r="G1345" s="11">
        <v>8037969817</v>
      </c>
      <c r="H1345" s="10" t="s">
        <v>3021</v>
      </c>
      <c r="I1345" s="10" t="s">
        <v>27</v>
      </c>
      <c r="J1345" s="10" t="s">
        <v>70</v>
      </c>
      <c r="K1345" s="12">
        <v>46002</v>
      </c>
      <c r="L1345" s="28" t="s">
        <v>11</v>
      </c>
      <c r="M1345" s="14"/>
      <c r="N1345" s="10" t="s">
        <v>1028</v>
      </c>
    </row>
    <row r="1346" spans="1:14" ht="22.5" customHeight="1">
      <c r="A1346" s="8">
        <v>46002.854887627313</v>
      </c>
      <c r="B1346" s="9" t="s">
        <v>14</v>
      </c>
      <c r="C1346" s="9" t="s">
        <v>15</v>
      </c>
      <c r="D1346" s="10" t="s">
        <v>3022</v>
      </c>
      <c r="E1346" s="9" t="s">
        <v>22</v>
      </c>
      <c r="F1346" s="10">
        <v>46</v>
      </c>
      <c r="G1346" s="11">
        <v>8143809124</v>
      </c>
      <c r="H1346" s="10" t="s">
        <v>3023</v>
      </c>
      <c r="I1346" s="10" t="s">
        <v>27</v>
      </c>
      <c r="J1346" s="10" t="s">
        <v>372</v>
      </c>
      <c r="K1346" s="12">
        <v>46002</v>
      </c>
      <c r="L1346" s="28" t="s">
        <v>11</v>
      </c>
      <c r="M1346" s="14"/>
      <c r="N1346" s="10" t="s">
        <v>1028</v>
      </c>
    </row>
    <row r="1347" spans="1:14" ht="22.5" hidden="1" customHeight="1">
      <c r="A1347" s="8">
        <v>46002.855419699074</v>
      </c>
      <c r="B1347" s="9" t="s">
        <v>14</v>
      </c>
      <c r="C1347" s="9" t="s">
        <v>15</v>
      </c>
      <c r="D1347" s="10" t="s">
        <v>3024</v>
      </c>
      <c r="E1347" s="9" t="s">
        <v>22</v>
      </c>
      <c r="F1347" s="10">
        <v>26</v>
      </c>
      <c r="G1347" s="11">
        <v>8161876293</v>
      </c>
      <c r="H1347" s="10" t="s">
        <v>3025</v>
      </c>
      <c r="I1347" s="10" t="s">
        <v>27</v>
      </c>
      <c r="J1347" s="10" t="s">
        <v>3026</v>
      </c>
      <c r="K1347" s="12">
        <v>46002</v>
      </c>
      <c r="L1347" s="10" t="s">
        <v>441</v>
      </c>
      <c r="M1347" s="10" t="s">
        <v>1361</v>
      </c>
      <c r="N1347" s="10" t="s">
        <v>1028</v>
      </c>
    </row>
    <row r="1348" spans="1:14" ht="22.5" customHeight="1">
      <c r="A1348" s="8">
        <v>46002.855806342588</v>
      </c>
      <c r="B1348" s="9" t="s">
        <v>14</v>
      </c>
      <c r="C1348" s="9" t="s">
        <v>15</v>
      </c>
      <c r="D1348" s="10" t="s">
        <v>3027</v>
      </c>
      <c r="E1348" s="9" t="s">
        <v>17</v>
      </c>
      <c r="F1348" s="10">
        <v>25</v>
      </c>
      <c r="G1348" s="11">
        <v>9137343957</v>
      </c>
      <c r="H1348" s="10" t="s">
        <v>3028</v>
      </c>
      <c r="I1348" s="10" t="s">
        <v>27</v>
      </c>
      <c r="J1348" s="10" t="s">
        <v>28</v>
      </c>
      <c r="K1348" s="12">
        <v>36561</v>
      </c>
      <c r="L1348" s="28" t="s">
        <v>11</v>
      </c>
      <c r="M1348" s="14"/>
      <c r="N1348" s="10" t="s">
        <v>1028</v>
      </c>
    </row>
    <row r="1349" spans="1:14" ht="22.5" customHeight="1">
      <c r="A1349" s="8">
        <v>46002.856160775467</v>
      </c>
      <c r="B1349" s="9" t="s">
        <v>14</v>
      </c>
      <c r="C1349" s="9" t="s">
        <v>15</v>
      </c>
      <c r="D1349" s="10" t="s">
        <v>3029</v>
      </c>
      <c r="E1349" s="9" t="s">
        <v>17</v>
      </c>
      <c r="F1349" s="10">
        <v>23</v>
      </c>
      <c r="G1349" s="11">
        <v>7012927649</v>
      </c>
      <c r="H1349" s="10" t="s">
        <v>3030</v>
      </c>
      <c r="I1349" s="10" t="s">
        <v>27</v>
      </c>
      <c r="J1349" s="10" t="s">
        <v>53</v>
      </c>
      <c r="K1349" s="12">
        <v>37466</v>
      </c>
      <c r="L1349" s="28" t="s">
        <v>11</v>
      </c>
      <c r="M1349" s="14"/>
      <c r="N1349" s="10" t="s">
        <v>3031</v>
      </c>
    </row>
    <row r="1350" spans="1:14" ht="22.5" customHeight="1">
      <c r="A1350" s="8">
        <v>46002.856422106481</v>
      </c>
      <c r="B1350" s="9" t="s">
        <v>14</v>
      </c>
      <c r="C1350" s="9" t="s">
        <v>15</v>
      </c>
      <c r="D1350" s="10" t="s">
        <v>3032</v>
      </c>
      <c r="E1350" s="9" t="s">
        <v>17</v>
      </c>
      <c r="F1350" s="10">
        <v>34</v>
      </c>
      <c r="G1350" s="11">
        <v>8035843323</v>
      </c>
      <c r="H1350" s="10" t="s">
        <v>3033</v>
      </c>
      <c r="I1350" s="10" t="s">
        <v>27</v>
      </c>
      <c r="J1350" s="10" t="s">
        <v>42</v>
      </c>
      <c r="K1350" s="12">
        <v>46002</v>
      </c>
      <c r="L1350" s="28" t="s">
        <v>11</v>
      </c>
      <c r="M1350" s="14"/>
      <c r="N1350" s="10" t="s">
        <v>1028</v>
      </c>
    </row>
    <row r="1351" spans="1:14" ht="22.5" customHeight="1">
      <c r="A1351" s="8">
        <v>46002.856447118058</v>
      </c>
      <c r="B1351" s="9" t="s">
        <v>14</v>
      </c>
      <c r="C1351" s="9" t="s">
        <v>15</v>
      </c>
      <c r="D1351" s="10" t="s">
        <v>3034</v>
      </c>
      <c r="E1351" s="9" t="s">
        <v>22</v>
      </c>
      <c r="F1351" s="10">
        <v>25</v>
      </c>
      <c r="G1351" s="11">
        <v>9034996611</v>
      </c>
      <c r="H1351" s="10" t="s">
        <v>3035</v>
      </c>
      <c r="I1351" s="10" t="s">
        <v>27</v>
      </c>
      <c r="J1351" s="10" t="s">
        <v>94</v>
      </c>
      <c r="K1351" s="12">
        <v>46002</v>
      </c>
      <c r="L1351" s="28" t="s">
        <v>11</v>
      </c>
      <c r="M1351" s="14"/>
      <c r="N1351" s="10" t="s">
        <v>1209</v>
      </c>
    </row>
    <row r="1352" spans="1:14" ht="22.5" customHeight="1">
      <c r="A1352" s="8">
        <v>46002.856522997681</v>
      </c>
      <c r="B1352" s="9" t="s">
        <v>14</v>
      </c>
      <c r="C1352" s="9" t="s">
        <v>15</v>
      </c>
      <c r="D1352" s="10" t="s">
        <v>3036</v>
      </c>
      <c r="E1352" s="9" t="s">
        <v>22</v>
      </c>
      <c r="F1352" s="10">
        <v>25</v>
      </c>
      <c r="G1352" s="11">
        <v>9028331827</v>
      </c>
      <c r="H1352" s="10" t="s">
        <v>3037</v>
      </c>
      <c r="I1352" s="10" t="s">
        <v>27</v>
      </c>
      <c r="J1352" s="10" t="s">
        <v>1559</v>
      </c>
      <c r="K1352" s="12">
        <v>46002</v>
      </c>
      <c r="L1352" s="28" t="s">
        <v>11</v>
      </c>
      <c r="M1352" s="14"/>
      <c r="N1352" s="10" t="s">
        <v>1028</v>
      </c>
    </row>
    <row r="1353" spans="1:14" ht="22.5" customHeight="1">
      <c r="A1353" s="8">
        <v>46002.857421678244</v>
      </c>
      <c r="B1353" s="9" t="s">
        <v>14</v>
      </c>
      <c r="C1353" s="9" t="s">
        <v>15</v>
      </c>
      <c r="D1353" s="10" t="s">
        <v>3038</v>
      </c>
      <c r="E1353" s="9" t="s">
        <v>17</v>
      </c>
      <c r="F1353" s="10">
        <v>23</v>
      </c>
      <c r="G1353" s="11">
        <v>8068764883</v>
      </c>
      <c r="H1353" s="10" t="s">
        <v>3039</v>
      </c>
      <c r="I1353" s="10" t="s">
        <v>27</v>
      </c>
      <c r="J1353" s="10" t="s">
        <v>2258</v>
      </c>
      <c r="K1353" s="12">
        <v>37661</v>
      </c>
      <c r="L1353" s="28" t="s">
        <v>11</v>
      </c>
      <c r="M1353" s="14"/>
      <c r="N1353" s="10" t="s">
        <v>1028</v>
      </c>
    </row>
    <row r="1354" spans="1:14" ht="22.5" customHeight="1">
      <c r="A1354" s="8">
        <v>46002.858030752315</v>
      </c>
      <c r="B1354" s="9" t="s">
        <v>14</v>
      </c>
      <c r="C1354" s="9" t="s">
        <v>15</v>
      </c>
      <c r="D1354" s="10" t="s">
        <v>3040</v>
      </c>
      <c r="E1354" s="9" t="s">
        <v>17</v>
      </c>
      <c r="F1354" s="10">
        <v>46</v>
      </c>
      <c r="G1354" s="11">
        <v>8028224063</v>
      </c>
      <c r="H1354" s="10" t="s">
        <v>3041</v>
      </c>
      <c r="I1354" s="10" t="s">
        <v>27</v>
      </c>
      <c r="J1354" s="10" t="s">
        <v>1992</v>
      </c>
      <c r="K1354" s="12">
        <v>46002</v>
      </c>
      <c r="L1354" s="28" t="s">
        <v>11</v>
      </c>
      <c r="M1354" s="14"/>
      <c r="N1354" s="10" t="s">
        <v>1028</v>
      </c>
    </row>
    <row r="1355" spans="1:14" ht="22.5" customHeight="1">
      <c r="A1355" s="8">
        <v>46002.858491747684</v>
      </c>
      <c r="B1355" s="9" t="s">
        <v>14</v>
      </c>
      <c r="C1355" s="9" t="s">
        <v>15</v>
      </c>
      <c r="D1355" s="10" t="s">
        <v>3042</v>
      </c>
      <c r="E1355" s="9" t="s">
        <v>17</v>
      </c>
      <c r="F1355" s="10">
        <v>30</v>
      </c>
      <c r="G1355" s="11">
        <v>8145072426</v>
      </c>
      <c r="H1355" s="10" t="s">
        <v>3043</v>
      </c>
      <c r="I1355" s="10" t="s">
        <v>27</v>
      </c>
      <c r="J1355" s="10" t="s">
        <v>3044</v>
      </c>
      <c r="K1355" s="12">
        <v>34649</v>
      </c>
      <c r="L1355" s="28" t="s">
        <v>11</v>
      </c>
      <c r="M1355" s="14"/>
      <c r="N1355" s="10" t="s">
        <v>1028</v>
      </c>
    </row>
    <row r="1356" spans="1:14" ht="22.5" customHeight="1">
      <c r="A1356" s="8">
        <v>46002.858571921301</v>
      </c>
      <c r="B1356" s="9" t="s">
        <v>14</v>
      </c>
      <c r="C1356" s="9" t="s">
        <v>15</v>
      </c>
      <c r="D1356" s="10" t="s">
        <v>3045</v>
      </c>
      <c r="E1356" s="9" t="s">
        <v>22</v>
      </c>
      <c r="F1356" s="10">
        <v>24</v>
      </c>
      <c r="G1356" s="11">
        <v>8160773671</v>
      </c>
      <c r="H1356" s="10" t="s">
        <v>3046</v>
      </c>
      <c r="I1356" s="10" t="s">
        <v>27</v>
      </c>
      <c r="J1356" s="10" t="s">
        <v>372</v>
      </c>
      <c r="K1356" s="12">
        <v>46002</v>
      </c>
      <c r="L1356" s="28" t="s">
        <v>11</v>
      </c>
      <c r="M1356" s="14"/>
      <c r="N1356" s="10" t="s">
        <v>1028</v>
      </c>
    </row>
    <row r="1357" spans="1:14" ht="22.5" customHeight="1">
      <c r="A1357" s="8">
        <v>46002.859320798612</v>
      </c>
      <c r="B1357" s="9" t="s">
        <v>14</v>
      </c>
      <c r="C1357" s="9" t="s">
        <v>15</v>
      </c>
      <c r="D1357" s="10" t="s">
        <v>3047</v>
      </c>
      <c r="E1357" s="9" t="s">
        <v>22</v>
      </c>
      <c r="F1357" s="10">
        <v>30</v>
      </c>
      <c r="G1357" s="11">
        <v>8068003488</v>
      </c>
      <c r="H1357" s="10" t="s">
        <v>3048</v>
      </c>
      <c r="I1357" s="10" t="s">
        <v>19</v>
      </c>
      <c r="J1357" s="10" t="s">
        <v>3049</v>
      </c>
      <c r="K1357" s="12">
        <v>46002</v>
      </c>
      <c r="L1357" s="28" t="s">
        <v>11</v>
      </c>
      <c r="M1357" s="14"/>
      <c r="N1357" s="10" t="s">
        <v>1028</v>
      </c>
    </row>
    <row r="1358" spans="1:14" ht="22.5" hidden="1" customHeight="1">
      <c r="A1358" s="8">
        <v>46002.859471597221</v>
      </c>
      <c r="B1358" s="9" t="s">
        <v>14</v>
      </c>
      <c r="C1358" s="9" t="s">
        <v>15</v>
      </c>
      <c r="D1358" s="10" t="s">
        <v>3050</v>
      </c>
      <c r="E1358" s="9" t="s">
        <v>22</v>
      </c>
      <c r="F1358" s="10">
        <v>23</v>
      </c>
      <c r="G1358" s="11">
        <v>7041062518</v>
      </c>
      <c r="H1358" s="10" t="s">
        <v>3051</v>
      </c>
      <c r="I1358" s="10" t="s">
        <v>27</v>
      </c>
      <c r="J1358" s="10" t="s">
        <v>94</v>
      </c>
      <c r="K1358" s="12">
        <v>46002</v>
      </c>
      <c r="L1358" s="10" t="s">
        <v>441</v>
      </c>
      <c r="M1358" s="10" t="s">
        <v>1827</v>
      </c>
      <c r="N1358" s="10" t="s">
        <v>1028</v>
      </c>
    </row>
    <row r="1359" spans="1:14" ht="22.5" hidden="1" customHeight="1">
      <c r="A1359" s="8">
        <v>46002.860246921293</v>
      </c>
      <c r="B1359" s="9" t="s">
        <v>14</v>
      </c>
      <c r="C1359" s="9" t="s">
        <v>15</v>
      </c>
      <c r="D1359" s="10" t="s">
        <v>3052</v>
      </c>
      <c r="E1359" s="9" t="s">
        <v>17</v>
      </c>
      <c r="F1359" s="10">
        <v>28</v>
      </c>
      <c r="G1359" s="11">
        <v>8133391599</v>
      </c>
      <c r="H1359" s="10" t="s">
        <v>3053</v>
      </c>
      <c r="I1359" s="10" t="s">
        <v>27</v>
      </c>
      <c r="J1359" s="10" t="s">
        <v>3054</v>
      </c>
      <c r="K1359" s="12">
        <v>46002</v>
      </c>
      <c r="L1359" s="10" t="s">
        <v>441</v>
      </c>
      <c r="M1359" s="10" t="s">
        <v>3055</v>
      </c>
      <c r="N1359" s="10" t="s">
        <v>1028</v>
      </c>
    </row>
    <row r="1360" spans="1:14" ht="22.5" customHeight="1">
      <c r="A1360" s="8">
        <v>46002.860381851853</v>
      </c>
      <c r="B1360" s="9" t="s">
        <v>14</v>
      </c>
      <c r="C1360" s="9" t="s">
        <v>15</v>
      </c>
      <c r="D1360" s="10" t="s">
        <v>3056</v>
      </c>
      <c r="E1360" s="9" t="s">
        <v>17</v>
      </c>
      <c r="F1360" s="10">
        <v>33</v>
      </c>
      <c r="G1360" s="11">
        <v>8038427861</v>
      </c>
      <c r="H1360" s="10" t="s">
        <v>3057</v>
      </c>
      <c r="I1360" s="10" t="s">
        <v>27</v>
      </c>
      <c r="J1360" s="10" t="s">
        <v>94</v>
      </c>
      <c r="K1360" s="12">
        <v>33929</v>
      </c>
      <c r="L1360" s="28" t="s">
        <v>11</v>
      </c>
      <c r="M1360" s="14"/>
      <c r="N1360" s="10" t="s">
        <v>1096</v>
      </c>
    </row>
    <row r="1361" spans="1:14" ht="22.5" customHeight="1">
      <c r="A1361" s="8">
        <v>46002.861250868053</v>
      </c>
      <c r="B1361" s="9" t="s">
        <v>14</v>
      </c>
      <c r="C1361" s="9" t="s">
        <v>15</v>
      </c>
      <c r="D1361" s="10" t="s">
        <v>3058</v>
      </c>
      <c r="E1361" s="9" t="s">
        <v>22</v>
      </c>
      <c r="F1361" s="10">
        <v>28</v>
      </c>
      <c r="G1361" s="11">
        <v>8148688170</v>
      </c>
      <c r="H1361" s="10" t="s">
        <v>3059</v>
      </c>
      <c r="I1361" s="10" t="s">
        <v>27</v>
      </c>
      <c r="J1361" s="10" t="s">
        <v>70</v>
      </c>
      <c r="K1361" s="12">
        <v>46002</v>
      </c>
      <c r="L1361" s="28" t="s">
        <v>11</v>
      </c>
      <c r="M1361" s="14"/>
      <c r="N1361" s="10" t="s">
        <v>1028</v>
      </c>
    </row>
    <row r="1362" spans="1:14" ht="22.5" customHeight="1">
      <c r="A1362" s="8">
        <v>46002.862111365743</v>
      </c>
      <c r="B1362" s="9" t="s">
        <v>14</v>
      </c>
      <c r="C1362" s="9" t="s">
        <v>15</v>
      </c>
      <c r="D1362" s="10" t="s">
        <v>3060</v>
      </c>
      <c r="E1362" s="9" t="s">
        <v>22</v>
      </c>
      <c r="F1362" s="10">
        <v>20</v>
      </c>
      <c r="G1362" s="11">
        <v>656719120</v>
      </c>
      <c r="H1362" s="10" t="s">
        <v>3061</v>
      </c>
      <c r="I1362" s="10" t="s">
        <v>202</v>
      </c>
      <c r="J1362" s="10" t="s">
        <v>3062</v>
      </c>
      <c r="K1362" s="12">
        <v>46002</v>
      </c>
      <c r="L1362" s="28" t="s">
        <v>11</v>
      </c>
      <c r="M1362" s="14"/>
      <c r="N1362" s="10" t="s">
        <v>3063</v>
      </c>
    </row>
    <row r="1363" spans="1:14" ht="22.5" customHeight="1">
      <c r="A1363" s="8">
        <v>46002.862919872685</v>
      </c>
      <c r="B1363" s="9" t="s">
        <v>14</v>
      </c>
      <c r="C1363" s="9" t="s">
        <v>15</v>
      </c>
      <c r="D1363" s="10" t="s">
        <v>3064</v>
      </c>
      <c r="E1363" s="9" t="s">
        <v>17</v>
      </c>
      <c r="F1363" s="10">
        <v>21</v>
      </c>
      <c r="G1363" s="11">
        <v>9061668135</v>
      </c>
      <c r="H1363" s="10" t="s">
        <v>3065</v>
      </c>
      <c r="I1363" s="10" t="s">
        <v>27</v>
      </c>
      <c r="J1363" s="10" t="s">
        <v>3066</v>
      </c>
      <c r="K1363" s="12">
        <v>46002</v>
      </c>
      <c r="L1363" s="28" t="s">
        <v>11</v>
      </c>
      <c r="M1363" s="14"/>
      <c r="N1363" s="10" t="s">
        <v>1028</v>
      </c>
    </row>
    <row r="1364" spans="1:14" ht="22.5" customHeight="1">
      <c r="A1364" s="8">
        <v>46002.86341711806</v>
      </c>
      <c r="B1364" s="9" t="s">
        <v>14</v>
      </c>
      <c r="C1364" s="9" t="s">
        <v>15</v>
      </c>
      <c r="D1364" s="10" t="s">
        <v>3067</v>
      </c>
      <c r="E1364" s="9" t="s">
        <v>22</v>
      </c>
      <c r="F1364" s="10">
        <v>23</v>
      </c>
      <c r="G1364" s="11">
        <v>9079798180</v>
      </c>
      <c r="H1364" s="10" t="s">
        <v>3068</v>
      </c>
      <c r="I1364" s="10" t="s">
        <v>27</v>
      </c>
      <c r="J1364" s="10" t="s">
        <v>42</v>
      </c>
      <c r="K1364" s="12">
        <v>46002</v>
      </c>
      <c r="L1364" s="28" t="s">
        <v>11</v>
      </c>
      <c r="M1364" s="14"/>
      <c r="N1364" s="10" t="s">
        <v>1028</v>
      </c>
    </row>
    <row r="1365" spans="1:14" ht="22.5" customHeight="1">
      <c r="A1365" s="8">
        <v>46002.865820219908</v>
      </c>
      <c r="B1365" s="9" t="s">
        <v>14</v>
      </c>
      <c r="C1365" s="9" t="s">
        <v>15</v>
      </c>
      <c r="D1365" s="10" t="s">
        <v>3069</v>
      </c>
      <c r="E1365" s="9" t="s">
        <v>22</v>
      </c>
      <c r="F1365" s="10">
        <v>23</v>
      </c>
      <c r="G1365" s="11">
        <v>8167644346</v>
      </c>
      <c r="H1365" s="10" t="s">
        <v>3070</v>
      </c>
      <c r="I1365" s="10" t="s">
        <v>27</v>
      </c>
      <c r="J1365" s="10" t="s">
        <v>42</v>
      </c>
      <c r="K1365" s="12">
        <v>46002</v>
      </c>
      <c r="L1365" s="28" t="s">
        <v>11</v>
      </c>
      <c r="M1365" s="14"/>
      <c r="N1365" s="10" t="s">
        <v>1028</v>
      </c>
    </row>
    <row r="1366" spans="1:14" ht="22.5" customHeight="1">
      <c r="A1366" s="8">
        <v>46002.866079143518</v>
      </c>
      <c r="B1366" s="9" t="s">
        <v>14</v>
      </c>
      <c r="C1366" s="9" t="s">
        <v>15</v>
      </c>
      <c r="D1366" s="10" t="s">
        <v>3071</v>
      </c>
      <c r="E1366" s="9" t="s">
        <v>22</v>
      </c>
      <c r="F1366" s="10">
        <v>31</v>
      </c>
      <c r="G1366" s="11">
        <v>8036763328</v>
      </c>
      <c r="H1366" s="10" t="s">
        <v>3072</v>
      </c>
      <c r="I1366" s="10" t="s">
        <v>27</v>
      </c>
      <c r="J1366" s="10" t="s">
        <v>70</v>
      </c>
      <c r="K1366" s="12">
        <v>46002</v>
      </c>
      <c r="L1366" s="28" t="s">
        <v>11</v>
      </c>
      <c r="M1366" s="14"/>
      <c r="N1366" s="10" t="s">
        <v>1028</v>
      </c>
    </row>
    <row r="1367" spans="1:14" ht="22.5" customHeight="1">
      <c r="A1367" s="8">
        <v>46002.866138888887</v>
      </c>
      <c r="B1367" s="9" t="s">
        <v>14</v>
      </c>
      <c r="C1367" s="9" t="s">
        <v>15</v>
      </c>
      <c r="D1367" s="10" t="s">
        <v>3073</v>
      </c>
      <c r="E1367" s="9" t="s">
        <v>22</v>
      </c>
      <c r="F1367" s="19">
        <v>35</v>
      </c>
      <c r="G1367" s="11">
        <v>8055695830</v>
      </c>
      <c r="H1367" s="10" t="s">
        <v>3074</v>
      </c>
      <c r="I1367" s="10" t="s">
        <v>27</v>
      </c>
      <c r="J1367" s="10" t="s">
        <v>3075</v>
      </c>
      <c r="K1367" s="12">
        <v>46002</v>
      </c>
      <c r="L1367" s="28" t="s">
        <v>11</v>
      </c>
      <c r="M1367" s="14"/>
      <c r="N1367" s="10" t="s">
        <v>1028</v>
      </c>
    </row>
    <row r="1368" spans="1:14" ht="22.5" customHeight="1">
      <c r="A1368" s="8">
        <v>46002.866841053241</v>
      </c>
      <c r="B1368" s="9" t="s">
        <v>14</v>
      </c>
      <c r="C1368" s="9" t="s">
        <v>15</v>
      </c>
      <c r="D1368" s="10" t="s">
        <v>3076</v>
      </c>
      <c r="E1368" s="9" t="s">
        <v>22</v>
      </c>
      <c r="F1368" s="10">
        <v>28</v>
      </c>
      <c r="G1368" s="11">
        <v>8140649955</v>
      </c>
      <c r="H1368" s="10" t="s">
        <v>3077</v>
      </c>
      <c r="I1368" s="10" t="s">
        <v>27</v>
      </c>
      <c r="J1368" s="10" t="s">
        <v>3078</v>
      </c>
      <c r="K1368" s="12">
        <v>46002</v>
      </c>
      <c r="L1368" s="28" t="s">
        <v>11</v>
      </c>
      <c r="M1368" s="14"/>
      <c r="N1368" s="10" t="s">
        <v>1028</v>
      </c>
    </row>
    <row r="1369" spans="1:14" ht="22.5" customHeight="1">
      <c r="A1369" s="8">
        <v>46002.868288252314</v>
      </c>
      <c r="B1369" s="9" t="s">
        <v>14</v>
      </c>
      <c r="C1369" s="9" t="s">
        <v>15</v>
      </c>
      <c r="D1369" s="10" t="s">
        <v>3079</v>
      </c>
      <c r="E1369" s="9" t="s">
        <v>17</v>
      </c>
      <c r="F1369" s="10">
        <v>29</v>
      </c>
      <c r="G1369" s="11">
        <v>8148289188</v>
      </c>
      <c r="H1369" s="10" t="s">
        <v>3080</v>
      </c>
      <c r="I1369" s="10" t="s">
        <v>27</v>
      </c>
      <c r="J1369" s="10" t="s">
        <v>172</v>
      </c>
      <c r="K1369" s="12">
        <v>46002</v>
      </c>
      <c r="L1369" s="28" t="s">
        <v>11</v>
      </c>
      <c r="M1369" s="14"/>
      <c r="N1369" s="10" t="s">
        <v>1096</v>
      </c>
    </row>
    <row r="1370" spans="1:14" ht="22.5" customHeight="1">
      <c r="A1370" s="8">
        <v>46002.869661863428</v>
      </c>
      <c r="B1370" s="9" t="s">
        <v>14</v>
      </c>
      <c r="C1370" s="9" t="s">
        <v>15</v>
      </c>
      <c r="D1370" s="10" t="s">
        <v>3081</v>
      </c>
      <c r="E1370" s="9" t="s">
        <v>17</v>
      </c>
      <c r="F1370" s="10">
        <v>28</v>
      </c>
      <c r="G1370" s="11">
        <v>8112772024</v>
      </c>
      <c r="H1370" s="10" t="s">
        <v>3082</v>
      </c>
      <c r="I1370" s="10" t="s">
        <v>27</v>
      </c>
      <c r="J1370" s="10" t="s">
        <v>3083</v>
      </c>
      <c r="K1370" s="12">
        <v>46002</v>
      </c>
      <c r="L1370" s="28" t="s">
        <v>11</v>
      </c>
      <c r="M1370" s="14"/>
      <c r="N1370" s="10" t="s">
        <v>1028</v>
      </c>
    </row>
    <row r="1371" spans="1:14" ht="22.5" customHeight="1">
      <c r="A1371" s="8">
        <v>46002.869708506943</v>
      </c>
      <c r="B1371" s="9" t="s">
        <v>14</v>
      </c>
      <c r="C1371" s="9" t="s">
        <v>15</v>
      </c>
      <c r="D1371" s="10" t="s">
        <v>3084</v>
      </c>
      <c r="E1371" s="9" t="s">
        <v>22</v>
      </c>
      <c r="F1371" s="10">
        <v>38</v>
      </c>
      <c r="G1371" s="11">
        <v>9067670218</v>
      </c>
      <c r="H1371" s="10" t="s">
        <v>3085</v>
      </c>
      <c r="I1371" s="10" t="s">
        <v>27</v>
      </c>
      <c r="J1371" s="10" t="s">
        <v>1907</v>
      </c>
      <c r="K1371" s="12">
        <v>46002</v>
      </c>
      <c r="L1371" s="28" t="s">
        <v>11</v>
      </c>
      <c r="M1371" s="14"/>
      <c r="N1371" s="10" t="s">
        <v>1028</v>
      </c>
    </row>
    <row r="1372" spans="1:14" ht="22.5" customHeight="1">
      <c r="A1372" s="8">
        <v>46002.870389953707</v>
      </c>
      <c r="B1372" s="9" t="s">
        <v>14</v>
      </c>
      <c r="C1372" s="9" t="s">
        <v>15</v>
      </c>
      <c r="D1372" s="10" t="s">
        <v>3086</v>
      </c>
      <c r="E1372" s="9" t="s">
        <v>22</v>
      </c>
      <c r="F1372" s="10">
        <v>20</v>
      </c>
      <c r="G1372" s="11">
        <v>7044078278</v>
      </c>
      <c r="H1372" s="10" t="s">
        <v>3087</v>
      </c>
      <c r="I1372" s="10" t="s">
        <v>27</v>
      </c>
      <c r="J1372" s="10" t="s">
        <v>372</v>
      </c>
      <c r="K1372" s="12">
        <v>46002</v>
      </c>
      <c r="L1372" s="28" t="s">
        <v>11</v>
      </c>
      <c r="M1372" s="10"/>
      <c r="N1372" s="10" t="s">
        <v>1028</v>
      </c>
    </row>
    <row r="1373" spans="1:14" ht="22.5" customHeight="1">
      <c r="A1373" s="8">
        <v>46002.870579861112</v>
      </c>
      <c r="B1373" s="9" t="s">
        <v>14</v>
      </c>
      <c r="C1373" s="9" t="s">
        <v>15</v>
      </c>
      <c r="D1373" s="10" t="s">
        <v>3088</v>
      </c>
      <c r="E1373" s="9" t="s">
        <v>22</v>
      </c>
      <c r="F1373" s="10">
        <v>33</v>
      </c>
      <c r="G1373" s="11">
        <v>8162125296</v>
      </c>
      <c r="H1373" s="10" t="s">
        <v>3089</v>
      </c>
      <c r="I1373" s="10" t="s">
        <v>27</v>
      </c>
      <c r="J1373" s="10" t="s">
        <v>1559</v>
      </c>
      <c r="K1373" s="12">
        <v>46002</v>
      </c>
      <c r="L1373" s="28" t="s">
        <v>11</v>
      </c>
      <c r="M1373" s="14"/>
      <c r="N1373" s="10" t="s">
        <v>1028</v>
      </c>
    </row>
    <row r="1374" spans="1:14" ht="22.5" customHeight="1">
      <c r="A1374" s="8">
        <v>46002.872422974542</v>
      </c>
      <c r="B1374" s="9" t="s">
        <v>14</v>
      </c>
      <c r="C1374" s="9" t="s">
        <v>15</v>
      </c>
      <c r="D1374" s="10" t="s">
        <v>3090</v>
      </c>
      <c r="E1374" s="9" t="s">
        <v>22</v>
      </c>
      <c r="F1374" s="10">
        <v>23</v>
      </c>
      <c r="G1374" s="11">
        <v>8024390640</v>
      </c>
      <c r="H1374" s="10" t="s">
        <v>3091</v>
      </c>
      <c r="I1374" s="10" t="s">
        <v>27</v>
      </c>
      <c r="J1374" s="10" t="s">
        <v>94</v>
      </c>
      <c r="K1374" s="12">
        <v>46002</v>
      </c>
      <c r="L1374" s="28" t="s">
        <v>11</v>
      </c>
      <c r="M1374" s="14"/>
      <c r="N1374" s="10" t="s">
        <v>1028</v>
      </c>
    </row>
    <row r="1375" spans="1:14" ht="22.5" customHeight="1">
      <c r="A1375" s="8">
        <v>46002.873250254634</v>
      </c>
      <c r="B1375" s="9" t="s">
        <v>14</v>
      </c>
      <c r="C1375" s="9" t="s">
        <v>15</v>
      </c>
      <c r="D1375" s="10" t="s">
        <v>941</v>
      </c>
      <c r="E1375" s="9" t="s">
        <v>22</v>
      </c>
      <c r="F1375" s="10">
        <v>28</v>
      </c>
      <c r="G1375" s="11">
        <v>8060145976</v>
      </c>
      <c r="H1375" s="10" t="s">
        <v>3092</v>
      </c>
      <c r="I1375" s="10" t="s">
        <v>27</v>
      </c>
      <c r="J1375" s="10" t="s">
        <v>703</v>
      </c>
      <c r="K1375" s="12">
        <v>45973</v>
      </c>
      <c r="L1375" s="28" t="s">
        <v>11</v>
      </c>
      <c r="M1375" s="14"/>
      <c r="N1375" s="10" t="s">
        <v>1028</v>
      </c>
    </row>
    <row r="1376" spans="1:14" ht="22.5" customHeight="1">
      <c r="A1376" s="8">
        <v>46002.876170740739</v>
      </c>
      <c r="B1376" s="9" t="s">
        <v>14</v>
      </c>
      <c r="C1376" s="9" t="s">
        <v>15</v>
      </c>
      <c r="D1376" s="10" t="s">
        <v>3093</v>
      </c>
      <c r="E1376" s="9" t="s">
        <v>22</v>
      </c>
      <c r="F1376" s="10">
        <v>32</v>
      </c>
      <c r="G1376" s="11">
        <v>9030186612</v>
      </c>
      <c r="H1376" s="10" t="s">
        <v>3094</v>
      </c>
      <c r="I1376" s="10" t="s">
        <v>27</v>
      </c>
      <c r="J1376" s="10" t="s">
        <v>94</v>
      </c>
      <c r="K1376" s="12">
        <v>46002</v>
      </c>
      <c r="L1376" s="28" t="s">
        <v>11</v>
      </c>
      <c r="M1376" s="14"/>
      <c r="N1376" s="10" t="s">
        <v>1028</v>
      </c>
    </row>
    <row r="1377" spans="1:20" ht="22.5" customHeight="1">
      <c r="A1377" s="8">
        <v>46002.876997222222</v>
      </c>
      <c r="B1377" s="9" t="s">
        <v>14</v>
      </c>
      <c r="C1377" s="9" t="s">
        <v>15</v>
      </c>
      <c r="D1377" s="10" t="s">
        <v>3095</v>
      </c>
      <c r="E1377" s="9" t="s">
        <v>17</v>
      </c>
      <c r="F1377" s="10">
        <v>30</v>
      </c>
      <c r="G1377" s="11">
        <v>8068676418</v>
      </c>
      <c r="H1377" s="10" t="s">
        <v>3096</v>
      </c>
      <c r="I1377" s="10" t="s">
        <v>27</v>
      </c>
      <c r="J1377" s="10" t="s">
        <v>70</v>
      </c>
      <c r="K1377" s="12">
        <v>46002</v>
      </c>
      <c r="L1377" s="28" t="s">
        <v>11</v>
      </c>
      <c r="M1377" s="14"/>
      <c r="N1377" s="10" t="s">
        <v>1028</v>
      </c>
    </row>
    <row r="1378" spans="1:20" ht="22.5" hidden="1" customHeight="1">
      <c r="A1378" s="8">
        <v>46002.878095243053</v>
      </c>
      <c r="B1378" s="9" t="s">
        <v>14</v>
      </c>
      <c r="C1378" s="9" t="s">
        <v>15</v>
      </c>
      <c r="D1378" s="10" t="s">
        <v>3097</v>
      </c>
      <c r="E1378" s="9" t="s">
        <v>22</v>
      </c>
      <c r="F1378" s="10">
        <v>22</v>
      </c>
      <c r="G1378" s="11">
        <v>7044775880</v>
      </c>
      <c r="H1378" s="10" t="s">
        <v>3098</v>
      </c>
      <c r="I1378" s="10" t="s">
        <v>27</v>
      </c>
      <c r="J1378" s="10" t="s">
        <v>42</v>
      </c>
      <c r="K1378" s="12">
        <v>37778</v>
      </c>
      <c r="L1378" s="10" t="s">
        <v>441</v>
      </c>
      <c r="M1378" s="10" t="s">
        <v>1562</v>
      </c>
      <c r="N1378" s="10" t="s">
        <v>1028</v>
      </c>
    </row>
    <row r="1379" spans="1:20" ht="22.5" customHeight="1">
      <c r="A1379" s="8">
        <v>46002.878660428236</v>
      </c>
      <c r="B1379" s="9" t="s">
        <v>14</v>
      </c>
      <c r="C1379" s="9" t="s">
        <v>15</v>
      </c>
      <c r="D1379" s="10" t="s">
        <v>3099</v>
      </c>
      <c r="E1379" s="9" t="s">
        <v>22</v>
      </c>
      <c r="F1379" s="10">
        <v>23</v>
      </c>
      <c r="G1379" s="11">
        <v>9035238159</v>
      </c>
      <c r="H1379" s="10" t="s">
        <v>3100</v>
      </c>
      <c r="I1379" s="10" t="s">
        <v>27</v>
      </c>
      <c r="J1379" s="10" t="s">
        <v>3101</v>
      </c>
      <c r="K1379" s="12">
        <v>46002</v>
      </c>
      <c r="L1379" s="28" t="s">
        <v>11</v>
      </c>
      <c r="M1379" s="14"/>
      <c r="N1379" s="10" t="s">
        <v>1028</v>
      </c>
    </row>
    <row r="1380" spans="1:20" ht="22.5" customHeight="1">
      <c r="A1380" s="8">
        <v>46002.879675613425</v>
      </c>
      <c r="B1380" s="9" t="s">
        <v>14</v>
      </c>
      <c r="C1380" s="9" t="s">
        <v>15</v>
      </c>
      <c r="D1380" s="10" t="s">
        <v>3102</v>
      </c>
      <c r="E1380" s="9" t="s">
        <v>22</v>
      </c>
      <c r="F1380" s="10">
        <v>34</v>
      </c>
      <c r="G1380" s="11">
        <v>8162679147</v>
      </c>
      <c r="H1380" s="10" t="s">
        <v>3103</v>
      </c>
      <c r="I1380" s="10" t="s">
        <v>27</v>
      </c>
      <c r="J1380" s="10" t="s">
        <v>94</v>
      </c>
      <c r="K1380" s="12">
        <v>46002</v>
      </c>
      <c r="L1380" s="28" t="s">
        <v>11</v>
      </c>
      <c r="M1380" s="14"/>
      <c r="N1380" s="10" t="s">
        <v>1028</v>
      </c>
    </row>
    <row r="1381" spans="1:20" ht="22.5" customHeight="1">
      <c r="A1381" s="8">
        <v>46002.880556597222</v>
      </c>
      <c r="B1381" s="9" t="s">
        <v>14</v>
      </c>
      <c r="C1381" s="9" t="s">
        <v>15</v>
      </c>
      <c r="D1381" s="10" t="s">
        <v>3104</v>
      </c>
      <c r="E1381" s="9" t="s">
        <v>17</v>
      </c>
      <c r="F1381" s="10">
        <v>27</v>
      </c>
      <c r="G1381" s="11">
        <v>8136563950</v>
      </c>
      <c r="H1381" s="10" t="s">
        <v>3105</v>
      </c>
      <c r="I1381" s="10" t="s">
        <v>27</v>
      </c>
      <c r="J1381" s="10" t="s">
        <v>70</v>
      </c>
      <c r="K1381" s="12">
        <v>46002</v>
      </c>
      <c r="L1381" s="28" t="s">
        <v>11</v>
      </c>
      <c r="M1381" s="14"/>
      <c r="N1381" s="10" t="s">
        <v>1028</v>
      </c>
    </row>
    <row r="1382" spans="1:20" ht="22.5" customHeight="1">
      <c r="A1382" s="8">
        <v>46002.88083086806</v>
      </c>
      <c r="B1382" s="9" t="s">
        <v>14</v>
      </c>
      <c r="C1382" s="9" t="s">
        <v>15</v>
      </c>
      <c r="D1382" s="10" t="s">
        <v>3106</v>
      </c>
      <c r="E1382" s="9" t="s">
        <v>22</v>
      </c>
      <c r="F1382" s="10">
        <v>41</v>
      </c>
      <c r="G1382" s="11">
        <v>8025924258</v>
      </c>
      <c r="H1382" s="10" t="s">
        <v>3107</v>
      </c>
      <c r="I1382" s="10" t="s">
        <v>19</v>
      </c>
      <c r="J1382" s="10" t="s">
        <v>2620</v>
      </c>
      <c r="K1382" s="12">
        <v>46002</v>
      </c>
      <c r="L1382" s="28" t="s">
        <v>11</v>
      </c>
      <c r="M1382" s="14"/>
      <c r="N1382" s="10" t="s">
        <v>1028</v>
      </c>
    </row>
    <row r="1383" spans="1:20" ht="22.5" customHeight="1">
      <c r="A1383" s="8">
        <v>46002.881457094903</v>
      </c>
      <c r="B1383" s="9" t="s">
        <v>14</v>
      </c>
      <c r="C1383" s="9" t="s">
        <v>15</v>
      </c>
      <c r="D1383" s="10" t="s">
        <v>3108</v>
      </c>
      <c r="E1383" s="9" t="s">
        <v>22</v>
      </c>
      <c r="F1383" s="10">
        <v>38</v>
      </c>
      <c r="G1383" s="11">
        <v>7060671900</v>
      </c>
      <c r="H1383" s="10" t="s">
        <v>3109</v>
      </c>
      <c r="I1383" s="10" t="s">
        <v>27</v>
      </c>
      <c r="J1383" s="10" t="s">
        <v>70</v>
      </c>
      <c r="K1383" s="12">
        <v>46002</v>
      </c>
      <c r="L1383" s="28" t="s">
        <v>11</v>
      </c>
      <c r="M1383" s="14"/>
      <c r="N1383" s="10" t="s">
        <v>1028</v>
      </c>
    </row>
    <row r="1384" spans="1:20" ht="22.5" customHeight="1">
      <c r="A1384" s="8">
        <v>46002.882421539354</v>
      </c>
      <c r="B1384" s="9" t="s">
        <v>14</v>
      </c>
      <c r="C1384" s="9" t="s">
        <v>15</v>
      </c>
      <c r="D1384" s="10" t="s">
        <v>3110</v>
      </c>
      <c r="E1384" s="9" t="s">
        <v>17</v>
      </c>
      <c r="F1384" s="10">
        <v>26</v>
      </c>
      <c r="G1384" s="11">
        <v>9079977426</v>
      </c>
      <c r="H1384" s="10" t="s">
        <v>3111</v>
      </c>
      <c r="I1384" s="10" t="s">
        <v>27</v>
      </c>
      <c r="J1384" s="10" t="s">
        <v>94</v>
      </c>
      <c r="K1384" s="12">
        <v>46002</v>
      </c>
      <c r="L1384" s="28" t="s">
        <v>11</v>
      </c>
      <c r="M1384" s="14"/>
      <c r="N1384" s="10" t="s">
        <v>1028</v>
      </c>
    </row>
    <row r="1385" spans="1:20" ht="22.5" customHeight="1">
      <c r="A1385" s="8">
        <v>46002.883234293986</v>
      </c>
      <c r="B1385" s="9" t="s">
        <v>14</v>
      </c>
      <c r="C1385" s="9" t="s">
        <v>15</v>
      </c>
      <c r="D1385" s="10" t="s">
        <v>3112</v>
      </c>
      <c r="E1385" s="9" t="s">
        <v>22</v>
      </c>
      <c r="F1385" s="10">
        <v>32</v>
      </c>
      <c r="G1385" s="11">
        <v>8166071968</v>
      </c>
      <c r="H1385" s="10" t="s">
        <v>3113</v>
      </c>
      <c r="I1385" s="10" t="s">
        <v>27</v>
      </c>
      <c r="J1385" s="10" t="s">
        <v>172</v>
      </c>
      <c r="K1385" s="12">
        <v>46002</v>
      </c>
      <c r="L1385" s="28" t="s">
        <v>11</v>
      </c>
      <c r="M1385" s="14"/>
      <c r="N1385" s="10" t="s">
        <v>1028</v>
      </c>
    </row>
    <row r="1386" spans="1:20" ht="22.5" customHeight="1">
      <c r="A1386" s="8">
        <v>46002.883274629625</v>
      </c>
      <c r="B1386" s="9" t="s">
        <v>14</v>
      </c>
      <c r="C1386" s="9" t="s">
        <v>15</v>
      </c>
      <c r="D1386" s="10" t="s">
        <v>3114</v>
      </c>
      <c r="E1386" s="9" t="s">
        <v>17</v>
      </c>
      <c r="F1386" s="10">
        <v>35</v>
      </c>
      <c r="G1386" s="11">
        <v>8066571737</v>
      </c>
      <c r="H1386" s="10" t="s">
        <v>3115</v>
      </c>
      <c r="I1386" s="10" t="s">
        <v>27</v>
      </c>
      <c r="J1386" s="10" t="s">
        <v>172</v>
      </c>
      <c r="K1386" s="12">
        <v>46002</v>
      </c>
      <c r="L1386" s="28" t="s">
        <v>11</v>
      </c>
      <c r="M1386" s="14"/>
      <c r="N1386" s="10" t="s">
        <v>1028</v>
      </c>
    </row>
    <row r="1387" spans="1:20" ht="22.5" customHeight="1">
      <c r="A1387" s="8">
        <v>46002.88335207176</v>
      </c>
      <c r="B1387" s="9" t="s">
        <v>14</v>
      </c>
      <c r="C1387" s="9" t="s">
        <v>15</v>
      </c>
      <c r="D1387" s="10" t="s">
        <v>3116</v>
      </c>
      <c r="E1387" s="9" t="s">
        <v>22</v>
      </c>
      <c r="F1387" s="10">
        <v>22</v>
      </c>
      <c r="G1387" s="11">
        <v>7063697982</v>
      </c>
      <c r="H1387" s="10" t="s">
        <v>3117</v>
      </c>
      <c r="I1387" s="10" t="s">
        <v>27</v>
      </c>
      <c r="J1387" s="10" t="s">
        <v>3118</v>
      </c>
      <c r="K1387" s="12">
        <v>46002</v>
      </c>
      <c r="L1387" s="28" t="s">
        <v>11</v>
      </c>
      <c r="M1387" s="14"/>
      <c r="N1387" s="10" t="s">
        <v>1028</v>
      </c>
    </row>
    <row r="1388" spans="1:20" ht="22.5" customHeight="1">
      <c r="A1388" s="8">
        <v>46002.883376261569</v>
      </c>
      <c r="B1388" s="9" t="s">
        <v>14</v>
      </c>
      <c r="C1388" s="9" t="s">
        <v>15</v>
      </c>
      <c r="D1388" s="10" t="s">
        <v>3119</v>
      </c>
      <c r="E1388" s="9" t="s">
        <v>22</v>
      </c>
      <c r="F1388" s="10">
        <v>28</v>
      </c>
      <c r="G1388" s="11">
        <v>7086622315</v>
      </c>
      <c r="H1388" s="10" t="s">
        <v>3120</v>
      </c>
      <c r="I1388" s="10" t="s">
        <v>27</v>
      </c>
      <c r="J1388" s="10" t="s">
        <v>94</v>
      </c>
      <c r="K1388" s="12">
        <v>46002</v>
      </c>
      <c r="L1388" s="28" t="s">
        <v>11</v>
      </c>
      <c r="M1388" s="14"/>
      <c r="N1388" s="10" t="s">
        <v>1028</v>
      </c>
    </row>
    <row r="1389" spans="1:20" ht="22.5" customHeight="1">
      <c r="A1389" s="8">
        <v>46002.884751585647</v>
      </c>
      <c r="B1389" s="9" t="s">
        <v>14</v>
      </c>
      <c r="C1389" s="9" t="s">
        <v>15</v>
      </c>
      <c r="D1389" s="10" t="s">
        <v>3121</v>
      </c>
      <c r="E1389" s="9" t="s">
        <v>17</v>
      </c>
      <c r="F1389" s="10">
        <v>22</v>
      </c>
      <c r="G1389" s="11">
        <v>9065300784</v>
      </c>
      <c r="H1389" s="10" t="s">
        <v>3122</v>
      </c>
      <c r="I1389" s="10" t="s">
        <v>27</v>
      </c>
      <c r="J1389" s="10" t="s">
        <v>94</v>
      </c>
      <c r="K1389" s="12">
        <v>46002</v>
      </c>
      <c r="L1389" s="28" t="s">
        <v>11</v>
      </c>
      <c r="M1389" s="14"/>
      <c r="N1389" s="10" t="s">
        <v>1028</v>
      </c>
    </row>
    <row r="1390" spans="1:20" ht="22.5" hidden="1" customHeight="1">
      <c r="A1390" s="8">
        <v>46002.885652210651</v>
      </c>
      <c r="B1390" s="9" t="s">
        <v>14</v>
      </c>
      <c r="C1390" s="9" t="s">
        <v>15</v>
      </c>
      <c r="D1390" s="10" t="s">
        <v>3123</v>
      </c>
      <c r="E1390" s="9" t="s">
        <v>22</v>
      </c>
      <c r="F1390" s="18">
        <v>23</v>
      </c>
      <c r="G1390" s="11">
        <v>9090823279</v>
      </c>
      <c r="H1390" s="10" t="s">
        <v>3124</v>
      </c>
      <c r="I1390" s="10" t="s">
        <v>27</v>
      </c>
      <c r="J1390" s="10" t="s">
        <v>2105</v>
      </c>
      <c r="K1390" s="12">
        <v>46002</v>
      </c>
      <c r="L1390" s="10" t="s">
        <v>441</v>
      </c>
      <c r="M1390" s="10" t="s">
        <v>1361</v>
      </c>
      <c r="N1390" s="10" t="s">
        <v>1028</v>
      </c>
      <c r="O1390" s="16"/>
      <c r="P1390" s="17"/>
      <c r="Q1390" s="17"/>
      <c r="R1390" s="17"/>
      <c r="S1390" s="17"/>
      <c r="T1390" s="17"/>
    </row>
    <row r="1391" spans="1:20" ht="22.5" customHeight="1">
      <c r="A1391" s="8">
        <v>46002.885656875005</v>
      </c>
      <c r="B1391" s="9" t="s">
        <v>14</v>
      </c>
      <c r="C1391" s="9" t="s">
        <v>15</v>
      </c>
      <c r="D1391" s="10" t="s">
        <v>2499</v>
      </c>
      <c r="E1391" s="9" t="s">
        <v>22</v>
      </c>
      <c r="F1391" s="10">
        <v>26</v>
      </c>
      <c r="G1391" s="11">
        <v>9031262698</v>
      </c>
      <c r="H1391" s="10" t="s">
        <v>2500</v>
      </c>
      <c r="I1391" s="10" t="s">
        <v>27</v>
      </c>
      <c r="J1391" s="10" t="s">
        <v>2006</v>
      </c>
      <c r="K1391" s="12">
        <v>46002</v>
      </c>
      <c r="L1391" s="28" t="s">
        <v>11</v>
      </c>
      <c r="M1391" s="14"/>
      <c r="N1391" s="10" t="s">
        <v>1028</v>
      </c>
    </row>
    <row r="1392" spans="1:20" ht="22.5" customHeight="1">
      <c r="A1392" s="8">
        <v>46002.887010023143</v>
      </c>
      <c r="B1392" s="9" t="s">
        <v>14</v>
      </c>
      <c r="C1392" s="9" t="s">
        <v>15</v>
      </c>
      <c r="D1392" s="10" t="s">
        <v>3125</v>
      </c>
      <c r="E1392" s="9" t="s">
        <v>22</v>
      </c>
      <c r="F1392" s="10">
        <v>19</v>
      </c>
      <c r="G1392" s="11">
        <v>7063745330</v>
      </c>
      <c r="H1392" s="10" t="s">
        <v>3126</v>
      </c>
      <c r="I1392" s="10" t="s">
        <v>27</v>
      </c>
      <c r="J1392" s="10" t="s">
        <v>28</v>
      </c>
      <c r="K1392" s="12">
        <v>46002</v>
      </c>
      <c r="L1392" s="28" t="s">
        <v>11</v>
      </c>
      <c r="M1392" s="14"/>
      <c r="N1392" s="10" t="s">
        <v>1028</v>
      </c>
    </row>
    <row r="1393" spans="1:14" ht="22.5" hidden="1" customHeight="1">
      <c r="A1393" s="8">
        <v>46002.88717923611</v>
      </c>
      <c r="B1393" s="9" t="s">
        <v>14</v>
      </c>
      <c r="C1393" s="9" t="s">
        <v>15</v>
      </c>
      <c r="D1393" s="10" t="s">
        <v>3127</v>
      </c>
      <c r="E1393" s="9" t="s">
        <v>17</v>
      </c>
      <c r="F1393" s="10">
        <v>23</v>
      </c>
      <c r="G1393" s="11">
        <v>7066226097</v>
      </c>
      <c r="H1393" s="10" t="s">
        <v>3128</v>
      </c>
      <c r="I1393" s="10" t="s">
        <v>27</v>
      </c>
      <c r="J1393" s="10" t="s">
        <v>2069</v>
      </c>
      <c r="K1393" s="12">
        <v>37742</v>
      </c>
      <c r="L1393" s="10" t="s">
        <v>441</v>
      </c>
      <c r="M1393" s="10" t="s">
        <v>1361</v>
      </c>
      <c r="N1393" s="10" t="s">
        <v>1028</v>
      </c>
    </row>
    <row r="1394" spans="1:14" ht="22.5" customHeight="1">
      <c r="A1394" s="8">
        <v>46002.888050891204</v>
      </c>
      <c r="B1394" s="9" t="s">
        <v>14</v>
      </c>
      <c r="C1394" s="9" t="s">
        <v>15</v>
      </c>
      <c r="D1394" s="10" t="s">
        <v>3129</v>
      </c>
      <c r="E1394" s="9" t="s">
        <v>22</v>
      </c>
      <c r="F1394" s="10">
        <v>25</v>
      </c>
      <c r="G1394" s="11">
        <v>9029701619</v>
      </c>
      <c r="H1394" s="10" t="s">
        <v>3130</v>
      </c>
      <c r="I1394" s="10" t="s">
        <v>27</v>
      </c>
      <c r="J1394" s="10" t="s">
        <v>27</v>
      </c>
      <c r="K1394" s="12">
        <v>46002</v>
      </c>
      <c r="L1394" s="28" t="s">
        <v>11</v>
      </c>
      <c r="M1394" s="14"/>
      <c r="N1394" s="10" t="s">
        <v>1028</v>
      </c>
    </row>
    <row r="1395" spans="1:14" ht="22.5" customHeight="1">
      <c r="A1395" s="8">
        <v>46002.892933668976</v>
      </c>
      <c r="B1395" s="9" t="s">
        <v>14</v>
      </c>
      <c r="C1395" s="9" t="s">
        <v>15</v>
      </c>
      <c r="D1395" s="10" t="s">
        <v>3131</v>
      </c>
      <c r="E1395" s="9" t="s">
        <v>17</v>
      </c>
      <c r="F1395" s="10">
        <v>26</v>
      </c>
      <c r="G1395" s="11">
        <v>8136002751</v>
      </c>
      <c r="H1395" s="10" t="s">
        <v>3132</v>
      </c>
      <c r="I1395" s="10" t="s">
        <v>19</v>
      </c>
      <c r="J1395" s="10" t="s">
        <v>812</v>
      </c>
      <c r="K1395" s="12">
        <v>46002</v>
      </c>
      <c r="L1395" s="28" t="s">
        <v>11</v>
      </c>
      <c r="M1395" s="14"/>
      <c r="N1395" s="10" t="s">
        <v>1028</v>
      </c>
    </row>
    <row r="1396" spans="1:14" ht="22.5" customHeight="1">
      <c r="A1396" s="8">
        <v>46002.89299335648</v>
      </c>
      <c r="B1396" s="9" t="s">
        <v>14</v>
      </c>
      <c r="C1396" s="9" t="s">
        <v>15</v>
      </c>
      <c r="D1396" s="10" t="s">
        <v>3133</v>
      </c>
      <c r="E1396" s="9" t="s">
        <v>22</v>
      </c>
      <c r="F1396" s="10">
        <v>27</v>
      </c>
      <c r="G1396" s="11">
        <v>8132348063</v>
      </c>
      <c r="H1396" s="10" t="s">
        <v>3134</v>
      </c>
      <c r="I1396" s="10" t="s">
        <v>27</v>
      </c>
      <c r="J1396" s="10" t="s">
        <v>1559</v>
      </c>
      <c r="K1396" s="12">
        <v>46002</v>
      </c>
      <c r="L1396" s="28" t="s">
        <v>11</v>
      </c>
      <c r="M1396" s="14"/>
      <c r="N1396" s="10" t="s">
        <v>1028</v>
      </c>
    </row>
    <row r="1397" spans="1:14" ht="22.5" hidden="1" customHeight="1">
      <c r="A1397" s="8">
        <v>46002.893105787036</v>
      </c>
      <c r="B1397" s="9" t="s">
        <v>14</v>
      </c>
      <c r="C1397" s="9" t="s">
        <v>15</v>
      </c>
      <c r="D1397" s="10" t="s">
        <v>2618</v>
      </c>
      <c r="E1397" s="9" t="s">
        <v>17</v>
      </c>
      <c r="F1397" s="10">
        <v>41</v>
      </c>
      <c r="G1397" s="11">
        <v>9043257756</v>
      </c>
      <c r="H1397" s="10" t="s">
        <v>2619</v>
      </c>
      <c r="I1397" s="10" t="s">
        <v>19</v>
      </c>
      <c r="J1397" s="10" t="s">
        <v>2620</v>
      </c>
      <c r="K1397" s="12">
        <v>46002</v>
      </c>
      <c r="L1397" s="10" t="s">
        <v>441</v>
      </c>
      <c r="M1397" s="10" t="s">
        <v>1361</v>
      </c>
      <c r="N1397" s="10" t="s">
        <v>1028</v>
      </c>
    </row>
    <row r="1398" spans="1:14" ht="22.5" hidden="1" customHeight="1">
      <c r="A1398" s="8">
        <v>46002.895473009259</v>
      </c>
      <c r="B1398" s="9" t="s">
        <v>14</v>
      </c>
      <c r="C1398" s="9" t="s">
        <v>15</v>
      </c>
      <c r="D1398" s="10" t="s">
        <v>3135</v>
      </c>
      <c r="E1398" s="9" t="s">
        <v>22</v>
      </c>
      <c r="F1398" s="10">
        <v>25</v>
      </c>
      <c r="G1398" s="11">
        <v>7049629080</v>
      </c>
      <c r="H1398" s="10" t="s">
        <v>3136</v>
      </c>
      <c r="I1398" s="10" t="s">
        <v>27</v>
      </c>
      <c r="J1398" s="10" t="s">
        <v>1456</v>
      </c>
      <c r="K1398" s="12">
        <v>46002</v>
      </c>
      <c r="L1398" s="10" t="s">
        <v>441</v>
      </c>
      <c r="M1398" s="10" t="s">
        <v>1827</v>
      </c>
      <c r="N1398" s="10" t="s">
        <v>1096</v>
      </c>
    </row>
    <row r="1399" spans="1:14" ht="22.5" customHeight="1">
      <c r="A1399" s="8">
        <v>46002.897785324079</v>
      </c>
      <c r="B1399" s="9" t="s">
        <v>14</v>
      </c>
      <c r="C1399" s="9" t="s">
        <v>15</v>
      </c>
      <c r="D1399" s="10" t="s">
        <v>3137</v>
      </c>
      <c r="E1399" s="9" t="s">
        <v>17</v>
      </c>
      <c r="F1399" s="10">
        <v>31</v>
      </c>
      <c r="G1399" s="11">
        <v>8038529190</v>
      </c>
      <c r="H1399" s="10" t="s">
        <v>3138</v>
      </c>
      <c r="I1399" s="10" t="s">
        <v>27</v>
      </c>
      <c r="J1399" s="10" t="s">
        <v>3026</v>
      </c>
      <c r="K1399" s="12">
        <v>46002</v>
      </c>
      <c r="L1399" s="28" t="s">
        <v>11</v>
      </c>
      <c r="M1399" s="10"/>
      <c r="N1399" s="10" t="s">
        <v>1028</v>
      </c>
    </row>
    <row r="1400" spans="1:14" ht="22.5" customHeight="1">
      <c r="A1400" s="8">
        <v>46002.898838344903</v>
      </c>
      <c r="B1400" s="9" t="s">
        <v>14</v>
      </c>
      <c r="C1400" s="9" t="s">
        <v>15</v>
      </c>
      <c r="D1400" s="10" t="s">
        <v>3139</v>
      </c>
      <c r="E1400" s="9" t="s">
        <v>22</v>
      </c>
      <c r="F1400" s="10">
        <v>27</v>
      </c>
      <c r="G1400" s="11">
        <v>8140082100</v>
      </c>
      <c r="H1400" s="10" t="s">
        <v>3140</v>
      </c>
      <c r="I1400" s="10" t="s">
        <v>27</v>
      </c>
      <c r="J1400" s="10" t="s">
        <v>372</v>
      </c>
      <c r="K1400" s="12">
        <v>46002</v>
      </c>
      <c r="L1400" s="28" t="s">
        <v>11</v>
      </c>
      <c r="M1400" s="14"/>
      <c r="N1400" s="10" t="s">
        <v>1028</v>
      </c>
    </row>
    <row r="1401" spans="1:14" ht="22.5" customHeight="1">
      <c r="A1401" s="8">
        <v>46002.89955480324</v>
      </c>
      <c r="B1401" s="9" t="s">
        <v>14</v>
      </c>
      <c r="C1401" s="9" t="s">
        <v>15</v>
      </c>
      <c r="D1401" s="10" t="s">
        <v>3141</v>
      </c>
      <c r="E1401" s="9" t="s">
        <v>22</v>
      </c>
      <c r="F1401" s="10">
        <v>26</v>
      </c>
      <c r="G1401" s="11">
        <v>8066457533</v>
      </c>
      <c r="H1401" s="10" t="s">
        <v>3142</v>
      </c>
      <c r="I1401" s="10" t="s">
        <v>27</v>
      </c>
      <c r="J1401" s="10" t="s">
        <v>3143</v>
      </c>
      <c r="K1401" s="12">
        <v>46002</v>
      </c>
      <c r="L1401" s="28" t="s">
        <v>11</v>
      </c>
      <c r="M1401" s="14"/>
      <c r="N1401" s="10" t="s">
        <v>1028</v>
      </c>
    </row>
    <row r="1402" spans="1:14" ht="22.5" customHeight="1">
      <c r="A1402" s="8">
        <v>46002.900129166665</v>
      </c>
      <c r="B1402" s="9" t="s">
        <v>14</v>
      </c>
      <c r="C1402" s="9" t="s">
        <v>15</v>
      </c>
      <c r="D1402" s="10" t="s">
        <v>3144</v>
      </c>
      <c r="E1402" s="9" t="s">
        <v>22</v>
      </c>
      <c r="F1402" s="10">
        <v>26</v>
      </c>
      <c r="G1402" s="11">
        <v>8130899736</v>
      </c>
      <c r="H1402" s="10" t="s">
        <v>3145</v>
      </c>
      <c r="I1402" s="10" t="s">
        <v>27</v>
      </c>
      <c r="J1402" s="10" t="s">
        <v>1456</v>
      </c>
      <c r="K1402" s="12">
        <v>46002</v>
      </c>
      <c r="L1402" s="28" t="s">
        <v>11</v>
      </c>
      <c r="M1402" s="14"/>
      <c r="N1402" s="10" t="s">
        <v>1028</v>
      </c>
    </row>
    <row r="1403" spans="1:14" ht="22.5" customHeight="1">
      <c r="A1403" s="8">
        <v>46002.900184942133</v>
      </c>
      <c r="B1403" s="9" t="s">
        <v>14</v>
      </c>
      <c r="C1403" s="9" t="s">
        <v>15</v>
      </c>
      <c r="D1403" s="10" t="s">
        <v>3146</v>
      </c>
      <c r="E1403" s="9" t="s">
        <v>22</v>
      </c>
      <c r="F1403" s="19">
        <v>29</v>
      </c>
      <c r="G1403" s="11">
        <v>8038336759</v>
      </c>
      <c r="H1403" s="10" t="s">
        <v>3147</v>
      </c>
      <c r="I1403" s="10" t="s">
        <v>27</v>
      </c>
      <c r="J1403" s="10" t="s">
        <v>1559</v>
      </c>
      <c r="K1403" s="12">
        <v>46002</v>
      </c>
      <c r="L1403" s="28" t="s">
        <v>11</v>
      </c>
      <c r="M1403" s="14"/>
      <c r="N1403" s="10" t="s">
        <v>1028</v>
      </c>
    </row>
    <row r="1404" spans="1:14" ht="22.5" customHeight="1">
      <c r="A1404" s="8">
        <v>46002.901306087966</v>
      </c>
      <c r="B1404" s="9" t="s">
        <v>14</v>
      </c>
      <c r="C1404" s="9" t="s">
        <v>15</v>
      </c>
      <c r="D1404" s="10" t="s">
        <v>3148</v>
      </c>
      <c r="E1404" s="9" t="s">
        <v>22</v>
      </c>
      <c r="F1404" s="10">
        <v>26</v>
      </c>
      <c r="G1404" s="11">
        <v>8100808530</v>
      </c>
      <c r="H1404" s="10" t="s">
        <v>3149</v>
      </c>
      <c r="I1404" s="10" t="s">
        <v>27</v>
      </c>
      <c r="J1404" s="10" t="s">
        <v>70</v>
      </c>
      <c r="K1404" s="12">
        <v>46002</v>
      </c>
      <c r="L1404" s="28" t="s">
        <v>11</v>
      </c>
      <c r="M1404" s="14"/>
      <c r="N1404" s="10" t="s">
        <v>1028</v>
      </c>
    </row>
    <row r="1405" spans="1:14" ht="22.5" customHeight="1">
      <c r="A1405" s="8">
        <v>46002.901828449074</v>
      </c>
      <c r="B1405" s="9" t="s">
        <v>14</v>
      </c>
      <c r="C1405" s="9" t="s">
        <v>15</v>
      </c>
      <c r="D1405" s="10" t="s">
        <v>3150</v>
      </c>
      <c r="E1405" s="9" t="s">
        <v>22</v>
      </c>
      <c r="F1405" s="10">
        <v>35</v>
      </c>
      <c r="G1405" s="11">
        <v>7068126079</v>
      </c>
      <c r="H1405" s="10" t="s">
        <v>3151</v>
      </c>
      <c r="I1405" s="10" t="s">
        <v>27</v>
      </c>
      <c r="J1405" s="10" t="s">
        <v>70</v>
      </c>
      <c r="K1405" s="12">
        <v>46002</v>
      </c>
      <c r="L1405" s="28" t="s">
        <v>11</v>
      </c>
      <c r="M1405" s="14"/>
      <c r="N1405" s="10" t="s">
        <v>1028</v>
      </c>
    </row>
    <row r="1406" spans="1:14" ht="22.5" customHeight="1">
      <c r="A1406" s="8">
        <v>46002.902176631949</v>
      </c>
      <c r="B1406" s="9" t="s">
        <v>14</v>
      </c>
      <c r="C1406" s="9" t="s">
        <v>15</v>
      </c>
      <c r="D1406" s="10" t="s">
        <v>3152</v>
      </c>
      <c r="E1406" s="9" t="s">
        <v>22</v>
      </c>
      <c r="F1406" s="18">
        <v>1</v>
      </c>
      <c r="G1406" s="11">
        <v>8036050943</v>
      </c>
      <c r="H1406" s="10" t="s">
        <v>3153</v>
      </c>
      <c r="I1406" s="10" t="s">
        <v>27</v>
      </c>
      <c r="J1406" s="10" t="s">
        <v>172</v>
      </c>
      <c r="K1406" s="12">
        <v>46002</v>
      </c>
      <c r="L1406" s="28" t="s">
        <v>11</v>
      </c>
      <c r="M1406" s="14"/>
      <c r="N1406" s="10" t="s">
        <v>1028</v>
      </c>
    </row>
    <row r="1407" spans="1:14" ht="22.5" customHeight="1">
      <c r="A1407" s="8">
        <v>46002.904541932869</v>
      </c>
      <c r="B1407" s="9" t="s">
        <v>14</v>
      </c>
      <c r="C1407" s="9" t="s">
        <v>15</v>
      </c>
      <c r="D1407" s="10" t="s">
        <v>3154</v>
      </c>
      <c r="E1407" s="9" t="s">
        <v>22</v>
      </c>
      <c r="F1407" s="10">
        <v>34</v>
      </c>
      <c r="G1407" s="11">
        <v>7011091034</v>
      </c>
      <c r="H1407" s="10" t="s">
        <v>3155</v>
      </c>
      <c r="I1407" s="10" t="s">
        <v>27</v>
      </c>
      <c r="J1407" s="10" t="s">
        <v>67</v>
      </c>
      <c r="K1407" s="12">
        <v>46002</v>
      </c>
      <c r="L1407" s="28" t="s">
        <v>11</v>
      </c>
      <c r="M1407" s="14"/>
      <c r="N1407" s="10" t="s">
        <v>1096</v>
      </c>
    </row>
    <row r="1408" spans="1:14" ht="22.5" customHeight="1">
      <c r="A1408" s="8">
        <v>46002.906282511569</v>
      </c>
      <c r="B1408" s="9" t="s">
        <v>14</v>
      </c>
      <c r="C1408" s="9" t="s">
        <v>15</v>
      </c>
      <c r="D1408" s="10" t="s">
        <v>3156</v>
      </c>
      <c r="E1408" s="9" t="s">
        <v>22</v>
      </c>
      <c r="F1408" s="10">
        <v>27</v>
      </c>
      <c r="G1408" s="11">
        <v>9060059216</v>
      </c>
      <c r="H1408" s="10" t="s">
        <v>3157</v>
      </c>
      <c r="I1408" s="10" t="s">
        <v>27</v>
      </c>
      <c r="J1408" s="10" t="s">
        <v>28</v>
      </c>
      <c r="K1408" s="12">
        <v>46002</v>
      </c>
      <c r="L1408" s="28" t="s">
        <v>11</v>
      </c>
      <c r="M1408" s="14"/>
      <c r="N1408" s="10" t="s">
        <v>1028</v>
      </c>
    </row>
    <row r="1409" spans="1:14" ht="22.5" hidden="1" customHeight="1">
      <c r="A1409" s="8">
        <v>46002.906805532402</v>
      </c>
      <c r="B1409" s="9" t="s">
        <v>14</v>
      </c>
      <c r="C1409" s="9" t="s">
        <v>15</v>
      </c>
      <c r="D1409" s="10" t="s">
        <v>3158</v>
      </c>
      <c r="E1409" s="9" t="s">
        <v>22</v>
      </c>
      <c r="F1409" s="10">
        <v>22</v>
      </c>
      <c r="G1409" s="11">
        <v>9137748441</v>
      </c>
      <c r="H1409" s="10" t="s">
        <v>3159</v>
      </c>
      <c r="I1409" s="10" t="s">
        <v>27</v>
      </c>
      <c r="J1409" s="10" t="s">
        <v>2006</v>
      </c>
      <c r="K1409" s="12">
        <v>46002</v>
      </c>
      <c r="L1409" s="10" t="s">
        <v>441</v>
      </c>
      <c r="M1409" s="10" t="s">
        <v>1161</v>
      </c>
      <c r="N1409" s="10" t="s">
        <v>1028</v>
      </c>
    </row>
    <row r="1410" spans="1:14" ht="22.5" hidden="1" customHeight="1">
      <c r="A1410" s="8">
        <v>46002.90694241898</v>
      </c>
      <c r="B1410" s="9" t="s">
        <v>14</v>
      </c>
      <c r="C1410" s="9" t="s">
        <v>15</v>
      </c>
      <c r="D1410" s="10" t="s">
        <v>3160</v>
      </c>
      <c r="E1410" s="9" t="s">
        <v>17</v>
      </c>
      <c r="F1410" s="10">
        <v>35</v>
      </c>
      <c r="G1410" s="11">
        <v>8063853389</v>
      </c>
      <c r="H1410" s="10" t="s">
        <v>3161</v>
      </c>
      <c r="I1410" s="10" t="s">
        <v>27</v>
      </c>
      <c r="J1410" s="10" t="s">
        <v>67</v>
      </c>
      <c r="K1410" s="12">
        <v>46002</v>
      </c>
      <c r="L1410" s="10" t="s">
        <v>441</v>
      </c>
      <c r="M1410" s="10" t="s">
        <v>1356</v>
      </c>
      <c r="N1410" s="10" t="s">
        <v>1028</v>
      </c>
    </row>
    <row r="1411" spans="1:14" ht="22.5" customHeight="1">
      <c r="A1411" s="8">
        <v>46002.907541608802</v>
      </c>
      <c r="B1411" s="9" t="s">
        <v>14</v>
      </c>
      <c r="C1411" s="9" t="s">
        <v>15</v>
      </c>
      <c r="D1411" s="10" t="s">
        <v>3162</v>
      </c>
      <c r="E1411" s="9" t="s">
        <v>22</v>
      </c>
      <c r="F1411" s="10">
        <v>33</v>
      </c>
      <c r="G1411" s="11">
        <v>8030414218</v>
      </c>
      <c r="H1411" s="10" t="s">
        <v>3163</v>
      </c>
      <c r="I1411" s="10" t="s">
        <v>27</v>
      </c>
      <c r="J1411" s="10" t="s">
        <v>172</v>
      </c>
      <c r="K1411" s="12">
        <v>46002</v>
      </c>
      <c r="L1411" s="28" t="s">
        <v>11</v>
      </c>
      <c r="M1411" s="14"/>
      <c r="N1411" s="10" t="s">
        <v>1028</v>
      </c>
    </row>
    <row r="1412" spans="1:14" ht="22.5" customHeight="1">
      <c r="A1412" s="8">
        <v>46002.909280960652</v>
      </c>
      <c r="B1412" s="9" t="s">
        <v>14</v>
      </c>
      <c r="C1412" s="9" t="s">
        <v>15</v>
      </c>
      <c r="D1412" s="10" t="s">
        <v>3164</v>
      </c>
      <c r="E1412" s="9" t="s">
        <v>17</v>
      </c>
      <c r="F1412" s="10">
        <v>29</v>
      </c>
      <c r="G1412" s="11">
        <v>8061662451</v>
      </c>
      <c r="H1412" s="10" t="s">
        <v>3165</v>
      </c>
      <c r="I1412" s="10" t="s">
        <v>27</v>
      </c>
      <c r="J1412" s="10" t="s">
        <v>42</v>
      </c>
      <c r="K1412" s="12">
        <v>46002</v>
      </c>
      <c r="L1412" s="28" t="s">
        <v>11</v>
      </c>
      <c r="M1412" s="14"/>
      <c r="N1412" s="10" t="s">
        <v>1028</v>
      </c>
    </row>
    <row r="1413" spans="1:14" ht="22.5" hidden="1" customHeight="1">
      <c r="A1413" s="8">
        <v>46002.909947199078</v>
      </c>
      <c r="B1413" s="9" t="s">
        <v>14</v>
      </c>
      <c r="C1413" s="9" t="s">
        <v>15</v>
      </c>
      <c r="D1413" s="10" t="s">
        <v>3166</v>
      </c>
      <c r="E1413" s="9" t="s">
        <v>22</v>
      </c>
      <c r="F1413" s="10">
        <v>22</v>
      </c>
      <c r="G1413" s="11">
        <v>8143911387</v>
      </c>
      <c r="H1413" s="10" t="s">
        <v>3167</v>
      </c>
      <c r="I1413" s="10" t="s">
        <v>27</v>
      </c>
      <c r="J1413" s="10" t="s">
        <v>1559</v>
      </c>
      <c r="K1413" s="12">
        <v>46002</v>
      </c>
      <c r="L1413" s="10" t="s">
        <v>441</v>
      </c>
      <c r="M1413" s="10" t="s">
        <v>1361</v>
      </c>
      <c r="N1413" s="10" t="s">
        <v>1028</v>
      </c>
    </row>
    <row r="1414" spans="1:14" ht="22.5" customHeight="1">
      <c r="A1414" s="8">
        <v>46002.910080821763</v>
      </c>
      <c r="B1414" s="9" t="s">
        <v>14</v>
      </c>
      <c r="C1414" s="9" t="s">
        <v>15</v>
      </c>
      <c r="D1414" s="10" t="s">
        <v>3168</v>
      </c>
      <c r="E1414" s="9" t="s">
        <v>17</v>
      </c>
      <c r="F1414" s="10">
        <v>23</v>
      </c>
      <c r="G1414" s="11">
        <v>9018500706</v>
      </c>
      <c r="H1414" s="10" t="s">
        <v>3169</v>
      </c>
      <c r="I1414" s="10" t="s">
        <v>45</v>
      </c>
      <c r="J1414" s="10" t="s">
        <v>3170</v>
      </c>
      <c r="K1414" s="12">
        <v>46002</v>
      </c>
      <c r="L1414" s="28" t="s">
        <v>11</v>
      </c>
      <c r="M1414" s="14"/>
      <c r="N1414" s="10" t="s">
        <v>1028</v>
      </c>
    </row>
    <row r="1415" spans="1:14" ht="22.5" customHeight="1">
      <c r="A1415" s="8">
        <v>46002.91754303241</v>
      </c>
      <c r="B1415" s="9" t="s">
        <v>14</v>
      </c>
      <c r="C1415" s="9" t="s">
        <v>15</v>
      </c>
      <c r="D1415" s="10" t="s">
        <v>3171</v>
      </c>
      <c r="E1415" s="9" t="s">
        <v>22</v>
      </c>
      <c r="F1415" s="10">
        <v>28</v>
      </c>
      <c r="G1415" s="11">
        <v>7043395053</v>
      </c>
      <c r="H1415" s="10" t="s">
        <v>3172</v>
      </c>
      <c r="I1415" s="10" t="s">
        <v>27</v>
      </c>
      <c r="J1415" s="10" t="s">
        <v>172</v>
      </c>
      <c r="K1415" s="12">
        <v>46002</v>
      </c>
      <c r="L1415" s="28" t="s">
        <v>11</v>
      </c>
      <c r="M1415" s="14"/>
      <c r="N1415" s="10" t="s">
        <v>1028</v>
      </c>
    </row>
    <row r="1416" spans="1:14" ht="22.5" customHeight="1">
      <c r="A1416" s="8">
        <v>46002.917654537036</v>
      </c>
      <c r="B1416" s="9" t="s">
        <v>14</v>
      </c>
      <c r="C1416" s="9" t="s">
        <v>15</v>
      </c>
      <c r="D1416" s="10" t="s">
        <v>3173</v>
      </c>
      <c r="E1416" s="9" t="s">
        <v>17</v>
      </c>
      <c r="F1416" s="10">
        <v>40</v>
      </c>
      <c r="G1416" s="11">
        <v>7036825702</v>
      </c>
      <c r="H1416" s="10" t="s">
        <v>3174</v>
      </c>
      <c r="I1416" s="10" t="s">
        <v>27</v>
      </c>
      <c r="J1416" s="10" t="s">
        <v>94</v>
      </c>
      <c r="K1416" s="12">
        <v>46002</v>
      </c>
      <c r="L1416" s="28" t="s">
        <v>11</v>
      </c>
      <c r="M1416" s="14"/>
      <c r="N1416" s="10" t="s">
        <v>1028</v>
      </c>
    </row>
    <row r="1417" spans="1:14" ht="22.5" customHeight="1">
      <c r="A1417" s="8">
        <v>46002.917726030093</v>
      </c>
      <c r="B1417" s="9" t="s">
        <v>14</v>
      </c>
      <c r="C1417" s="9" t="s">
        <v>15</v>
      </c>
      <c r="D1417" s="10" t="s">
        <v>3175</v>
      </c>
      <c r="E1417" s="9" t="s">
        <v>22</v>
      </c>
      <c r="F1417" s="10">
        <v>30</v>
      </c>
      <c r="G1417" s="11">
        <v>8062193071</v>
      </c>
      <c r="H1417" s="10" t="s">
        <v>3176</v>
      </c>
      <c r="I1417" s="10" t="s">
        <v>27</v>
      </c>
      <c r="J1417" s="10" t="s">
        <v>1514</v>
      </c>
      <c r="K1417" s="12">
        <v>46002</v>
      </c>
      <c r="L1417" s="28" t="s">
        <v>11</v>
      </c>
      <c r="M1417" s="14"/>
      <c r="N1417" s="10" t="s">
        <v>1028</v>
      </c>
    </row>
    <row r="1418" spans="1:14" ht="22.5" customHeight="1">
      <c r="A1418" s="8">
        <v>46002.919457141208</v>
      </c>
      <c r="B1418" s="9" t="s">
        <v>14</v>
      </c>
      <c r="C1418" s="9" t="s">
        <v>15</v>
      </c>
      <c r="D1418" s="10" t="s">
        <v>3177</v>
      </c>
      <c r="E1418" s="9" t="s">
        <v>17</v>
      </c>
      <c r="F1418" s="10">
        <v>23</v>
      </c>
      <c r="G1418" s="11">
        <v>9024991558</v>
      </c>
      <c r="H1418" s="10" t="s">
        <v>69</v>
      </c>
      <c r="I1418" s="10" t="s">
        <v>27</v>
      </c>
      <c r="J1418" s="10" t="s">
        <v>70</v>
      </c>
      <c r="K1418" s="12">
        <v>46002</v>
      </c>
      <c r="L1418" s="28" t="s">
        <v>11</v>
      </c>
      <c r="M1418" s="14"/>
      <c r="N1418" s="10" t="s">
        <v>1028</v>
      </c>
    </row>
    <row r="1419" spans="1:14" ht="22.5" customHeight="1">
      <c r="A1419" s="8">
        <v>46002.919499560187</v>
      </c>
      <c r="B1419" s="9" t="s">
        <v>14</v>
      </c>
      <c r="C1419" s="9" t="s">
        <v>15</v>
      </c>
      <c r="D1419" s="10" t="s">
        <v>3178</v>
      </c>
      <c r="E1419" s="9" t="s">
        <v>17</v>
      </c>
      <c r="F1419" s="10">
        <v>25</v>
      </c>
      <c r="G1419" s="11">
        <v>7062277273</v>
      </c>
      <c r="H1419" s="10" t="s">
        <v>3179</v>
      </c>
      <c r="I1419" s="10" t="s">
        <v>27</v>
      </c>
      <c r="J1419" s="10" t="s">
        <v>372</v>
      </c>
      <c r="K1419" s="12">
        <v>46002</v>
      </c>
      <c r="L1419" s="28" t="s">
        <v>11</v>
      </c>
      <c r="M1419" s="14"/>
      <c r="N1419" s="10" t="s">
        <v>1028</v>
      </c>
    </row>
    <row r="1420" spans="1:14" ht="22.5" customHeight="1">
      <c r="A1420" s="8">
        <v>46002.919759363431</v>
      </c>
      <c r="B1420" s="9" t="s">
        <v>14</v>
      </c>
      <c r="C1420" s="9" t="s">
        <v>15</v>
      </c>
      <c r="D1420" s="10" t="s">
        <v>3180</v>
      </c>
      <c r="E1420" s="9" t="s">
        <v>17</v>
      </c>
      <c r="F1420" s="10">
        <v>25</v>
      </c>
      <c r="G1420" s="11">
        <v>8130873858</v>
      </c>
      <c r="H1420" s="10" t="s">
        <v>3181</v>
      </c>
      <c r="I1420" s="10" t="s">
        <v>27</v>
      </c>
      <c r="J1420" s="10" t="s">
        <v>372</v>
      </c>
      <c r="K1420" s="12">
        <v>46002</v>
      </c>
      <c r="L1420" s="28" t="s">
        <v>11</v>
      </c>
      <c r="M1420" s="14"/>
      <c r="N1420" s="10" t="s">
        <v>1028</v>
      </c>
    </row>
    <row r="1421" spans="1:14" ht="22.5" customHeight="1">
      <c r="A1421" s="8">
        <v>46002.921188275461</v>
      </c>
      <c r="B1421" s="9" t="s">
        <v>14</v>
      </c>
      <c r="C1421" s="9" t="s">
        <v>15</v>
      </c>
      <c r="D1421" s="10" t="s">
        <v>3182</v>
      </c>
      <c r="E1421" s="9" t="s">
        <v>22</v>
      </c>
      <c r="F1421" s="10">
        <v>31</v>
      </c>
      <c r="G1421" s="11">
        <v>8032729080</v>
      </c>
      <c r="H1421" s="10" t="s">
        <v>3183</v>
      </c>
      <c r="I1421" s="10" t="s">
        <v>27</v>
      </c>
      <c r="J1421" s="10" t="s">
        <v>1456</v>
      </c>
      <c r="K1421" s="12">
        <v>46002</v>
      </c>
      <c r="L1421" s="28" t="s">
        <v>11</v>
      </c>
      <c r="M1421" s="14"/>
      <c r="N1421" s="10" t="s">
        <v>1028</v>
      </c>
    </row>
    <row r="1422" spans="1:14" ht="22.5" customHeight="1">
      <c r="A1422" s="8">
        <v>46002.924262384258</v>
      </c>
      <c r="B1422" s="9" t="s">
        <v>14</v>
      </c>
      <c r="C1422" s="9" t="s">
        <v>15</v>
      </c>
      <c r="D1422" s="10" t="s">
        <v>3184</v>
      </c>
      <c r="E1422" s="9" t="s">
        <v>22</v>
      </c>
      <c r="F1422" s="10">
        <v>24</v>
      </c>
      <c r="G1422" s="11">
        <v>8167733799</v>
      </c>
      <c r="H1422" s="10" t="s">
        <v>3185</v>
      </c>
      <c r="I1422" s="10" t="s">
        <v>27</v>
      </c>
      <c r="J1422" s="10" t="s">
        <v>3186</v>
      </c>
      <c r="K1422" s="12">
        <v>46002</v>
      </c>
      <c r="L1422" s="28" t="s">
        <v>11</v>
      </c>
      <c r="M1422" s="10"/>
      <c r="N1422" s="10" t="s">
        <v>1028</v>
      </c>
    </row>
    <row r="1423" spans="1:14" ht="22.5" customHeight="1">
      <c r="A1423" s="8">
        <v>46002.925798067125</v>
      </c>
      <c r="B1423" s="9" t="s">
        <v>14</v>
      </c>
      <c r="C1423" s="9" t="s">
        <v>15</v>
      </c>
      <c r="D1423" s="10" t="s">
        <v>3187</v>
      </c>
      <c r="E1423" s="9" t="s">
        <v>22</v>
      </c>
      <c r="F1423" s="10">
        <v>36</v>
      </c>
      <c r="G1423" s="11">
        <v>9029130264</v>
      </c>
      <c r="H1423" s="10" t="s">
        <v>3188</v>
      </c>
      <c r="I1423" s="10" t="s">
        <v>27</v>
      </c>
      <c r="J1423" s="10" t="s">
        <v>3189</v>
      </c>
      <c r="K1423" s="12">
        <v>46002</v>
      </c>
      <c r="L1423" s="28" t="s">
        <v>11</v>
      </c>
      <c r="M1423" s="14"/>
      <c r="N1423" s="10" t="s">
        <v>1028</v>
      </c>
    </row>
    <row r="1424" spans="1:14" ht="22.5" customHeight="1">
      <c r="A1424" s="8">
        <v>46002.926815879633</v>
      </c>
      <c r="B1424" s="9" t="s">
        <v>14</v>
      </c>
      <c r="C1424" s="9" t="s">
        <v>15</v>
      </c>
      <c r="D1424" s="10" t="s">
        <v>3190</v>
      </c>
      <c r="E1424" s="9" t="s">
        <v>22</v>
      </c>
      <c r="F1424" s="10">
        <v>25</v>
      </c>
      <c r="G1424" s="11">
        <v>8080575217</v>
      </c>
      <c r="H1424" s="10" t="s">
        <v>3191</v>
      </c>
      <c r="I1424" s="10" t="s">
        <v>27</v>
      </c>
      <c r="J1424" s="10" t="s">
        <v>172</v>
      </c>
      <c r="K1424" s="12">
        <v>46002</v>
      </c>
      <c r="L1424" s="28" t="s">
        <v>11</v>
      </c>
      <c r="M1424" s="14"/>
      <c r="N1424" s="10" t="s">
        <v>1028</v>
      </c>
    </row>
    <row r="1425" spans="1:20" ht="22.5" customHeight="1">
      <c r="A1425" s="8">
        <v>46002.929892592598</v>
      </c>
      <c r="B1425" s="9" t="s">
        <v>14</v>
      </c>
      <c r="C1425" s="9" t="s">
        <v>15</v>
      </c>
      <c r="D1425" s="10" t="s">
        <v>3192</v>
      </c>
      <c r="E1425" s="9" t="s">
        <v>17</v>
      </c>
      <c r="F1425" s="10">
        <v>26</v>
      </c>
      <c r="G1425" s="11">
        <f t="shared" ref="G1425" si="33">256743228786</f>
        <v>256743228786</v>
      </c>
      <c r="H1425" s="10" t="s">
        <v>3193</v>
      </c>
      <c r="I1425" s="10" t="s">
        <v>19</v>
      </c>
      <c r="J1425" s="10" t="s">
        <v>2308</v>
      </c>
      <c r="K1425" s="12">
        <v>46003</v>
      </c>
      <c r="L1425" s="28" t="s">
        <v>11</v>
      </c>
      <c r="M1425" s="14"/>
      <c r="N1425" s="10" t="s">
        <v>3194</v>
      </c>
    </row>
    <row r="1426" spans="1:20" ht="22.5" customHeight="1">
      <c r="A1426" s="8">
        <v>46002.93118594907</v>
      </c>
      <c r="B1426" s="9" t="s">
        <v>14</v>
      </c>
      <c r="C1426" s="9" t="s">
        <v>15</v>
      </c>
      <c r="D1426" s="10" t="s">
        <v>3195</v>
      </c>
      <c r="E1426" s="9" t="s">
        <v>17</v>
      </c>
      <c r="F1426" s="10">
        <v>26</v>
      </c>
      <c r="G1426" s="11">
        <v>9064570250</v>
      </c>
      <c r="H1426" s="10" t="s">
        <v>3196</v>
      </c>
      <c r="I1426" s="10" t="s">
        <v>27</v>
      </c>
      <c r="J1426" s="10" t="s">
        <v>1559</v>
      </c>
      <c r="K1426" s="12">
        <v>46002</v>
      </c>
      <c r="L1426" s="28" t="s">
        <v>11</v>
      </c>
      <c r="M1426" s="14"/>
      <c r="N1426" s="10" t="s">
        <v>1028</v>
      </c>
    </row>
    <row r="1427" spans="1:20" ht="22.5" customHeight="1">
      <c r="A1427" s="8">
        <v>46002.932580983797</v>
      </c>
      <c r="B1427" s="9" t="s">
        <v>14</v>
      </c>
      <c r="C1427" s="9" t="s">
        <v>15</v>
      </c>
      <c r="D1427" s="10" t="s">
        <v>3197</v>
      </c>
      <c r="E1427" s="9" t="s">
        <v>22</v>
      </c>
      <c r="F1427" s="10">
        <v>25</v>
      </c>
      <c r="G1427" s="11">
        <v>9032710909</v>
      </c>
      <c r="H1427" s="10" t="s">
        <v>3198</v>
      </c>
      <c r="I1427" s="10" t="s">
        <v>27</v>
      </c>
      <c r="J1427" s="10" t="s">
        <v>3199</v>
      </c>
      <c r="K1427" s="12">
        <v>46001</v>
      </c>
      <c r="L1427" s="28" t="s">
        <v>11</v>
      </c>
      <c r="M1427" s="14"/>
      <c r="N1427" s="10" t="s">
        <v>1028</v>
      </c>
    </row>
    <row r="1428" spans="1:20" ht="22.5" customHeight="1">
      <c r="A1428" s="8">
        <v>46002.933962222218</v>
      </c>
      <c r="B1428" s="9" t="s">
        <v>14</v>
      </c>
      <c r="C1428" s="9" t="s">
        <v>15</v>
      </c>
      <c r="D1428" s="10" t="s">
        <v>3200</v>
      </c>
      <c r="E1428" s="9" t="s">
        <v>22</v>
      </c>
      <c r="F1428" s="10">
        <v>20</v>
      </c>
      <c r="G1428" s="11">
        <v>8173839445</v>
      </c>
      <c r="H1428" s="10" t="s">
        <v>3201</v>
      </c>
      <c r="I1428" s="10" t="s">
        <v>27</v>
      </c>
      <c r="J1428" s="10" t="s">
        <v>67</v>
      </c>
      <c r="K1428" s="12">
        <v>46002</v>
      </c>
      <c r="L1428" s="28" t="s">
        <v>11</v>
      </c>
      <c r="M1428" s="10"/>
      <c r="N1428" s="10" t="s">
        <v>1028</v>
      </c>
    </row>
    <row r="1429" spans="1:20" ht="22.5" customHeight="1">
      <c r="A1429" s="8">
        <v>46002.934122847219</v>
      </c>
      <c r="B1429" s="9" t="s">
        <v>14</v>
      </c>
      <c r="C1429" s="9" t="s">
        <v>15</v>
      </c>
      <c r="D1429" s="10" t="s">
        <v>3202</v>
      </c>
      <c r="E1429" s="9" t="s">
        <v>17</v>
      </c>
      <c r="F1429" s="10">
        <v>32</v>
      </c>
      <c r="G1429" s="11">
        <v>8136507976</v>
      </c>
      <c r="H1429" s="10" t="s">
        <v>3203</v>
      </c>
      <c r="I1429" s="10" t="s">
        <v>45</v>
      </c>
      <c r="J1429" s="10" t="s">
        <v>3204</v>
      </c>
      <c r="K1429" s="12">
        <v>45973</v>
      </c>
      <c r="L1429" s="28" t="s">
        <v>11</v>
      </c>
      <c r="M1429" s="14"/>
      <c r="N1429" s="10" t="s">
        <v>1096</v>
      </c>
    </row>
    <row r="1430" spans="1:20" ht="22.5" customHeight="1">
      <c r="A1430" s="8">
        <v>46002.93427780093</v>
      </c>
      <c r="B1430" s="9" t="s">
        <v>14</v>
      </c>
      <c r="C1430" s="9" t="s">
        <v>15</v>
      </c>
      <c r="D1430" s="10" t="s">
        <v>3205</v>
      </c>
      <c r="E1430" s="9" t="s">
        <v>17</v>
      </c>
      <c r="F1430" s="10">
        <v>23</v>
      </c>
      <c r="G1430" s="11">
        <v>8066722436</v>
      </c>
      <c r="H1430" s="10" t="s">
        <v>3206</v>
      </c>
      <c r="I1430" s="10" t="s">
        <v>27</v>
      </c>
      <c r="J1430" s="10" t="s">
        <v>2348</v>
      </c>
      <c r="K1430" s="12">
        <v>46002</v>
      </c>
      <c r="L1430" s="28" t="s">
        <v>11</v>
      </c>
      <c r="M1430" s="14"/>
      <c r="N1430" s="10" t="s">
        <v>1028</v>
      </c>
    </row>
    <row r="1431" spans="1:20" ht="22.5" hidden="1" customHeight="1">
      <c r="A1431" s="8">
        <v>46002.934862118054</v>
      </c>
      <c r="B1431" s="9" t="s">
        <v>14</v>
      </c>
      <c r="C1431" s="9" t="s">
        <v>15</v>
      </c>
      <c r="D1431" s="10" t="s">
        <v>3207</v>
      </c>
      <c r="E1431" s="9" t="s">
        <v>22</v>
      </c>
      <c r="F1431" s="10">
        <v>23</v>
      </c>
      <c r="G1431" s="11">
        <v>8084165396</v>
      </c>
      <c r="H1431" s="10" t="s">
        <v>3208</v>
      </c>
      <c r="I1431" s="10" t="s">
        <v>27</v>
      </c>
      <c r="J1431" s="10" t="s">
        <v>172</v>
      </c>
      <c r="K1431" s="12">
        <v>46002</v>
      </c>
      <c r="L1431" s="10" t="s">
        <v>441</v>
      </c>
      <c r="M1431" s="10" t="s">
        <v>1827</v>
      </c>
      <c r="N1431" s="10" t="s">
        <v>1028</v>
      </c>
    </row>
    <row r="1432" spans="1:20" ht="22.5" hidden="1" customHeight="1">
      <c r="A1432" s="8">
        <v>46002.934904456022</v>
      </c>
      <c r="B1432" s="9" t="s">
        <v>14</v>
      </c>
      <c r="C1432" s="9" t="s">
        <v>15</v>
      </c>
      <c r="D1432" s="10" t="s">
        <v>3209</v>
      </c>
      <c r="E1432" s="9" t="s">
        <v>17</v>
      </c>
      <c r="F1432" s="10">
        <v>29</v>
      </c>
      <c r="G1432" s="11">
        <v>204722699</v>
      </c>
      <c r="H1432" s="10" t="s">
        <v>3210</v>
      </c>
      <c r="I1432" s="10" t="s">
        <v>49</v>
      </c>
      <c r="J1432" s="10" t="s">
        <v>3211</v>
      </c>
      <c r="K1432" s="12">
        <v>46002</v>
      </c>
      <c r="L1432" s="10" t="s">
        <v>441</v>
      </c>
      <c r="M1432" s="10" t="s">
        <v>1827</v>
      </c>
      <c r="N1432" s="10" t="s">
        <v>3212</v>
      </c>
    </row>
    <row r="1433" spans="1:20" ht="22.5" customHeight="1">
      <c r="A1433" s="8">
        <v>46002.939856111116</v>
      </c>
      <c r="B1433" s="9" t="s">
        <v>14</v>
      </c>
      <c r="C1433" s="9" t="s">
        <v>15</v>
      </c>
      <c r="D1433" s="10" t="s">
        <v>3213</v>
      </c>
      <c r="E1433" s="9" t="s">
        <v>22</v>
      </c>
      <c r="F1433" s="10">
        <v>19</v>
      </c>
      <c r="G1433" s="11">
        <v>8164689784</v>
      </c>
      <c r="H1433" s="10" t="s">
        <v>3214</v>
      </c>
      <c r="I1433" s="10" t="s">
        <v>27</v>
      </c>
      <c r="J1433" s="10" t="s">
        <v>3215</v>
      </c>
      <c r="K1433" s="12">
        <v>46002</v>
      </c>
      <c r="L1433" s="28" t="s">
        <v>11</v>
      </c>
      <c r="M1433" s="14"/>
      <c r="N1433" s="10" t="s">
        <v>1140</v>
      </c>
    </row>
    <row r="1434" spans="1:20" ht="22.5" customHeight="1">
      <c r="A1434" s="8">
        <v>46002.941025138891</v>
      </c>
      <c r="B1434" s="9" t="s">
        <v>14</v>
      </c>
      <c r="C1434" s="9" t="s">
        <v>15</v>
      </c>
      <c r="D1434" s="10" t="s">
        <v>3216</v>
      </c>
      <c r="E1434" s="9" t="s">
        <v>17</v>
      </c>
      <c r="F1434" s="10">
        <v>21</v>
      </c>
      <c r="G1434" s="11">
        <v>8083433475</v>
      </c>
      <c r="H1434" s="10" t="s">
        <v>3217</v>
      </c>
      <c r="I1434" s="10" t="s">
        <v>27</v>
      </c>
      <c r="J1434" s="10" t="s">
        <v>3218</v>
      </c>
      <c r="K1434" s="12">
        <v>46002</v>
      </c>
      <c r="L1434" s="28" t="s">
        <v>11</v>
      </c>
      <c r="M1434" s="14"/>
      <c r="N1434" s="10" t="s">
        <v>1028</v>
      </c>
    </row>
    <row r="1435" spans="1:20" ht="22.5" customHeight="1">
      <c r="A1435" s="8">
        <v>46002.942251215281</v>
      </c>
      <c r="B1435" s="9" t="s">
        <v>14</v>
      </c>
      <c r="C1435" s="9" t="s">
        <v>15</v>
      </c>
      <c r="D1435" s="10" t="s">
        <v>3219</v>
      </c>
      <c r="E1435" s="9" t="s">
        <v>17</v>
      </c>
      <c r="F1435" s="10">
        <v>42</v>
      </c>
      <c r="G1435" s="11">
        <v>8065462154</v>
      </c>
      <c r="H1435" s="10" t="s">
        <v>3220</v>
      </c>
      <c r="I1435" s="10" t="s">
        <v>27</v>
      </c>
      <c r="J1435" s="10" t="s">
        <v>94</v>
      </c>
      <c r="K1435" s="12">
        <v>46002</v>
      </c>
      <c r="L1435" s="28" t="s">
        <v>11</v>
      </c>
      <c r="M1435" s="14"/>
      <c r="N1435" s="10" t="s">
        <v>1028</v>
      </c>
    </row>
    <row r="1436" spans="1:20" ht="22.5" customHeight="1">
      <c r="A1436" s="8">
        <v>46002.943613217591</v>
      </c>
      <c r="B1436" s="9" t="s">
        <v>14</v>
      </c>
      <c r="C1436" s="9" t="s">
        <v>15</v>
      </c>
      <c r="D1436" s="10" t="s">
        <v>3221</v>
      </c>
      <c r="E1436" s="9" t="s">
        <v>22</v>
      </c>
      <c r="F1436" s="10">
        <v>26</v>
      </c>
      <c r="G1436" s="11">
        <v>8069264766</v>
      </c>
      <c r="H1436" s="10" t="s">
        <v>3222</v>
      </c>
      <c r="I1436" s="10" t="s">
        <v>27</v>
      </c>
      <c r="J1436" s="10" t="s">
        <v>70</v>
      </c>
      <c r="K1436" s="12">
        <v>46002</v>
      </c>
      <c r="L1436" s="28" t="s">
        <v>11</v>
      </c>
      <c r="M1436" s="10"/>
      <c r="N1436" s="10" t="s">
        <v>1028</v>
      </c>
    </row>
    <row r="1437" spans="1:20" ht="22.5" customHeight="1">
      <c r="A1437" s="8">
        <v>46002.945103888887</v>
      </c>
      <c r="B1437" s="9" t="s">
        <v>14</v>
      </c>
      <c r="C1437" s="9" t="s">
        <v>15</v>
      </c>
      <c r="D1437" s="10" t="s">
        <v>3223</v>
      </c>
      <c r="E1437" s="9" t="s">
        <v>17</v>
      </c>
      <c r="F1437" s="10">
        <v>20</v>
      </c>
      <c r="G1437" s="11">
        <v>9060155327</v>
      </c>
      <c r="H1437" s="10" t="s">
        <v>3224</v>
      </c>
      <c r="I1437" s="10" t="s">
        <v>27</v>
      </c>
      <c r="J1437" s="10" t="s">
        <v>3225</v>
      </c>
      <c r="K1437" s="12">
        <v>46002</v>
      </c>
      <c r="L1437" s="28" t="s">
        <v>11</v>
      </c>
      <c r="M1437" s="10"/>
      <c r="N1437" s="10" t="s">
        <v>1028</v>
      </c>
    </row>
    <row r="1438" spans="1:20" ht="22.5" customHeight="1">
      <c r="A1438" s="8">
        <v>46002.946966689815</v>
      </c>
      <c r="B1438" s="9" t="s">
        <v>14</v>
      </c>
      <c r="C1438" s="9" t="s">
        <v>15</v>
      </c>
      <c r="D1438" s="10" t="s">
        <v>3226</v>
      </c>
      <c r="E1438" s="9" t="s">
        <v>17</v>
      </c>
      <c r="F1438" s="10">
        <v>45</v>
      </c>
      <c r="G1438" s="11">
        <v>8060359138</v>
      </c>
      <c r="H1438" s="10" t="s">
        <v>3227</v>
      </c>
      <c r="I1438" s="10" t="s">
        <v>27</v>
      </c>
      <c r="J1438" s="10" t="s">
        <v>1514</v>
      </c>
      <c r="K1438" s="12">
        <v>46002</v>
      </c>
      <c r="L1438" s="28" t="s">
        <v>11</v>
      </c>
      <c r="M1438" s="14"/>
      <c r="N1438" s="10" t="s">
        <v>1028</v>
      </c>
    </row>
    <row r="1439" spans="1:20" ht="22.5" customHeight="1">
      <c r="A1439" s="8">
        <v>46002.948767824069</v>
      </c>
      <c r="B1439" s="9" t="s">
        <v>14</v>
      </c>
      <c r="C1439" s="9" t="s">
        <v>15</v>
      </c>
      <c r="D1439" s="10" t="s">
        <v>3228</v>
      </c>
      <c r="E1439" s="9" t="s">
        <v>22</v>
      </c>
      <c r="F1439" s="19">
        <v>30</v>
      </c>
      <c r="G1439" s="11">
        <v>8039514792</v>
      </c>
      <c r="H1439" s="10" t="s">
        <v>3229</v>
      </c>
      <c r="I1439" s="10" t="s">
        <v>27</v>
      </c>
      <c r="J1439" s="10" t="s">
        <v>3230</v>
      </c>
      <c r="K1439" s="12">
        <v>46002</v>
      </c>
      <c r="L1439" s="28" t="s">
        <v>11</v>
      </c>
      <c r="M1439" s="14"/>
      <c r="N1439" s="10" t="s">
        <v>1028</v>
      </c>
      <c r="O1439" s="16"/>
      <c r="P1439" s="17"/>
      <c r="Q1439" s="17"/>
      <c r="R1439" s="17"/>
      <c r="S1439" s="17"/>
      <c r="T1439" s="17"/>
    </row>
    <row r="1440" spans="1:20" ht="22.5" customHeight="1">
      <c r="A1440" s="8">
        <v>46002.948913518514</v>
      </c>
      <c r="B1440" s="9" t="s">
        <v>14</v>
      </c>
      <c r="C1440" s="9" t="s">
        <v>15</v>
      </c>
      <c r="D1440" s="10" t="s">
        <v>3231</v>
      </c>
      <c r="E1440" s="9" t="s">
        <v>22</v>
      </c>
      <c r="F1440" s="10">
        <v>25</v>
      </c>
      <c r="G1440" s="11">
        <v>7030480259</v>
      </c>
      <c r="H1440" s="10" t="s">
        <v>3232</v>
      </c>
      <c r="I1440" s="10" t="s">
        <v>49</v>
      </c>
      <c r="J1440" s="10" t="s">
        <v>3233</v>
      </c>
      <c r="K1440" s="12">
        <v>46002</v>
      </c>
      <c r="L1440" s="28" t="s">
        <v>11</v>
      </c>
      <c r="M1440" s="14"/>
      <c r="N1440" s="10" t="s">
        <v>1028</v>
      </c>
    </row>
    <row r="1441" spans="1:14" ht="22.5" customHeight="1">
      <c r="A1441" s="8">
        <v>46002.949055486111</v>
      </c>
      <c r="B1441" s="9" t="s">
        <v>14</v>
      </c>
      <c r="C1441" s="9" t="s">
        <v>15</v>
      </c>
      <c r="D1441" s="10" t="s">
        <v>3234</v>
      </c>
      <c r="E1441" s="9" t="s">
        <v>17</v>
      </c>
      <c r="F1441" s="10">
        <v>23</v>
      </c>
      <c r="G1441" s="11">
        <v>9021066749</v>
      </c>
      <c r="H1441" s="10" t="s">
        <v>3235</v>
      </c>
      <c r="I1441" s="10" t="s">
        <v>27</v>
      </c>
      <c r="J1441" s="10" t="s">
        <v>2669</v>
      </c>
      <c r="K1441" s="12">
        <v>46002</v>
      </c>
      <c r="L1441" s="28" t="s">
        <v>11</v>
      </c>
      <c r="M1441" s="14"/>
      <c r="N1441" s="10" t="s">
        <v>1028</v>
      </c>
    </row>
    <row r="1442" spans="1:14" ht="22.5" customHeight="1">
      <c r="A1442" s="8">
        <v>46002.949752754634</v>
      </c>
      <c r="B1442" s="9" t="s">
        <v>14</v>
      </c>
      <c r="C1442" s="9" t="s">
        <v>15</v>
      </c>
      <c r="D1442" s="10" t="s">
        <v>3236</v>
      </c>
      <c r="E1442" s="9" t="s">
        <v>17</v>
      </c>
      <c r="F1442" s="10">
        <v>22</v>
      </c>
      <c r="G1442" s="11">
        <v>9061299195</v>
      </c>
      <c r="H1442" s="10" t="s">
        <v>3237</v>
      </c>
      <c r="I1442" s="10" t="s">
        <v>27</v>
      </c>
      <c r="J1442" s="10" t="s">
        <v>703</v>
      </c>
      <c r="K1442" s="12">
        <v>46002</v>
      </c>
      <c r="L1442" s="28" t="s">
        <v>11</v>
      </c>
      <c r="M1442" s="14"/>
      <c r="N1442" s="10" t="s">
        <v>1096</v>
      </c>
    </row>
    <row r="1443" spans="1:14" ht="22.5" customHeight="1">
      <c r="A1443" s="8">
        <v>46002.95021520833</v>
      </c>
      <c r="B1443" s="9" t="s">
        <v>14</v>
      </c>
      <c r="C1443" s="9" t="s">
        <v>15</v>
      </c>
      <c r="D1443" s="10" t="s">
        <v>3238</v>
      </c>
      <c r="E1443" s="9" t="s">
        <v>22</v>
      </c>
      <c r="F1443" s="10">
        <v>27</v>
      </c>
      <c r="G1443" s="11">
        <v>9166397107</v>
      </c>
      <c r="H1443" s="10" t="s">
        <v>3239</v>
      </c>
      <c r="I1443" s="10" t="s">
        <v>27</v>
      </c>
      <c r="J1443" s="10" t="s">
        <v>3240</v>
      </c>
      <c r="K1443" s="12">
        <v>46002</v>
      </c>
      <c r="L1443" s="28" t="s">
        <v>11</v>
      </c>
      <c r="M1443" s="14"/>
      <c r="N1443" s="10" t="s">
        <v>1028</v>
      </c>
    </row>
    <row r="1444" spans="1:14" ht="22.5" hidden="1" customHeight="1">
      <c r="A1444" s="8">
        <v>46002.951162812504</v>
      </c>
      <c r="B1444" s="9" t="s">
        <v>14</v>
      </c>
      <c r="C1444" s="9" t="s">
        <v>15</v>
      </c>
      <c r="D1444" s="10" t="s">
        <v>3241</v>
      </c>
      <c r="E1444" s="9" t="s">
        <v>22</v>
      </c>
      <c r="F1444" s="10">
        <v>19</v>
      </c>
      <c r="G1444" s="11">
        <v>9129925626</v>
      </c>
      <c r="H1444" s="10" t="s">
        <v>3242</v>
      </c>
      <c r="I1444" s="10" t="s">
        <v>27</v>
      </c>
      <c r="J1444" s="10" t="s">
        <v>67</v>
      </c>
      <c r="K1444" s="12">
        <v>46002</v>
      </c>
      <c r="L1444" s="10" t="s">
        <v>441</v>
      </c>
      <c r="M1444" s="10" t="s">
        <v>1361</v>
      </c>
      <c r="N1444" s="10" t="s">
        <v>1028</v>
      </c>
    </row>
    <row r="1445" spans="1:14" ht="22.5" customHeight="1">
      <c r="A1445" s="8">
        <v>46002.952896354167</v>
      </c>
      <c r="B1445" s="9" t="s">
        <v>14</v>
      </c>
      <c r="C1445" s="9" t="s">
        <v>15</v>
      </c>
      <c r="D1445" s="10" t="s">
        <v>3243</v>
      </c>
      <c r="E1445" s="9" t="s">
        <v>17</v>
      </c>
      <c r="F1445" s="10">
        <v>37</v>
      </c>
      <c r="G1445" s="11">
        <v>7035238800</v>
      </c>
      <c r="H1445" s="10" t="s">
        <v>3244</v>
      </c>
      <c r="I1445" s="10" t="s">
        <v>27</v>
      </c>
      <c r="J1445" s="10" t="s">
        <v>372</v>
      </c>
      <c r="K1445" s="12">
        <v>46002</v>
      </c>
      <c r="L1445" s="28" t="s">
        <v>11</v>
      </c>
      <c r="M1445" s="14"/>
      <c r="N1445" s="10" t="s">
        <v>1096</v>
      </c>
    </row>
    <row r="1446" spans="1:14" ht="22.5" hidden="1" customHeight="1">
      <c r="A1446" s="8">
        <v>46002.953852060185</v>
      </c>
      <c r="B1446" s="9" t="s">
        <v>14</v>
      </c>
      <c r="C1446" s="9" t="s">
        <v>15</v>
      </c>
      <c r="D1446" s="10" t="s">
        <v>2510</v>
      </c>
      <c r="E1446" s="9" t="s">
        <v>17</v>
      </c>
      <c r="F1446" s="10">
        <v>23</v>
      </c>
      <c r="G1446" s="11">
        <v>9066123104</v>
      </c>
      <c r="H1446" s="10" t="s">
        <v>2511</v>
      </c>
      <c r="I1446" s="10" t="s">
        <v>27</v>
      </c>
      <c r="J1446" s="10" t="s">
        <v>2512</v>
      </c>
      <c r="K1446" s="12">
        <v>46002</v>
      </c>
      <c r="L1446" s="10" t="s">
        <v>441</v>
      </c>
      <c r="M1446" s="10" t="s">
        <v>2513</v>
      </c>
      <c r="N1446" s="10" t="s">
        <v>1028</v>
      </c>
    </row>
    <row r="1447" spans="1:14" ht="22.5" customHeight="1">
      <c r="A1447" s="8">
        <v>46002.953974537042</v>
      </c>
      <c r="B1447" s="9" t="s">
        <v>14</v>
      </c>
      <c r="C1447" s="9" t="s">
        <v>15</v>
      </c>
      <c r="D1447" s="10" t="s">
        <v>3245</v>
      </c>
      <c r="E1447" s="9" t="s">
        <v>17</v>
      </c>
      <c r="F1447" s="10">
        <v>32</v>
      </c>
      <c r="G1447" s="11">
        <v>8060658340</v>
      </c>
      <c r="H1447" s="10" t="s">
        <v>3246</v>
      </c>
      <c r="I1447" s="10" t="s">
        <v>27</v>
      </c>
      <c r="J1447" s="10" t="s">
        <v>1949</v>
      </c>
      <c r="K1447" s="12">
        <v>46002</v>
      </c>
      <c r="L1447" s="28" t="s">
        <v>11</v>
      </c>
      <c r="M1447" s="14"/>
      <c r="N1447" s="10" t="s">
        <v>1028</v>
      </c>
    </row>
    <row r="1448" spans="1:14" ht="22.5" customHeight="1">
      <c r="A1448" s="8">
        <v>46002.954490162039</v>
      </c>
      <c r="B1448" s="9" t="s">
        <v>14</v>
      </c>
      <c r="C1448" s="9" t="s">
        <v>15</v>
      </c>
      <c r="D1448" s="10" t="s">
        <v>3247</v>
      </c>
      <c r="E1448" s="9" t="s">
        <v>22</v>
      </c>
      <c r="F1448" s="10">
        <v>47</v>
      </c>
      <c r="G1448" s="11">
        <f t="shared" ref="G1448" si="34">2348039488553</f>
        <v>2348039488553</v>
      </c>
      <c r="H1448" s="10" t="s">
        <v>3248</v>
      </c>
      <c r="I1448" s="10" t="s">
        <v>27</v>
      </c>
      <c r="J1448" s="10" t="s">
        <v>70</v>
      </c>
      <c r="K1448" s="12">
        <v>46002</v>
      </c>
      <c r="L1448" s="28" t="s">
        <v>11</v>
      </c>
      <c r="M1448" s="14"/>
      <c r="N1448" s="10" t="s">
        <v>1028</v>
      </c>
    </row>
    <row r="1449" spans="1:14" ht="22.5" customHeight="1">
      <c r="A1449" s="8">
        <v>46002.958617569442</v>
      </c>
      <c r="B1449" s="9" t="s">
        <v>14</v>
      </c>
      <c r="C1449" s="9" t="s">
        <v>15</v>
      </c>
      <c r="D1449" s="10" t="s">
        <v>3249</v>
      </c>
      <c r="E1449" s="9" t="s">
        <v>17</v>
      </c>
      <c r="F1449" s="18">
        <v>30</v>
      </c>
      <c r="G1449" s="11">
        <v>7039655088</v>
      </c>
      <c r="H1449" s="10" t="s">
        <v>3250</v>
      </c>
      <c r="I1449" s="10" t="s">
        <v>49</v>
      </c>
      <c r="J1449" s="10" t="s">
        <v>106</v>
      </c>
      <c r="K1449" s="12">
        <v>46002</v>
      </c>
      <c r="L1449" s="28" t="s">
        <v>11</v>
      </c>
      <c r="M1449" s="14"/>
      <c r="N1449" s="10" t="s">
        <v>1028</v>
      </c>
    </row>
    <row r="1450" spans="1:14" ht="22.5" customHeight="1">
      <c r="A1450" s="8">
        <v>46002.959567268517</v>
      </c>
      <c r="B1450" s="9" t="s">
        <v>14</v>
      </c>
      <c r="C1450" s="9" t="s">
        <v>15</v>
      </c>
      <c r="D1450" s="10" t="s">
        <v>3251</v>
      </c>
      <c r="E1450" s="9" t="s">
        <v>17</v>
      </c>
      <c r="F1450" s="10">
        <v>22</v>
      </c>
      <c r="G1450" s="11">
        <v>8169457887</v>
      </c>
      <c r="H1450" s="10" t="s">
        <v>3252</v>
      </c>
      <c r="I1450" s="10" t="s">
        <v>27</v>
      </c>
      <c r="J1450" s="10" t="s">
        <v>703</v>
      </c>
      <c r="K1450" s="12">
        <v>46002</v>
      </c>
      <c r="L1450" s="28" t="s">
        <v>11</v>
      </c>
      <c r="M1450" s="14"/>
      <c r="N1450" s="10" t="s">
        <v>1028</v>
      </c>
    </row>
    <row r="1451" spans="1:14" ht="22.5" customHeight="1">
      <c r="A1451" s="8">
        <v>46002.961490856484</v>
      </c>
      <c r="B1451" s="9" t="s">
        <v>14</v>
      </c>
      <c r="C1451" s="9" t="s">
        <v>15</v>
      </c>
      <c r="D1451" s="10" t="s">
        <v>3253</v>
      </c>
      <c r="E1451" s="9" t="s">
        <v>22</v>
      </c>
      <c r="F1451" s="10">
        <v>23</v>
      </c>
      <c r="G1451" s="11">
        <v>8152899766</v>
      </c>
      <c r="H1451" s="10" t="s">
        <v>3254</v>
      </c>
      <c r="I1451" s="10" t="s">
        <v>27</v>
      </c>
      <c r="J1451" s="10" t="s">
        <v>703</v>
      </c>
      <c r="K1451" s="12">
        <v>46002</v>
      </c>
      <c r="L1451" s="28" t="s">
        <v>11</v>
      </c>
      <c r="M1451" s="14"/>
      <c r="N1451" s="10" t="s">
        <v>1028</v>
      </c>
    </row>
    <row r="1452" spans="1:14" ht="22.5" hidden="1" customHeight="1">
      <c r="A1452" s="8">
        <v>46002.961698043982</v>
      </c>
      <c r="B1452" s="9" t="s">
        <v>14</v>
      </c>
      <c r="C1452" s="9" t="s">
        <v>15</v>
      </c>
      <c r="D1452" s="10" t="s">
        <v>3255</v>
      </c>
      <c r="E1452" s="9" t="s">
        <v>22</v>
      </c>
      <c r="F1452" s="10">
        <v>33</v>
      </c>
      <c r="G1452" s="11">
        <v>9031154329</v>
      </c>
      <c r="H1452" s="10" t="s">
        <v>3256</v>
      </c>
      <c r="I1452" s="10" t="s">
        <v>31</v>
      </c>
      <c r="J1452" s="10" t="s">
        <v>2358</v>
      </c>
      <c r="K1452" s="12">
        <v>46002</v>
      </c>
      <c r="L1452" s="10" t="s">
        <v>441</v>
      </c>
      <c r="M1452" s="10" t="s">
        <v>1361</v>
      </c>
      <c r="N1452" s="10" t="s">
        <v>1028</v>
      </c>
    </row>
    <row r="1453" spans="1:14" ht="22.5" customHeight="1">
      <c r="A1453" s="8">
        <v>46002.963910601851</v>
      </c>
      <c r="B1453" s="9" t="s">
        <v>14</v>
      </c>
      <c r="C1453" s="9" t="s">
        <v>15</v>
      </c>
      <c r="D1453" s="10" t="s">
        <v>3257</v>
      </c>
      <c r="E1453" s="9" t="s">
        <v>17</v>
      </c>
      <c r="F1453" s="10">
        <v>28</v>
      </c>
      <c r="G1453" s="11">
        <v>8031231493</v>
      </c>
      <c r="H1453" s="10" t="s">
        <v>3258</v>
      </c>
      <c r="I1453" s="10" t="s">
        <v>27</v>
      </c>
      <c r="J1453" s="10" t="s">
        <v>70</v>
      </c>
      <c r="K1453" s="12">
        <v>46002</v>
      </c>
      <c r="L1453" s="28" t="s">
        <v>11</v>
      </c>
      <c r="M1453" s="14"/>
      <c r="N1453" s="10" t="s">
        <v>1028</v>
      </c>
    </row>
    <row r="1454" spans="1:14" ht="22.5" customHeight="1">
      <c r="A1454" s="8">
        <v>46002.964852662037</v>
      </c>
      <c r="B1454" s="9" t="s">
        <v>14</v>
      </c>
      <c r="C1454" s="9" t="s">
        <v>15</v>
      </c>
      <c r="D1454" s="10" t="s">
        <v>3259</v>
      </c>
      <c r="E1454" s="9" t="s">
        <v>22</v>
      </c>
      <c r="F1454" s="10">
        <v>25</v>
      </c>
      <c r="G1454" s="11">
        <v>8128479656</v>
      </c>
      <c r="H1454" s="10" t="s">
        <v>3260</v>
      </c>
      <c r="I1454" s="10" t="s">
        <v>45</v>
      </c>
      <c r="J1454" s="10" t="s">
        <v>3261</v>
      </c>
      <c r="K1454" s="12">
        <v>46002</v>
      </c>
      <c r="L1454" s="28" t="s">
        <v>11</v>
      </c>
      <c r="M1454" s="14"/>
      <c r="N1454" s="10" t="s">
        <v>1028</v>
      </c>
    </row>
    <row r="1455" spans="1:14" ht="22.5" customHeight="1">
      <c r="A1455" s="8">
        <v>46002.965804039355</v>
      </c>
      <c r="B1455" s="9" t="s">
        <v>14</v>
      </c>
      <c r="C1455" s="9" t="s">
        <v>15</v>
      </c>
      <c r="D1455" s="10" t="s">
        <v>3262</v>
      </c>
      <c r="E1455" s="9" t="s">
        <v>22</v>
      </c>
      <c r="F1455" s="10">
        <v>22</v>
      </c>
      <c r="G1455" s="11">
        <v>9135583503</v>
      </c>
      <c r="H1455" s="10" t="s">
        <v>3263</v>
      </c>
      <c r="I1455" s="10" t="s">
        <v>27</v>
      </c>
      <c r="J1455" s="10" t="s">
        <v>3264</v>
      </c>
      <c r="K1455" s="12">
        <v>46002</v>
      </c>
      <c r="L1455" s="28" t="s">
        <v>11</v>
      </c>
      <c r="M1455" s="14"/>
      <c r="N1455" s="10" t="s">
        <v>1028</v>
      </c>
    </row>
    <row r="1456" spans="1:14" ht="22.5" customHeight="1">
      <c r="A1456" s="8">
        <v>46002.966573611113</v>
      </c>
      <c r="B1456" s="9" t="s">
        <v>14</v>
      </c>
      <c r="C1456" s="9" t="s">
        <v>15</v>
      </c>
      <c r="D1456" s="10" t="s">
        <v>3265</v>
      </c>
      <c r="E1456" s="9" t="s">
        <v>22</v>
      </c>
      <c r="F1456" s="10">
        <v>23</v>
      </c>
      <c r="G1456" s="11">
        <v>8025445532</v>
      </c>
      <c r="H1456" s="10" t="s">
        <v>3266</v>
      </c>
      <c r="I1456" s="10" t="s">
        <v>27</v>
      </c>
      <c r="J1456" s="10" t="s">
        <v>67</v>
      </c>
      <c r="K1456" s="12">
        <v>46002</v>
      </c>
      <c r="L1456" s="28" t="s">
        <v>11</v>
      </c>
      <c r="M1456" s="14"/>
      <c r="N1456" s="10" t="s">
        <v>1140</v>
      </c>
    </row>
    <row r="1457" spans="1:20" ht="22.5" customHeight="1">
      <c r="A1457" s="8">
        <v>46002.968694884257</v>
      </c>
      <c r="B1457" s="9" t="s">
        <v>14</v>
      </c>
      <c r="C1457" s="9" t="s">
        <v>15</v>
      </c>
      <c r="D1457" s="10" t="s">
        <v>3267</v>
      </c>
      <c r="E1457" s="9" t="s">
        <v>17</v>
      </c>
      <c r="F1457" s="10">
        <v>33</v>
      </c>
      <c r="G1457" s="11">
        <v>9070667671</v>
      </c>
      <c r="H1457" s="10" t="s">
        <v>3268</v>
      </c>
      <c r="I1457" s="10" t="s">
        <v>45</v>
      </c>
      <c r="J1457" s="10" t="s">
        <v>1919</v>
      </c>
      <c r="K1457" s="12">
        <v>46002</v>
      </c>
      <c r="L1457" s="28" t="s">
        <v>11</v>
      </c>
      <c r="M1457" s="14"/>
      <c r="N1457" s="10" t="s">
        <v>1028</v>
      </c>
    </row>
    <row r="1458" spans="1:20" ht="22.5" customHeight="1">
      <c r="A1458" s="8">
        <v>46002.974670844909</v>
      </c>
      <c r="B1458" s="9" t="s">
        <v>14</v>
      </c>
      <c r="C1458" s="9" t="s">
        <v>15</v>
      </c>
      <c r="D1458" s="10" t="s">
        <v>3269</v>
      </c>
      <c r="E1458" s="9" t="s">
        <v>22</v>
      </c>
      <c r="F1458" s="10">
        <v>30</v>
      </c>
      <c r="G1458" s="11">
        <v>8135507153</v>
      </c>
      <c r="H1458" s="10" t="s">
        <v>3270</v>
      </c>
      <c r="I1458" s="10" t="s">
        <v>27</v>
      </c>
      <c r="J1458" s="10" t="s">
        <v>1585</v>
      </c>
      <c r="K1458" s="12">
        <v>46002</v>
      </c>
      <c r="L1458" s="28" t="s">
        <v>11</v>
      </c>
      <c r="M1458" s="14"/>
      <c r="N1458" s="10" t="s">
        <v>1028</v>
      </c>
    </row>
    <row r="1459" spans="1:20" ht="22.5" customHeight="1">
      <c r="A1459" s="8">
        <v>46002.977643773149</v>
      </c>
      <c r="B1459" s="9" t="s">
        <v>14</v>
      </c>
      <c r="C1459" s="9" t="s">
        <v>15</v>
      </c>
      <c r="D1459" s="10" t="s">
        <v>3271</v>
      </c>
      <c r="E1459" s="9" t="s">
        <v>22</v>
      </c>
      <c r="F1459" s="10">
        <v>22</v>
      </c>
      <c r="G1459" s="11">
        <v>7045753474</v>
      </c>
      <c r="H1459" s="10" t="s">
        <v>3272</v>
      </c>
      <c r="I1459" s="10" t="s">
        <v>19</v>
      </c>
      <c r="J1459" s="10" t="s">
        <v>3273</v>
      </c>
      <c r="K1459" s="12">
        <v>46002</v>
      </c>
      <c r="L1459" s="28" t="s">
        <v>11</v>
      </c>
      <c r="M1459" s="14"/>
      <c r="N1459" s="10" t="s">
        <v>1028</v>
      </c>
    </row>
    <row r="1460" spans="1:20" ht="22.5" customHeight="1">
      <c r="A1460" s="8">
        <v>46002.978788900466</v>
      </c>
      <c r="B1460" s="9" t="s">
        <v>14</v>
      </c>
      <c r="C1460" s="9" t="s">
        <v>15</v>
      </c>
      <c r="D1460" s="10" t="s">
        <v>3274</v>
      </c>
      <c r="E1460" s="9" t="s">
        <v>17</v>
      </c>
      <c r="F1460" s="10">
        <v>36</v>
      </c>
      <c r="G1460" s="11">
        <v>8064410912</v>
      </c>
      <c r="H1460" s="10" t="s">
        <v>3275</v>
      </c>
      <c r="I1460" s="10" t="s">
        <v>49</v>
      </c>
      <c r="J1460" s="10" t="s">
        <v>109</v>
      </c>
      <c r="K1460" s="12">
        <v>46002</v>
      </c>
      <c r="L1460" s="28" t="s">
        <v>11</v>
      </c>
      <c r="M1460" s="14"/>
      <c r="N1460" s="10" t="s">
        <v>1096</v>
      </c>
    </row>
    <row r="1461" spans="1:20" ht="22.5" customHeight="1">
      <c r="A1461" s="8">
        <v>46002.981926180553</v>
      </c>
      <c r="B1461" s="9" t="s">
        <v>14</v>
      </c>
      <c r="C1461" s="9" t="s">
        <v>15</v>
      </c>
      <c r="D1461" s="10" t="s">
        <v>3276</v>
      </c>
      <c r="E1461" s="9" t="s">
        <v>17</v>
      </c>
      <c r="F1461" s="10">
        <v>19</v>
      </c>
      <c r="G1461" s="11">
        <v>7070988145</v>
      </c>
      <c r="H1461" s="10" t="s">
        <v>3277</v>
      </c>
      <c r="I1461" s="10" t="s">
        <v>27</v>
      </c>
      <c r="J1461" s="10" t="s">
        <v>42</v>
      </c>
      <c r="K1461" s="12">
        <v>46002</v>
      </c>
      <c r="L1461" s="28" t="s">
        <v>11</v>
      </c>
      <c r="M1461" s="14"/>
      <c r="N1461" s="10" t="s">
        <v>1028</v>
      </c>
    </row>
    <row r="1462" spans="1:20" ht="22.5" customHeight="1">
      <c r="A1462" s="8">
        <v>46002.983902141204</v>
      </c>
      <c r="B1462" s="9" t="s">
        <v>14</v>
      </c>
      <c r="C1462" s="9" t="s">
        <v>15</v>
      </c>
      <c r="D1462" s="10" t="s">
        <v>3278</v>
      </c>
      <c r="E1462" s="9" t="s">
        <v>17</v>
      </c>
      <c r="F1462" s="10">
        <v>27</v>
      </c>
      <c r="G1462" s="11">
        <v>8143432283</v>
      </c>
      <c r="H1462" s="10" t="s">
        <v>3279</v>
      </c>
      <c r="I1462" s="10" t="s">
        <v>27</v>
      </c>
      <c r="J1462" s="10" t="s">
        <v>53</v>
      </c>
      <c r="K1462" s="12">
        <v>46002</v>
      </c>
      <c r="L1462" s="28" t="s">
        <v>11</v>
      </c>
      <c r="M1462" s="14"/>
      <c r="N1462" s="10" t="s">
        <v>1028</v>
      </c>
    </row>
    <row r="1463" spans="1:20" ht="22.5" customHeight="1">
      <c r="A1463" s="8">
        <v>46002.984694768515</v>
      </c>
      <c r="B1463" s="9" t="s">
        <v>14</v>
      </c>
      <c r="C1463" s="9" t="s">
        <v>15</v>
      </c>
      <c r="D1463" s="10" t="s">
        <v>3280</v>
      </c>
      <c r="E1463" s="9" t="s">
        <v>17</v>
      </c>
      <c r="F1463" s="10">
        <v>26</v>
      </c>
      <c r="G1463" s="11">
        <v>7082125322</v>
      </c>
      <c r="H1463" s="10" t="s">
        <v>3281</v>
      </c>
      <c r="I1463" s="10" t="s">
        <v>27</v>
      </c>
      <c r="J1463" s="10" t="s">
        <v>1902</v>
      </c>
      <c r="K1463" s="12">
        <v>46002</v>
      </c>
      <c r="L1463" s="28" t="s">
        <v>11</v>
      </c>
      <c r="M1463" s="14"/>
      <c r="N1463" s="10" t="s">
        <v>1096</v>
      </c>
    </row>
    <row r="1464" spans="1:20" ht="22.5" customHeight="1">
      <c r="A1464" s="8">
        <v>46002.992779733795</v>
      </c>
      <c r="B1464" s="9" t="s">
        <v>14</v>
      </c>
      <c r="C1464" s="9" t="s">
        <v>15</v>
      </c>
      <c r="D1464" s="10" t="s">
        <v>3282</v>
      </c>
      <c r="E1464" s="9" t="s">
        <v>22</v>
      </c>
      <c r="F1464" s="10">
        <v>25</v>
      </c>
      <c r="G1464" s="11">
        <v>7065748886</v>
      </c>
      <c r="H1464" s="10" t="s">
        <v>3283</v>
      </c>
      <c r="I1464" s="10" t="s">
        <v>27</v>
      </c>
      <c r="J1464" s="10" t="s">
        <v>94</v>
      </c>
      <c r="K1464" s="12">
        <v>46002</v>
      </c>
      <c r="L1464" s="28" t="s">
        <v>11</v>
      </c>
      <c r="M1464" s="14"/>
      <c r="N1464" s="10" t="s">
        <v>1028</v>
      </c>
    </row>
    <row r="1465" spans="1:20" ht="22.5" customHeight="1">
      <c r="A1465" s="8">
        <v>46002.994927939813</v>
      </c>
      <c r="B1465" s="9" t="s">
        <v>14</v>
      </c>
      <c r="C1465" s="9" t="s">
        <v>15</v>
      </c>
      <c r="D1465" s="10" t="s">
        <v>3284</v>
      </c>
      <c r="E1465" s="9" t="s">
        <v>22</v>
      </c>
      <c r="F1465" s="10">
        <v>32</v>
      </c>
      <c r="G1465" s="11">
        <v>8069788356</v>
      </c>
      <c r="H1465" s="10" t="s">
        <v>3285</v>
      </c>
      <c r="I1465" s="10" t="s">
        <v>27</v>
      </c>
      <c r="J1465" s="10" t="s">
        <v>2669</v>
      </c>
      <c r="K1465" s="12">
        <v>46002</v>
      </c>
      <c r="L1465" s="28" t="s">
        <v>11</v>
      </c>
      <c r="M1465" s="14"/>
      <c r="N1465" s="10" t="s">
        <v>1096</v>
      </c>
    </row>
    <row r="1466" spans="1:20" ht="22.5" customHeight="1">
      <c r="A1466" s="8">
        <v>46003.007098738424</v>
      </c>
      <c r="B1466" s="9" t="s">
        <v>14</v>
      </c>
      <c r="C1466" s="9" t="s">
        <v>15</v>
      </c>
      <c r="D1466" s="10" t="s">
        <v>3286</v>
      </c>
      <c r="E1466" s="9" t="s">
        <v>22</v>
      </c>
      <c r="F1466" s="10">
        <v>34</v>
      </c>
      <c r="G1466" s="11">
        <v>7064649787</v>
      </c>
      <c r="H1466" s="10" t="s">
        <v>3287</v>
      </c>
      <c r="I1466" s="10" t="s">
        <v>27</v>
      </c>
      <c r="J1466" s="10" t="s">
        <v>94</v>
      </c>
      <c r="K1466" s="12">
        <v>46002</v>
      </c>
      <c r="L1466" s="28" t="s">
        <v>11</v>
      </c>
      <c r="M1466" s="14"/>
      <c r="N1466" s="10" t="s">
        <v>1028</v>
      </c>
      <c r="O1466" s="16"/>
      <c r="P1466" s="17"/>
      <c r="Q1466" s="17"/>
      <c r="R1466" s="17"/>
      <c r="S1466" s="17"/>
      <c r="T1466" s="17"/>
    </row>
    <row r="1467" spans="1:20" ht="22.5" customHeight="1">
      <c r="A1467" s="8">
        <v>46003.010249803236</v>
      </c>
      <c r="B1467" s="9" t="s">
        <v>14</v>
      </c>
      <c r="C1467" s="9" t="s">
        <v>15</v>
      </c>
      <c r="D1467" s="10" t="s">
        <v>3288</v>
      </c>
      <c r="E1467" s="9" t="s">
        <v>22</v>
      </c>
      <c r="F1467" s="19">
        <v>35</v>
      </c>
      <c r="G1467" s="11">
        <f t="shared" ref="G1467" si="35">2348062701338</f>
        <v>2348062701338</v>
      </c>
      <c r="H1467" s="10" t="s">
        <v>3289</v>
      </c>
      <c r="I1467" s="10" t="s">
        <v>27</v>
      </c>
      <c r="J1467" s="10" t="s">
        <v>28</v>
      </c>
      <c r="K1467" s="12">
        <v>46003</v>
      </c>
      <c r="L1467" s="28" t="s">
        <v>11</v>
      </c>
      <c r="M1467" s="14"/>
      <c r="N1467" s="10" t="s">
        <v>1028</v>
      </c>
    </row>
    <row r="1468" spans="1:20" ht="22.5" customHeight="1">
      <c r="A1468" s="8">
        <v>46003.012087905096</v>
      </c>
      <c r="B1468" s="9" t="s">
        <v>14</v>
      </c>
      <c r="C1468" s="9" t="s">
        <v>15</v>
      </c>
      <c r="D1468" s="10" t="s">
        <v>3290</v>
      </c>
      <c r="E1468" s="9" t="s">
        <v>22</v>
      </c>
      <c r="F1468" s="10">
        <v>34</v>
      </c>
      <c r="G1468" s="11">
        <v>9062167346</v>
      </c>
      <c r="H1468" s="10" t="s">
        <v>3291</v>
      </c>
      <c r="I1468" s="10" t="s">
        <v>27</v>
      </c>
      <c r="J1468" s="10" t="s">
        <v>1559</v>
      </c>
      <c r="K1468" s="12">
        <v>46003</v>
      </c>
      <c r="L1468" s="28" t="s">
        <v>11</v>
      </c>
      <c r="M1468" s="14"/>
      <c r="N1468" s="10" t="s">
        <v>1028</v>
      </c>
    </row>
    <row r="1469" spans="1:20" ht="22.5" customHeight="1">
      <c r="A1469" s="8">
        <v>46003.012565856479</v>
      </c>
      <c r="B1469" s="9" t="s">
        <v>14</v>
      </c>
      <c r="C1469" s="9" t="s">
        <v>15</v>
      </c>
      <c r="D1469" s="10" t="s">
        <v>3292</v>
      </c>
      <c r="E1469" s="9" t="s">
        <v>17</v>
      </c>
      <c r="F1469" s="10">
        <v>17</v>
      </c>
      <c r="G1469" s="11">
        <v>7086084850</v>
      </c>
      <c r="H1469" s="10" t="s">
        <v>3293</v>
      </c>
      <c r="I1469" s="10" t="s">
        <v>27</v>
      </c>
      <c r="J1469" s="10" t="s">
        <v>42</v>
      </c>
      <c r="K1469" s="12">
        <v>46003</v>
      </c>
      <c r="L1469" s="28" t="s">
        <v>11</v>
      </c>
      <c r="M1469" s="14"/>
      <c r="N1469" s="10" t="s">
        <v>1028</v>
      </c>
    </row>
    <row r="1470" spans="1:20" ht="22.5" customHeight="1">
      <c r="A1470" s="8">
        <v>46003.026042488425</v>
      </c>
      <c r="B1470" s="9" t="s">
        <v>14</v>
      </c>
      <c r="C1470" s="9" t="s">
        <v>15</v>
      </c>
      <c r="D1470" s="10" t="s">
        <v>3294</v>
      </c>
      <c r="E1470" s="9" t="s">
        <v>17</v>
      </c>
      <c r="F1470" s="10">
        <v>30</v>
      </c>
      <c r="G1470" s="11">
        <v>7064769236</v>
      </c>
      <c r="H1470" s="10" t="s">
        <v>3295</v>
      </c>
      <c r="I1470" s="10" t="s">
        <v>145</v>
      </c>
      <c r="J1470" s="10" t="s">
        <v>3296</v>
      </c>
      <c r="K1470" s="12">
        <v>46003</v>
      </c>
      <c r="L1470" s="28" t="s">
        <v>11</v>
      </c>
      <c r="M1470" s="14"/>
      <c r="N1470" s="10" t="s">
        <v>1028</v>
      </c>
    </row>
    <row r="1471" spans="1:20" ht="22.5" customHeight="1">
      <c r="A1471" s="8">
        <v>46003.031332129627</v>
      </c>
      <c r="B1471" s="9" t="s">
        <v>14</v>
      </c>
      <c r="C1471" s="9" t="s">
        <v>15</v>
      </c>
      <c r="D1471" s="10" t="s">
        <v>3297</v>
      </c>
      <c r="E1471" s="9" t="s">
        <v>17</v>
      </c>
      <c r="F1471" s="10">
        <v>33</v>
      </c>
      <c r="G1471" s="11">
        <v>7065296678</v>
      </c>
      <c r="H1471" s="10" t="s">
        <v>3298</v>
      </c>
      <c r="I1471" s="10" t="s">
        <v>45</v>
      </c>
      <c r="J1471" s="10" t="s">
        <v>1774</v>
      </c>
      <c r="K1471" s="12">
        <v>46003</v>
      </c>
      <c r="L1471" s="28" t="s">
        <v>11</v>
      </c>
      <c r="M1471" s="14"/>
      <c r="N1471" s="10" t="s">
        <v>1096</v>
      </c>
    </row>
    <row r="1472" spans="1:20" ht="22.5" customHeight="1">
      <c r="A1472" s="8">
        <v>46003.051740324074</v>
      </c>
      <c r="B1472" s="9" t="s">
        <v>14</v>
      </c>
      <c r="C1472" s="9" t="s">
        <v>15</v>
      </c>
      <c r="D1472" s="10" t="s">
        <v>3299</v>
      </c>
      <c r="E1472" s="9" t="s">
        <v>17</v>
      </c>
      <c r="F1472" s="10">
        <v>27</v>
      </c>
      <c r="G1472" s="11">
        <v>8163772625</v>
      </c>
      <c r="H1472" s="10" t="s">
        <v>3300</v>
      </c>
      <c r="I1472" s="10" t="s">
        <v>27</v>
      </c>
      <c r="J1472" s="10" t="s">
        <v>67</v>
      </c>
      <c r="K1472" s="12">
        <v>46003</v>
      </c>
      <c r="L1472" s="28" t="s">
        <v>11</v>
      </c>
      <c r="M1472" s="14"/>
      <c r="N1472" s="10" t="s">
        <v>1096</v>
      </c>
    </row>
    <row r="1473" spans="1:14" ht="22.5" customHeight="1">
      <c r="A1473" s="8">
        <v>46003.056172268523</v>
      </c>
      <c r="B1473" s="9" t="s">
        <v>14</v>
      </c>
      <c r="C1473" s="9" t="s">
        <v>15</v>
      </c>
      <c r="D1473" s="10" t="s">
        <v>3301</v>
      </c>
      <c r="E1473" s="9" t="s">
        <v>17</v>
      </c>
      <c r="F1473" s="10">
        <v>25</v>
      </c>
      <c r="G1473" s="11">
        <v>7010824485</v>
      </c>
      <c r="H1473" s="10" t="s">
        <v>3302</v>
      </c>
      <c r="I1473" s="10" t="s">
        <v>27</v>
      </c>
      <c r="J1473" s="10" t="s">
        <v>703</v>
      </c>
      <c r="K1473" s="12">
        <v>46003</v>
      </c>
      <c r="L1473" s="28" t="s">
        <v>11</v>
      </c>
      <c r="M1473" s="14"/>
      <c r="N1473" s="10" t="s">
        <v>1028</v>
      </c>
    </row>
    <row r="1474" spans="1:14" ht="22.5" customHeight="1">
      <c r="A1474" s="8">
        <v>46003.067638900466</v>
      </c>
      <c r="B1474" s="9" t="s">
        <v>14</v>
      </c>
      <c r="C1474" s="9" t="s">
        <v>15</v>
      </c>
      <c r="D1474" s="10" t="s">
        <v>3303</v>
      </c>
      <c r="E1474" s="9" t="s">
        <v>17</v>
      </c>
      <c r="F1474" s="18">
        <v>30</v>
      </c>
      <c r="G1474" s="11">
        <v>8037913939</v>
      </c>
      <c r="H1474" s="10" t="s">
        <v>3304</v>
      </c>
      <c r="I1474" s="10" t="s">
        <v>27</v>
      </c>
      <c r="J1474" s="10" t="s">
        <v>3305</v>
      </c>
      <c r="K1474" s="12">
        <v>34819</v>
      </c>
      <c r="L1474" s="28" t="s">
        <v>11</v>
      </c>
      <c r="M1474" s="14"/>
      <c r="N1474" s="10" t="s">
        <v>1028</v>
      </c>
    </row>
    <row r="1475" spans="1:14" ht="22.5" customHeight="1">
      <c r="A1475" s="8">
        <v>46003.071073287036</v>
      </c>
      <c r="B1475" s="9" t="s">
        <v>14</v>
      </c>
      <c r="C1475" s="9" t="s">
        <v>15</v>
      </c>
      <c r="D1475" s="10" t="s">
        <v>3306</v>
      </c>
      <c r="E1475" s="9" t="s">
        <v>17</v>
      </c>
      <c r="F1475" s="10">
        <v>35</v>
      </c>
      <c r="G1475" s="11">
        <v>8065106188</v>
      </c>
      <c r="H1475" s="10" t="s">
        <v>3307</v>
      </c>
      <c r="I1475" s="10" t="s">
        <v>27</v>
      </c>
      <c r="J1475" s="10" t="s">
        <v>703</v>
      </c>
      <c r="K1475" s="12">
        <v>46003</v>
      </c>
      <c r="L1475" s="28" t="s">
        <v>11</v>
      </c>
      <c r="M1475" s="14"/>
      <c r="N1475" s="10" t="s">
        <v>1028</v>
      </c>
    </row>
    <row r="1476" spans="1:14" ht="22.5" customHeight="1">
      <c r="A1476" s="8">
        <v>46003.073687615746</v>
      </c>
      <c r="B1476" s="9" t="s">
        <v>14</v>
      </c>
      <c r="C1476" s="9" t="s">
        <v>15</v>
      </c>
      <c r="D1476" s="10" t="s">
        <v>3308</v>
      </c>
      <c r="E1476" s="9" t="s">
        <v>22</v>
      </c>
      <c r="F1476" s="10">
        <v>25</v>
      </c>
      <c r="G1476" s="11">
        <v>9037031407</v>
      </c>
      <c r="H1476" s="10" t="s">
        <v>3309</v>
      </c>
      <c r="I1476" s="10" t="s">
        <v>45</v>
      </c>
      <c r="J1476" s="10" t="s">
        <v>901</v>
      </c>
      <c r="K1476" s="12">
        <v>46003</v>
      </c>
      <c r="L1476" s="28" t="s">
        <v>11</v>
      </c>
      <c r="M1476" s="14"/>
      <c r="N1476" s="10" t="s">
        <v>1035</v>
      </c>
    </row>
    <row r="1477" spans="1:14" ht="22.5" hidden="1" customHeight="1">
      <c r="A1477" s="8">
        <v>46003.115422650459</v>
      </c>
      <c r="B1477" s="9" t="s">
        <v>14</v>
      </c>
      <c r="C1477" s="9" t="s">
        <v>15</v>
      </c>
      <c r="D1477" s="10" t="s">
        <v>3310</v>
      </c>
      <c r="E1477" s="9" t="s">
        <v>17</v>
      </c>
      <c r="F1477" s="10">
        <v>36</v>
      </c>
      <c r="G1477" s="11">
        <v>9068148913</v>
      </c>
      <c r="H1477" s="10" t="s">
        <v>3311</v>
      </c>
      <c r="I1477" s="10" t="s">
        <v>31</v>
      </c>
      <c r="J1477" s="10" t="s">
        <v>1952</v>
      </c>
      <c r="K1477" s="12">
        <v>46003</v>
      </c>
      <c r="L1477" s="10" t="s">
        <v>441</v>
      </c>
      <c r="M1477" s="10" t="s">
        <v>1361</v>
      </c>
      <c r="N1477" s="10" t="s">
        <v>1028</v>
      </c>
    </row>
    <row r="1478" spans="1:14" ht="22.5" customHeight="1">
      <c r="A1478" s="8">
        <v>46003.115877060191</v>
      </c>
      <c r="B1478" s="9" t="s">
        <v>14</v>
      </c>
      <c r="C1478" s="9" t="s">
        <v>15</v>
      </c>
      <c r="D1478" s="10" t="s">
        <v>3312</v>
      </c>
      <c r="E1478" s="9" t="s">
        <v>22</v>
      </c>
      <c r="F1478" s="10">
        <v>29</v>
      </c>
      <c r="G1478" s="11">
        <v>7052097992</v>
      </c>
      <c r="H1478" s="10" t="s">
        <v>3313</v>
      </c>
      <c r="I1478" s="10" t="s">
        <v>45</v>
      </c>
      <c r="J1478" s="10" t="s">
        <v>3314</v>
      </c>
      <c r="K1478" s="12">
        <v>46003</v>
      </c>
      <c r="L1478" s="28" t="s">
        <v>11</v>
      </c>
      <c r="M1478" s="14"/>
      <c r="N1478" s="10" t="s">
        <v>1028</v>
      </c>
    </row>
    <row r="1479" spans="1:14" ht="22.5" hidden="1" customHeight="1">
      <c r="A1479" s="8">
        <v>46003.118728483794</v>
      </c>
      <c r="B1479" s="9" t="s">
        <v>14</v>
      </c>
      <c r="C1479" s="9" t="s">
        <v>15</v>
      </c>
      <c r="D1479" s="10" t="s">
        <v>2618</v>
      </c>
      <c r="E1479" s="9" t="s">
        <v>17</v>
      </c>
      <c r="F1479" s="10">
        <v>41</v>
      </c>
      <c r="G1479" s="11">
        <v>9043257755</v>
      </c>
      <c r="H1479" s="10" t="s">
        <v>2619</v>
      </c>
      <c r="I1479" s="10" t="s">
        <v>19</v>
      </c>
      <c r="J1479" s="10" t="s">
        <v>2620</v>
      </c>
      <c r="K1479" s="12">
        <v>46003</v>
      </c>
      <c r="L1479" s="10" t="s">
        <v>441</v>
      </c>
      <c r="M1479" s="10" t="s">
        <v>1361</v>
      </c>
      <c r="N1479" s="10" t="s">
        <v>1028</v>
      </c>
    </row>
    <row r="1480" spans="1:14" ht="22.5" customHeight="1">
      <c r="A1480" s="8">
        <v>46003.120655706021</v>
      </c>
      <c r="B1480" s="9" t="s">
        <v>14</v>
      </c>
      <c r="C1480" s="9" t="s">
        <v>15</v>
      </c>
      <c r="D1480" s="10" t="s">
        <v>3315</v>
      </c>
      <c r="E1480" s="9" t="s">
        <v>22</v>
      </c>
      <c r="F1480" s="10">
        <v>28</v>
      </c>
      <c r="G1480" s="11">
        <v>8134188282</v>
      </c>
      <c r="H1480" s="10" t="s">
        <v>3316</v>
      </c>
      <c r="I1480" s="10" t="s">
        <v>45</v>
      </c>
      <c r="J1480" s="10" t="s">
        <v>688</v>
      </c>
      <c r="K1480" s="12">
        <v>46003</v>
      </c>
      <c r="L1480" s="28" t="s">
        <v>11</v>
      </c>
      <c r="M1480" s="14"/>
      <c r="N1480" s="10" t="s">
        <v>1028</v>
      </c>
    </row>
    <row r="1481" spans="1:14" ht="22.5" hidden="1" customHeight="1">
      <c r="A1481" s="8">
        <v>46003.134433263884</v>
      </c>
      <c r="B1481" s="9" t="s">
        <v>14</v>
      </c>
      <c r="C1481" s="9" t="s">
        <v>15</v>
      </c>
      <c r="D1481" s="10" t="s">
        <v>3317</v>
      </c>
      <c r="E1481" s="9" t="s">
        <v>17</v>
      </c>
      <c r="F1481" s="10">
        <v>46</v>
      </c>
      <c r="G1481" s="11">
        <v>2348036250504</v>
      </c>
      <c r="H1481" s="10" t="s">
        <v>3318</v>
      </c>
      <c r="I1481" s="10" t="s">
        <v>45</v>
      </c>
      <c r="J1481" s="10" t="s">
        <v>892</v>
      </c>
      <c r="K1481" s="12">
        <v>46003</v>
      </c>
      <c r="L1481" s="10" t="s">
        <v>441</v>
      </c>
      <c r="M1481" s="10" t="s">
        <v>1356</v>
      </c>
      <c r="N1481" s="10" t="s">
        <v>1028</v>
      </c>
    </row>
    <row r="1482" spans="1:14" ht="22.5" hidden="1" customHeight="1">
      <c r="A1482" s="8">
        <v>46003.190833518514</v>
      </c>
      <c r="B1482" s="9" t="s">
        <v>14</v>
      </c>
      <c r="C1482" s="9" t="s">
        <v>15</v>
      </c>
      <c r="D1482" s="10" t="s">
        <v>3319</v>
      </c>
      <c r="E1482" s="9" t="s">
        <v>17</v>
      </c>
      <c r="F1482" s="10">
        <v>32</v>
      </c>
      <c r="G1482" s="11">
        <v>8148501656</v>
      </c>
      <c r="H1482" s="10" t="s">
        <v>3320</v>
      </c>
      <c r="I1482" s="10" t="s">
        <v>27</v>
      </c>
      <c r="J1482" s="10" t="s">
        <v>94</v>
      </c>
      <c r="K1482" s="12">
        <v>46003</v>
      </c>
      <c r="L1482" s="10" t="s">
        <v>441</v>
      </c>
      <c r="M1482" s="10" t="s">
        <v>1356</v>
      </c>
      <c r="N1482" s="10" t="s">
        <v>1028</v>
      </c>
    </row>
    <row r="1483" spans="1:14" ht="22.5" customHeight="1">
      <c r="A1483" s="8">
        <v>46003.206485532406</v>
      </c>
      <c r="B1483" s="9" t="s">
        <v>14</v>
      </c>
      <c r="C1483" s="9" t="s">
        <v>15</v>
      </c>
      <c r="D1483" s="10" t="s">
        <v>3321</v>
      </c>
      <c r="E1483" s="9" t="s">
        <v>22</v>
      </c>
      <c r="F1483" s="10">
        <v>29</v>
      </c>
      <c r="G1483" s="11">
        <v>7035903003</v>
      </c>
      <c r="H1483" s="10" t="s">
        <v>3322</v>
      </c>
      <c r="I1483" s="10" t="s">
        <v>27</v>
      </c>
      <c r="J1483" s="10" t="s">
        <v>1514</v>
      </c>
      <c r="K1483" s="12">
        <v>46003</v>
      </c>
      <c r="L1483" s="28" t="s">
        <v>11</v>
      </c>
      <c r="M1483" s="14"/>
      <c r="N1483" s="10" t="s">
        <v>1028</v>
      </c>
    </row>
    <row r="1484" spans="1:14" ht="22.5" customHeight="1">
      <c r="A1484" s="8">
        <v>46003.218157604162</v>
      </c>
      <c r="B1484" s="9" t="s">
        <v>14</v>
      </c>
      <c r="C1484" s="9" t="s">
        <v>15</v>
      </c>
      <c r="D1484" s="10" t="s">
        <v>3323</v>
      </c>
      <c r="E1484" s="9" t="s">
        <v>17</v>
      </c>
      <c r="F1484" s="10">
        <v>25</v>
      </c>
      <c r="G1484" s="11">
        <v>7065504322</v>
      </c>
      <c r="H1484" s="10" t="s">
        <v>3324</v>
      </c>
      <c r="I1484" s="10" t="s">
        <v>27</v>
      </c>
      <c r="J1484" s="10" t="s">
        <v>42</v>
      </c>
      <c r="K1484" s="12">
        <v>46003</v>
      </c>
      <c r="L1484" s="28" t="s">
        <v>11</v>
      </c>
      <c r="M1484" s="14"/>
      <c r="N1484" s="10" t="s">
        <v>1028</v>
      </c>
    </row>
    <row r="1485" spans="1:14" ht="22.5" customHeight="1">
      <c r="A1485" s="8">
        <v>46003.221424305557</v>
      </c>
      <c r="B1485" s="9" t="s">
        <v>14</v>
      </c>
      <c r="C1485" s="9" t="s">
        <v>15</v>
      </c>
      <c r="D1485" s="10" t="s">
        <v>3325</v>
      </c>
      <c r="E1485" s="9" t="s">
        <v>17</v>
      </c>
      <c r="F1485" s="10">
        <v>28</v>
      </c>
      <c r="G1485" s="11">
        <v>8076325938</v>
      </c>
      <c r="H1485" s="10" t="s">
        <v>3326</v>
      </c>
      <c r="I1485" s="10" t="s">
        <v>45</v>
      </c>
      <c r="J1485" s="10" t="s">
        <v>3327</v>
      </c>
      <c r="K1485" s="12">
        <v>46003</v>
      </c>
      <c r="L1485" s="28" t="s">
        <v>11</v>
      </c>
      <c r="M1485" s="10"/>
      <c r="N1485" s="10" t="s">
        <v>1028</v>
      </c>
    </row>
    <row r="1486" spans="1:14" ht="22.5" hidden="1" customHeight="1">
      <c r="A1486" s="8">
        <v>46003.229361701393</v>
      </c>
      <c r="B1486" s="9" t="s">
        <v>14</v>
      </c>
      <c r="C1486" s="9" t="s">
        <v>15</v>
      </c>
      <c r="D1486" s="10" t="s">
        <v>3328</v>
      </c>
      <c r="E1486" s="9" t="s">
        <v>22</v>
      </c>
      <c r="F1486" s="10">
        <v>46</v>
      </c>
      <c r="G1486" s="11">
        <v>8032370214</v>
      </c>
      <c r="H1486" s="10" t="s">
        <v>3329</v>
      </c>
      <c r="I1486" s="10" t="s">
        <v>27</v>
      </c>
      <c r="J1486" s="10" t="s">
        <v>67</v>
      </c>
      <c r="K1486" s="12">
        <v>46003</v>
      </c>
      <c r="L1486" s="10" t="s">
        <v>441</v>
      </c>
      <c r="M1486" s="10" t="s">
        <v>1361</v>
      </c>
      <c r="N1486" s="10" t="s">
        <v>1028</v>
      </c>
    </row>
    <row r="1487" spans="1:14" ht="22.5" customHeight="1">
      <c r="A1487" s="8">
        <v>46003.2306221412</v>
      </c>
      <c r="B1487" s="9" t="s">
        <v>14</v>
      </c>
      <c r="C1487" s="9" t="s">
        <v>15</v>
      </c>
      <c r="D1487" s="10" t="s">
        <v>3330</v>
      </c>
      <c r="E1487" s="9" t="s">
        <v>22</v>
      </c>
      <c r="F1487" s="10">
        <v>35</v>
      </c>
      <c r="G1487" s="11">
        <v>8063357740</v>
      </c>
      <c r="H1487" s="10" t="s">
        <v>3331</v>
      </c>
      <c r="I1487" s="10" t="s">
        <v>27</v>
      </c>
      <c r="J1487" s="10" t="s">
        <v>1672</v>
      </c>
      <c r="K1487" s="12">
        <v>46003</v>
      </c>
      <c r="L1487" s="28" t="s">
        <v>11</v>
      </c>
      <c r="M1487" s="14"/>
      <c r="N1487" s="10" t="s">
        <v>1028</v>
      </c>
    </row>
    <row r="1488" spans="1:14" ht="22.5" hidden="1" customHeight="1">
      <c r="A1488" s="8">
        <v>46003.245482511571</v>
      </c>
      <c r="B1488" s="9" t="s">
        <v>14</v>
      </c>
      <c r="C1488" s="9" t="s">
        <v>15</v>
      </c>
      <c r="D1488" s="10" t="s">
        <v>3332</v>
      </c>
      <c r="E1488" s="9" t="s">
        <v>22</v>
      </c>
      <c r="F1488" s="10">
        <v>25</v>
      </c>
      <c r="G1488" s="11">
        <v>9165122246</v>
      </c>
      <c r="H1488" s="10" t="s">
        <v>2122</v>
      </c>
      <c r="I1488" s="10" t="s">
        <v>27</v>
      </c>
      <c r="J1488" s="10" t="s">
        <v>2069</v>
      </c>
      <c r="K1488" s="12">
        <v>36562</v>
      </c>
      <c r="L1488" s="10" t="s">
        <v>441</v>
      </c>
      <c r="M1488" s="10" t="s">
        <v>1161</v>
      </c>
      <c r="N1488" s="10" t="s">
        <v>1563</v>
      </c>
    </row>
    <row r="1489" spans="1:14" ht="22.5" customHeight="1">
      <c r="A1489" s="8">
        <v>46003.252896770835</v>
      </c>
      <c r="B1489" s="9" t="s">
        <v>14</v>
      </c>
      <c r="C1489" s="9" t="s">
        <v>15</v>
      </c>
      <c r="D1489" s="10" t="s">
        <v>3333</v>
      </c>
      <c r="E1489" s="9" t="s">
        <v>17</v>
      </c>
      <c r="F1489" s="10">
        <v>24</v>
      </c>
      <c r="G1489" s="11">
        <v>8134194811</v>
      </c>
      <c r="H1489" s="10" t="s">
        <v>3334</v>
      </c>
      <c r="I1489" s="10" t="s">
        <v>27</v>
      </c>
      <c r="J1489" s="10" t="s">
        <v>172</v>
      </c>
      <c r="K1489" s="12">
        <v>46003</v>
      </c>
      <c r="L1489" s="28" t="s">
        <v>11</v>
      </c>
      <c r="M1489" s="14"/>
      <c r="N1489" s="10" t="s">
        <v>1028</v>
      </c>
    </row>
    <row r="1490" spans="1:14" ht="22.5" customHeight="1">
      <c r="A1490" s="8">
        <v>46003.264383576388</v>
      </c>
      <c r="B1490" s="9" t="s">
        <v>14</v>
      </c>
      <c r="C1490" s="9" t="s">
        <v>15</v>
      </c>
      <c r="D1490" s="10" t="s">
        <v>3335</v>
      </c>
      <c r="E1490" s="9" t="s">
        <v>22</v>
      </c>
      <c r="F1490" s="10">
        <v>29</v>
      </c>
      <c r="G1490" s="11">
        <v>8104041620</v>
      </c>
      <c r="H1490" s="10" t="s">
        <v>3336</v>
      </c>
      <c r="I1490" s="10" t="s">
        <v>27</v>
      </c>
      <c r="J1490" s="10" t="s">
        <v>53</v>
      </c>
      <c r="K1490" s="12">
        <v>46003</v>
      </c>
      <c r="L1490" s="28" t="s">
        <v>11</v>
      </c>
      <c r="M1490" s="14"/>
      <c r="N1490" s="10" t="s">
        <v>1028</v>
      </c>
    </row>
    <row r="1491" spans="1:14" ht="22.5" customHeight="1">
      <c r="A1491" s="8">
        <v>46003.265061365746</v>
      </c>
      <c r="B1491" s="9" t="s">
        <v>14</v>
      </c>
      <c r="C1491" s="9" t="s">
        <v>15</v>
      </c>
      <c r="D1491" s="10" t="s">
        <v>3337</v>
      </c>
      <c r="E1491" s="9" t="s">
        <v>22</v>
      </c>
      <c r="F1491" s="10">
        <v>32</v>
      </c>
      <c r="G1491" s="11">
        <v>7063267484</v>
      </c>
      <c r="H1491" s="10" t="s">
        <v>3338</v>
      </c>
      <c r="I1491" s="10" t="s">
        <v>27</v>
      </c>
      <c r="J1491" s="10" t="s">
        <v>70</v>
      </c>
      <c r="K1491" s="12">
        <v>46003</v>
      </c>
      <c r="L1491" s="28" t="s">
        <v>11</v>
      </c>
      <c r="M1491" s="14"/>
      <c r="N1491" s="10" t="s">
        <v>1028</v>
      </c>
    </row>
    <row r="1492" spans="1:14" ht="22.5" customHeight="1">
      <c r="A1492" s="8">
        <v>46003.265320115737</v>
      </c>
      <c r="B1492" s="9" t="s">
        <v>14</v>
      </c>
      <c r="C1492" s="9" t="s">
        <v>15</v>
      </c>
      <c r="D1492" s="10" t="s">
        <v>3339</v>
      </c>
      <c r="E1492" s="9" t="s">
        <v>22</v>
      </c>
      <c r="F1492" s="10">
        <v>21</v>
      </c>
      <c r="G1492" s="11">
        <v>7042388045</v>
      </c>
      <c r="H1492" s="10" t="s">
        <v>3340</v>
      </c>
      <c r="I1492" s="10" t="s">
        <v>27</v>
      </c>
      <c r="J1492" s="10" t="s">
        <v>372</v>
      </c>
      <c r="K1492" s="12">
        <v>46003</v>
      </c>
      <c r="L1492" s="28" t="s">
        <v>11</v>
      </c>
      <c r="M1492" s="14"/>
      <c r="N1492" s="10" t="s">
        <v>1028</v>
      </c>
    </row>
    <row r="1493" spans="1:14" ht="22.5" customHeight="1">
      <c r="A1493" s="8">
        <v>46003.266062175928</v>
      </c>
      <c r="B1493" s="9" t="s">
        <v>14</v>
      </c>
      <c r="C1493" s="9" t="s">
        <v>15</v>
      </c>
      <c r="D1493" s="10" t="s">
        <v>3341</v>
      </c>
      <c r="E1493" s="9" t="s">
        <v>22</v>
      </c>
      <c r="F1493" s="10">
        <v>34</v>
      </c>
      <c r="G1493" s="11">
        <v>8106005181</v>
      </c>
      <c r="H1493" s="10" t="s">
        <v>3342</v>
      </c>
      <c r="I1493" s="10" t="s">
        <v>49</v>
      </c>
      <c r="J1493" s="10" t="s">
        <v>50</v>
      </c>
      <c r="K1493" s="12">
        <v>46003</v>
      </c>
      <c r="L1493" s="28" t="s">
        <v>11</v>
      </c>
      <c r="M1493" s="14"/>
      <c r="N1493" s="10" t="s">
        <v>1028</v>
      </c>
    </row>
    <row r="1494" spans="1:14" ht="22.5" customHeight="1">
      <c r="A1494" s="8">
        <v>46003.277798599534</v>
      </c>
      <c r="B1494" s="9" t="s">
        <v>14</v>
      </c>
      <c r="C1494" s="9" t="s">
        <v>15</v>
      </c>
      <c r="D1494" s="10" t="s">
        <v>3343</v>
      </c>
      <c r="E1494" s="9" t="s">
        <v>22</v>
      </c>
      <c r="F1494" s="10">
        <v>28</v>
      </c>
      <c r="G1494" s="11">
        <v>8162576948</v>
      </c>
      <c r="H1494" s="10" t="s">
        <v>3344</v>
      </c>
      <c r="I1494" s="10" t="s">
        <v>27</v>
      </c>
      <c r="J1494" s="10" t="s">
        <v>1559</v>
      </c>
      <c r="K1494" s="12">
        <v>35763</v>
      </c>
      <c r="L1494" s="28" t="s">
        <v>11</v>
      </c>
      <c r="M1494" s="14"/>
      <c r="N1494" s="10" t="s">
        <v>1028</v>
      </c>
    </row>
    <row r="1495" spans="1:14" ht="22.5" customHeight="1">
      <c r="A1495" s="8">
        <v>46003.288015983795</v>
      </c>
      <c r="B1495" s="9" t="s">
        <v>14</v>
      </c>
      <c r="C1495" s="9" t="s">
        <v>15</v>
      </c>
      <c r="D1495" s="10" t="s">
        <v>3345</v>
      </c>
      <c r="E1495" s="9" t="s">
        <v>17</v>
      </c>
      <c r="F1495" s="10">
        <v>27</v>
      </c>
      <c r="G1495" s="11">
        <v>7067710338</v>
      </c>
      <c r="H1495" s="10" t="s">
        <v>3346</v>
      </c>
      <c r="I1495" s="10" t="s">
        <v>45</v>
      </c>
      <c r="J1495" s="10" t="s">
        <v>521</v>
      </c>
      <c r="K1495" s="12">
        <v>46003</v>
      </c>
      <c r="L1495" s="28" t="s">
        <v>11</v>
      </c>
      <c r="M1495" s="14"/>
      <c r="N1495" s="10" t="s">
        <v>1028</v>
      </c>
    </row>
    <row r="1496" spans="1:14" ht="22.5" customHeight="1">
      <c r="A1496" s="8">
        <v>46003.288839699075</v>
      </c>
      <c r="B1496" s="9" t="s">
        <v>14</v>
      </c>
      <c r="C1496" s="9" t="s">
        <v>15</v>
      </c>
      <c r="D1496" s="10" t="s">
        <v>3347</v>
      </c>
      <c r="E1496" s="9" t="s">
        <v>17</v>
      </c>
      <c r="F1496" s="10">
        <v>25</v>
      </c>
      <c r="G1496" s="11">
        <v>9136809464</v>
      </c>
      <c r="H1496" s="10" t="s">
        <v>3348</v>
      </c>
      <c r="I1496" s="10" t="s">
        <v>27</v>
      </c>
      <c r="J1496" s="10" t="s">
        <v>172</v>
      </c>
      <c r="K1496" s="12">
        <v>37021</v>
      </c>
      <c r="L1496" s="28" t="s">
        <v>11</v>
      </c>
      <c r="M1496" s="14"/>
      <c r="N1496" s="10" t="s">
        <v>1028</v>
      </c>
    </row>
    <row r="1497" spans="1:14" ht="22.5" customHeight="1">
      <c r="A1497" s="8">
        <v>46003.288863784721</v>
      </c>
      <c r="B1497" s="9" t="s">
        <v>14</v>
      </c>
      <c r="C1497" s="9" t="s">
        <v>15</v>
      </c>
      <c r="D1497" s="10" t="s">
        <v>3349</v>
      </c>
      <c r="E1497" s="9" t="s">
        <v>22</v>
      </c>
      <c r="F1497" s="10">
        <v>19</v>
      </c>
      <c r="G1497" s="11">
        <v>8104624733</v>
      </c>
      <c r="H1497" s="10" t="s">
        <v>3350</v>
      </c>
      <c r="I1497" s="10" t="s">
        <v>27</v>
      </c>
      <c r="J1497" s="10" t="s">
        <v>3351</v>
      </c>
      <c r="K1497" s="12">
        <v>46003</v>
      </c>
      <c r="L1497" s="28" t="s">
        <v>11</v>
      </c>
      <c r="M1497" s="14"/>
      <c r="N1497" s="10" t="s">
        <v>1028</v>
      </c>
    </row>
    <row r="1498" spans="1:14" ht="22.5" customHeight="1">
      <c r="A1498" s="8">
        <v>46003.289440312496</v>
      </c>
      <c r="B1498" s="9" t="s">
        <v>14</v>
      </c>
      <c r="C1498" s="9" t="s">
        <v>15</v>
      </c>
      <c r="D1498" s="10" t="s">
        <v>3352</v>
      </c>
      <c r="E1498" s="9" t="s">
        <v>22</v>
      </c>
      <c r="F1498" s="10">
        <v>26</v>
      </c>
      <c r="G1498" s="11">
        <v>8110047009</v>
      </c>
      <c r="H1498" s="10" t="s">
        <v>3353</v>
      </c>
      <c r="I1498" s="10" t="s">
        <v>19</v>
      </c>
      <c r="J1498" s="10" t="s">
        <v>1664</v>
      </c>
      <c r="K1498" s="12">
        <v>46003</v>
      </c>
      <c r="L1498" s="28" t="s">
        <v>11</v>
      </c>
      <c r="M1498" s="14"/>
      <c r="N1498" s="10" t="s">
        <v>1028</v>
      </c>
    </row>
    <row r="1499" spans="1:14" ht="22.5" customHeight="1">
      <c r="A1499" s="8">
        <v>46003.290637615741</v>
      </c>
      <c r="B1499" s="9" t="s">
        <v>14</v>
      </c>
      <c r="C1499" s="9" t="s">
        <v>15</v>
      </c>
      <c r="D1499" s="10" t="s">
        <v>3354</v>
      </c>
      <c r="E1499" s="9" t="s">
        <v>22</v>
      </c>
      <c r="F1499" s="10">
        <v>26</v>
      </c>
      <c r="G1499" s="11">
        <v>8080850138</v>
      </c>
      <c r="H1499" s="10" t="s">
        <v>3355</v>
      </c>
      <c r="I1499" s="10" t="s">
        <v>27</v>
      </c>
      <c r="J1499" s="10" t="s">
        <v>2258</v>
      </c>
      <c r="K1499" s="12">
        <v>46002</v>
      </c>
      <c r="L1499" s="28" t="s">
        <v>11</v>
      </c>
      <c r="M1499" s="14"/>
      <c r="N1499" s="10" t="s">
        <v>1028</v>
      </c>
    </row>
    <row r="1500" spans="1:14" ht="22.5" customHeight="1">
      <c r="A1500" s="8">
        <v>46003.290669120368</v>
      </c>
      <c r="B1500" s="9" t="s">
        <v>14</v>
      </c>
      <c r="C1500" s="9" t="s">
        <v>15</v>
      </c>
      <c r="D1500" s="10" t="s">
        <v>3356</v>
      </c>
      <c r="E1500" s="9" t="s">
        <v>22</v>
      </c>
      <c r="F1500" s="10">
        <v>24</v>
      </c>
      <c r="G1500" s="11">
        <v>8025869061</v>
      </c>
      <c r="H1500" s="10" t="s">
        <v>3357</v>
      </c>
      <c r="I1500" s="10" t="s">
        <v>19</v>
      </c>
      <c r="J1500" s="10" t="s">
        <v>1845</v>
      </c>
      <c r="K1500" s="12">
        <v>46003</v>
      </c>
      <c r="L1500" s="28" t="s">
        <v>11</v>
      </c>
      <c r="M1500" s="14"/>
      <c r="N1500" s="10" t="s">
        <v>1028</v>
      </c>
    </row>
    <row r="1501" spans="1:14" ht="22.5" customHeight="1">
      <c r="A1501" s="8">
        <v>46003.290904386573</v>
      </c>
      <c r="B1501" s="9" t="s">
        <v>14</v>
      </c>
      <c r="C1501" s="9" t="s">
        <v>15</v>
      </c>
      <c r="D1501" s="10" t="s">
        <v>3358</v>
      </c>
      <c r="E1501" s="9" t="s">
        <v>17</v>
      </c>
      <c r="F1501" s="10">
        <v>35</v>
      </c>
      <c r="G1501" s="11">
        <v>8063342399</v>
      </c>
      <c r="H1501" s="10" t="s">
        <v>3359</v>
      </c>
      <c r="I1501" s="10" t="s">
        <v>27</v>
      </c>
      <c r="J1501" s="10" t="s">
        <v>1559</v>
      </c>
      <c r="K1501" s="12">
        <v>46003</v>
      </c>
      <c r="L1501" s="28" t="s">
        <v>11</v>
      </c>
      <c r="M1501" s="14"/>
      <c r="N1501" s="10" t="s">
        <v>1028</v>
      </c>
    </row>
    <row r="1502" spans="1:14" ht="22.5" customHeight="1">
      <c r="A1502" s="8">
        <v>46003.29123693287</v>
      </c>
      <c r="B1502" s="9" t="s">
        <v>14</v>
      </c>
      <c r="C1502" s="9" t="s">
        <v>15</v>
      </c>
      <c r="D1502" s="10" t="s">
        <v>3360</v>
      </c>
      <c r="E1502" s="9" t="s">
        <v>22</v>
      </c>
      <c r="F1502" s="10">
        <v>25</v>
      </c>
      <c r="G1502" s="11">
        <v>8123041070</v>
      </c>
      <c r="H1502" s="10" t="s">
        <v>3361</v>
      </c>
      <c r="I1502" s="10" t="s">
        <v>27</v>
      </c>
      <c r="J1502" s="10" t="s">
        <v>94</v>
      </c>
      <c r="K1502" s="12">
        <v>46003</v>
      </c>
      <c r="L1502" s="28" t="s">
        <v>11</v>
      </c>
      <c r="M1502" s="14"/>
      <c r="N1502" s="10" t="s">
        <v>1028</v>
      </c>
    </row>
    <row r="1503" spans="1:14" ht="22.5" customHeight="1">
      <c r="A1503" s="8">
        <v>46003.292480023149</v>
      </c>
      <c r="B1503" s="9" t="s">
        <v>14</v>
      </c>
      <c r="C1503" s="9" t="s">
        <v>15</v>
      </c>
      <c r="D1503" s="10" t="s">
        <v>3362</v>
      </c>
      <c r="E1503" s="9" t="s">
        <v>17</v>
      </c>
      <c r="F1503" s="10">
        <v>28</v>
      </c>
      <c r="G1503" s="11">
        <v>8149111146</v>
      </c>
      <c r="H1503" s="10" t="s">
        <v>3363</v>
      </c>
      <c r="I1503" s="10" t="s">
        <v>27</v>
      </c>
      <c r="J1503" s="10" t="s">
        <v>94</v>
      </c>
      <c r="K1503" s="12">
        <v>46003</v>
      </c>
      <c r="L1503" s="28" t="s">
        <v>11</v>
      </c>
      <c r="M1503" s="14"/>
      <c r="N1503" s="10" t="s">
        <v>1028</v>
      </c>
    </row>
    <row r="1504" spans="1:14" ht="22.5" customHeight="1">
      <c r="A1504" s="8">
        <v>46003.293897962962</v>
      </c>
      <c r="B1504" s="9" t="s">
        <v>14</v>
      </c>
      <c r="C1504" s="9" t="s">
        <v>15</v>
      </c>
      <c r="D1504" s="10" t="s">
        <v>3364</v>
      </c>
      <c r="E1504" s="9" t="s">
        <v>22</v>
      </c>
      <c r="F1504" s="10">
        <v>20</v>
      </c>
      <c r="G1504" s="11">
        <v>8127030073</v>
      </c>
      <c r="H1504" s="10" t="s">
        <v>3365</v>
      </c>
      <c r="I1504" s="10" t="s">
        <v>145</v>
      </c>
      <c r="J1504" s="10" t="s">
        <v>3366</v>
      </c>
      <c r="K1504" s="12">
        <v>46003</v>
      </c>
      <c r="L1504" s="28" t="s">
        <v>11</v>
      </c>
      <c r="M1504" s="14"/>
      <c r="N1504" s="10" t="s">
        <v>1096</v>
      </c>
    </row>
    <row r="1505" spans="1:14" ht="22.5" customHeight="1">
      <c r="A1505" s="8">
        <v>46003.295212557874</v>
      </c>
      <c r="B1505" s="9" t="s">
        <v>14</v>
      </c>
      <c r="C1505" s="9" t="s">
        <v>15</v>
      </c>
      <c r="D1505" s="10" t="s">
        <v>3367</v>
      </c>
      <c r="E1505" s="9" t="s">
        <v>17</v>
      </c>
      <c r="F1505" s="10">
        <v>36</v>
      </c>
      <c r="G1505" s="11">
        <v>8062075369</v>
      </c>
      <c r="H1505" s="10" t="s">
        <v>3368</v>
      </c>
      <c r="I1505" s="10" t="s">
        <v>19</v>
      </c>
      <c r="J1505" s="10" t="s">
        <v>3369</v>
      </c>
      <c r="K1505" s="12">
        <v>46003</v>
      </c>
      <c r="L1505" s="28" t="s">
        <v>11</v>
      </c>
      <c r="M1505" s="14"/>
      <c r="N1505" s="10" t="s">
        <v>1028</v>
      </c>
    </row>
    <row r="1506" spans="1:14" ht="22.5" customHeight="1">
      <c r="A1506" s="8">
        <v>46003.295434340282</v>
      </c>
      <c r="B1506" s="9" t="s">
        <v>14</v>
      </c>
      <c r="C1506" s="9" t="s">
        <v>15</v>
      </c>
      <c r="D1506" s="10" t="s">
        <v>3370</v>
      </c>
      <c r="E1506" s="9" t="s">
        <v>17</v>
      </c>
      <c r="F1506" s="10">
        <v>25</v>
      </c>
      <c r="G1506" s="11">
        <v>8051084506</v>
      </c>
      <c r="H1506" s="10" t="s">
        <v>3371</v>
      </c>
      <c r="I1506" s="10" t="s">
        <v>45</v>
      </c>
      <c r="J1506" s="10" t="s">
        <v>163</v>
      </c>
      <c r="K1506" s="12">
        <v>46003</v>
      </c>
      <c r="L1506" s="28" t="s">
        <v>11</v>
      </c>
      <c r="M1506" s="14"/>
      <c r="N1506" s="10" t="s">
        <v>1028</v>
      </c>
    </row>
    <row r="1507" spans="1:14" ht="22.5" hidden="1" customHeight="1">
      <c r="A1507" s="8">
        <v>46003.300559976851</v>
      </c>
      <c r="B1507" s="9" t="s">
        <v>14</v>
      </c>
      <c r="C1507" s="9" t="s">
        <v>15</v>
      </c>
      <c r="D1507" s="10" t="s">
        <v>3372</v>
      </c>
      <c r="E1507" s="9" t="s">
        <v>17</v>
      </c>
      <c r="F1507" s="10">
        <v>28</v>
      </c>
      <c r="G1507" s="11">
        <v>9037130598</v>
      </c>
      <c r="H1507" s="10" t="s">
        <v>3373</v>
      </c>
      <c r="I1507" s="10" t="s">
        <v>27</v>
      </c>
      <c r="J1507" s="10" t="s">
        <v>2328</v>
      </c>
      <c r="K1507" s="12">
        <v>35623</v>
      </c>
      <c r="L1507" s="10" t="s">
        <v>441</v>
      </c>
      <c r="M1507" s="10" t="s">
        <v>1361</v>
      </c>
      <c r="N1507" s="10" t="s">
        <v>1028</v>
      </c>
    </row>
    <row r="1508" spans="1:14" ht="22.5" customHeight="1">
      <c r="A1508" s="8">
        <v>46003.300720277781</v>
      </c>
      <c r="B1508" s="9" t="s">
        <v>14</v>
      </c>
      <c r="C1508" s="9" t="s">
        <v>15</v>
      </c>
      <c r="D1508" s="10" t="s">
        <v>3374</v>
      </c>
      <c r="E1508" s="9" t="s">
        <v>22</v>
      </c>
      <c r="F1508" s="10">
        <v>37</v>
      </c>
      <c r="G1508" s="11">
        <v>7061313229</v>
      </c>
      <c r="H1508" s="10" t="s">
        <v>3375</v>
      </c>
      <c r="I1508" s="10" t="s">
        <v>45</v>
      </c>
      <c r="J1508" s="10" t="s">
        <v>3376</v>
      </c>
      <c r="K1508" s="12">
        <v>46003</v>
      </c>
      <c r="L1508" s="28" t="s">
        <v>11</v>
      </c>
      <c r="M1508" s="14"/>
      <c r="N1508" s="10" t="s">
        <v>1028</v>
      </c>
    </row>
    <row r="1509" spans="1:14" ht="22.5" customHeight="1">
      <c r="A1509" s="8">
        <v>46003.30177262731</v>
      </c>
      <c r="B1509" s="9" t="s">
        <v>14</v>
      </c>
      <c r="C1509" s="9" t="s">
        <v>15</v>
      </c>
      <c r="D1509" s="10" t="s">
        <v>3377</v>
      </c>
      <c r="E1509" s="9" t="s">
        <v>17</v>
      </c>
      <c r="F1509" s="10">
        <v>27</v>
      </c>
      <c r="G1509" s="11">
        <v>7014143241</v>
      </c>
      <c r="H1509" s="10" t="s">
        <v>3378</v>
      </c>
      <c r="I1509" s="10" t="s">
        <v>45</v>
      </c>
      <c r="J1509" s="10" t="s">
        <v>3376</v>
      </c>
      <c r="K1509" s="12">
        <v>46003</v>
      </c>
      <c r="L1509" s="28" t="s">
        <v>11</v>
      </c>
      <c r="M1509" s="14"/>
      <c r="N1509" s="10" t="s">
        <v>1028</v>
      </c>
    </row>
    <row r="1510" spans="1:14" ht="22.5" customHeight="1">
      <c r="A1510" s="8">
        <v>46003.30607071759</v>
      </c>
      <c r="B1510" s="9" t="s">
        <v>14</v>
      </c>
      <c r="C1510" s="9" t="s">
        <v>15</v>
      </c>
      <c r="D1510" s="10" t="s">
        <v>3379</v>
      </c>
      <c r="E1510" s="9" t="s">
        <v>22</v>
      </c>
      <c r="F1510" s="10">
        <v>32</v>
      </c>
      <c r="G1510" s="11">
        <v>7035625870</v>
      </c>
      <c r="H1510" s="10" t="s">
        <v>3380</v>
      </c>
      <c r="I1510" s="10" t="s">
        <v>27</v>
      </c>
      <c r="J1510" s="10" t="s">
        <v>3381</v>
      </c>
      <c r="K1510" s="12">
        <v>46003</v>
      </c>
      <c r="L1510" s="28" t="s">
        <v>11</v>
      </c>
      <c r="M1510" s="14"/>
      <c r="N1510" s="10" t="s">
        <v>1028</v>
      </c>
    </row>
    <row r="1511" spans="1:14" ht="22.5" customHeight="1">
      <c r="A1511" s="8">
        <v>46003.308634004628</v>
      </c>
      <c r="B1511" s="9" t="s">
        <v>14</v>
      </c>
      <c r="C1511" s="9" t="s">
        <v>15</v>
      </c>
      <c r="D1511" s="10" t="s">
        <v>3382</v>
      </c>
      <c r="E1511" s="9" t="s">
        <v>17</v>
      </c>
      <c r="F1511" s="10">
        <v>32</v>
      </c>
      <c r="G1511" s="11">
        <v>8108383855</v>
      </c>
      <c r="H1511" s="10" t="s">
        <v>3383</v>
      </c>
      <c r="I1511" s="10" t="s">
        <v>27</v>
      </c>
      <c r="J1511" s="10" t="s">
        <v>2328</v>
      </c>
      <c r="K1511" s="12">
        <v>46003</v>
      </c>
      <c r="L1511" s="28" t="s">
        <v>11</v>
      </c>
      <c r="M1511" s="14"/>
      <c r="N1511" s="10" t="s">
        <v>1028</v>
      </c>
    </row>
    <row r="1512" spans="1:14" ht="22.5" customHeight="1">
      <c r="A1512" s="8">
        <v>46003.308879618053</v>
      </c>
      <c r="B1512" s="9" t="s">
        <v>14</v>
      </c>
      <c r="C1512" s="9" t="s">
        <v>15</v>
      </c>
      <c r="D1512" s="10" t="s">
        <v>3384</v>
      </c>
      <c r="E1512" s="9" t="s">
        <v>17</v>
      </c>
      <c r="F1512" s="10">
        <v>30</v>
      </c>
      <c r="G1512" s="11">
        <f t="shared" ref="G1512" si="36">2347047255695</f>
        <v>2347047255695</v>
      </c>
      <c r="H1512" s="10" t="s">
        <v>3385</v>
      </c>
      <c r="I1512" s="10" t="s">
        <v>45</v>
      </c>
      <c r="J1512" s="10" t="s">
        <v>901</v>
      </c>
      <c r="K1512" s="12">
        <v>46021</v>
      </c>
      <c r="L1512" s="28" t="s">
        <v>11</v>
      </c>
      <c r="M1512" s="14"/>
      <c r="N1512" s="10" t="s">
        <v>1028</v>
      </c>
    </row>
    <row r="1513" spans="1:14" ht="22.5" customHeight="1">
      <c r="A1513" s="8">
        <v>46003.31017950231</v>
      </c>
      <c r="B1513" s="9" t="s">
        <v>14</v>
      </c>
      <c r="C1513" s="9" t="s">
        <v>15</v>
      </c>
      <c r="D1513" s="10" t="s">
        <v>3386</v>
      </c>
      <c r="E1513" s="9" t="s">
        <v>17</v>
      </c>
      <c r="F1513" s="10">
        <v>32</v>
      </c>
      <c r="G1513" s="11">
        <v>7035384845</v>
      </c>
      <c r="H1513" s="10" t="s">
        <v>3387</v>
      </c>
      <c r="I1513" s="10" t="s">
        <v>49</v>
      </c>
      <c r="J1513" s="10" t="s">
        <v>50</v>
      </c>
      <c r="K1513" s="12">
        <v>46003</v>
      </c>
      <c r="L1513" s="28" t="s">
        <v>11</v>
      </c>
      <c r="M1513" s="14"/>
      <c r="N1513" s="10" t="s">
        <v>1028</v>
      </c>
    </row>
    <row r="1514" spans="1:14" ht="22.5" hidden="1" customHeight="1">
      <c r="A1514" s="8">
        <v>46003.311687962967</v>
      </c>
      <c r="B1514" s="9" t="s">
        <v>14</v>
      </c>
      <c r="C1514" s="9" t="s">
        <v>15</v>
      </c>
      <c r="D1514" s="10" t="s">
        <v>3388</v>
      </c>
      <c r="E1514" s="9" t="s">
        <v>17</v>
      </c>
      <c r="F1514" s="10">
        <v>32</v>
      </c>
      <c r="G1514" s="11">
        <v>8131853834</v>
      </c>
      <c r="H1514" s="10" t="s">
        <v>3389</v>
      </c>
      <c r="I1514" s="10" t="s">
        <v>27</v>
      </c>
      <c r="J1514" s="10" t="s">
        <v>3390</v>
      </c>
      <c r="K1514" s="12">
        <v>46003</v>
      </c>
      <c r="L1514" s="10" t="s">
        <v>441</v>
      </c>
      <c r="M1514" s="10" t="s">
        <v>1361</v>
      </c>
      <c r="N1514" s="10" t="s">
        <v>1028</v>
      </c>
    </row>
    <row r="1515" spans="1:14" ht="22.5" customHeight="1">
      <c r="A1515" s="8">
        <v>46003.312541273146</v>
      </c>
      <c r="B1515" s="9" t="s">
        <v>14</v>
      </c>
      <c r="C1515" s="9" t="s">
        <v>15</v>
      </c>
      <c r="D1515" s="10" t="s">
        <v>3391</v>
      </c>
      <c r="E1515" s="9" t="s">
        <v>17</v>
      </c>
      <c r="F1515" s="10">
        <v>40</v>
      </c>
      <c r="G1515" s="11">
        <v>8037326500</v>
      </c>
      <c r="H1515" s="10" t="s">
        <v>3392</v>
      </c>
      <c r="I1515" s="10" t="s">
        <v>202</v>
      </c>
      <c r="J1515" s="10" t="s">
        <v>3393</v>
      </c>
      <c r="K1515" s="12">
        <v>46003</v>
      </c>
      <c r="L1515" s="28" t="s">
        <v>11</v>
      </c>
      <c r="M1515" s="14"/>
      <c r="N1515" s="10" t="s">
        <v>1028</v>
      </c>
    </row>
    <row r="1516" spans="1:14" ht="22.5" customHeight="1">
      <c r="A1516" s="8">
        <v>46003.312556689816</v>
      </c>
      <c r="B1516" s="9" t="s">
        <v>14</v>
      </c>
      <c r="C1516" s="9" t="s">
        <v>15</v>
      </c>
      <c r="D1516" s="10" t="s">
        <v>3394</v>
      </c>
      <c r="E1516" s="9" t="s">
        <v>17</v>
      </c>
      <c r="F1516" s="10">
        <v>18</v>
      </c>
      <c r="G1516" s="11">
        <v>9135059597</v>
      </c>
      <c r="H1516" s="10" t="s">
        <v>3395</v>
      </c>
      <c r="I1516" s="10" t="s">
        <v>202</v>
      </c>
      <c r="J1516" s="10" t="s">
        <v>3396</v>
      </c>
      <c r="K1516" s="12">
        <v>46003</v>
      </c>
      <c r="L1516" s="28" t="s">
        <v>11</v>
      </c>
      <c r="M1516" s="14"/>
      <c r="N1516" s="10" t="s">
        <v>1028</v>
      </c>
    </row>
    <row r="1517" spans="1:14" ht="22.5" customHeight="1">
      <c r="A1517" s="8">
        <v>46003.312990787032</v>
      </c>
      <c r="B1517" s="9" t="s">
        <v>14</v>
      </c>
      <c r="C1517" s="9" t="s">
        <v>15</v>
      </c>
      <c r="D1517" s="10" t="s">
        <v>3397</v>
      </c>
      <c r="E1517" s="9" t="s">
        <v>22</v>
      </c>
      <c r="F1517" s="19">
        <v>23</v>
      </c>
      <c r="G1517" s="11">
        <v>8144719447</v>
      </c>
      <c r="H1517" s="10" t="s">
        <v>3398</v>
      </c>
      <c r="I1517" s="10" t="s">
        <v>27</v>
      </c>
      <c r="J1517" s="10" t="s">
        <v>3399</v>
      </c>
      <c r="K1517" s="12">
        <v>46003</v>
      </c>
      <c r="L1517" s="28" t="s">
        <v>11</v>
      </c>
      <c r="M1517" s="14"/>
      <c r="N1517" s="10" t="s">
        <v>1028</v>
      </c>
    </row>
    <row r="1518" spans="1:14" ht="22.5" customHeight="1">
      <c r="A1518" s="8">
        <v>46003.313293692132</v>
      </c>
      <c r="B1518" s="9" t="s">
        <v>14</v>
      </c>
      <c r="C1518" s="9" t="s">
        <v>15</v>
      </c>
      <c r="D1518" s="10" t="s">
        <v>3354</v>
      </c>
      <c r="E1518" s="9" t="s">
        <v>22</v>
      </c>
      <c r="F1518" s="10">
        <v>26</v>
      </c>
      <c r="G1518" s="11">
        <v>8080850138</v>
      </c>
      <c r="H1518" s="10" t="s">
        <v>3355</v>
      </c>
      <c r="I1518" s="10" t="s">
        <v>27</v>
      </c>
      <c r="J1518" s="10" t="s">
        <v>2258</v>
      </c>
      <c r="K1518" s="12">
        <v>36161</v>
      </c>
      <c r="L1518" s="28" t="s">
        <v>11</v>
      </c>
      <c r="M1518" s="14"/>
      <c r="N1518" s="10" t="s">
        <v>1028</v>
      </c>
    </row>
    <row r="1519" spans="1:14" ht="22.5" customHeight="1">
      <c r="A1519" s="8">
        <v>46003.321890092593</v>
      </c>
      <c r="B1519" s="9" t="s">
        <v>14</v>
      </c>
      <c r="C1519" s="9" t="s">
        <v>15</v>
      </c>
      <c r="D1519" s="10" t="s">
        <v>3400</v>
      </c>
      <c r="E1519" s="9" t="s">
        <v>22</v>
      </c>
      <c r="F1519" s="10">
        <v>26</v>
      </c>
      <c r="G1519" s="11">
        <v>8161697961</v>
      </c>
      <c r="H1519" s="10" t="s">
        <v>3401</v>
      </c>
      <c r="I1519" s="10" t="s">
        <v>27</v>
      </c>
      <c r="J1519" s="10" t="s">
        <v>703</v>
      </c>
      <c r="K1519" s="12">
        <v>46003</v>
      </c>
      <c r="L1519" s="28" t="s">
        <v>11</v>
      </c>
      <c r="M1519" s="14"/>
      <c r="N1519" s="10" t="s">
        <v>1028</v>
      </c>
    </row>
    <row r="1520" spans="1:14" ht="22.5" customHeight="1">
      <c r="A1520" s="8">
        <v>46003.327123888885</v>
      </c>
      <c r="B1520" s="9" t="s">
        <v>14</v>
      </c>
      <c r="C1520" s="9" t="s">
        <v>15</v>
      </c>
      <c r="D1520" s="10" t="s">
        <v>3402</v>
      </c>
      <c r="E1520" s="9" t="s">
        <v>17</v>
      </c>
      <c r="F1520" s="10">
        <v>32</v>
      </c>
      <c r="G1520" s="11">
        <v>8068407990</v>
      </c>
      <c r="H1520" s="10" t="s">
        <v>3403</v>
      </c>
      <c r="I1520" s="10" t="s">
        <v>27</v>
      </c>
      <c r="J1520" s="10" t="s">
        <v>703</v>
      </c>
      <c r="K1520" s="12">
        <v>46003</v>
      </c>
      <c r="L1520" s="28" t="s">
        <v>11</v>
      </c>
      <c r="M1520" s="14"/>
      <c r="N1520" s="10" t="s">
        <v>1028</v>
      </c>
    </row>
    <row r="1521" spans="1:14" ht="22.5" customHeight="1">
      <c r="A1521" s="8">
        <v>46003.328052233795</v>
      </c>
      <c r="B1521" s="9" t="s">
        <v>14</v>
      </c>
      <c r="C1521" s="9" t="s">
        <v>15</v>
      </c>
      <c r="D1521" s="10" t="s">
        <v>2955</v>
      </c>
      <c r="E1521" s="9" t="s">
        <v>22</v>
      </c>
      <c r="F1521" s="10">
        <v>21</v>
      </c>
      <c r="G1521" s="11">
        <v>9164565938</v>
      </c>
      <c r="H1521" s="10" t="s">
        <v>2956</v>
      </c>
      <c r="I1521" s="10" t="s">
        <v>27</v>
      </c>
      <c r="J1521" s="10" t="s">
        <v>28</v>
      </c>
      <c r="K1521" s="12">
        <v>38332</v>
      </c>
      <c r="L1521" s="28" t="s">
        <v>11</v>
      </c>
      <c r="M1521" s="14"/>
      <c r="N1521" s="10" t="s">
        <v>1028</v>
      </c>
    </row>
    <row r="1522" spans="1:14" ht="22.5" customHeight="1">
      <c r="A1522" s="8">
        <v>46003.3293849537</v>
      </c>
      <c r="B1522" s="9" t="s">
        <v>14</v>
      </c>
      <c r="C1522" s="9" t="s">
        <v>15</v>
      </c>
      <c r="D1522" s="10" t="s">
        <v>3404</v>
      </c>
      <c r="E1522" s="9" t="s">
        <v>17</v>
      </c>
      <c r="F1522" s="10">
        <v>29</v>
      </c>
      <c r="G1522" s="11">
        <v>9159310225</v>
      </c>
      <c r="H1522" s="10" t="s">
        <v>3405</v>
      </c>
      <c r="I1522" s="10" t="s">
        <v>49</v>
      </c>
      <c r="J1522" s="10" t="s">
        <v>319</v>
      </c>
      <c r="K1522" s="12">
        <v>46003</v>
      </c>
      <c r="L1522" s="28" t="s">
        <v>11</v>
      </c>
      <c r="M1522" s="14"/>
      <c r="N1522" s="10" t="s">
        <v>1096</v>
      </c>
    </row>
    <row r="1523" spans="1:14" ht="22.5" customHeight="1">
      <c r="A1523" s="8">
        <v>46003.331911712958</v>
      </c>
      <c r="B1523" s="9" t="s">
        <v>14</v>
      </c>
      <c r="C1523" s="9" t="s">
        <v>15</v>
      </c>
      <c r="D1523" s="10" t="s">
        <v>3406</v>
      </c>
      <c r="E1523" s="9" t="s">
        <v>22</v>
      </c>
      <c r="F1523" s="10">
        <v>26</v>
      </c>
      <c r="G1523" s="11">
        <v>8161697961</v>
      </c>
      <c r="H1523" s="10" t="s">
        <v>3401</v>
      </c>
      <c r="I1523" s="10" t="s">
        <v>27</v>
      </c>
      <c r="J1523" s="10" t="s">
        <v>703</v>
      </c>
      <c r="K1523" s="12">
        <v>46003</v>
      </c>
      <c r="L1523" s="28" t="s">
        <v>11</v>
      </c>
      <c r="M1523" s="14"/>
      <c r="N1523" s="10" t="s">
        <v>1028</v>
      </c>
    </row>
    <row r="1524" spans="1:14" ht="22.5" customHeight="1">
      <c r="A1524" s="8">
        <v>46003.333449895828</v>
      </c>
      <c r="B1524" s="9" t="s">
        <v>14</v>
      </c>
      <c r="C1524" s="9" t="s">
        <v>15</v>
      </c>
      <c r="D1524" s="10" t="s">
        <v>3407</v>
      </c>
      <c r="E1524" s="9" t="s">
        <v>22</v>
      </c>
      <c r="F1524" s="10">
        <v>28</v>
      </c>
      <c r="G1524" s="11">
        <v>9067821770</v>
      </c>
      <c r="H1524" s="10" t="s">
        <v>3408</v>
      </c>
      <c r="I1524" s="10" t="s">
        <v>27</v>
      </c>
      <c r="J1524" s="10" t="s">
        <v>70</v>
      </c>
      <c r="K1524" s="12">
        <v>46003</v>
      </c>
      <c r="L1524" s="28" t="s">
        <v>11</v>
      </c>
      <c r="M1524" s="14"/>
      <c r="N1524" s="10" t="s">
        <v>1028</v>
      </c>
    </row>
    <row r="1525" spans="1:14" ht="22.5" customHeight="1">
      <c r="A1525" s="8">
        <v>46003.33527329861</v>
      </c>
      <c r="B1525" s="9" t="s">
        <v>14</v>
      </c>
      <c r="C1525" s="9" t="s">
        <v>15</v>
      </c>
      <c r="D1525" s="10" t="s">
        <v>3409</v>
      </c>
      <c r="E1525" s="9" t="s">
        <v>22</v>
      </c>
      <c r="F1525" s="10">
        <v>30</v>
      </c>
      <c r="G1525" s="11">
        <f t="shared" ref="G1525" si="37">256780110091</f>
        <v>256780110091</v>
      </c>
      <c r="H1525" s="10" t="s">
        <v>3410</v>
      </c>
      <c r="I1525" s="10" t="s">
        <v>19</v>
      </c>
      <c r="J1525" s="10" t="s">
        <v>2307</v>
      </c>
      <c r="K1525" s="12">
        <v>46003</v>
      </c>
      <c r="L1525" s="28" t="s">
        <v>11</v>
      </c>
      <c r="M1525" s="14"/>
      <c r="N1525" s="10" t="s">
        <v>1028</v>
      </c>
    </row>
    <row r="1526" spans="1:14" ht="22.5" customHeight="1">
      <c r="A1526" s="8">
        <v>46003.337068078705</v>
      </c>
      <c r="B1526" s="9" t="s">
        <v>14</v>
      </c>
      <c r="C1526" s="9" t="s">
        <v>15</v>
      </c>
      <c r="D1526" s="10" t="s">
        <v>3411</v>
      </c>
      <c r="E1526" s="9" t="s">
        <v>22</v>
      </c>
      <c r="F1526" s="10">
        <v>22</v>
      </c>
      <c r="G1526" s="11">
        <v>8109798685</v>
      </c>
      <c r="H1526" s="10" t="s">
        <v>3412</v>
      </c>
      <c r="I1526" s="10" t="s">
        <v>27</v>
      </c>
      <c r="J1526" s="10" t="s">
        <v>172</v>
      </c>
      <c r="K1526" s="12">
        <v>46003</v>
      </c>
      <c r="L1526" s="28" t="s">
        <v>11</v>
      </c>
      <c r="M1526" s="14"/>
      <c r="N1526" s="10" t="s">
        <v>1209</v>
      </c>
    </row>
    <row r="1527" spans="1:14" ht="22.5" customHeight="1">
      <c r="A1527" s="8">
        <v>46003.337194780092</v>
      </c>
      <c r="B1527" s="9" t="s">
        <v>14</v>
      </c>
      <c r="C1527" s="9" t="s">
        <v>15</v>
      </c>
      <c r="D1527" s="10" t="s">
        <v>3413</v>
      </c>
      <c r="E1527" s="9" t="s">
        <v>22</v>
      </c>
      <c r="F1527" s="10">
        <v>20</v>
      </c>
      <c r="G1527" s="11">
        <v>8060623209</v>
      </c>
      <c r="H1527" s="10" t="s">
        <v>3414</v>
      </c>
      <c r="I1527" s="10" t="s">
        <v>27</v>
      </c>
      <c r="J1527" s="10" t="s">
        <v>2669</v>
      </c>
      <c r="K1527" s="12">
        <v>46003</v>
      </c>
      <c r="L1527" s="28" t="s">
        <v>11</v>
      </c>
      <c r="M1527" s="14"/>
      <c r="N1527" s="10" t="s">
        <v>1096</v>
      </c>
    </row>
    <row r="1528" spans="1:14" ht="22.5" customHeight="1">
      <c r="A1528" s="8">
        <v>46003.337560729167</v>
      </c>
      <c r="B1528" s="9" t="s">
        <v>14</v>
      </c>
      <c r="C1528" s="9" t="s">
        <v>15</v>
      </c>
      <c r="D1528" s="10" t="s">
        <v>3415</v>
      </c>
      <c r="E1528" s="9" t="s">
        <v>22</v>
      </c>
      <c r="F1528" s="18">
        <v>32</v>
      </c>
      <c r="G1528" s="11">
        <v>7060685551</v>
      </c>
      <c r="H1528" s="10" t="s">
        <v>3416</v>
      </c>
      <c r="I1528" s="10" t="s">
        <v>27</v>
      </c>
      <c r="J1528" s="10" t="s">
        <v>70</v>
      </c>
      <c r="K1528" s="12">
        <v>46003</v>
      </c>
      <c r="L1528" s="28" t="s">
        <v>11</v>
      </c>
      <c r="M1528" s="14"/>
      <c r="N1528" s="10" t="s">
        <v>1028</v>
      </c>
    </row>
    <row r="1529" spans="1:14" ht="22.5" hidden="1" customHeight="1">
      <c r="A1529" s="8">
        <v>46003.338057534726</v>
      </c>
      <c r="B1529" s="9" t="s">
        <v>14</v>
      </c>
      <c r="C1529" s="9" t="s">
        <v>15</v>
      </c>
      <c r="D1529" s="10" t="s">
        <v>3417</v>
      </c>
      <c r="E1529" s="9" t="s">
        <v>17</v>
      </c>
      <c r="F1529" s="10">
        <v>33</v>
      </c>
      <c r="G1529" s="11">
        <v>8162878550</v>
      </c>
      <c r="H1529" s="10" t="s">
        <v>3418</v>
      </c>
      <c r="I1529" s="10" t="s">
        <v>31</v>
      </c>
      <c r="J1529" s="10" t="s">
        <v>32</v>
      </c>
      <c r="K1529" s="12">
        <v>46003</v>
      </c>
      <c r="L1529" s="10" t="s">
        <v>441</v>
      </c>
      <c r="M1529" s="10" t="s">
        <v>1361</v>
      </c>
      <c r="N1529" s="10" t="s">
        <v>1028</v>
      </c>
    </row>
    <row r="1530" spans="1:14" ht="22.5" customHeight="1">
      <c r="A1530" s="8">
        <v>46003.343807060184</v>
      </c>
      <c r="B1530" s="9" t="s">
        <v>14</v>
      </c>
      <c r="C1530" s="9" t="s">
        <v>15</v>
      </c>
      <c r="D1530" s="10" t="s">
        <v>3419</v>
      </c>
      <c r="E1530" s="9" t="s">
        <v>17</v>
      </c>
      <c r="F1530" s="10">
        <v>35</v>
      </c>
      <c r="G1530" s="11">
        <v>8022995848</v>
      </c>
      <c r="H1530" s="10" t="s">
        <v>3420</v>
      </c>
      <c r="I1530" s="10" t="s">
        <v>27</v>
      </c>
      <c r="J1530" s="10" t="s">
        <v>3189</v>
      </c>
      <c r="K1530" s="12">
        <v>46003</v>
      </c>
      <c r="L1530" s="28" t="s">
        <v>11</v>
      </c>
      <c r="M1530" s="14"/>
      <c r="N1530" s="10" t="s">
        <v>1028</v>
      </c>
    </row>
    <row r="1531" spans="1:14" ht="22.5" customHeight="1">
      <c r="A1531" s="8">
        <v>46003.3470299537</v>
      </c>
      <c r="B1531" s="9" t="s">
        <v>14</v>
      </c>
      <c r="C1531" s="9" t="s">
        <v>15</v>
      </c>
      <c r="D1531" s="10" t="s">
        <v>3421</v>
      </c>
      <c r="E1531" s="9" t="s">
        <v>17</v>
      </c>
      <c r="F1531" s="10">
        <v>25</v>
      </c>
      <c r="G1531" s="11">
        <v>8030633873</v>
      </c>
      <c r="H1531" s="10" t="s">
        <v>3422</v>
      </c>
      <c r="I1531" s="10" t="s">
        <v>27</v>
      </c>
      <c r="J1531" s="10" t="s">
        <v>70</v>
      </c>
      <c r="K1531" s="12">
        <v>46003</v>
      </c>
      <c r="L1531" s="28" t="s">
        <v>11</v>
      </c>
      <c r="M1531" s="14"/>
      <c r="N1531" s="10" t="s">
        <v>1028</v>
      </c>
    </row>
    <row r="1532" spans="1:14" ht="22.5" customHeight="1">
      <c r="A1532" s="8">
        <v>46003.348158298613</v>
      </c>
      <c r="B1532" s="9" t="s">
        <v>14</v>
      </c>
      <c r="C1532" s="9" t="s">
        <v>15</v>
      </c>
      <c r="D1532" s="10" t="s">
        <v>3423</v>
      </c>
      <c r="E1532" s="9" t="s">
        <v>17</v>
      </c>
      <c r="F1532" s="10">
        <v>35</v>
      </c>
      <c r="G1532" s="11">
        <v>8060720207</v>
      </c>
      <c r="H1532" s="10" t="s">
        <v>3424</v>
      </c>
      <c r="I1532" s="10" t="s">
        <v>202</v>
      </c>
      <c r="J1532" s="10" t="s">
        <v>1619</v>
      </c>
      <c r="K1532" s="12">
        <v>46003</v>
      </c>
      <c r="L1532" s="28" t="s">
        <v>11</v>
      </c>
      <c r="M1532" s="14"/>
      <c r="N1532" s="10" t="s">
        <v>1028</v>
      </c>
    </row>
    <row r="1533" spans="1:14" ht="22.5" customHeight="1">
      <c r="A1533" s="8">
        <v>46003.351112638891</v>
      </c>
      <c r="B1533" s="9" t="s">
        <v>14</v>
      </c>
      <c r="C1533" s="9" t="s">
        <v>15</v>
      </c>
      <c r="D1533" s="10" t="s">
        <v>3425</v>
      </c>
      <c r="E1533" s="9" t="s">
        <v>22</v>
      </c>
      <c r="F1533" s="10">
        <v>35</v>
      </c>
      <c r="G1533" s="11">
        <v>8162885032</v>
      </c>
      <c r="H1533" s="10" t="s">
        <v>3426</v>
      </c>
      <c r="I1533" s="10" t="s">
        <v>27</v>
      </c>
      <c r="J1533" s="10" t="s">
        <v>1585</v>
      </c>
      <c r="K1533" s="12">
        <v>46003</v>
      </c>
      <c r="L1533" s="28" t="s">
        <v>11</v>
      </c>
      <c r="M1533" s="14"/>
      <c r="N1533" s="10" t="s">
        <v>1028</v>
      </c>
    </row>
    <row r="1534" spans="1:14" ht="22.5" customHeight="1">
      <c r="A1534" s="8">
        <v>46003.353053356477</v>
      </c>
      <c r="B1534" s="9" t="s">
        <v>14</v>
      </c>
      <c r="C1534" s="9" t="s">
        <v>15</v>
      </c>
      <c r="D1534" s="10" t="s">
        <v>3427</v>
      </c>
      <c r="E1534" s="9" t="s">
        <v>17</v>
      </c>
      <c r="F1534" s="10">
        <v>31</v>
      </c>
      <c r="G1534" s="11">
        <v>8137710496</v>
      </c>
      <c r="H1534" s="10" t="s">
        <v>3428</v>
      </c>
      <c r="I1534" s="10" t="s">
        <v>202</v>
      </c>
      <c r="J1534" s="10" t="s">
        <v>1619</v>
      </c>
      <c r="K1534" s="12">
        <v>46003</v>
      </c>
      <c r="L1534" s="28" t="s">
        <v>11</v>
      </c>
      <c r="M1534" s="14"/>
      <c r="N1534" s="10" t="s">
        <v>1028</v>
      </c>
    </row>
    <row r="1535" spans="1:14" ht="22.5" customHeight="1">
      <c r="A1535" s="8">
        <v>46003.353773726849</v>
      </c>
      <c r="B1535" s="9" t="s">
        <v>14</v>
      </c>
      <c r="C1535" s="9" t="s">
        <v>15</v>
      </c>
      <c r="D1535" s="10" t="s">
        <v>3429</v>
      </c>
      <c r="E1535" s="9" t="s">
        <v>17</v>
      </c>
      <c r="F1535" s="10">
        <v>25</v>
      </c>
      <c r="G1535" s="11">
        <v>7087040255</v>
      </c>
      <c r="H1535" s="10" t="s">
        <v>3430</v>
      </c>
      <c r="I1535" s="10" t="s">
        <v>27</v>
      </c>
      <c r="J1535" s="10" t="s">
        <v>94</v>
      </c>
      <c r="K1535" s="12">
        <v>36759</v>
      </c>
      <c r="L1535" s="28" t="s">
        <v>11</v>
      </c>
      <c r="M1535" s="14"/>
      <c r="N1535" s="10" t="s">
        <v>1028</v>
      </c>
    </row>
    <row r="1536" spans="1:14" ht="22.5" customHeight="1">
      <c r="A1536" s="8">
        <v>46003.354055069445</v>
      </c>
      <c r="B1536" s="9" t="s">
        <v>14</v>
      </c>
      <c r="C1536" s="9" t="s">
        <v>15</v>
      </c>
      <c r="D1536" s="10" t="s">
        <v>3431</v>
      </c>
      <c r="E1536" s="9" t="s">
        <v>17</v>
      </c>
      <c r="F1536" s="10">
        <v>18</v>
      </c>
      <c r="G1536" s="11">
        <v>9054042539</v>
      </c>
      <c r="H1536" s="10" t="s">
        <v>3432</v>
      </c>
      <c r="I1536" s="10" t="s">
        <v>45</v>
      </c>
      <c r="J1536" s="10" t="s">
        <v>1191</v>
      </c>
      <c r="K1536" s="12">
        <v>46003</v>
      </c>
      <c r="L1536" s="28" t="s">
        <v>11</v>
      </c>
      <c r="M1536" s="14"/>
      <c r="N1536" s="10" t="s">
        <v>1140</v>
      </c>
    </row>
    <row r="1537" spans="1:14" ht="22.5" customHeight="1">
      <c r="A1537" s="8">
        <v>46003.355803692131</v>
      </c>
      <c r="B1537" s="9" t="s">
        <v>14</v>
      </c>
      <c r="C1537" s="9" t="s">
        <v>15</v>
      </c>
      <c r="D1537" s="10" t="s">
        <v>3433</v>
      </c>
      <c r="E1537" s="9" t="s">
        <v>22</v>
      </c>
      <c r="F1537" s="10">
        <v>29</v>
      </c>
      <c r="G1537" s="11">
        <v>8145953600</v>
      </c>
      <c r="H1537" s="10" t="s">
        <v>3434</v>
      </c>
      <c r="I1537" s="10" t="s">
        <v>27</v>
      </c>
      <c r="J1537" s="10" t="s">
        <v>94</v>
      </c>
      <c r="K1537" s="12">
        <v>46003</v>
      </c>
      <c r="L1537" s="28" t="s">
        <v>11</v>
      </c>
      <c r="M1537" s="14"/>
      <c r="N1537" s="10" t="s">
        <v>1096</v>
      </c>
    </row>
    <row r="1538" spans="1:14" ht="22.5" customHeight="1">
      <c r="A1538" s="8">
        <v>46003.358466331018</v>
      </c>
      <c r="B1538" s="9" t="s">
        <v>14</v>
      </c>
      <c r="C1538" s="9" t="s">
        <v>15</v>
      </c>
      <c r="D1538" s="10" t="s">
        <v>3435</v>
      </c>
      <c r="E1538" s="9" t="s">
        <v>22</v>
      </c>
      <c r="F1538" s="10">
        <v>31</v>
      </c>
      <c r="G1538" s="11">
        <v>8167832780</v>
      </c>
      <c r="H1538" s="10" t="s">
        <v>3436</v>
      </c>
      <c r="I1538" s="10" t="s">
        <v>202</v>
      </c>
      <c r="J1538" s="10" t="s">
        <v>3437</v>
      </c>
      <c r="K1538" s="12">
        <v>46003</v>
      </c>
      <c r="L1538" s="28" t="s">
        <v>11</v>
      </c>
      <c r="M1538" s="14"/>
      <c r="N1538" s="10" t="s">
        <v>1028</v>
      </c>
    </row>
    <row r="1539" spans="1:14" ht="22.5" customHeight="1">
      <c r="A1539" s="8">
        <v>46003.365478622683</v>
      </c>
      <c r="B1539" s="9" t="s">
        <v>14</v>
      </c>
      <c r="C1539" s="9" t="s">
        <v>15</v>
      </c>
      <c r="D1539" s="10" t="s">
        <v>3438</v>
      </c>
      <c r="E1539" s="9" t="s">
        <v>22</v>
      </c>
      <c r="F1539" s="10">
        <v>39</v>
      </c>
      <c r="G1539" s="11">
        <v>9071328371</v>
      </c>
      <c r="H1539" s="10" t="s">
        <v>3439</v>
      </c>
      <c r="I1539" s="10" t="s">
        <v>145</v>
      </c>
      <c r="J1539" s="10" t="s">
        <v>3366</v>
      </c>
      <c r="K1539" s="12">
        <v>46003</v>
      </c>
      <c r="L1539" s="28" t="s">
        <v>11</v>
      </c>
      <c r="M1539" s="14"/>
      <c r="N1539" s="10" t="s">
        <v>1028</v>
      </c>
    </row>
    <row r="1540" spans="1:14" ht="22.5" hidden="1" customHeight="1">
      <c r="A1540" s="8">
        <v>46003.365950462961</v>
      </c>
      <c r="B1540" s="9" t="s">
        <v>14</v>
      </c>
      <c r="C1540" s="9" t="s">
        <v>15</v>
      </c>
      <c r="D1540" s="10" t="s">
        <v>3440</v>
      </c>
      <c r="E1540" s="9" t="s">
        <v>17</v>
      </c>
      <c r="F1540" s="10">
        <v>27</v>
      </c>
      <c r="G1540" s="11">
        <f t="shared" ref="G1540" si="38">256789326240</f>
        <v>256789326240</v>
      </c>
      <c r="H1540" s="10" t="s">
        <v>3441</v>
      </c>
      <c r="I1540" s="10" t="s">
        <v>19</v>
      </c>
      <c r="J1540" s="10" t="s">
        <v>3442</v>
      </c>
      <c r="K1540" s="12">
        <v>46003</v>
      </c>
      <c r="L1540" s="10" t="s">
        <v>441</v>
      </c>
      <c r="M1540" s="10" t="s">
        <v>1827</v>
      </c>
      <c r="N1540" s="10" t="s">
        <v>3443</v>
      </c>
    </row>
    <row r="1541" spans="1:14" ht="22.5" customHeight="1">
      <c r="A1541" s="8">
        <v>46003.367770949073</v>
      </c>
      <c r="B1541" s="9" t="s">
        <v>14</v>
      </c>
      <c r="C1541" s="9" t="s">
        <v>15</v>
      </c>
      <c r="D1541" s="10" t="s">
        <v>3444</v>
      </c>
      <c r="E1541" s="9" t="s">
        <v>17</v>
      </c>
      <c r="F1541" s="10">
        <v>34</v>
      </c>
      <c r="G1541" s="11">
        <v>7035250221</v>
      </c>
      <c r="H1541" s="10" t="s">
        <v>3445</v>
      </c>
      <c r="I1541" s="10" t="s">
        <v>27</v>
      </c>
      <c r="J1541" s="10" t="s">
        <v>94</v>
      </c>
      <c r="K1541" s="12">
        <v>46003</v>
      </c>
      <c r="L1541" s="28" t="s">
        <v>11</v>
      </c>
      <c r="M1541" s="14"/>
      <c r="N1541" s="10" t="s">
        <v>1096</v>
      </c>
    </row>
    <row r="1542" spans="1:14" ht="22.5" customHeight="1">
      <c r="A1542" s="8">
        <v>46003.369678217598</v>
      </c>
      <c r="B1542" s="9" t="s">
        <v>14</v>
      </c>
      <c r="C1542" s="9" t="s">
        <v>15</v>
      </c>
      <c r="D1542" s="10" t="s">
        <v>3446</v>
      </c>
      <c r="E1542" s="9" t="s">
        <v>17</v>
      </c>
      <c r="F1542" s="10">
        <v>31</v>
      </c>
      <c r="G1542" s="11">
        <v>9068908587</v>
      </c>
      <c r="H1542" s="10" t="s">
        <v>3447</v>
      </c>
      <c r="I1542" s="10" t="s">
        <v>19</v>
      </c>
      <c r="J1542" s="10" t="s">
        <v>3448</v>
      </c>
      <c r="K1542" s="12">
        <v>46003</v>
      </c>
      <c r="L1542" s="28" t="s">
        <v>11</v>
      </c>
      <c r="M1542" s="14"/>
      <c r="N1542" s="10" t="s">
        <v>1028</v>
      </c>
    </row>
    <row r="1543" spans="1:14" ht="22.5" customHeight="1">
      <c r="A1543" s="8">
        <v>46003.370475185184</v>
      </c>
      <c r="B1543" s="9" t="s">
        <v>14</v>
      </c>
      <c r="C1543" s="9" t="s">
        <v>15</v>
      </c>
      <c r="D1543" s="10" t="s">
        <v>3449</v>
      </c>
      <c r="E1543" s="9" t="s">
        <v>22</v>
      </c>
      <c r="F1543" s="19">
        <v>25</v>
      </c>
      <c r="G1543" s="11">
        <v>8108452470</v>
      </c>
      <c r="H1543" s="10" t="s">
        <v>3450</v>
      </c>
      <c r="I1543" s="10" t="s">
        <v>27</v>
      </c>
      <c r="J1543" s="10" t="s">
        <v>3451</v>
      </c>
      <c r="K1543" s="12">
        <v>46003</v>
      </c>
      <c r="L1543" s="28" t="s">
        <v>11</v>
      </c>
      <c r="M1543" s="10"/>
      <c r="N1543" s="10" t="s">
        <v>845</v>
      </c>
    </row>
    <row r="1544" spans="1:14" ht="22.5" customHeight="1">
      <c r="A1544" s="8">
        <v>46003.374466215275</v>
      </c>
      <c r="B1544" s="9" t="s">
        <v>14</v>
      </c>
      <c r="C1544" s="9" t="s">
        <v>15</v>
      </c>
      <c r="D1544" s="10" t="s">
        <v>3452</v>
      </c>
      <c r="E1544" s="9" t="s">
        <v>17</v>
      </c>
      <c r="F1544" s="10">
        <v>20</v>
      </c>
      <c r="G1544" s="11">
        <v>8086027804</v>
      </c>
      <c r="H1544" s="10" t="s">
        <v>3453</v>
      </c>
      <c r="I1544" s="10" t="s">
        <v>27</v>
      </c>
      <c r="J1544" s="10" t="s">
        <v>2861</v>
      </c>
      <c r="K1544" s="12">
        <v>46003</v>
      </c>
      <c r="L1544" s="28" t="s">
        <v>11</v>
      </c>
      <c r="M1544" s="14"/>
      <c r="N1544" s="10" t="s">
        <v>1028</v>
      </c>
    </row>
    <row r="1545" spans="1:14" ht="22.5" customHeight="1">
      <c r="A1545" s="8">
        <v>46003.374669409721</v>
      </c>
      <c r="B1545" s="9" t="s">
        <v>14</v>
      </c>
      <c r="C1545" s="9" t="s">
        <v>15</v>
      </c>
      <c r="D1545" s="10" t="s">
        <v>3454</v>
      </c>
      <c r="E1545" s="9" t="s">
        <v>22</v>
      </c>
      <c r="F1545" s="10">
        <v>29</v>
      </c>
      <c r="G1545" s="11">
        <v>8133392352</v>
      </c>
      <c r="H1545" s="10" t="s">
        <v>3455</v>
      </c>
      <c r="I1545" s="10" t="s">
        <v>27</v>
      </c>
      <c r="J1545" s="10" t="s">
        <v>1895</v>
      </c>
      <c r="K1545" s="12">
        <v>46003</v>
      </c>
      <c r="L1545" s="28" t="s">
        <v>11</v>
      </c>
      <c r="M1545" s="14"/>
      <c r="N1545" s="10" t="s">
        <v>1028</v>
      </c>
    </row>
    <row r="1546" spans="1:14" ht="22.5" customHeight="1">
      <c r="A1546" s="8">
        <v>46003.375207627316</v>
      </c>
      <c r="B1546" s="9" t="s">
        <v>14</v>
      </c>
      <c r="C1546" s="9" t="s">
        <v>15</v>
      </c>
      <c r="D1546" s="10" t="s">
        <v>3456</v>
      </c>
      <c r="E1546" s="9" t="s">
        <v>22</v>
      </c>
      <c r="F1546" s="10">
        <v>25</v>
      </c>
      <c r="G1546" s="11">
        <v>7064703364</v>
      </c>
      <c r="H1546" s="10" t="s">
        <v>3457</v>
      </c>
      <c r="I1546" s="10" t="s">
        <v>27</v>
      </c>
      <c r="J1546" s="10" t="s">
        <v>94</v>
      </c>
      <c r="K1546" s="12">
        <v>46003</v>
      </c>
      <c r="L1546" s="28" t="s">
        <v>11</v>
      </c>
      <c r="M1546" s="14"/>
      <c r="N1546" s="10" t="s">
        <v>1028</v>
      </c>
    </row>
    <row r="1547" spans="1:14" ht="22.5" customHeight="1">
      <c r="A1547" s="8">
        <v>46003.375935081014</v>
      </c>
      <c r="B1547" s="9" t="s">
        <v>14</v>
      </c>
      <c r="C1547" s="9" t="s">
        <v>15</v>
      </c>
      <c r="D1547" s="10" t="s">
        <v>3458</v>
      </c>
      <c r="E1547" s="9" t="s">
        <v>22</v>
      </c>
      <c r="F1547" s="10">
        <v>17</v>
      </c>
      <c r="G1547" s="11">
        <v>9133462308</v>
      </c>
      <c r="H1547" s="10" t="s">
        <v>3459</v>
      </c>
      <c r="I1547" s="10" t="s">
        <v>145</v>
      </c>
      <c r="J1547" s="10" t="s">
        <v>3366</v>
      </c>
      <c r="K1547" s="12">
        <v>46003</v>
      </c>
      <c r="L1547" s="28" t="s">
        <v>11</v>
      </c>
      <c r="M1547" s="14"/>
      <c r="N1547" s="10" t="s">
        <v>1028</v>
      </c>
    </row>
    <row r="1548" spans="1:14" ht="22.5" customHeight="1">
      <c r="A1548" s="8">
        <v>46003.380904432866</v>
      </c>
      <c r="B1548" s="9" t="s">
        <v>14</v>
      </c>
      <c r="C1548" s="9" t="s">
        <v>15</v>
      </c>
      <c r="D1548" s="10" t="s">
        <v>3460</v>
      </c>
      <c r="E1548" s="9" t="s">
        <v>22</v>
      </c>
      <c r="F1548" s="10">
        <v>22</v>
      </c>
      <c r="G1548" s="11">
        <v>7014286510</v>
      </c>
      <c r="H1548" s="10" t="s">
        <v>3461</v>
      </c>
      <c r="I1548" s="10" t="s">
        <v>27</v>
      </c>
      <c r="J1548" s="10" t="s">
        <v>94</v>
      </c>
      <c r="K1548" s="12">
        <v>46003</v>
      </c>
      <c r="L1548" s="28" t="s">
        <v>11</v>
      </c>
      <c r="M1548" s="14"/>
      <c r="N1548" s="10" t="s">
        <v>1028</v>
      </c>
    </row>
    <row r="1549" spans="1:14" ht="22.5" customHeight="1">
      <c r="A1549" s="8">
        <v>46003.382961099538</v>
      </c>
      <c r="B1549" s="9" t="s">
        <v>14</v>
      </c>
      <c r="C1549" s="9" t="s">
        <v>15</v>
      </c>
      <c r="D1549" s="10" t="s">
        <v>3462</v>
      </c>
      <c r="E1549" s="9" t="s">
        <v>22</v>
      </c>
      <c r="F1549" s="10">
        <v>27</v>
      </c>
      <c r="G1549" s="11">
        <v>8165871218</v>
      </c>
      <c r="H1549" s="10" t="s">
        <v>3463</v>
      </c>
      <c r="I1549" s="10" t="s">
        <v>49</v>
      </c>
      <c r="J1549" s="10" t="s">
        <v>109</v>
      </c>
      <c r="K1549" s="12">
        <v>46003</v>
      </c>
      <c r="L1549" s="28" t="s">
        <v>11</v>
      </c>
      <c r="M1549" s="14"/>
      <c r="N1549" s="10" t="s">
        <v>1028</v>
      </c>
    </row>
    <row r="1550" spans="1:14" ht="22.5" customHeight="1">
      <c r="A1550" s="8">
        <v>46003.386126597223</v>
      </c>
      <c r="B1550" s="9" t="s">
        <v>14</v>
      </c>
      <c r="C1550" s="9" t="s">
        <v>15</v>
      </c>
      <c r="D1550" s="10" t="s">
        <v>3464</v>
      </c>
      <c r="E1550" s="9" t="s">
        <v>17</v>
      </c>
      <c r="F1550" s="10">
        <v>25</v>
      </c>
      <c r="G1550" s="11">
        <v>8139394631</v>
      </c>
      <c r="H1550" s="10" t="s">
        <v>3465</v>
      </c>
      <c r="I1550" s="10" t="s">
        <v>19</v>
      </c>
      <c r="J1550" s="10" t="s">
        <v>3466</v>
      </c>
      <c r="K1550" s="12">
        <v>46003</v>
      </c>
      <c r="L1550" s="28" t="s">
        <v>11</v>
      </c>
      <c r="M1550" s="14"/>
      <c r="N1550" s="10" t="s">
        <v>1028</v>
      </c>
    </row>
    <row r="1551" spans="1:14" ht="22.5" customHeight="1">
      <c r="A1551" s="8">
        <v>46003.388692789347</v>
      </c>
      <c r="B1551" s="9" t="s">
        <v>14</v>
      </c>
      <c r="C1551" s="9" t="s">
        <v>15</v>
      </c>
      <c r="D1551" s="10" t="s">
        <v>3467</v>
      </c>
      <c r="E1551" s="9" t="s">
        <v>22</v>
      </c>
      <c r="F1551" s="10">
        <v>26</v>
      </c>
      <c r="G1551" s="11">
        <v>7045849509</v>
      </c>
      <c r="H1551" s="10" t="s">
        <v>3468</v>
      </c>
      <c r="I1551" s="10" t="s">
        <v>31</v>
      </c>
      <c r="J1551" s="10" t="s">
        <v>3469</v>
      </c>
      <c r="K1551" s="12">
        <v>46003</v>
      </c>
      <c r="L1551" s="28" t="s">
        <v>11</v>
      </c>
      <c r="M1551" s="14"/>
      <c r="N1551" s="10" t="s">
        <v>1028</v>
      </c>
    </row>
    <row r="1552" spans="1:14" ht="22.5" customHeight="1">
      <c r="A1552" s="8">
        <v>46003.389288877312</v>
      </c>
      <c r="B1552" s="9" t="s">
        <v>14</v>
      </c>
      <c r="C1552" s="9" t="s">
        <v>15</v>
      </c>
      <c r="D1552" s="10" t="s">
        <v>3470</v>
      </c>
      <c r="E1552" s="9" t="s">
        <v>22</v>
      </c>
      <c r="F1552" s="10">
        <v>28</v>
      </c>
      <c r="G1552" s="11">
        <v>9034344871</v>
      </c>
      <c r="H1552" s="10" t="s">
        <v>3471</v>
      </c>
      <c r="I1552" s="10" t="s">
        <v>27</v>
      </c>
      <c r="J1552" s="10" t="s">
        <v>3472</v>
      </c>
      <c r="K1552" s="12">
        <v>46003</v>
      </c>
      <c r="L1552" s="28" t="s">
        <v>11</v>
      </c>
      <c r="M1552" s="14"/>
      <c r="N1552" s="10" t="s">
        <v>1028</v>
      </c>
    </row>
    <row r="1553" spans="1:14" ht="22.5" customHeight="1">
      <c r="A1553" s="8">
        <v>46003.389855162037</v>
      </c>
      <c r="B1553" s="9" t="s">
        <v>14</v>
      </c>
      <c r="C1553" s="9" t="s">
        <v>15</v>
      </c>
      <c r="D1553" s="10" t="s">
        <v>3473</v>
      </c>
      <c r="E1553" s="9" t="s">
        <v>22</v>
      </c>
      <c r="F1553" s="10">
        <v>33</v>
      </c>
      <c r="G1553" s="11">
        <v>9075311552</v>
      </c>
      <c r="H1553" s="10" t="s">
        <v>3474</v>
      </c>
      <c r="I1553" s="10" t="s">
        <v>27</v>
      </c>
      <c r="J1553" s="10" t="s">
        <v>94</v>
      </c>
      <c r="K1553" s="12">
        <v>46003</v>
      </c>
      <c r="L1553" s="28" t="s">
        <v>11</v>
      </c>
      <c r="M1553" s="14"/>
      <c r="N1553" s="10" t="s">
        <v>1028</v>
      </c>
    </row>
    <row r="1554" spans="1:14" ht="22.5" customHeight="1">
      <c r="A1554" s="8">
        <v>46003.390248240743</v>
      </c>
      <c r="B1554" s="9" t="s">
        <v>14</v>
      </c>
      <c r="C1554" s="9" t="s">
        <v>15</v>
      </c>
      <c r="D1554" s="10" t="s">
        <v>3475</v>
      </c>
      <c r="E1554" s="9" t="s">
        <v>22</v>
      </c>
      <c r="F1554" s="10">
        <v>34</v>
      </c>
      <c r="G1554" s="11">
        <v>8127094466</v>
      </c>
      <c r="H1554" s="10" t="s">
        <v>3476</v>
      </c>
      <c r="I1554" s="10" t="s">
        <v>19</v>
      </c>
      <c r="J1554" s="10" t="s">
        <v>3477</v>
      </c>
      <c r="K1554" s="12">
        <v>46003</v>
      </c>
      <c r="L1554" s="28" t="s">
        <v>11</v>
      </c>
      <c r="M1554" s="14"/>
      <c r="N1554" s="10" t="s">
        <v>1028</v>
      </c>
    </row>
    <row r="1555" spans="1:14" ht="22.5" customHeight="1">
      <c r="A1555" s="8">
        <v>46003.390821956018</v>
      </c>
      <c r="B1555" s="9" t="s">
        <v>14</v>
      </c>
      <c r="C1555" s="9" t="s">
        <v>15</v>
      </c>
      <c r="D1555" s="10" t="s">
        <v>3478</v>
      </c>
      <c r="E1555" s="9" t="s">
        <v>22</v>
      </c>
      <c r="F1555" s="10">
        <v>34</v>
      </c>
      <c r="G1555" s="11">
        <v>7064430994</v>
      </c>
      <c r="H1555" s="10" t="s">
        <v>3479</v>
      </c>
      <c r="I1555" s="10" t="s">
        <v>27</v>
      </c>
      <c r="J1555" s="10" t="s">
        <v>172</v>
      </c>
      <c r="K1555" s="12">
        <v>46003</v>
      </c>
      <c r="L1555" s="28" t="s">
        <v>11</v>
      </c>
      <c r="M1555" s="14"/>
      <c r="N1555" s="10" t="s">
        <v>1028</v>
      </c>
    </row>
    <row r="1556" spans="1:14" ht="22.5" customHeight="1">
      <c r="A1556" s="8">
        <v>46003.391381655092</v>
      </c>
      <c r="B1556" s="9" t="s">
        <v>14</v>
      </c>
      <c r="C1556" s="9" t="s">
        <v>15</v>
      </c>
      <c r="D1556" s="10" t="s">
        <v>3480</v>
      </c>
      <c r="E1556" s="9" t="s">
        <v>17</v>
      </c>
      <c r="F1556" s="10">
        <v>40</v>
      </c>
      <c r="G1556" s="11">
        <v>7034617085</v>
      </c>
      <c r="H1556" s="10" t="s">
        <v>3481</v>
      </c>
      <c r="I1556" s="10" t="s">
        <v>202</v>
      </c>
      <c r="J1556" s="10" t="s">
        <v>3482</v>
      </c>
      <c r="K1556" s="12">
        <v>46003</v>
      </c>
      <c r="L1556" s="28" t="s">
        <v>11</v>
      </c>
      <c r="M1556" s="14"/>
      <c r="N1556" s="10" t="s">
        <v>1028</v>
      </c>
    </row>
    <row r="1557" spans="1:14" ht="22.5" customHeight="1">
      <c r="A1557" s="8">
        <v>46003.399198784726</v>
      </c>
      <c r="B1557" s="9" t="s">
        <v>14</v>
      </c>
      <c r="C1557" s="9" t="s">
        <v>15</v>
      </c>
      <c r="D1557" s="10" t="s">
        <v>3483</v>
      </c>
      <c r="E1557" s="9" t="s">
        <v>22</v>
      </c>
      <c r="F1557" s="10">
        <v>22</v>
      </c>
      <c r="G1557" s="11">
        <v>8148608369</v>
      </c>
      <c r="H1557" s="10" t="s">
        <v>3484</v>
      </c>
      <c r="I1557" s="10" t="s">
        <v>27</v>
      </c>
      <c r="J1557" s="10" t="s">
        <v>172</v>
      </c>
      <c r="K1557" s="12">
        <v>46003</v>
      </c>
      <c r="L1557" s="28" t="s">
        <v>11</v>
      </c>
      <c r="M1557" s="14"/>
      <c r="N1557" s="10" t="s">
        <v>1028</v>
      </c>
    </row>
    <row r="1558" spans="1:14" ht="22.5" hidden="1" customHeight="1">
      <c r="A1558" s="8">
        <v>46003.401624467588</v>
      </c>
      <c r="B1558" s="9" t="s">
        <v>14</v>
      </c>
      <c r="C1558" s="9" t="s">
        <v>15</v>
      </c>
      <c r="D1558" s="10" t="s">
        <v>3485</v>
      </c>
      <c r="E1558" s="9" t="s">
        <v>22</v>
      </c>
      <c r="F1558" s="10">
        <v>20</v>
      </c>
      <c r="G1558" s="11">
        <v>9016745440</v>
      </c>
      <c r="H1558" s="10" t="s">
        <v>3486</v>
      </c>
      <c r="I1558" s="10" t="s">
        <v>27</v>
      </c>
      <c r="J1558" s="10" t="s">
        <v>3487</v>
      </c>
      <c r="K1558" s="12">
        <v>46003</v>
      </c>
      <c r="L1558" s="10" t="s">
        <v>441</v>
      </c>
      <c r="M1558" s="10" t="s">
        <v>1361</v>
      </c>
      <c r="N1558" s="10" t="s">
        <v>1028</v>
      </c>
    </row>
    <row r="1559" spans="1:14" ht="22.5" customHeight="1">
      <c r="A1559" s="8">
        <v>46003.402449687499</v>
      </c>
      <c r="B1559" s="9" t="s">
        <v>14</v>
      </c>
      <c r="C1559" s="9" t="s">
        <v>15</v>
      </c>
      <c r="D1559" s="10" t="s">
        <v>3488</v>
      </c>
      <c r="E1559" s="9" t="s">
        <v>17</v>
      </c>
      <c r="F1559" s="10">
        <v>34</v>
      </c>
      <c r="G1559" s="11">
        <v>8130456920</v>
      </c>
      <c r="H1559" s="10" t="s">
        <v>3489</v>
      </c>
      <c r="I1559" s="10" t="s">
        <v>19</v>
      </c>
      <c r="J1559" s="10" t="s">
        <v>166</v>
      </c>
      <c r="K1559" s="12">
        <v>46003</v>
      </c>
      <c r="L1559" s="28" t="s">
        <v>11</v>
      </c>
      <c r="M1559" s="14"/>
      <c r="N1559" s="10" t="s">
        <v>1096</v>
      </c>
    </row>
    <row r="1560" spans="1:14" ht="22.5" customHeight="1">
      <c r="A1560" s="8">
        <v>46003.407057511577</v>
      </c>
      <c r="B1560" s="9" t="s">
        <v>14</v>
      </c>
      <c r="C1560" s="9" t="s">
        <v>15</v>
      </c>
      <c r="D1560" s="10" t="s">
        <v>3490</v>
      </c>
      <c r="E1560" s="9" t="s">
        <v>17</v>
      </c>
      <c r="F1560" s="10">
        <v>48</v>
      </c>
      <c r="G1560" s="11">
        <v>7063802095</v>
      </c>
      <c r="H1560" s="10" t="s">
        <v>3491</v>
      </c>
      <c r="I1560" s="10" t="s">
        <v>27</v>
      </c>
      <c r="J1560" s="10" t="s">
        <v>3492</v>
      </c>
      <c r="K1560" s="12">
        <v>46003</v>
      </c>
      <c r="L1560" s="28" t="s">
        <v>11</v>
      </c>
      <c r="M1560" s="14"/>
      <c r="N1560" s="10" t="s">
        <v>1028</v>
      </c>
    </row>
    <row r="1561" spans="1:14" ht="22.5" customHeight="1">
      <c r="A1561" s="8">
        <v>46003.408897974536</v>
      </c>
      <c r="B1561" s="9" t="s">
        <v>14</v>
      </c>
      <c r="C1561" s="9" t="s">
        <v>15</v>
      </c>
      <c r="D1561" s="10" t="s">
        <v>3493</v>
      </c>
      <c r="E1561" s="9" t="s">
        <v>17</v>
      </c>
      <c r="F1561" s="10">
        <v>23</v>
      </c>
      <c r="G1561" s="11">
        <v>8144381115</v>
      </c>
      <c r="H1561" s="10" t="s">
        <v>3494</v>
      </c>
      <c r="I1561" s="10" t="s">
        <v>19</v>
      </c>
      <c r="J1561" s="10" t="s">
        <v>3495</v>
      </c>
      <c r="K1561" s="12">
        <v>46003</v>
      </c>
      <c r="L1561" s="28" t="s">
        <v>11</v>
      </c>
      <c r="M1561" s="14"/>
      <c r="N1561" s="10" t="s">
        <v>1028</v>
      </c>
    </row>
    <row r="1562" spans="1:14" ht="22.5" customHeight="1">
      <c r="A1562" s="8">
        <v>46003.414210555551</v>
      </c>
      <c r="B1562" s="9" t="s">
        <v>14</v>
      </c>
      <c r="C1562" s="9" t="s">
        <v>15</v>
      </c>
      <c r="D1562" s="10" t="s">
        <v>3496</v>
      </c>
      <c r="E1562" s="9" t="s">
        <v>22</v>
      </c>
      <c r="F1562" s="10">
        <v>36</v>
      </c>
      <c r="G1562" s="11">
        <v>7030623945</v>
      </c>
      <c r="H1562" s="10" t="s">
        <v>3497</v>
      </c>
      <c r="I1562" s="10" t="s">
        <v>27</v>
      </c>
      <c r="J1562" s="10" t="s">
        <v>1514</v>
      </c>
      <c r="K1562" s="12">
        <v>46003</v>
      </c>
      <c r="L1562" s="28" t="s">
        <v>11</v>
      </c>
      <c r="M1562" s="14"/>
      <c r="N1562" s="10" t="s">
        <v>1028</v>
      </c>
    </row>
    <row r="1563" spans="1:14" ht="22.5" customHeight="1">
      <c r="A1563" s="8">
        <v>46003.417753391201</v>
      </c>
      <c r="B1563" s="9" t="s">
        <v>14</v>
      </c>
      <c r="C1563" s="9" t="s">
        <v>15</v>
      </c>
      <c r="D1563" s="10" t="s">
        <v>3498</v>
      </c>
      <c r="E1563" s="9" t="s">
        <v>22</v>
      </c>
      <c r="F1563" s="10">
        <v>22</v>
      </c>
      <c r="G1563" s="11">
        <v>7087709777</v>
      </c>
      <c r="H1563" s="10" t="s">
        <v>3499</v>
      </c>
      <c r="I1563" s="10" t="s">
        <v>27</v>
      </c>
      <c r="J1563" s="10" t="s">
        <v>3500</v>
      </c>
      <c r="K1563" s="12">
        <v>46003</v>
      </c>
      <c r="L1563" s="28" t="s">
        <v>11</v>
      </c>
      <c r="M1563" s="14"/>
      <c r="N1563" s="10" t="s">
        <v>1096</v>
      </c>
    </row>
    <row r="1564" spans="1:14" ht="22.5" customHeight="1">
      <c r="A1564" s="8">
        <v>46003.421969409726</v>
      </c>
      <c r="B1564" s="9" t="s">
        <v>14</v>
      </c>
      <c r="C1564" s="9" t="s">
        <v>15</v>
      </c>
      <c r="D1564" s="10" t="s">
        <v>3501</v>
      </c>
      <c r="E1564" s="9" t="s">
        <v>22</v>
      </c>
      <c r="F1564" s="10">
        <v>23</v>
      </c>
      <c r="G1564" s="11">
        <v>7033592932</v>
      </c>
      <c r="H1564" s="10" t="s">
        <v>3502</v>
      </c>
      <c r="I1564" s="10" t="s">
        <v>45</v>
      </c>
      <c r="J1564" s="10" t="s">
        <v>287</v>
      </c>
      <c r="K1564" s="12">
        <v>46003</v>
      </c>
      <c r="L1564" s="28" t="s">
        <v>11</v>
      </c>
      <c r="M1564" s="14"/>
      <c r="N1564" s="10" t="s">
        <v>1028</v>
      </c>
    </row>
    <row r="1565" spans="1:14" ht="22.5" customHeight="1">
      <c r="A1565" s="8">
        <v>46003.430868136573</v>
      </c>
      <c r="B1565" s="9" t="s">
        <v>14</v>
      </c>
      <c r="C1565" s="9" t="s">
        <v>15</v>
      </c>
      <c r="D1565" s="10" t="s">
        <v>3503</v>
      </c>
      <c r="E1565" s="9" t="s">
        <v>22</v>
      </c>
      <c r="F1565" s="10">
        <v>21</v>
      </c>
      <c r="G1565" s="11">
        <v>7066487523</v>
      </c>
      <c r="H1565" s="10" t="s">
        <v>3504</v>
      </c>
      <c r="I1565" s="10" t="s">
        <v>27</v>
      </c>
      <c r="J1565" s="10" t="s">
        <v>1559</v>
      </c>
      <c r="K1565" s="12">
        <v>46003</v>
      </c>
      <c r="L1565" s="28" t="s">
        <v>11</v>
      </c>
      <c r="M1565" s="10"/>
      <c r="N1565" s="10" t="s">
        <v>1028</v>
      </c>
    </row>
    <row r="1566" spans="1:14" ht="22.5" customHeight="1">
      <c r="A1566" s="8">
        <v>46003.435081296295</v>
      </c>
      <c r="B1566" s="9" t="s">
        <v>14</v>
      </c>
      <c r="C1566" s="9" t="s">
        <v>15</v>
      </c>
      <c r="D1566" s="10" t="s">
        <v>3505</v>
      </c>
      <c r="E1566" s="9" t="s">
        <v>17</v>
      </c>
      <c r="F1566" s="10">
        <v>37</v>
      </c>
      <c r="G1566" s="11">
        <v>8036010376</v>
      </c>
      <c r="H1566" s="10" t="s">
        <v>3506</v>
      </c>
      <c r="I1566" s="10" t="s">
        <v>27</v>
      </c>
      <c r="J1566" s="10" t="s">
        <v>1456</v>
      </c>
      <c r="K1566" s="12">
        <v>46003</v>
      </c>
      <c r="L1566" s="28" t="s">
        <v>11</v>
      </c>
      <c r="M1566" s="14"/>
      <c r="N1566" s="10" t="s">
        <v>1028</v>
      </c>
    </row>
    <row r="1567" spans="1:14" ht="22.5" customHeight="1">
      <c r="A1567" s="8">
        <v>46003.435498645835</v>
      </c>
      <c r="B1567" s="9" t="s">
        <v>14</v>
      </c>
      <c r="C1567" s="9" t="s">
        <v>15</v>
      </c>
      <c r="D1567" s="10" t="s">
        <v>3507</v>
      </c>
      <c r="E1567" s="9" t="s">
        <v>17</v>
      </c>
      <c r="F1567" s="10">
        <v>20</v>
      </c>
      <c r="G1567" s="11">
        <v>9130271250</v>
      </c>
      <c r="H1567" s="10" t="s">
        <v>3508</v>
      </c>
      <c r="I1567" s="10" t="s">
        <v>31</v>
      </c>
      <c r="J1567" s="10" t="s">
        <v>1582</v>
      </c>
      <c r="K1567" s="12">
        <v>46003</v>
      </c>
      <c r="L1567" s="28" t="s">
        <v>11</v>
      </c>
      <c r="M1567" s="14"/>
      <c r="N1567" s="10" t="s">
        <v>1028</v>
      </c>
    </row>
    <row r="1568" spans="1:14" ht="22.5" customHeight="1">
      <c r="A1568" s="8">
        <v>46003.438283229167</v>
      </c>
      <c r="B1568" s="9" t="s">
        <v>14</v>
      </c>
      <c r="C1568" s="9" t="s">
        <v>15</v>
      </c>
      <c r="D1568" s="10" t="s">
        <v>3509</v>
      </c>
      <c r="E1568" s="9" t="s">
        <v>22</v>
      </c>
      <c r="F1568" s="10">
        <v>25</v>
      </c>
      <c r="G1568" s="11">
        <v>8062131729</v>
      </c>
      <c r="H1568" s="10" t="s">
        <v>3510</v>
      </c>
      <c r="I1568" s="10" t="s">
        <v>27</v>
      </c>
      <c r="J1568" s="10" t="s">
        <v>3511</v>
      </c>
      <c r="K1568" s="12">
        <v>46003</v>
      </c>
      <c r="L1568" s="28" t="s">
        <v>11</v>
      </c>
      <c r="M1568" s="14"/>
      <c r="N1568" s="10" t="s">
        <v>1028</v>
      </c>
    </row>
    <row r="1569" spans="1:20" ht="22.5" customHeight="1">
      <c r="A1569" s="8">
        <v>46003.439843969907</v>
      </c>
      <c r="B1569" s="9" t="s">
        <v>14</v>
      </c>
      <c r="C1569" s="9" t="s">
        <v>15</v>
      </c>
      <c r="D1569" s="10" t="s">
        <v>3512</v>
      </c>
      <c r="E1569" s="9" t="s">
        <v>17</v>
      </c>
      <c r="F1569" s="18">
        <v>39</v>
      </c>
      <c r="G1569" s="11">
        <v>8134989705</v>
      </c>
      <c r="H1569" s="10" t="s">
        <v>3513</v>
      </c>
      <c r="I1569" s="10" t="s">
        <v>19</v>
      </c>
      <c r="J1569" s="10" t="s">
        <v>3514</v>
      </c>
      <c r="K1569" s="12">
        <v>46003</v>
      </c>
      <c r="L1569" s="28" t="s">
        <v>11</v>
      </c>
      <c r="M1569" s="14"/>
      <c r="N1569" s="10" t="s">
        <v>1028</v>
      </c>
    </row>
    <row r="1570" spans="1:20" ht="22.5" hidden="1" customHeight="1">
      <c r="A1570" s="8">
        <v>46003.440227638886</v>
      </c>
      <c r="B1570" s="9" t="s">
        <v>14</v>
      </c>
      <c r="C1570" s="9" t="s">
        <v>15</v>
      </c>
      <c r="D1570" s="10" t="s">
        <v>3515</v>
      </c>
      <c r="E1570" s="9" t="s">
        <v>17</v>
      </c>
      <c r="F1570" s="10">
        <v>29</v>
      </c>
      <c r="G1570" s="11">
        <v>9034633834</v>
      </c>
      <c r="H1570" s="10" t="s">
        <v>3516</v>
      </c>
      <c r="I1570" s="10" t="s">
        <v>27</v>
      </c>
      <c r="J1570" s="10" t="s">
        <v>94</v>
      </c>
      <c r="K1570" s="12">
        <v>46003</v>
      </c>
      <c r="L1570" s="10" t="s">
        <v>441</v>
      </c>
      <c r="M1570" s="10" t="s">
        <v>1361</v>
      </c>
      <c r="N1570" s="10" t="s">
        <v>1028</v>
      </c>
    </row>
    <row r="1571" spans="1:20" ht="22.5" customHeight="1">
      <c r="A1571" s="8">
        <v>46003.444004224541</v>
      </c>
      <c r="B1571" s="9" t="s">
        <v>14</v>
      </c>
      <c r="C1571" s="9" t="s">
        <v>15</v>
      </c>
      <c r="D1571" s="10" t="s">
        <v>3517</v>
      </c>
      <c r="E1571" s="9" t="s">
        <v>22</v>
      </c>
      <c r="F1571" s="10">
        <v>32</v>
      </c>
      <c r="G1571" s="11">
        <v>8037616827</v>
      </c>
      <c r="H1571" s="10" t="s">
        <v>3518</v>
      </c>
      <c r="I1571" s="10" t="s">
        <v>27</v>
      </c>
      <c r="J1571" s="10" t="s">
        <v>172</v>
      </c>
      <c r="K1571" s="12">
        <v>46003</v>
      </c>
      <c r="L1571" s="28" t="s">
        <v>11</v>
      </c>
      <c r="M1571" s="14"/>
      <c r="N1571" s="10" t="s">
        <v>1140</v>
      </c>
    </row>
    <row r="1572" spans="1:20" ht="22.5" hidden="1" customHeight="1">
      <c r="A1572" s="8">
        <v>46003.4462246412</v>
      </c>
      <c r="B1572" s="9" t="s">
        <v>14</v>
      </c>
      <c r="C1572" s="9" t="s">
        <v>15</v>
      </c>
      <c r="D1572" s="10" t="s">
        <v>3519</v>
      </c>
      <c r="E1572" s="9" t="s">
        <v>22</v>
      </c>
      <c r="F1572" s="10">
        <v>23</v>
      </c>
      <c r="G1572" s="11">
        <v>9130454823</v>
      </c>
      <c r="H1572" s="10" t="s">
        <v>3520</v>
      </c>
      <c r="I1572" s="10" t="s">
        <v>27</v>
      </c>
      <c r="J1572" s="10" t="s">
        <v>703</v>
      </c>
      <c r="K1572" s="12">
        <v>46003</v>
      </c>
      <c r="L1572" s="10" t="s">
        <v>441</v>
      </c>
      <c r="M1572" s="10" t="s">
        <v>1356</v>
      </c>
      <c r="N1572" s="10" t="s">
        <v>1028</v>
      </c>
    </row>
    <row r="1573" spans="1:20" ht="22.5" customHeight="1">
      <c r="A1573" s="8">
        <v>46003.45121806713</v>
      </c>
      <c r="B1573" s="9" t="s">
        <v>14</v>
      </c>
      <c r="C1573" s="9" t="s">
        <v>15</v>
      </c>
      <c r="D1573" s="10" t="s">
        <v>3521</v>
      </c>
      <c r="E1573" s="9" t="s">
        <v>22</v>
      </c>
      <c r="F1573" s="10">
        <v>28</v>
      </c>
      <c r="G1573" s="11">
        <v>8141797169</v>
      </c>
      <c r="H1573" s="10" t="s">
        <v>3522</v>
      </c>
      <c r="I1573" s="10" t="s">
        <v>202</v>
      </c>
      <c r="J1573" s="10" t="s">
        <v>3437</v>
      </c>
      <c r="K1573" s="12">
        <v>46003</v>
      </c>
      <c r="L1573" s="28" t="s">
        <v>11</v>
      </c>
      <c r="M1573" s="14"/>
      <c r="N1573" s="10" t="s">
        <v>1028</v>
      </c>
    </row>
    <row r="1574" spans="1:20" ht="22.5" customHeight="1">
      <c r="A1574" s="8">
        <v>46003.451382685183</v>
      </c>
      <c r="B1574" s="9" t="s">
        <v>14</v>
      </c>
      <c r="C1574" s="9" t="s">
        <v>15</v>
      </c>
      <c r="D1574" s="10" t="s">
        <v>3523</v>
      </c>
      <c r="E1574" s="9" t="s">
        <v>17</v>
      </c>
      <c r="F1574" s="10">
        <v>30</v>
      </c>
      <c r="G1574" s="11">
        <v>7068657903</v>
      </c>
      <c r="H1574" s="10" t="s">
        <v>3524</v>
      </c>
      <c r="I1574" s="10" t="s">
        <v>45</v>
      </c>
      <c r="J1574" s="10" t="s">
        <v>1919</v>
      </c>
      <c r="K1574" s="12">
        <v>46003</v>
      </c>
      <c r="L1574" s="28" t="s">
        <v>11</v>
      </c>
      <c r="M1574" s="14"/>
      <c r="N1574" s="10" t="s">
        <v>1028</v>
      </c>
    </row>
    <row r="1575" spans="1:20" ht="22.5" customHeight="1">
      <c r="A1575" s="8">
        <v>46003.452763449073</v>
      </c>
      <c r="B1575" s="9" t="s">
        <v>14</v>
      </c>
      <c r="C1575" s="9" t="s">
        <v>15</v>
      </c>
      <c r="D1575" s="10" t="s">
        <v>3525</v>
      </c>
      <c r="E1575" s="9" t="s">
        <v>22</v>
      </c>
      <c r="F1575" s="10">
        <v>35</v>
      </c>
      <c r="G1575" s="11">
        <v>8066369479</v>
      </c>
      <c r="H1575" s="10" t="s">
        <v>3526</v>
      </c>
      <c r="I1575" s="10" t="s">
        <v>27</v>
      </c>
      <c r="J1575" s="10" t="s">
        <v>172</v>
      </c>
      <c r="K1575" s="12">
        <v>46003</v>
      </c>
      <c r="L1575" s="28" t="s">
        <v>11</v>
      </c>
      <c r="M1575" s="14"/>
      <c r="N1575" s="10" t="s">
        <v>1028</v>
      </c>
    </row>
    <row r="1576" spans="1:20" ht="22.5" customHeight="1">
      <c r="A1576" s="8">
        <v>46003.452781608794</v>
      </c>
      <c r="B1576" s="9" t="s">
        <v>14</v>
      </c>
      <c r="C1576" s="9" t="s">
        <v>15</v>
      </c>
      <c r="D1576" s="10" t="s">
        <v>3527</v>
      </c>
      <c r="E1576" s="9" t="s">
        <v>17</v>
      </c>
      <c r="F1576" s="10">
        <v>35</v>
      </c>
      <c r="G1576" s="11">
        <v>8066163943</v>
      </c>
      <c r="H1576" s="10" t="s">
        <v>3528</v>
      </c>
      <c r="I1576" s="10" t="s">
        <v>31</v>
      </c>
      <c r="J1576" s="10" t="s">
        <v>3529</v>
      </c>
      <c r="K1576" s="12">
        <v>46003</v>
      </c>
      <c r="L1576" s="28" t="s">
        <v>11</v>
      </c>
      <c r="M1576" s="14"/>
      <c r="N1576" s="10" t="s">
        <v>1028</v>
      </c>
    </row>
    <row r="1577" spans="1:20" ht="22.5" customHeight="1">
      <c r="A1577" s="8">
        <v>46003.453389386574</v>
      </c>
      <c r="B1577" s="9" t="s">
        <v>14</v>
      </c>
      <c r="C1577" s="9" t="s">
        <v>15</v>
      </c>
      <c r="D1577" s="10" t="s">
        <v>3530</v>
      </c>
      <c r="E1577" s="9" t="s">
        <v>17</v>
      </c>
      <c r="F1577" s="10">
        <v>27</v>
      </c>
      <c r="G1577" s="11">
        <v>8145811022</v>
      </c>
      <c r="H1577" s="10" t="s">
        <v>3531</v>
      </c>
      <c r="I1577" s="10" t="s">
        <v>202</v>
      </c>
      <c r="J1577" s="10" t="s">
        <v>3482</v>
      </c>
      <c r="K1577" s="12">
        <v>46003</v>
      </c>
      <c r="L1577" s="28" t="s">
        <v>11</v>
      </c>
      <c r="M1577" s="14"/>
      <c r="N1577" s="10" t="s">
        <v>1028</v>
      </c>
      <c r="O1577" s="24"/>
      <c r="P1577" s="25"/>
      <c r="Q1577" s="25"/>
      <c r="R1577" s="25"/>
      <c r="S1577" s="25"/>
      <c r="T1577" s="25"/>
    </row>
    <row r="1578" spans="1:20" ht="22.5" customHeight="1">
      <c r="A1578" s="8">
        <v>46003.453500671298</v>
      </c>
      <c r="B1578" s="9" t="s">
        <v>14</v>
      </c>
      <c r="C1578" s="9" t="s">
        <v>15</v>
      </c>
      <c r="D1578" s="10" t="s">
        <v>3532</v>
      </c>
      <c r="E1578" s="9" t="s">
        <v>22</v>
      </c>
      <c r="F1578" s="10">
        <v>41</v>
      </c>
      <c r="G1578" s="11">
        <v>9050645697</v>
      </c>
      <c r="H1578" s="10" t="s">
        <v>3533</v>
      </c>
      <c r="I1578" s="10" t="s">
        <v>27</v>
      </c>
      <c r="J1578" s="10" t="s">
        <v>42</v>
      </c>
      <c r="K1578" s="12">
        <v>46003</v>
      </c>
      <c r="L1578" s="28" t="s">
        <v>11</v>
      </c>
      <c r="M1578" s="14"/>
      <c r="N1578" s="10" t="s">
        <v>1028</v>
      </c>
    </row>
    <row r="1579" spans="1:20" ht="22.5" customHeight="1">
      <c r="A1579" s="8">
        <v>46003.454755949075</v>
      </c>
      <c r="B1579" s="9" t="s">
        <v>14</v>
      </c>
      <c r="C1579" s="9" t="s">
        <v>15</v>
      </c>
      <c r="D1579" s="10" t="s">
        <v>3534</v>
      </c>
      <c r="E1579" s="9" t="s">
        <v>17</v>
      </c>
      <c r="F1579" s="10">
        <v>31</v>
      </c>
      <c r="G1579" s="11">
        <f t="shared" ref="G1579" si="39">2348160258341</f>
        <v>2348160258341</v>
      </c>
      <c r="H1579" s="10" t="s">
        <v>3535</v>
      </c>
      <c r="I1579" s="10" t="s">
        <v>31</v>
      </c>
      <c r="J1579" s="10" t="s">
        <v>32</v>
      </c>
      <c r="K1579" s="12">
        <v>46003</v>
      </c>
      <c r="L1579" s="28" t="s">
        <v>11</v>
      </c>
      <c r="M1579" s="14"/>
      <c r="N1579" s="10" t="s">
        <v>1028</v>
      </c>
    </row>
    <row r="1580" spans="1:20" ht="22.5" customHeight="1">
      <c r="A1580" s="8">
        <v>46003.455667638889</v>
      </c>
      <c r="B1580" s="9" t="s">
        <v>14</v>
      </c>
      <c r="C1580" s="9" t="s">
        <v>15</v>
      </c>
      <c r="D1580" s="10" t="s">
        <v>3536</v>
      </c>
      <c r="E1580" s="9" t="s">
        <v>17</v>
      </c>
      <c r="F1580" s="10">
        <v>28</v>
      </c>
      <c r="G1580" s="11">
        <v>8128895857</v>
      </c>
      <c r="H1580" s="10" t="s">
        <v>3537</v>
      </c>
      <c r="I1580" s="10" t="s">
        <v>27</v>
      </c>
      <c r="J1580" s="10" t="s">
        <v>172</v>
      </c>
      <c r="K1580" s="12">
        <v>46003</v>
      </c>
      <c r="L1580" s="28" t="s">
        <v>11</v>
      </c>
      <c r="M1580" s="14"/>
      <c r="N1580" s="10" t="s">
        <v>1028</v>
      </c>
    </row>
    <row r="1581" spans="1:20" ht="22.5" customHeight="1">
      <c r="A1581" s="8">
        <v>46003.456219328698</v>
      </c>
      <c r="B1581" s="9" t="s">
        <v>14</v>
      </c>
      <c r="C1581" s="9" t="s">
        <v>15</v>
      </c>
      <c r="D1581" s="10" t="s">
        <v>3538</v>
      </c>
      <c r="E1581" s="9" t="s">
        <v>17</v>
      </c>
      <c r="F1581" s="10">
        <v>26</v>
      </c>
      <c r="G1581" s="11">
        <v>8036094454</v>
      </c>
      <c r="H1581" s="10" t="s">
        <v>3539</v>
      </c>
      <c r="I1581" s="10" t="s">
        <v>27</v>
      </c>
      <c r="J1581" s="10" t="s">
        <v>172</v>
      </c>
      <c r="K1581" s="12">
        <v>46003</v>
      </c>
      <c r="L1581" s="28" t="s">
        <v>11</v>
      </c>
      <c r="M1581" s="14"/>
      <c r="N1581" s="10" t="s">
        <v>1028</v>
      </c>
    </row>
    <row r="1582" spans="1:20" ht="22.5" customHeight="1">
      <c r="A1582" s="8">
        <v>46003.457214618058</v>
      </c>
      <c r="B1582" s="9" t="s">
        <v>14</v>
      </c>
      <c r="C1582" s="9" t="s">
        <v>15</v>
      </c>
      <c r="D1582" s="10" t="s">
        <v>3540</v>
      </c>
      <c r="E1582" s="9" t="s">
        <v>17</v>
      </c>
      <c r="F1582" s="10">
        <v>26</v>
      </c>
      <c r="G1582" s="11">
        <v>8137811191</v>
      </c>
      <c r="H1582" s="10" t="s">
        <v>3541</v>
      </c>
      <c r="I1582" s="10" t="s">
        <v>27</v>
      </c>
      <c r="J1582" s="10" t="s">
        <v>3542</v>
      </c>
      <c r="K1582" s="12">
        <v>46003</v>
      </c>
      <c r="L1582" s="28" t="s">
        <v>11</v>
      </c>
      <c r="M1582" s="14"/>
      <c r="N1582" s="10" t="s">
        <v>1028</v>
      </c>
    </row>
    <row r="1583" spans="1:20" ht="22.5" customHeight="1">
      <c r="A1583" s="8">
        <v>46003.462165011573</v>
      </c>
      <c r="B1583" s="9" t="s">
        <v>14</v>
      </c>
      <c r="C1583" s="9" t="s">
        <v>15</v>
      </c>
      <c r="D1583" s="10" t="s">
        <v>3543</v>
      </c>
      <c r="E1583" s="9" t="s">
        <v>17</v>
      </c>
      <c r="F1583" s="10">
        <v>22</v>
      </c>
      <c r="G1583" s="11">
        <v>7063670648</v>
      </c>
      <c r="H1583" s="10" t="s">
        <v>3544</v>
      </c>
      <c r="I1583" s="10" t="s">
        <v>45</v>
      </c>
      <c r="J1583" s="10" t="s">
        <v>3376</v>
      </c>
      <c r="K1583" s="12">
        <v>46003</v>
      </c>
      <c r="L1583" s="28" t="s">
        <v>11</v>
      </c>
      <c r="M1583" s="14"/>
      <c r="N1583" s="10" t="s">
        <v>3545</v>
      </c>
    </row>
    <row r="1584" spans="1:20" ht="22.5" customHeight="1">
      <c r="A1584" s="8">
        <v>46003.464440266209</v>
      </c>
      <c r="B1584" s="9" t="s">
        <v>14</v>
      </c>
      <c r="C1584" s="9" t="s">
        <v>15</v>
      </c>
      <c r="D1584" s="10" t="s">
        <v>3546</v>
      </c>
      <c r="E1584" s="9" t="s">
        <v>22</v>
      </c>
      <c r="F1584" s="10">
        <v>29</v>
      </c>
      <c r="G1584" s="11">
        <f t="shared" ref="G1584" si="40">2348106805531</f>
        <v>2348106805531</v>
      </c>
      <c r="H1584" s="10" t="s">
        <v>3547</v>
      </c>
      <c r="I1584" s="10" t="s">
        <v>27</v>
      </c>
      <c r="J1584" s="10" t="s">
        <v>3548</v>
      </c>
      <c r="K1584" s="12">
        <v>46003</v>
      </c>
      <c r="L1584" s="28" t="s">
        <v>11</v>
      </c>
      <c r="M1584" s="10"/>
      <c r="N1584" s="10" t="s">
        <v>1028</v>
      </c>
    </row>
    <row r="1585" spans="1:14" ht="22.5" customHeight="1">
      <c r="A1585" s="8">
        <v>46003.464540381945</v>
      </c>
      <c r="B1585" s="9" t="s">
        <v>14</v>
      </c>
      <c r="C1585" s="9" t="s">
        <v>15</v>
      </c>
      <c r="D1585" s="10" t="s">
        <v>3549</v>
      </c>
      <c r="E1585" s="9" t="s">
        <v>22</v>
      </c>
      <c r="F1585" s="10">
        <v>32</v>
      </c>
      <c r="G1585" s="11">
        <v>7068487155</v>
      </c>
      <c r="H1585" s="10" t="s">
        <v>3550</v>
      </c>
      <c r="I1585" s="10" t="s">
        <v>27</v>
      </c>
      <c r="J1585" s="10" t="s">
        <v>703</v>
      </c>
      <c r="K1585" s="12">
        <v>46003</v>
      </c>
      <c r="L1585" s="28" t="s">
        <v>11</v>
      </c>
      <c r="M1585" s="14"/>
      <c r="N1585" s="10" t="s">
        <v>1028</v>
      </c>
    </row>
    <row r="1586" spans="1:14" ht="22.5" customHeight="1">
      <c r="A1586" s="8">
        <v>46003.464888495371</v>
      </c>
      <c r="B1586" s="9" t="s">
        <v>14</v>
      </c>
      <c r="C1586" s="9" t="s">
        <v>15</v>
      </c>
      <c r="D1586" s="10" t="s">
        <v>3551</v>
      </c>
      <c r="E1586" s="9" t="s">
        <v>22</v>
      </c>
      <c r="F1586" s="10">
        <v>32</v>
      </c>
      <c r="G1586" s="11">
        <v>8145754434</v>
      </c>
      <c r="H1586" s="10" t="s">
        <v>3552</v>
      </c>
      <c r="I1586" s="10" t="s">
        <v>27</v>
      </c>
      <c r="J1586" s="10" t="s">
        <v>1559</v>
      </c>
      <c r="K1586" s="12">
        <v>46003</v>
      </c>
      <c r="L1586" s="28" t="s">
        <v>11</v>
      </c>
      <c r="M1586" s="14"/>
      <c r="N1586" s="10" t="s">
        <v>1096</v>
      </c>
    </row>
    <row r="1587" spans="1:14" ht="22.5" customHeight="1">
      <c r="A1587" s="8">
        <v>46003.467557905096</v>
      </c>
      <c r="B1587" s="9" t="s">
        <v>14</v>
      </c>
      <c r="C1587" s="9" t="s">
        <v>15</v>
      </c>
      <c r="D1587" s="10" t="s">
        <v>3553</v>
      </c>
      <c r="E1587" s="9" t="s">
        <v>17</v>
      </c>
      <c r="F1587" s="10">
        <v>27</v>
      </c>
      <c r="G1587" s="11">
        <v>9018493435</v>
      </c>
      <c r="H1587" s="10" t="s">
        <v>3554</v>
      </c>
      <c r="I1587" s="10" t="s">
        <v>27</v>
      </c>
      <c r="J1587" s="10" t="s">
        <v>94</v>
      </c>
      <c r="K1587" s="12">
        <v>35882</v>
      </c>
      <c r="L1587" s="28" t="s">
        <v>11</v>
      </c>
      <c r="M1587" s="10"/>
      <c r="N1587" s="10" t="s">
        <v>1028</v>
      </c>
    </row>
    <row r="1588" spans="1:14" ht="22.5" hidden="1" customHeight="1">
      <c r="A1588" s="8">
        <v>46003.467696527776</v>
      </c>
      <c r="B1588" s="9" t="s">
        <v>14</v>
      </c>
      <c r="C1588" s="9" t="s">
        <v>15</v>
      </c>
      <c r="D1588" s="10" t="s">
        <v>3555</v>
      </c>
      <c r="E1588" s="9" t="s">
        <v>17</v>
      </c>
      <c r="F1588" s="10">
        <v>18</v>
      </c>
      <c r="G1588" s="11">
        <v>9078078654</v>
      </c>
      <c r="H1588" s="10" t="s">
        <v>3556</v>
      </c>
      <c r="I1588" s="10" t="s">
        <v>27</v>
      </c>
      <c r="J1588" s="10" t="s">
        <v>2669</v>
      </c>
      <c r="K1588" s="12">
        <v>46003</v>
      </c>
      <c r="L1588" s="10" t="s">
        <v>441</v>
      </c>
      <c r="M1588" s="10" t="s">
        <v>1361</v>
      </c>
      <c r="N1588" s="10" t="s">
        <v>1028</v>
      </c>
    </row>
    <row r="1589" spans="1:14" ht="22.5" customHeight="1">
      <c r="A1589" s="8">
        <v>46003.471554629628</v>
      </c>
      <c r="B1589" s="9" t="s">
        <v>14</v>
      </c>
      <c r="C1589" s="9" t="s">
        <v>15</v>
      </c>
      <c r="D1589" s="10" t="s">
        <v>3557</v>
      </c>
      <c r="E1589" s="9" t="s">
        <v>22</v>
      </c>
      <c r="F1589" s="10">
        <v>28</v>
      </c>
      <c r="G1589" s="11">
        <v>8129097498</v>
      </c>
      <c r="H1589" s="10" t="s">
        <v>3558</v>
      </c>
      <c r="I1589" s="10" t="s">
        <v>145</v>
      </c>
      <c r="J1589" s="10" t="s">
        <v>3559</v>
      </c>
      <c r="K1589" s="12">
        <v>46003</v>
      </c>
      <c r="L1589" s="28" t="s">
        <v>11</v>
      </c>
      <c r="M1589" s="14"/>
      <c r="N1589" s="10" t="s">
        <v>3560</v>
      </c>
    </row>
    <row r="1590" spans="1:14" ht="22.5" customHeight="1">
      <c r="A1590" s="8">
        <v>46003.471644583333</v>
      </c>
      <c r="B1590" s="9" t="s">
        <v>14</v>
      </c>
      <c r="C1590" s="9" t="s">
        <v>15</v>
      </c>
      <c r="D1590" s="10" t="s">
        <v>3561</v>
      </c>
      <c r="E1590" s="9" t="s">
        <v>17</v>
      </c>
      <c r="F1590" s="10">
        <v>24</v>
      </c>
      <c r="G1590" s="11">
        <v>9074387481</v>
      </c>
      <c r="H1590" s="10" t="s">
        <v>3562</v>
      </c>
      <c r="I1590" s="10" t="s">
        <v>19</v>
      </c>
      <c r="J1590" s="10" t="s">
        <v>2221</v>
      </c>
      <c r="K1590" s="12">
        <v>46003</v>
      </c>
      <c r="L1590" s="28" t="s">
        <v>11</v>
      </c>
      <c r="M1590" s="14"/>
      <c r="N1590" s="10" t="s">
        <v>1028</v>
      </c>
    </row>
    <row r="1591" spans="1:14" ht="22.5" customHeight="1">
      <c r="A1591" s="8">
        <v>46003.474435555559</v>
      </c>
      <c r="B1591" s="9" t="s">
        <v>14</v>
      </c>
      <c r="C1591" s="9" t="s">
        <v>15</v>
      </c>
      <c r="D1591" s="10" t="s">
        <v>3563</v>
      </c>
      <c r="E1591" s="9" t="s">
        <v>17</v>
      </c>
      <c r="F1591" s="10">
        <v>25</v>
      </c>
      <c r="G1591" s="11">
        <v>9037900244</v>
      </c>
      <c r="H1591" s="10" t="s">
        <v>3564</v>
      </c>
      <c r="I1591" s="10" t="s">
        <v>27</v>
      </c>
      <c r="J1591" s="10" t="s">
        <v>1559</v>
      </c>
      <c r="K1591" s="12">
        <v>46003</v>
      </c>
      <c r="L1591" s="28" t="s">
        <v>11</v>
      </c>
      <c r="M1591" s="14"/>
      <c r="N1591" s="10" t="s">
        <v>1028</v>
      </c>
    </row>
    <row r="1592" spans="1:14" ht="22.5" customHeight="1">
      <c r="A1592" s="8">
        <v>46003.475823483794</v>
      </c>
      <c r="B1592" s="9" t="s">
        <v>14</v>
      </c>
      <c r="C1592" s="9" t="s">
        <v>15</v>
      </c>
      <c r="D1592" s="10" t="s">
        <v>3565</v>
      </c>
      <c r="E1592" s="9" t="s">
        <v>22</v>
      </c>
      <c r="F1592" s="10">
        <v>34</v>
      </c>
      <c r="G1592" s="11">
        <v>8139150705</v>
      </c>
      <c r="H1592" s="10" t="s">
        <v>3566</v>
      </c>
      <c r="I1592" s="10" t="s">
        <v>45</v>
      </c>
      <c r="J1592" s="10" t="s">
        <v>439</v>
      </c>
      <c r="K1592" s="12">
        <v>46003</v>
      </c>
      <c r="L1592" s="28" t="s">
        <v>11</v>
      </c>
      <c r="M1592" s="14"/>
      <c r="N1592" s="10" t="s">
        <v>1028</v>
      </c>
    </row>
    <row r="1593" spans="1:14" ht="22.5" customHeight="1">
      <c r="A1593" s="8">
        <v>46003.477500636574</v>
      </c>
      <c r="B1593" s="9" t="s">
        <v>14</v>
      </c>
      <c r="C1593" s="9" t="s">
        <v>15</v>
      </c>
      <c r="D1593" s="10" t="s">
        <v>3567</v>
      </c>
      <c r="E1593" s="9" t="s">
        <v>17</v>
      </c>
      <c r="F1593" s="10">
        <v>19</v>
      </c>
      <c r="G1593" s="11">
        <v>7025113576</v>
      </c>
      <c r="H1593" s="10" t="s">
        <v>3568</v>
      </c>
      <c r="I1593" s="10" t="s">
        <v>45</v>
      </c>
      <c r="J1593" s="10" t="s">
        <v>287</v>
      </c>
      <c r="K1593" s="12">
        <v>46003</v>
      </c>
      <c r="L1593" s="28" t="s">
        <v>11</v>
      </c>
      <c r="M1593" s="14"/>
      <c r="N1593" s="10" t="s">
        <v>1028</v>
      </c>
    </row>
    <row r="1594" spans="1:14" ht="22.5" customHeight="1">
      <c r="A1594" s="8">
        <v>46003.482824340274</v>
      </c>
      <c r="B1594" s="9" t="s">
        <v>14</v>
      </c>
      <c r="C1594" s="9" t="s">
        <v>15</v>
      </c>
      <c r="D1594" s="10" t="s">
        <v>3569</v>
      </c>
      <c r="E1594" s="9" t="s">
        <v>22</v>
      </c>
      <c r="F1594" s="10">
        <v>35</v>
      </c>
      <c r="G1594" s="11">
        <v>8168735104</v>
      </c>
      <c r="H1594" s="10" t="s">
        <v>3570</v>
      </c>
      <c r="I1594" s="10" t="s">
        <v>19</v>
      </c>
      <c r="J1594" s="10" t="s">
        <v>24</v>
      </c>
      <c r="K1594" s="12">
        <v>46003</v>
      </c>
      <c r="L1594" s="28" t="s">
        <v>11</v>
      </c>
      <c r="M1594" s="14"/>
      <c r="N1594" s="10" t="s">
        <v>1028</v>
      </c>
    </row>
    <row r="1595" spans="1:14" ht="22.5" customHeight="1">
      <c r="A1595" s="8">
        <v>46003.487255428241</v>
      </c>
      <c r="B1595" s="9" t="s">
        <v>14</v>
      </c>
      <c r="C1595" s="9" t="s">
        <v>15</v>
      </c>
      <c r="D1595" s="10" t="s">
        <v>3571</v>
      </c>
      <c r="E1595" s="9" t="s">
        <v>17</v>
      </c>
      <c r="F1595" s="10">
        <v>39</v>
      </c>
      <c r="G1595" s="11">
        <v>8063606425</v>
      </c>
      <c r="H1595" s="10" t="s">
        <v>3572</v>
      </c>
      <c r="I1595" s="10" t="s">
        <v>19</v>
      </c>
      <c r="J1595" s="10" t="s">
        <v>119</v>
      </c>
      <c r="K1595" s="12">
        <v>46003</v>
      </c>
      <c r="L1595" s="28" t="s">
        <v>11</v>
      </c>
      <c r="M1595" s="14"/>
      <c r="N1595" s="10" t="s">
        <v>1096</v>
      </c>
    </row>
    <row r="1596" spans="1:14" ht="22.5" customHeight="1">
      <c r="A1596" s="8">
        <v>46003.489282175928</v>
      </c>
      <c r="B1596" s="9" t="s">
        <v>14</v>
      </c>
      <c r="C1596" s="9" t="s">
        <v>15</v>
      </c>
      <c r="D1596" s="10" t="s">
        <v>3573</v>
      </c>
      <c r="E1596" s="9" t="s">
        <v>22</v>
      </c>
      <c r="F1596" s="10">
        <v>32</v>
      </c>
      <c r="G1596" s="11">
        <v>8167137280</v>
      </c>
      <c r="H1596" s="10" t="s">
        <v>3574</v>
      </c>
      <c r="I1596" s="10" t="s">
        <v>202</v>
      </c>
      <c r="J1596" s="10" t="s">
        <v>3575</v>
      </c>
      <c r="K1596" s="12">
        <v>46003</v>
      </c>
      <c r="L1596" s="28" t="s">
        <v>11</v>
      </c>
      <c r="M1596" s="14"/>
      <c r="N1596" s="10" t="s">
        <v>1028</v>
      </c>
    </row>
    <row r="1597" spans="1:14" ht="22.5" customHeight="1">
      <c r="A1597" s="8">
        <v>46003.490706539349</v>
      </c>
      <c r="B1597" s="9" t="s">
        <v>14</v>
      </c>
      <c r="C1597" s="9" t="s">
        <v>15</v>
      </c>
      <c r="D1597" s="10" t="s">
        <v>3576</v>
      </c>
      <c r="E1597" s="9" t="s">
        <v>22</v>
      </c>
      <c r="F1597" s="10">
        <v>25</v>
      </c>
      <c r="G1597" s="11">
        <v>8027664180</v>
      </c>
      <c r="H1597" s="10" t="s">
        <v>3577</v>
      </c>
      <c r="I1597" s="10" t="s">
        <v>31</v>
      </c>
      <c r="J1597" s="10" t="s">
        <v>32</v>
      </c>
      <c r="K1597" s="12">
        <v>46003</v>
      </c>
      <c r="L1597" s="28" t="s">
        <v>11</v>
      </c>
      <c r="M1597" s="14"/>
      <c r="N1597" s="10" t="s">
        <v>1028</v>
      </c>
    </row>
    <row r="1598" spans="1:14" ht="22.5" customHeight="1">
      <c r="A1598" s="8">
        <v>46003.492462523151</v>
      </c>
      <c r="B1598" s="9" t="s">
        <v>14</v>
      </c>
      <c r="C1598" s="9" t="s">
        <v>15</v>
      </c>
      <c r="D1598" s="10" t="s">
        <v>3578</v>
      </c>
      <c r="E1598" s="9" t="s">
        <v>22</v>
      </c>
      <c r="F1598" s="10">
        <v>26</v>
      </c>
      <c r="G1598" s="11">
        <v>7065797279</v>
      </c>
      <c r="H1598" s="10" t="s">
        <v>3579</v>
      </c>
      <c r="I1598" s="10" t="s">
        <v>45</v>
      </c>
      <c r="J1598" s="10" t="s">
        <v>100</v>
      </c>
      <c r="K1598" s="12">
        <v>46003</v>
      </c>
      <c r="L1598" s="28" t="s">
        <v>11</v>
      </c>
      <c r="M1598" s="14"/>
      <c r="N1598" s="10" t="s">
        <v>1028</v>
      </c>
    </row>
    <row r="1599" spans="1:14" ht="22.5" customHeight="1">
      <c r="A1599" s="8">
        <v>46003.495235486116</v>
      </c>
      <c r="B1599" s="9" t="s">
        <v>14</v>
      </c>
      <c r="C1599" s="9" t="s">
        <v>15</v>
      </c>
      <c r="D1599" s="10" t="s">
        <v>3580</v>
      </c>
      <c r="E1599" s="9" t="s">
        <v>17</v>
      </c>
      <c r="F1599" s="10">
        <v>25</v>
      </c>
      <c r="G1599" s="11">
        <v>9076209063</v>
      </c>
      <c r="H1599" s="10" t="s">
        <v>3581</v>
      </c>
      <c r="I1599" s="10" t="s">
        <v>27</v>
      </c>
      <c r="J1599" s="10" t="s">
        <v>2328</v>
      </c>
      <c r="K1599" s="12">
        <v>36686</v>
      </c>
      <c r="L1599" s="28" t="s">
        <v>11</v>
      </c>
      <c r="M1599" s="14"/>
      <c r="N1599" s="10" t="s">
        <v>1028</v>
      </c>
    </row>
    <row r="1600" spans="1:14" ht="22.5" customHeight="1">
      <c r="A1600" s="8">
        <v>46003.496686168983</v>
      </c>
      <c r="B1600" s="9" t="s">
        <v>14</v>
      </c>
      <c r="C1600" s="9" t="s">
        <v>15</v>
      </c>
      <c r="D1600" s="10" t="s">
        <v>3582</v>
      </c>
      <c r="E1600" s="9" t="s">
        <v>22</v>
      </c>
      <c r="F1600" s="10">
        <v>30</v>
      </c>
      <c r="G1600" s="11">
        <v>7033757878</v>
      </c>
      <c r="H1600" s="10" t="s">
        <v>3583</v>
      </c>
      <c r="I1600" s="10" t="s">
        <v>145</v>
      </c>
      <c r="J1600" s="10" t="s">
        <v>3584</v>
      </c>
      <c r="K1600" s="12">
        <v>46003</v>
      </c>
      <c r="L1600" s="28" t="s">
        <v>11</v>
      </c>
      <c r="M1600" s="14"/>
      <c r="N1600" s="10" t="s">
        <v>1028</v>
      </c>
    </row>
    <row r="1601" spans="1:14" ht="22.5" hidden="1" customHeight="1">
      <c r="A1601" s="8">
        <v>46003.497977615742</v>
      </c>
      <c r="B1601" s="9" t="s">
        <v>14</v>
      </c>
      <c r="C1601" s="9" t="s">
        <v>15</v>
      </c>
      <c r="D1601" s="10" t="s">
        <v>3585</v>
      </c>
      <c r="E1601" s="9" t="s">
        <v>22</v>
      </c>
      <c r="F1601" s="10">
        <v>21</v>
      </c>
      <c r="G1601" s="11">
        <v>8108970024</v>
      </c>
      <c r="H1601" s="10" t="s">
        <v>3586</v>
      </c>
      <c r="I1601" s="10" t="s">
        <v>27</v>
      </c>
      <c r="J1601" s="10" t="s">
        <v>94</v>
      </c>
      <c r="K1601" s="12">
        <v>46003</v>
      </c>
      <c r="L1601" s="10" t="s">
        <v>441</v>
      </c>
      <c r="M1601" s="10" t="s">
        <v>3055</v>
      </c>
      <c r="N1601" s="10" t="s">
        <v>1096</v>
      </c>
    </row>
    <row r="1602" spans="1:14" ht="22.5" customHeight="1">
      <c r="A1602" s="8">
        <v>46003.499260127312</v>
      </c>
      <c r="B1602" s="9" t="s">
        <v>14</v>
      </c>
      <c r="C1602" s="9" t="s">
        <v>15</v>
      </c>
      <c r="D1602" s="10" t="s">
        <v>3587</v>
      </c>
      <c r="E1602" s="9" t="s">
        <v>17</v>
      </c>
      <c r="F1602" s="10">
        <v>19</v>
      </c>
      <c r="G1602" s="11">
        <v>9066939416</v>
      </c>
      <c r="H1602" s="10" t="s">
        <v>3588</v>
      </c>
      <c r="I1602" s="10" t="s">
        <v>19</v>
      </c>
      <c r="J1602" s="10" t="s">
        <v>3589</v>
      </c>
      <c r="K1602" s="12">
        <v>46003</v>
      </c>
      <c r="L1602" s="28" t="s">
        <v>11</v>
      </c>
      <c r="M1602" s="10"/>
      <c r="N1602" s="10" t="s">
        <v>1096</v>
      </c>
    </row>
    <row r="1603" spans="1:14" ht="22.5" customHeight="1">
      <c r="A1603" s="8">
        <v>46003.49930516204</v>
      </c>
      <c r="B1603" s="9" t="s">
        <v>14</v>
      </c>
      <c r="C1603" s="9" t="s">
        <v>15</v>
      </c>
      <c r="D1603" s="10" t="s">
        <v>3590</v>
      </c>
      <c r="E1603" s="9" t="s">
        <v>17</v>
      </c>
      <c r="F1603" s="10">
        <v>32</v>
      </c>
      <c r="G1603" s="11">
        <v>7035100571</v>
      </c>
      <c r="H1603" s="10" t="s">
        <v>3591</v>
      </c>
      <c r="I1603" s="10" t="s">
        <v>19</v>
      </c>
      <c r="J1603" s="10" t="s">
        <v>3592</v>
      </c>
      <c r="K1603" s="12">
        <v>46003</v>
      </c>
      <c r="L1603" s="28" t="s">
        <v>11</v>
      </c>
      <c r="M1603" s="14"/>
      <c r="N1603" s="10" t="s">
        <v>1028</v>
      </c>
    </row>
    <row r="1604" spans="1:14" ht="22.5" customHeight="1">
      <c r="A1604" s="8">
        <v>46003.499657858796</v>
      </c>
      <c r="B1604" s="9" t="s">
        <v>14</v>
      </c>
      <c r="C1604" s="9" t="s">
        <v>15</v>
      </c>
      <c r="D1604" s="10" t="s">
        <v>3593</v>
      </c>
      <c r="E1604" s="9" t="s">
        <v>22</v>
      </c>
      <c r="F1604" s="10">
        <v>31</v>
      </c>
      <c r="G1604" s="11">
        <v>7034297744</v>
      </c>
      <c r="H1604" s="10" t="s">
        <v>3594</v>
      </c>
      <c r="I1604" s="10" t="s">
        <v>27</v>
      </c>
      <c r="J1604" s="10" t="s">
        <v>703</v>
      </c>
      <c r="K1604" s="12">
        <v>46003</v>
      </c>
      <c r="L1604" s="28" t="s">
        <v>11</v>
      </c>
      <c r="M1604" s="14"/>
      <c r="N1604" s="10" t="s">
        <v>1028</v>
      </c>
    </row>
    <row r="1605" spans="1:14" ht="22.5" customHeight="1">
      <c r="A1605" s="8">
        <v>46003.504209456019</v>
      </c>
      <c r="B1605" s="9" t="s">
        <v>14</v>
      </c>
      <c r="C1605" s="9" t="s">
        <v>15</v>
      </c>
      <c r="D1605" s="10" t="s">
        <v>3595</v>
      </c>
      <c r="E1605" s="9" t="s">
        <v>17</v>
      </c>
      <c r="F1605" s="10">
        <v>43</v>
      </c>
      <c r="G1605" s="11">
        <v>8037919086</v>
      </c>
      <c r="H1605" s="10" t="s">
        <v>3596</v>
      </c>
      <c r="I1605" s="10" t="s">
        <v>31</v>
      </c>
      <c r="J1605" s="10" t="s">
        <v>3529</v>
      </c>
      <c r="K1605" s="12">
        <v>46003</v>
      </c>
      <c r="L1605" s="28" t="s">
        <v>11</v>
      </c>
      <c r="M1605" s="14"/>
      <c r="N1605" s="10" t="s">
        <v>1028</v>
      </c>
    </row>
    <row r="1606" spans="1:14" ht="22.5" customHeight="1">
      <c r="A1606" s="8">
        <v>46003.507222314816</v>
      </c>
      <c r="B1606" s="9" t="s">
        <v>14</v>
      </c>
      <c r="C1606" s="9" t="s">
        <v>15</v>
      </c>
      <c r="D1606" s="10" t="s">
        <v>3597</v>
      </c>
      <c r="E1606" s="9" t="s">
        <v>17</v>
      </c>
      <c r="F1606" s="10">
        <v>35</v>
      </c>
      <c r="G1606" s="11">
        <v>7033277637</v>
      </c>
      <c r="H1606" s="10" t="s">
        <v>3598</v>
      </c>
      <c r="I1606" s="10" t="s">
        <v>45</v>
      </c>
      <c r="J1606" s="10" t="s">
        <v>46</v>
      </c>
      <c r="K1606" s="12">
        <v>46003</v>
      </c>
      <c r="L1606" s="28" t="s">
        <v>11</v>
      </c>
      <c r="M1606" s="14"/>
      <c r="N1606" s="10" t="s">
        <v>1028</v>
      </c>
    </row>
    <row r="1607" spans="1:14" ht="22.5" customHeight="1">
      <c r="A1607" s="8">
        <v>46003.509167962962</v>
      </c>
      <c r="B1607" s="9" t="s">
        <v>14</v>
      </c>
      <c r="C1607" s="9" t="s">
        <v>15</v>
      </c>
      <c r="D1607" s="10" t="s">
        <v>3599</v>
      </c>
      <c r="E1607" s="9" t="s">
        <v>22</v>
      </c>
      <c r="F1607" s="10">
        <v>32</v>
      </c>
      <c r="G1607" s="11">
        <f t="shared" ref="G1607" si="41">2348106779668</f>
        <v>2348106779668</v>
      </c>
      <c r="H1607" s="10" t="s">
        <v>3600</v>
      </c>
      <c r="I1607" s="10" t="s">
        <v>19</v>
      </c>
      <c r="J1607" s="10" t="s">
        <v>3601</v>
      </c>
      <c r="K1607" s="12">
        <v>46003</v>
      </c>
      <c r="L1607" s="28" t="s">
        <v>11</v>
      </c>
      <c r="M1607" s="14"/>
      <c r="N1607" s="10" t="s">
        <v>1096</v>
      </c>
    </row>
    <row r="1608" spans="1:14" ht="22.5" customHeight="1">
      <c r="A1608" s="8">
        <v>46003.509588298606</v>
      </c>
      <c r="B1608" s="9" t="s">
        <v>14</v>
      </c>
      <c r="C1608" s="9" t="s">
        <v>15</v>
      </c>
      <c r="D1608" s="10" t="s">
        <v>3602</v>
      </c>
      <c r="E1608" s="9" t="s">
        <v>17</v>
      </c>
      <c r="F1608" s="10">
        <v>24</v>
      </c>
      <c r="G1608" s="11">
        <v>9036442000</v>
      </c>
      <c r="H1608" s="10" t="s">
        <v>3603</v>
      </c>
      <c r="I1608" s="10" t="s">
        <v>45</v>
      </c>
      <c r="J1608" s="10" t="s">
        <v>932</v>
      </c>
      <c r="K1608" s="12">
        <v>37174</v>
      </c>
      <c r="L1608" s="28" t="s">
        <v>11</v>
      </c>
      <c r="M1608" s="10"/>
      <c r="N1608" s="10" t="s">
        <v>1028</v>
      </c>
    </row>
    <row r="1609" spans="1:14" ht="22.5" customHeight="1">
      <c r="A1609" s="8">
        <v>46003.512925196759</v>
      </c>
      <c r="B1609" s="9" t="s">
        <v>14</v>
      </c>
      <c r="C1609" s="9" t="s">
        <v>15</v>
      </c>
      <c r="D1609" s="10" t="s">
        <v>3604</v>
      </c>
      <c r="E1609" s="9" t="s">
        <v>17</v>
      </c>
      <c r="F1609" s="10">
        <v>44</v>
      </c>
      <c r="G1609" s="11">
        <v>8035926320</v>
      </c>
      <c r="H1609" s="10" t="s">
        <v>3605</v>
      </c>
      <c r="I1609" s="10" t="s">
        <v>19</v>
      </c>
      <c r="J1609" s="10" t="s">
        <v>3606</v>
      </c>
      <c r="K1609" s="12">
        <v>46003</v>
      </c>
      <c r="L1609" s="28" t="s">
        <v>11</v>
      </c>
      <c r="M1609" s="14"/>
      <c r="N1609" s="10" t="s">
        <v>1028</v>
      </c>
    </row>
    <row r="1610" spans="1:14" ht="22.5" customHeight="1">
      <c r="A1610" s="8">
        <v>46003.514246469902</v>
      </c>
      <c r="B1610" s="9" t="s">
        <v>14</v>
      </c>
      <c r="C1610" s="9" t="s">
        <v>15</v>
      </c>
      <c r="D1610" s="10" t="s">
        <v>3607</v>
      </c>
      <c r="E1610" s="9" t="s">
        <v>22</v>
      </c>
      <c r="F1610" s="10">
        <v>36</v>
      </c>
      <c r="G1610" s="11">
        <v>8137146446</v>
      </c>
      <c r="H1610" s="10" t="s">
        <v>3608</v>
      </c>
      <c r="I1610" s="10" t="s">
        <v>27</v>
      </c>
      <c r="J1610" s="10" t="s">
        <v>1890</v>
      </c>
      <c r="K1610" s="12">
        <v>33168</v>
      </c>
      <c r="L1610" s="28" t="s">
        <v>11</v>
      </c>
      <c r="M1610" s="14"/>
      <c r="N1610" s="10" t="s">
        <v>1028</v>
      </c>
    </row>
    <row r="1611" spans="1:14" ht="22.5" customHeight="1">
      <c r="A1611" s="8">
        <v>46003.514939097222</v>
      </c>
      <c r="B1611" s="9" t="s">
        <v>14</v>
      </c>
      <c r="C1611" s="9" t="s">
        <v>15</v>
      </c>
      <c r="D1611" s="10" t="s">
        <v>3609</v>
      </c>
      <c r="E1611" s="9" t="s">
        <v>17</v>
      </c>
      <c r="F1611" s="10">
        <v>26</v>
      </c>
      <c r="G1611" s="11">
        <v>8027851437</v>
      </c>
      <c r="H1611" s="10" t="s">
        <v>3610</v>
      </c>
      <c r="I1611" s="10" t="s">
        <v>45</v>
      </c>
      <c r="J1611" s="10" t="s">
        <v>3611</v>
      </c>
      <c r="K1611" s="12">
        <v>46003</v>
      </c>
      <c r="L1611" s="28" t="s">
        <v>11</v>
      </c>
      <c r="M1611" s="14"/>
      <c r="N1611" s="10" t="s">
        <v>1028</v>
      </c>
    </row>
    <row r="1612" spans="1:14" ht="22.5" customHeight="1">
      <c r="A1612" s="8">
        <v>46003.515692627319</v>
      </c>
      <c r="B1612" s="9" t="s">
        <v>14</v>
      </c>
      <c r="C1612" s="9" t="s">
        <v>15</v>
      </c>
      <c r="D1612" s="10" t="s">
        <v>3612</v>
      </c>
      <c r="E1612" s="9" t="s">
        <v>22</v>
      </c>
      <c r="F1612" s="10">
        <v>28</v>
      </c>
      <c r="G1612" s="11">
        <v>8080081156</v>
      </c>
      <c r="H1612" s="10" t="s">
        <v>3613</v>
      </c>
      <c r="I1612" s="10" t="s">
        <v>145</v>
      </c>
      <c r="J1612" s="10" t="s">
        <v>3614</v>
      </c>
      <c r="K1612" s="12">
        <v>46003</v>
      </c>
      <c r="L1612" s="28" t="s">
        <v>11</v>
      </c>
      <c r="M1612" s="14"/>
      <c r="N1612" s="10" t="s">
        <v>1028</v>
      </c>
    </row>
    <row r="1613" spans="1:14" ht="22.5" customHeight="1">
      <c r="A1613" s="8">
        <v>46003.515921319442</v>
      </c>
      <c r="B1613" s="9" t="s">
        <v>14</v>
      </c>
      <c r="C1613" s="9" t="s">
        <v>15</v>
      </c>
      <c r="D1613" s="10" t="s">
        <v>3615</v>
      </c>
      <c r="E1613" s="9" t="s">
        <v>17</v>
      </c>
      <c r="F1613" s="10">
        <v>30</v>
      </c>
      <c r="G1613" s="11">
        <v>7038143061</v>
      </c>
      <c r="H1613" s="10" t="s">
        <v>3616</v>
      </c>
      <c r="I1613" s="10" t="s">
        <v>27</v>
      </c>
      <c r="J1613" s="10" t="s">
        <v>1895</v>
      </c>
      <c r="K1613" s="12">
        <v>46003</v>
      </c>
      <c r="L1613" s="28" t="s">
        <v>11</v>
      </c>
      <c r="M1613" s="14"/>
      <c r="N1613" s="10" t="s">
        <v>1028</v>
      </c>
    </row>
    <row r="1614" spans="1:14" ht="22.5" customHeight="1">
      <c r="A1614" s="8">
        <v>46003.51753261574</v>
      </c>
      <c r="B1614" s="9" t="s">
        <v>14</v>
      </c>
      <c r="C1614" s="9" t="s">
        <v>15</v>
      </c>
      <c r="D1614" s="10" t="s">
        <v>3617</v>
      </c>
      <c r="E1614" s="9" t="s">
        <v>17</v>
      </c>
      <c r="F1614" s="10">
        <v>45</v>
      </c>
      <c r="G1614" s="11">
        <f>2348068164814</f>
        <v>2348068164814</v>
      </c>
      <c r="H1614" s="10" t="s">
        <v>3618</v>
      </c>
      <c r="I1614" s="10" t="s">
        <v>27</v>
      </c>
      <c r="J1614" s="10" t="s">
        <v>3619</v>
      </c>
      <c r="K1614" s="12">
        <v>46003</v>
      </c>
      <c r="L1614" s="28" t="s">
        <v>11</v>
      </c>
      <c r="M1614" s="14"/>
      <c r="N1614" s="10" t="s">
        <v>1028</v>
      </c>
    </row>
    <row r="1615" spans="1:14" ht="22.5" customHeight="1">
      <c r="A1615" s="8">
        <v>46003.517539930559</v>
      </c>
      <c r="B1615" s="9" t="s">
        <v>14</v>
      </c>
      <c r="C1615" s="9" t="s">
        <v>15</v>
      </c>
      <c r="D1615" s="10" t="s">
        <v>3620</v>
      </c>
      <c r="E1615" s="9" t="s">
        <v>17</v>
      </c>
      <c r="F1615" s="10">
        <v>32</v>
      </c>
      <c r="G1615" s="11">
        <v>8035314901</v>
      </c>
      <c r="H1615" s="10" t="s">
        <v>3621</v>
      </c>
      <c r="I1615" s="10" t="s">
        <v>27</v>
      </c>
      <c r="J1615" s="10" t="s">
        <v>70</v>
      </c>
      <c r="K1615" s="12">
        <v>46003</v>
      </c>
      <c r="L1615" s="28" t="s">
        <v>11</v>
      </c>
      <c r="M1615" s="14"/>
      <c r="N1615" s="10" t="s">
        <v>1028</v>
      </c>
    </row>
    <row r="1616" spans="1:14" ht="22.5" customHeight="1">
      <c r="A1616" s="8">
        <v>46003.518986689814</v>
      </c>
      <c r="B1616" s="9" t="s">
        <v>14</v>
      </c>
      <c r="C1616" s="9" t="s">
        <v>15</v>
      </c>
      <c r="D1616" s="10" t="s">
        <v>3622</v>
      </c>
      <c r="E1616" s="9" t="s">
        <v>17</v>
      </c>
      <c r="F1616" s="10">
        <v>21</v>
      </c>
      <c r="G1616" s="11">
        <v>8101438285</v>
      </c>
      <c r="H1616" s="10" t="s">
        <v>3623</v>
      </c>
      <c r="I1616" s="10" t="s">
        <v>27</v>
      </c>
      <c r="J1616" s="10" t="s">
        <v>28</v>
      </c>
      <c r="K1616" s="12">
        <v>46003</v>
      </c>
      <c r="L1616" s="28" t="s">
        <v>11</v>
      </c>
      <c r="M1616" s="14"/>
      <c r="N1616" s="10" t="s">
        <v>1028</v>
      </c>
    </row>
    <row r="1617" spans="1:14" ht="22.5" customHeight="1">
      <c r="A1617" s="8">
        <v>46003.521852442129</v>
      </c>
      <c r="B1617" s="9" t="s">
        <v>14</v>
      </c>
      <c r="C1617" s="9" t="s">
        <v>15</v>
      </c>
      <c r="D1617" s="10" t="s">
        <v>3624</v>
      </c>
      <c r="E1617" s="9" t="s">
        <v>17</v>
      </c>
      <c r="F1617" s="10">
        <v>28</v>
      </c>
      <c r="G1617" s="11">
        <v>9041396878</v>
      </c>
      <c r="H1617" s="10" t="s">
        <v>3625</v>
      </c>
      <c r="I1617" s="10" t="s">
        <v>27</v>
      </c>
      <c r="J1617" s="10" t="s">
        <v>3626</v>
      </c>
      <c r="K1617" s="12">
        <v>46003</v>
      </c>
      <c r="L1617" s="28" t="s">
        <v>11</v>
      </c>
      <c r="M1617" s="14"/>
      <c r="N1617" s="10" t="s">
        <v>1028</v>
      </c>
    </row>
    <row r="1618" spans="1:14" ht="22.5" customHeight="1">
      <c r="A1618" s="8">
        <v>46003.521928333328</v>
      </c>
      <c r="B1618" s="9" t="s">
        <v>14</v>
      </c>
      <c r="C1618" s="9" t="s">
        <v>15</v>
      </c>
      <c r="D1618" s="10" t="s">
        <v>3627</v>
      </c>
      <c r="E1618" s="9" t="s">
        <v>17</v>
      </c>
      <c r="F1618" s="10">
        <v>38</v>
      </c>
      <c r="G1618" s="11">
        <v>8065955771</v>
      </c>
      <c r="H1618" s="10" t="s">
        <v>3628</v>
      </c>
      <c r="I1618" s="10" t="s">
        <v>27</v>
      </c>
      <c r="J1618" s="10" t="s">
        <v>172</v>
      </c>
      <c r="K1618" s="12">
        <v>31853</v>
      </c>
      <c r="L1618" s="28" t="s">
        <v>11</v>
      </c>
      <c r="M1618" s="14"/>
      <c r="N1618" s="10" t="s">
        <v>1028</v>
      </c>
    </row>
    <row r="1619" spans="1:14" ht="22.5" customHeight="1">
      <c r="A1619" s="8">
        <v>46003.522734988423</v>
      </c>
      <c r="B1619" s="9" t="s">
        <v>14</v>
      </c>
      <c r="C1619" s="9" t="s">
        <v>15</v>
      </c>
      <c r="D1619" s="10" t="s">
        <v>3629</v>
      </c>
      <c r="E1619" s="9" t="s">
        <v>22</v>
      </c>
      <c r="F1619" s="10">
        <v>29</v>
      </c>
      <c r="G1619" s="11">
        <v>7072787706</v>
      </c>
      <c r="H1619" s="10" t="s">
        <v>3630</v>
      </c>
      <c r="I1619" s="10" t="s">
        <v>27</v>
      </c>
      <c r="J1619" s="10" t="s">
        <v>3631</v>
      </c>
      <c r="K1619" s="12">
        <v>46003</v>
      </c>
      <c r="L1619" s="28" t="s">
        <v>11</v>
      </c>
      <c r="M1619" s="14"/>
      <c r="N1619" s="10" t="s">
        <v>1028</v>
      </c>
    </row>
    <row r="1620" spans="1:14" ht="22.5" hidden="1" customHeight="1">
      <c r="A1620" s="8">
        <v>46003.526111099534</v>
      </c>
      <c r="B1620" s="9" t="s">
        <v>14</v>
      </c>
      <c r="C1620" s="9" t="s">
        <v>15</v>
      </c>
      <c r="D1620" s="10" t="s">
        <v>3632</v>
      </c>
      <c r="E1620" s="9" t="s">
        <v>17</v>
      </c>
      <c r="F1620" s="10">
        <v>24</v>
      </c>
      <c r="G1620" s="11">
        <v>7046474488</v>
      </c>
      <c r="H1620" s="10" t="s">
        <v>3633</v>
      </c>
      <c r="I1620" s="10" t="s">
        <v>27</v>
      </c>
      <c r="J1620" s="10" t="s">
        <v>42</v>
      </c>
      <c r="K1620" s="12">
        <v>46003</v>
      </c>
      <c r="L1620" s="10" t="s">
        <v>441</v>
      </c>
      <c r="M1620" s="10" t="s">
        <v>1361</v>
      </c>
      <c r="N1620" s="10" t="s">
        <v>1028</v>
      </c>
    </row>
    <row r="1621" spans="1:14" ht="22.5" customHeight="1">
      <c r="A1621" s="8">
        <v>46003.529099317129</v>
      </c>
      <c r="B1621" s="9" t="s">
        <v>14</v>
      </c>
      <c r="C1621" s="9" t="s">
        <v>15</v>
      </c>
      <c r="D1621" s="10" t="s">
        <v>3634</v>
      </c>
      <c r="E1621" s="9" t="s">
        <v>22</v>
      </c>
      <c r="F1621" s="10">
        <v>29</v>
      </c>
      <c r="G1621" s="11">
        <v>9069632967</v>
      </c>
      <c r="H1621" s="10" t="s">
        <v>3635</v>
      </c>
      <c r="I1621" s="10" t="s">
        <v>45</v>
      </c>
      <c r="J1621" s="10" t="s">
        <v>688</v>
      </c>
      <c r="K1621" s="12">
        <v>46003</v>
      </c>
      <c r="L1621" s="28" t="s">
        <v>11</v>
      </c>
      <c r="M1621" s="14"/>
      <c r="N1621" s="10" t="s">
        <v>1028</v>
      </c>
    </row>
    <row r="1622" spans="1:14" ht="22.5" customHeight="1">
      <c r="A1622" s="8">
        <v>46003.529349699078</v>
      </c>
      <c r="B1622" s="9" t="s">
        <v>14</v>
      </c>
      <c r="C1622" s="9" t="s">
        <v>15</v>
      </c>
      <c r="D1622" s="10" t="s">
        <v>3636</v>
      </c>
      <c r="E1622" s="9" t="s">
        <v>17</v>
      </c>
      <c r="F1622" s="10">
        <v>26</v>
      </c>
      <c r="G1622" s="11">
        <v>8143135931</v>
      </c>
      <c r="H1622" s="10" t="s">
        <v>3637</v>
      </c>
      <c r="I1622" s="10" t="s">
        <v>27</v>
      </c>
      <c r="J1622" s="10" t="s">
        <v>1456</v>
      </c>
      <c r="K1622" s="12">
        <v>46003</v>
      </c>
      <c r="L1622" s="28" t="s">
        <v>11</v>
      </c>
      <c r="M1622" s="14"/>
      <c r="N1622" s="10" t="s">
        <v>1028</v>
      </c>
    </row>
    <row r="1623" spans="1:14" ht="22.5" customHeight="1">
      <c r="A1623" s="8">
        <v>46003.530074085647</v>
      </c>
      <c r="B1623" s="9" t="s">
        <v>14</v>
      </c>
      <c r="C1623" s="9" t="s">
        <v>15</v>
      </c>
      <c r="D1623" s="10" t="s">
        <v>3638</v>
      </c>
      <c r="E1623" s="9" t="s">
        <v>22</v>
      </c>
      <c r="F1623" s="10">
        <v>21</v>
      </c>
      <c r="G1623" s="11">
        <v>8083825488</v>
      </c>
      <c r="H1623" s="10" t="s">
        <v>3639</v>
      </c>
      <c r="I1623" s="10" t="s">
        <v>45</v>
      </c>
      <c r="J1623" s="10" t="s">
        <v>3640</v>
      </c>
      <c r="K1623" s="12">
        <v>46003</v>
      </c>
      <c r="L1623" s="28" t="s">
        <v>11</v>
      </c>
      <c r="M1623" s="14"/>
      <c r="N1623" s="10" t="s">
        <v>1028</v>
      </c>
    </row>
    <row r="1624" spans="1:14" ht="22.5" customHeight="1">
      <c r="A1624" s="8">
        <v>46003.531270659718</v>
      </c>
      <c r="B1624" s="9" t="s">
        <v>14</v>
      </c>
      <c r="C1624" s="9" t="s">
        <v>15</v>
      </c>
      <c r="D1624" s="10" t="s">
        <v>3638</v>
      </c>
      <c r="E1624" s="9" t="s">
        <v>22</v>
      </c>
      <c r="F1624" s="10">
        <v>21</v>
      </c>
      <c r="G1624" s="11">
        <v>8083825488</v>
      </c>
      <c r="H1624" s="10" t="s">
        <v>3639</v>
      </c>
      <c r="I1624" s="10" t="s">
        <v>45</v>
      </c>
      <c r="J1624" s="10" t="s">
        <v>3640</v>
      </c>
      <c r="K1624" s="12">
        <v>46003</v>
      </c>
      <c r="L1624" s="28" t="s">
        <v>11</v>
      </c>
      <c r="M1624" s="14"/>
      <c r="N1624" s="10" t="s">
        <v>1028</v>
      </c>
    </row>
    <row r="1625" spans="1:14" ht="22.5" hidden="1" customHeight="1">
      <c r="A1625" s="8">
        <v>46003.541176932871</v>
      </c>
      <c r="B1625" s="9" t="s">
        <v>14</v>
      </c>
      <c r="C1625" s="9" t="s">
        <v>15</v>
      </c>
      <c r="D1625" s="10" t="s">
        <v>3641</v>
      </c>
      <c r="E1625" s="9" t="s">
        <v>17</v>
      </c>
      <c r="F1625" s="10">
        <v>36</v>
      </c>
      <c r="G1625" s="11">
        <v>8136039890</v>
      </c>
      <c r="H1625" s="10" t="s">
        <v>3642</v>
      </c>
      <c r="I1625" s="10" t="s">
        <v>27</v>
      </c>
      <c r="J1625" s="10" t="s">
        <v>42</v>
      </c>
      <c r="K1625" s="12">
        <v>46003</v>
      </c>
      <c r="L1625" s="10" t="s">
        <v>441</v>
      </c>
      <c r="M1625" s="10" t="s">
        <v>1827</v>
      </c>
      <c r="N1625" s="10" t="s">
        <v>1028</v>
      </c>
    </row>
    <row r="1626" spans="1:14" ht="22.5" customHeight="1">
      <c r="A1626" s="8">
        <v>46003.542388206013</v>
      </c>
      <c r="B1626" s="9" t="s">
        <v>14</v>
      </c>
      <c r="C1626" s="9" t="s">
        <v>15</v>
      </c>
      <c r="D1626" s="10" t="s">
        <v>3643</v>
      </c>
      <c r="E1626" s="9" t="s">
        <v>17</v>
      </c>
      <c r="F1626" s="10">
        <v>25</v>
      </c>
      <c r="G1626" s="11">
        <v>8183302241</v>
      </c>
      <c r="H1626" s="10" t="s">
        <v>3644</v>
      </c>
      <c r="I1626" s="10" t="s">
        <v>27</v>
      </c>
      <c r="J1626" s="10" t="s">
        <v>94</v>
      </c>
      <c r="K1626" s="12">
        <v>46003</v>
      </c>
      <c r="L1626" s="28" t="s">
        <v>11</v>
      </c>
      <c r="M1626" s="14"/>
      <c r="N1626" s="10" t="s">
        <v>1028</v>
      </c>
    </row>
    <row r="1627" spans="1:14" ht="22.5" customHeight="1">
      <c r="A1627" s="8">
        <v>46003.547393912042</v>
      </c>
      <c r="B1627" s="9" t="s">
        <v>14</v>
      </c>
      <c r="C1627" s="9" t="s">
        <v>15</v>
      </c>
      <c r="D1627" s="10" t="s">
        <v>3645</v>
      </c>
      <c r="E1627" s="9" t="s">
        <v>22</v>
      </c>
      <c r="F1627" s="10">
        <v>27</v>
      </c>
      <c r="G1627" s="11">
        <v>8036166449</v>
      </c>
      <c r="H1627" s="10" t="s">
        <v>3646</v>
      </c>
      <c r="I1627" s="10" t="s">
        <v>27</v>
      </c>
      <c r="J1627" s="10" t="s">
        <v>1559</v>
      </c>
      <c r="K1627" s="12">
        <v>46003</v>
      </c>
      <c r="L1627" s="28" t="s">
        <v>11</v>
      </c>
      <c r="M1627" s="14"/>
      <c r="N1627" s="10" t="s">
        <v>1028</v>
      </c>
    </row>
    <row r="1628" spans="1:14" ht="22.5" customHeight="1">
      <c r="A1628" s="8">
        <v>46003.549066631946</v>
      </c>
      <c r="B1628" s="9" t="s">
        <v>14</v>
      </c>
      <c r="C1628" s="9" t="s">
        <v>15</v>
      </c>
      <c r="D1628" s="10" t="s">
        <v>3647</v>
      </c>
      <c r="E1628" s="9" t="s">
        <v>22</v>
      </c>
      <c r="F1628" s="19">
        <v>32</v>
      </c>
      <c r="G1628" s="11">
        <v>8100508659</v>
      </c>
      <c r="H1628" s="10" t="s">
        <v>3648</v>
      </c>
      <c r="I1628" s="10" t="s">
        <v>31</v>
      </c>
      <c r="J1628" s="10" t="s">
        <v>32</v>
      </c>
      <c r="K1628" s="12">
        <v>46003</v>
      </c>
      <c r="L1628" s="28" t="s">
        <v>11</v>
      </c>
      <c r="M1628" s="14"/>
      <c r="N1628" s="10" t="s">
        <v>1028</v>
      </c>
    </row>
    <row r="1629" spans="1:14" ht="22.5" customHeight="1">
      <c r="A1629" s="8">
        <v>46003.550395370374</v>
      </c>
      <c r="B1629" s="9" t="s">
        <v>14</v>
      </c>
      <c r="C1629" s="9" t="s">
        <v>15</v>
      </c>
      <c r="D1629" s="10" t="s">
        <v>3649</v>
      </c>
      <c r="E1629" s="9" t="s">
        <v>22</v>
      </c>
      <c r="F1629" s="18">
        <v>31</v>
      </c>
      <c r="G1629" s="11">
        <v>8065552497</v>
      </c>
      <c r="H1629" s="10" t="s">
        <v>3650</v>
      </c>
      <c r="I1629" s="10" t="s">
        <v>27</v>
      </c>
      <c r="J1629" s="10" t="s">
        <v>3651</v>
      </c>
      <c r="K1629" s="12">
        <v>46003</v>
      </c>
      <c r="L1629" s="28" t="s">
        <v>11</v>
      </c>
      <c r="M1629" s="14"/>
      <c r="N1629" s="10" t="s">
        <v>1028</v>
      </c>
    </row>
    <row r="1630" spans="1:14" ht="22.5" customHeight="1">
      <c r="A1630" s="8">
        <v>46003.554831724541</v>
      </c>
      <c r="B1630" s="9" t="s">
        <v>14</v>
      </c>
      <c r="C1630" s="9" t="s">
        <v>15</v>
      </c>
      <c r="D1630" s="10" t="s">
        <v>3652</v>
      </c>
      <c r="E1630" s="9" t="s">
        <v>17</v>
      </c>
      <c r="F1630" s="10">
        <v>33</v>
      </c>
      <c r="G1630" s="11">
        <v>8030826874</v>
      </c>
      <c r="H1630" s="10" t="s">
        <v>3653</v>
      </c>
      <c r="I1630" s="10" t="s">
        <v>45</v>
      </c>
      <c r="J1630" s="10" t="s">
        <v>3654</v>
      </c>
      <c r="K1630" s="12">
        <v>46003</v>
      </c>
      <c r="L1630" s="28" t="s">
        <v>11</v>
      </c>
      <c r="M1630" s="14"/>
      <c r="N1630" s="10" t="s">
        <v>1028</v>
      </c>
    </row>
    <row r="1631" spans="1:14" ht="22.5" customHeight="1">
      <c r="A1631" s="8">
        <v>46003.555138495372</v>
      </c>
      <c r="B1631" s="9" t="s">
        <v>14</v>
      </c>
      <c r="C1631" s="9" t="s">
        <v>15</v>
      </c>
      <c r="D1631" s="10" t="s">
        <v>3655</v>
      </c>
      <c r="E1631" s="9" t="s">
        <v>22</v>
      </c>
      <c r="F1631" s="10">
        <v>24</v>
      </c>
      <c r="G1631" s="11">
        <v>7062258658</v>
      </c>
      <c r="H1631" s="10" t="s">
        <v>3656</v>
      </c>
      <c r="I1631" s="10" t="s">
        <v>202</v>
      </c>
      <c r="J1631" s="10" t="s">
        <v>3482</v>
      </c>
      <c r="K1631" s="12">
        <v>46003</v>
      </c>
      <c r="L1631" s="28" t="s">
        <v>11</v>
      </c>
      <c r="M1631" s="14"/>
      <c r="N1631" s="10" t="s">
        <v>1028</v>
      </c>
    </row>
    <row r="1632" spans="1:14" ht="22.5" customHeight="1">
      <c r="A1632" s="8">
        <v>46003.557612222226</v>
      </c>
      <c r="B1632" s="9" t="s">
        <v>14</v>
      </c>
      <c r="C1632" s="9" t="s">
        <v>15</v>
      </c>
      <c r="D1632" s="10" t="s">
        <v>3657</v>
      </c>
      <c r="E1632" s="9" t="s">
        <v>22</v>
      </c>
      <c r="F1632" s="10">
        <v>24</v>
      </c>
      <c r="G1632" s="11">
        <v>8125233213</v>
      </c>
      <c r="H1632" s="10" t="s">
        <v>3658</v>
      </c>
      <c r="I1632" s="10" t="s">
        <v>27</v>
      </c>
      <c r="J1632" s="10" t="s">
        <v>3659</v>
      </c>
      <c r="K1632" s="12">
        <v>46003</v>
      </c>
      <c r="L1632" s="28" t="s">
        <v>11</v>
      </c>
      <c r="M1632" s="14"/>
      <c r="N1632" s="10" t="s">
        <v>1028</v>
      </c>
    </row>
    <row r="1633" spans="1:14" ht="22.5" customHeight="1">
      <c r="A1633" s="8">
        <v>46003.557980879632</v>
      </c>
      <c r="B1633" s="9" t="s">
        <v>14</v>
      </c>
      <c r="C1633" s="9" t="s">
        <v>15</v>
      </c>
      <c r="D1633" s="10" t="s">
        <v>3660</v>
      </c>
      <c r="E1633" s="9" t="s">
        <v>17</v>
      </c>
      <c r="F1633" s="10">
        <v>29</v>
      </c>
      <c r="G1633" s="11">
        <v>7049265344</v>
      </c>
      <c r="H1633" s="10" t="s">
        <v>3661</v>
      </c>
      <c r="I1633" s="10" t="s">
        <v>49</v>
      </c>
      <c r="J1633" s="10" t="s">
        <v>106</v>
      </c>
      <c r="K1633" s="12">
        <v>46003</v>
      </c>
      <c r="L1633" s="28" t="s">
        <v>11</v>
      </c>
      <c r="M1633" s="14"/>
      <c r="N1633" s="10" t="s">
        <v>1028</v>
      </c>
    </row>
    <row r="1634" spans="1:14" ht="22.5" customHeight="1">
      <c r="A1634" s="8">
        <v>46003.562333344904</v>
      </c>
      <c r="B1634" s="9" t="s">
        <v>14</v>
      </c>
      <c r="C1634" s="9" t="s">
        <v>15</v>
      </c>
      <c r="D1634" s="10" t="s">
        <v>3662</v>
      </c>
      <c r="E1634" s="9" t="s">
        <v>17</v>
      </c>
      <c r="F1634" s="10">
        <v>33</v>
      </c>
      <c r="G1634" s="11">
        <v>7058635048</v>
      </c>
      <c r="H1634" s="10" t="s">
        <v>3663</v>
      </c>
      <c r="I1634" s="10" t="s">
        <v>19</v>
      </c>
      <c r="J1634" s="10" t="s">
        <v>119</v>
      </c>
      <c r="K1634" s="12">
        <v>46003</v>
      </c>
      <c r="L1634" s="28" t="s">
        <v>11</v>
      </c>
      <c r="M1634" s="14"/>
      <c r="N1634" s="10" t="s">
        <v>1028</v>
      </c>
    </row>
    <row r="1635" spans="1:14" ht="22.5" customHeight="1">
      <c r="A1635" s="8">
        <v>46003.564864826389</v>
      </c>
      <c r="B1635" s="9" t="s">
        <v>14</v>
      </c>
      <c r="C1635" s="9" t="s">
        <v>15</v>
      </c>
      <c r="D1635" s="10" t="s">
        <v>3664</v>
      </c>
      <c r="E1635" s="9" t="s">
        <v>22</v>
      </c>
      <c r="F1635" s="10">
        <v>24</v>
      </c>
      <c r="G1635" s="11">
        <v>8162656269</v>
      </c>
      <c r="H1635" s="10" t="s">
        <v>3665</v>
      </c>
      <c r="I1635" s="10" t="s">
        <v>27</v>
      </c>
      <c r="J1635" s="10" t="s">
        <v>28</v>
      </c>
      <c r="K1635" s="12">
        <v>46003</v>
      </c>
      <c r="L1635" s="28" t="s">
        <v>11</v>
      </c>
      <c r="M1635" s="14"/>
      <c r="N1635" s="10" t="s">
        <v>1028</v>
      </c>
    </row>
    <row r="1636" spans="1:14" ht="22.5" customHeight="1">
      <c r="A1636" s="8">
        <v>46003.566284722227</v>
      </c>
      <c r="B1636" s="9" t="s">
        <v>14</v>
      </c>
      <c r="C1636" s="9" t="s">
        <v>15</v>
      </c>
      <c r="D1636" s="10" t="s">
        <v>3666</v>
      </c>
      <c r="E1636" s="9" t="s">
        <v>22</v>
      </c>
      <c r="F1636" s="10">
        <v>35</v>
      </c>
      <c r="G1636" s="11">
        <v>7017790899</v>
      </c>
      <c r="H1636" s="10" t="s">
        <v>3667</v>
      </c>
      <c r="I1636" s="10" t="s">
        <v>27</v>
      </c>
      <c r="J1636" s="10" t="s">
        <v>3668</v>
      </c>
      <c r="K1636" s="12">
        <v>46003</v>
      </c>
      <c r="L1636" s="28" t="s">
        <v>11</v>
      </c>
      <c r="M1636" s="14"/>
      <c r="N1636" s="10" t="s">
        <v>1096</v>
      </c>
    </row>
    <row r="1637" spans="1:14" ht="22.5" customHeight="1">
      <c r="A1637" s="8">
        <v>46003.568849178242</v>
      </c>
      <c r="B1637" s="9" t="s">
        <v>14</v>
      </c>
      <c r="C1637" s="9" t="s">
        <v>15</v>
      </c>
      <c r="D1637" s="10" t="s">
        <v>3669</v>
      </c>
      <c r="E1637" s="9" t="s">
        <v>17</v>
      </c>
      <c r="F1637" s="10">
        <v>36</v>
      </c>
      <c r="G1637" s="11">
        <v>8060792731</v>
      </c>
      <c r="H1637" s="10" t="s">
        <v>3670</v>
      </c>
      <c r="I1637" s="10" t="s">
        <v>31</v>
      </c>
      <c r="J1637" s="10" t="s">
        <v>32</v>
      </c>
      <c r="K1637" s="12">
        <v>46004</v>
      </c>
      <c r="L1637" s="28" t="s">
        <v>11</v>
      </c>
      <c r="M1637" s="14"/>
      <c r="N1637" s="10" t="s">
        <v>1096</v>
      </c>
    </row>
    <row r="1638" spans="1:14" ht="22.5" customHeight="1">
      <c r="A1638" s="8">
        <v>46003.579028877313</v>
      </c>
      <c r="B1638" s="9" t="s">
        <v>14</v>
      </c>
      <c r="C1638" s="9" t="s">
        <v>15</v>
      </c>
      <c r="D1638" s="10" t="s">
        <v>3671</v>
      </c>
      <c r="E1638" s="9" t="s">
        <v>22</v>
      </c>
      <c r="F1638" s="10">
        <v>27</v>
      </c>
      <c r="G1638" s="11">
        <v>8143207158</v>
      </c>
      <c r="H1638" s="10" t="s">
        <v>3672</v>
      </c>
      <c r="I1638" s="10" t="s">
        <v>27</v>
      </c>
      <c r="J1638" s="10" t="s">
        <v>703</v>
      </c>
      <c r="K1638" s="12">
        <v>46003</v>
      </c>
      <c r="L1638" s="28" t="s">
        <v>11</v>
      </c>
      <c r="M1638" s="14"/>
      <c r="N1638" s="10" t="s">
        <v>1028</v>
      </c>
    </row>
    <row r="1639" spans="1:14" ht="22.5" customHeight="1">
      <c r="A1639" s="8">
        <v>46003.579807627313</v>
      </c>
      <c r="B1639" s="9" t="s">
        <v>14</v>
      </c>
      <c r="C1639" s="9" t="s">
        <v>15</v>
      </c>
      <c r="D1639" s="10" t="s">
        <v>3673</v>
      </c>
      <c r="E1639" s="9" t="s">
        <v>17</v>
      </c>
      <c r="F1639" s="10">
        <v>23</v>
      </c>
      <c r="G1639" s="11">
        <v>8164061489</v>
      </c>
      <c r="H1639" s="10" t="s">
        <v>3674</v>
      </c>
      <c r="I1639" s="10" t="s">
        <v>202</v>
      </c>
      <c r="J1639" s="10" t="s">
        <v>3675</v>
      </c>
      <c r="K1639" s="12">
        <v>46003</v>
      </c>
      <c r="L1639" s="28" t="s">
        <v>11</v>
      </c>
      <c r="M1639" s="14"/>
      <c r="N1639" s="10" t="s">
        <v>1028</v>
      </c>
    </row>
    <row r="1640" spans="1:14" ht="22.5" customHeight="1">
      <c r="A1640" s="8">
        <v>46003.585828368057</v>
      </c>
      <c r="B1640" s="9" t="s">
        <v>14</v>
      </c>
      <c r="C1640" s="9" t="s">
        <v>15</v>
      </c>
      <c r="D1640" s="10" t="s">
        <v>3676</v>
      </c>
      <c r="E1640" s="9" t="s">
        <v>22</v>
      </c>
      <c r="F1640" s="10">
        <v>28</v>
      </c>
      <c r="G1640" s="11">
        <v>8140331132</v>
      </c>
      <c r="H1640" s="10" t="s">
        <v>3677</v>
      </c>
      <c r="I1640" s="10" t="s">
        <v>19</v>
      </c>
      <c r="J1640" s="10" t="s">
        <v>166</v>
      </c>
      <c r="K1640" s="12">
        <v>46003</v>
      </c>
      <c r="L1640" s="28" t="s">
        <v>11</v>
      </c>
      <c r="M1640" s="14"/>
      <c r="N1640" s="10" t="s">
        <v>1028</v>
      </c>
    </row>
    <row r="1641" spans="1:14" ht="22.5" customHeight="1">
      <c r="A1641" s="8">
        <v>46003.586820914352</v>
      </c>
      <c r="B1641" s="9" t="s">
        <v>14</v>
      </c>
      <c r="C1641" s="9" t="s">
        <v>15</v>
      </c>
      <c r="D1641" s="10" t="s">
        <v>3678</v>
      </c>
      <c r="E1641" s="9" t="s">
        <v>17</v>
      </c>
      <c r="F1641" s="10">
        <v>35</v>
      </c>
      <c r="G1641" s="11">
        <v>8161211061</v>
      </c>
      <c r="H1641" s="10" t="s">
        <v>3679</v>
      </c>
      <c r="I1641" s="10" t="s">
        <v>19</v>
      </c>
      <c r="J1641" s="10" t="s">
        <v>812</v>
      </c>
      <c r="K1641" s="12">
        <v>46003</v>
      </c>
      <c r="L1641" s="28" t="s">
        <v>11</v>
      </c>
      <c r="M1641" s="14"/>
      <c r="N1641" s="10" t="s">
        <v>1028</v>
      </c>
    </row>
    <row r="1642" spans="1:14" ht="22.5" customHeight="1">
      <c r="A1642" s="8">
        <v>46003.587745972225</v>
      </c>
      <c r="B1642" s="9" t="s">
        <v>14</v>
      </c>
      <c r="C1642" s="9" t="s">
        <v>15</v>
      </c>
      <c r="D1642" s="10" t="s">
        <v>3680</v>
      </c>
      <c r="E1642" s="9" t="s">
        <v>17</v>
      </c>
      <c r="F1642" s="10">
        <v>34</v>
      </c>
      <c r="G1642" s="11">
        <v>8146183783</v>
      </c>
      <c r="H1642" s="10" t="s">
        <v>3681</v>
      </c>
      <c r="I1642" s="10" t="s">
        <v>202</v>
      </c>
      <c r="J1642" s="10" t="s">
        <v>3682</v>
      </c>
      <c r="K1642" s="12">
        <v>46003</v>
      </c>
      <c r="L1642" s="28" t="s">
        <v>11</v>
      </c>
      <c r="M1642" s="14"/>
      <c r="N1642" s="10" t="s">
        <v>1028</v>
      </c>
    </row>
    <row r="1643" spans="1:14" ht="22.5" customHeight="1">
      <c r="A1643" s="8">
        <v>46003.589535254629</v>
      </c>
      <c r="B1643" s="9" t="s">
        <v>14</v>
      </c>
      <c r="C1643" s="9" t="s">
        <v>15</v>
      </c>
      <c r="D1643" s="10" t="s">
        <v>3683</v>
      </c>
      <c r="E1643" s="9" t="s">
        <v>22</v>
      </c>
      <c r="F1643" s="10">
        <v>33</v>
      </c>
      <c r="G1643" s="11">
        <v>8102576731</v>
      </c>
      <c r="H1643" s="10" t="s">
        <v>3684</v>
      </c>
      <c r="I1643" s="10" t="s">
        <v>27</v>
      </c>
      <c r="J1643" s="10" t="s">
        <v>70</v>
      </c>
      <c r="K1643" s="12">
        <v>46003</v>
      </c>
      <c r="L1643" s="28" t="s">
        <v>11</v>
      </c>
      <c r="M1643" s="14"/>
      <c r="N1643" s="10" t="s">
        <v>1028</v>
      </c>
    </row>
    <row r="1644" spans="1:14" ht="22.5" customHeight="1">
      <c r="A1644" s="8">
        <v>46003.590283252313</v>
      </c>
      <c r="B1644" s="9" t="s">
        <v>14</v>
      </c>
      <c r="C1644" s="9" t="s">
        <v>15</v>
      </c>
      <c r="D1644" s="10" t="s">
        <v>3685</v>
      </c>
      <c r="E1644" s="9" t="s">
        <v>17</v>
      </c>
      <c r="F1644" s="10">
        <v>25</v>
      </c>
      <c r="G1644" s="11">
        <v>9076133914</v>
      </c>
      <c r="H1644" s="10" t="s">
        <v>3686</v>
      </c>
      <c r="I1644" s="10" t="s">
        <v>27</v>
      </c>
      <c r="J1644" s="10" t="s">
        <v>3687</v>
      </c>
      <c r="K1644" s="12">
        <v>46003</v>
      </c>
      <c r="L1644" s="28" t="s">
        <v>11</v>
      </c>
      <c r="M1644" s="14"/>
      <c r="N1644" s="10" t="s">
        <v>1028</v>
      </c>
    </row>
    <row r="1645" spans="1:14" ht="22.5" customHeight="1">
      <c r="A1645" s="8">
        <v>46003.591338032405</v>
      </c>
      <c r="B1645" s="9" t="s">
        <v>14</v>
      </c>
      <c r="C1645" s="9" t="s">
        <v>15</v>
      </c>
      <c r="D1645" s="10" t="s">
        <v>3688</v>
      </c>
      <c r="E1645" s="9" t="s">
        <v>17</v>
      </c>
      <c r="F1645" s="10">
        <v>27</v>
      </c>
      <c r="G1645" s="11">
        <v>8138240256</v>
      </c>
      <c r="H1645" s="10" t="s">
        <v>3689</v>
      </c>
      <c r="I1645" s="10" t="s">
        <v>27</v>
      </c>
      <c r="J1645" s="10" t="s">
        <v>3690</v>
      </c>
      <c r="K1645" s="12">
        <v>46003</v>
      </c>
      <c r="L1645" s="28" t="s">
        <v>11</v>
      </c>
      <c r="M1645" s="14"/>
      <c r="N1645" s="10" t="s">
        <v>1028</v>
      </c>
    </row>
    <row r="1646" spans="1:14" ht="22.5" customHeight="1">
      <c r="A1646" s="8">
        <v>46003.591392789356</v>
      </c>
      <c r="B1646" s="9" t="s">
        <v>14</v>
      </c>
      <c r="C1646" s="9" t="s">
        <v>15</v>
      </c>
      <c r="D1646" s="10" t="s">
        <v>3691</v>
      </c>
      <c r="E1646" s="9" t="s">
        <v>17</v>
      </c>
      <c r="F1646" s="10">
        <v>28</v>
      </c>
      <c r="G1646" s="11">
        <v>8103399746</v>
      </c>
      <c r="H1646" s="10" t="s">
        <v>3692</v>
      </c>
      <c r="I1646" s="10" t="s">
        <v>27</v>
      </c>
      <c r="J1646" s="10" t="s">
        <v>1456</v>
      </c>
      <c r="K1646" s="12">
        <v>46003</v>
      </c>
      <c r="L1646" s="28" t="s">
        <v>11</v>
      </c>
      <c r="M1646" s="14"/>
      <c r="N1646" s="10" t="s">
        <v>1028</v>
      </c>
    </row>
    <row r="1647" spans="1:14" ht="22.5" customHeight="1">
      <c r="A1647" s="8">
        <v>46003.597289201389</v>
      </c>
      <c r="B1647" s="9" t="s">
        <v>14</v>
      </c>
      <c r="C1647" s="9" t="s">
        <v>15</v>
      </c>
      <c r="D1647" s="10" t="s">
        <v>3693</v>
      </c>
      <c r="E1647" s="9" t="s">
        <v>17</v>
      </c>
      <c r="F1647" s="10">
        <v>32</v>
      </c>
      <c r="G1647" s="11">
        <v>8105913413</v>
      </c>
      <c r="H1647" s="10" t="s">
        <v>3694</v>
      </c>
      <c r="I1647" s="10" t="s">
        <v>31</v>
      </c>
      <c r="J1647" s="10" t="s">
        <v>1952</v>
      </c>
      <c r="K1647" s="12">
        <v>46003</v>
      </c>
      <c r="L1647" s="28" t="s">
        <v>11</v>
      </c>
      <c r="M1647" s="14"/>
      <c r="N1647" s="10" t="s">
        <v>1028</v>
      </c>
    </row>
    <row r="1648" spans="1:14" ht="22.5" customHeight="1">
      <c r="A1648" s="8">
        <v>46003.597506284721</v>
      </c>
      <c r="B1648" s="9" t="s">
        <v>14</v>
      </c>
      <c r="C1648" s="9" t="s">
        <v>15</v>
      </c>
      <c r="D1648" s="10" t="s">
        <v>3695</v>
      </c>
      <c r="E1648" s="9" t="s">
        <v>22</v>
      </c>
      <c r="F1648" s="10">
        <v>18</v>
      </c>
      <c r="G1648" s="11">
        <v>7075220104</v>
      </c>
      <c r="H1648" s="10" t="s">
        <v>3696</v>
      </c>
      <c r="I1648" s="10" t="s">
        <v>202</v>
      </c>
      <c r="J1648" s="10" t="s">
        <v>3682</v>
      </c>
      <c r="K1648" s="12">
        <v>46003</v>
      </c>
      <c r="L1648" s="28" t="s">
        <v>11</v>
      </c>
      <c r="M1648" s="14"/>
      <c r="N1648" s="10" t="s">
        <v>1028</v>
      </c>
    </row>
    <row r="1649" spans="1:20" ht="22.5" customHeight="1">
      <c r="A1649" s="8">
        <v>46003.597730486115</v>
      </c>
      <c r="B1649" s="9" t="s">
        <v>14</v>
      </c>
      <c r="C1649" s="9" t="s">
        <v>15</v>
      </c>
      <c r="D1649" s="10" t="s">
        <v>3697</v>
      </c>
      <c r="E1649" s="9" t="s">
        <v>17</v>
      </c>
      <c r="F1649" s="10">
        <v>35</v>
      </c>
      <c r="G1649" s="11">
        <v>7038942556</v>
      </c>
      <c r="H1649" s="10" t="s">
        <v>3698</v>
      </c>
      <c r="I1649" s="10" t="s">
        <v>31</v>
      </c>
      <c r="J1649" s="10" t="s">
        <v>32</v>
      </c>
      <c r="K1649" s="12">
        <v>46003</v>
      </c>
      <c r="L1649" s="28" t="s">
        <v>11</v>
      </c>
      <c r="M1649" s="14"/>
      <c r="N1649" s="10" t="s">
        <v>1028</v>
      </c>
    </row>
    <row r="1650" spans="1:20" ht="22.5" customHeight="1">
      <c r="A1650" s="8">
        <v>46003.599743842591</v>
      </c>
      <c r="B1650" s="9" t="s">
        <v>14</v>
      </c>
      <c r="C1650" s="9" t="s">
        <v>15</v>
      </c>
      <c r="D1650" s="10" t="s">
        <v>3699</v>
      </c>
      <c r="E1650" s="9" t="s">
        <v>17</v>
      </c>
      <c r="F1650" s="10">
        <v>24</v>
      </c>
      <c r="G1650" s="11">
        <v>9138356020</v>
      </c>
      <c r="H1650" s="10" t="s">
        <v>3700</v>
      </c>
      <c r="I1650" s="10" t="s">
        <v>45</v>
      </c>
      <c r="J1650" s="10" t="s">
        <v>1592</v>
      </c>
      <c r="K1650" s="12">
        <v>46003</v>
      </c>
      <c r="L1650" s="28" t="s">
        <v>11</v>
      </c>
      <c r="M1650" s="14"/>
      <c r="N1650" s="10" t="s">
        <v>3701</v>
      </c>
    </row>
    <row r="1651" spans="1:20" ht="22.5" customHeight="1">
      <c r="A1651" s="8">
        <v>46003.601195439813</v>
      </c>
      <c r="B1651" s="9" t="s">
        <v>14</v>
      </c>
      <c r="C1651" s="9" t="s">
        <v>15</v>
      </c>
      <c r="D1651" s="10" t="s">
        <v>3702</v>
      </c>
      <c r="E1651" s="9" t="s">
        <v>22</v>
      </c>
      <c r="F1651" s="10">
        <v>29</v>
      </c>
      <c r="G1651" s="11">
        <v>9037313960</v>
      </c>
      <c r="H1651" s="10" t="s">
        <v>3703</v>
      </c>
      <c r="I1651" s="10" t="s">
        <v>49</v>
      </c>
      <c r="J1651" s="10" t="s">
        <v>3704</v>
      </c>
      <c r="K1651" s="12">
        <v>35222</v>
      </c>
      <c r="L1651" s="28" t="s">
        <v>11</v>
      </c>
      <c r="M1651" s="14"/>
      <c r="N1651" s="10" t="s">
        <v>1028</v>
      </c>
    </row>
    <row r="1652" spans="1:20" ht="22.5" hidden="1" customHeight="1">
      <c r="A1652" s="8">
        <v>46003.601781377314</v>
      </c>
      <c r="B1652" s="9" t="s">
        <v>14</v>
      </c>
      <c r="C1652" s="9" t="s">
        <v>15</v>
      </c>
      <c r="D1652" s="10" t="s">
        <v>3705</v>
      </c>
      <c r="E1652" s="9" t="s">
        <v>22</v>
      </c>
      <c r="F1652" s="19">
        <v>21</v>
      </c>
      <c r="G1652" s="11">
        <v>9060246132</v>
      </c>
      <c r="H1652" s="10" t="s">
        <v>3706</v>
      </c>
      <c r="I1652" s="10" t="s">
        <v>45</v>
      </c>
      <c r="J1652" s="10" t="s">
        <v>1919</v>
      </c>
      <c r="K1652" s="12">
        <v>46003</v>
      </c>
      <c r="L1652" s="10" t="s">
        <v>441</v>
      </c>
      <c r="M1652" s="10" t="s">
        <v>1827</v>
      </c>
      <c r="N1652" s="10" t="s">
        <v>1028</v>
      </c>
      <c r="O1652" s="16"/>
      <c r="P1652" s="17"/>
      <c r="Q1652" s="17"/>
      <c r="R1652" s="17"/>
      <c r="S1652" s="17"/>
      <c r="T1652" s="17"/>
    </row>
    <row r="1653" spans="1:20" ht="22.5" customHeight="1">
      <c r="A1653" s="8">
        <v>46003.603314085645</v>
      </c>
      <c r="B1653" s="9" t="s">
        <v>14</v>
      </c>
      <c r="C1653" s="9" t="s">
        <v>15</v>
      </c>
      <c r="D1653" s="10" t="s">
        <v>3707</v>
      </c>
      <c r="E1653" s="9" t="s">
        <v>17</v>
      </c>
      <c r="F1653" s="10">
        <v>20</v>
      </c>
      <c r="G1653" s="11">
        <v>9031487767</v>
      </c>
      <c r="H1653" s="10" t="s">
        <v>3708</v>
      </c>
      <c r="I1653" s="10" t="s">
        <v>202</v>
      </c>
      <c r="J1653" s="10" t="s">
        <v>3682</v>
      </c>
      <c r="K1653" s="12">
        <v>46003</v>
      </c>
      <c r="L1653" s="28" t="s">
        <v>11</v>
      </c>
      <c r="M1653" s="14"/>
      <c r="N1653" s="10" t="s">
        <v>1028</v>
      </c>
    </row>
    <row r="1654" spans="1:20" ht="22.5" customHeight="1">
      <c r="A1654" s="8">
        <v>46003.603890740742</v>
      </c>
      <c r="B1654" s="9" t="s">
        <v>14</v>
      </c>
      <c r="C1654" s="9" t="s">
        <v>15</v>
      </c>
      <c r="D1654" s="10" t="s">
        <v>3709</v>
      </c>
      <c r="E1654" s="9" t="s">
        <v>17</v>
      </c>
      <c r="F1654" s="10">
        <v>29</v>
      </c>
      <c r="G1654" s="11">
        <v>8033992713</v>
      </c>
      <c r="H1654" s="10" t="s">
        <v>3710</v>
      </c>
      <c r="I1654" s="10" t="s">
        <v>27</v>
      </c>
      <c r="J1654" s="10" t="s">
        <v>172</v>
      </c>
      <c r="K1654" s="12">
        <v>46003</v>
      </c>
      <c r="L1654" s="28" t="s">
        <v>11</v>
      </c>
      <c r="M1654" s="14"/>
      <c r="N1654" s="10" t="s">
        <v>1028</v>
      </c>
    </row>
    <row r="1655" spans="1:20" ht="22.5" customHeight="1">
      <c r="A1655" s="8">
        <v>46003.6078871875</v>
      </c>
      <c r="B1655" s="9" t="s">
        <v>14</v>
      </c>
      <c r="C1655" s="9" t="s">
        <v>15</v>
      </c>
      <c r="D1655" s="10" t="s">
        <v>3711</v>
      </c>
      <c r="E1655" s="9" t="s">
        <v>17</v>
      </c>
      <c r="F1655" s="10">
        <v>26</v>
      </c>
      <c r="G1655" s="11">
        <v>9110585072</v>
      </c>
      <c r="H1655" s="10" t="s">
        <v>3712</v>
      </c>
      <c r="I1655" s="10" t="s">
        <v>31</v>
      </c>
      <c r="J1655" s="10" t="s">
        <v>32</v>
      </c>
      <c r="K1655" s="12">
        <v>36268</v>
      </c>
      <c r="L1655" s="28" t="s">
        <v>11</v>
      </c>
      <c r="M1655" s="14"/>
      <c r="N1655" s="10" t="s">
        <v>1028</v>
      </c>
    </row>
    <row r="1656" spans="1:20" ht="22.5" customHeight="1">
      <c r="A1656" s="8">
        <v>46003.608766909718</v>
      </c>
      <c r="B1656" s="9" t="s">
        <v>14</v>
      </c>
      <c r="C1656" s="9" t="s">
        <v>15</v>
      </c>
      <c r="D1656" s="10" t="s">
        <v>3713</v>
      </c>
      <c r="E1656" s="9" t="s">
        <v>17</v>
      </c>
      <c r="F1656" s="10">
        <v>18</v>
      </c>
      <c r="G1656" s="11">
        <v>9135802258</v>
      </c>
      <c r="H1656" s="10" t="s">
        <v>3714</v>
      </c>
      <c r="I1656" s="10" t="s">
        <v>202</v>
      </c>
      <c r="J1656" s="10" t="s">
        <v>3682</v>
      </c>
      <c r="K1656" s="12">
        <v>46003</v>
      </c>
      <c r="L1656" s="28" t="s">
        <v>11</v>
      </c>
      <c r="M1656" s="14"/>
      <c r="N1656" s="10" t="s">
        <v>1028</v>
      </c>
    </row>
    <row r="1657" spans="1:20" ht="22.5" customHeight="1">
      <c r="A1657" s="8">
        <v>46003.609450659722</v>
      </c>
      <c r="B1657" s="9" t="s">
        <v>14</v>
      </c>
      <c r="C1657" s="9" t="s">
        <v>15</v>
      </c>
      <c r="D1657" s="10" t="s">
        <v>3715</v>
      </c>
      <c r="E1657" s="9" t="s">
        <v>17</v>
      </c>
      <c r="F1657" s="10">
        <v>28</v>
      </c>
      <c r="G1657" s="11">
        <v>7062529466</v>
      </c>
      <c r="H1657" s="10" t="s">
        <v>3716</v>
      </c>
      <c r="I1657" s="10" t="s">
        <v>27</v>
      </c>
      <c r="J1657" s="10" t="s">
        <v>2317</v>
      </c>
      <c r="K1657" s="12">
        <v>46003</v>
      </c>
      <c r="L1657" s="28" t="s">
        <v>11</v>
      </c>
      <c r="M1657" s="14"/>
      <c r="N1657" s="10" t="s">
        <v>1028</v>
      </c>
    </row>
    <row r="1658" spans="1:20" ht="22.5" customHeight="1">
      <c r="A1658" s="8">
        <v>46003.613515879624</v>
      </c>
      <c r="B1658" s="9" t="s">
        <v>14</v>
      </c>
      <c r="C1658" s="9" t="s">
        <v>15</v>
      </c>
      <c r="D1658" s="10" t="s">
        <v>3717</v>
      </c>
      <c r="E1658" s="9" t="s">
        <v>22</v>
      </c>
      <c r="F1658" s="10">
        <v>29</v>
      </c>
      <c r="G1658" s="11">
        <v>8147263271</v>
      </c>
      <c r="H1658" s="10" t="s">
        <v>3718</v>
      </c>
      <c r="I1658" s="10" t="s">
        <v>19</v>
      </c>
      <c r="J1658" s="10" t="s">
        <v>2658</v>
      </c>
      <c r="K1658" s="12">
        <v>46003</v>
      </c>
      <c r="L1658" s="28" t="s">
        <v>11</v>
      </c>
      <c r="M1658" s="14"/>
      <c r="N1658" s="10" t="s">
        <v>1028</v>
      </c>
    </row>
    <row r="1659" spans="1:20" ht="22.5" customHeight="1">
      <c r="A1659" s="8">
        <v>46003.613929675921</v>
      </c>
      <c r="B1659" s="9" t="s">
        <v>14</v>
      </c>
      <c r="C1659" s="9" t="s">
        <v>15</v>
      </c>
      <c r="D1659" s="10" t="s">
        <v>3719</v>
      </c>
      <c r="E1659" s="9" t="s">
        <v>17</v>
      </c>
      <c r="F1659" s="10">
        <v>30</v>
      </c>
      <c r="G1659" s="11">
        <v>7025514153</v>
      </c>
      <c r="H1659" s="10" t="s">
        <v>3720</v>
      </c>
      <c r="I1659" s="10" t="s">
        <v>145</v>
      </c>
      <c r="J1659" s="10" t="s">
        <v>1607</v>
      </c>
      <c r="K1659" s="12">
        <v>46003</v>
      </c>
      <c r="L1659" s="28" t="s">
        <v>11</v>
      </c>
      <c r="M1659" s="14"/>
      <c r="N1659" s="10" t="s">
        <v>1028</v>
      </c>
    </row>
    <row r="1660" spans="1:20" ht="22.5" customHeight="1">
      <c r="A1660" s="8">
        <v>46003.618121331019</v>
      </c>
      <c r="B1660" s="9" t="s">
        <v>14</v>
      </c>
      <c r="C1660" s="9" t="s">
        <v>15</v>
      </c>
      <c r="D1660" s="10" t="s">
        <v>3721</v>
      </c>
      <c r="E1660" s="9" t="s">
        <v>17</v>
      </c>
      <c r="F1660" s="10">
        <v>35</v>
      </c>
      <c r="G1660" s="11">
        <v>8034821928</v>
      </c>
      <c r="H1660" s="10" t="s">
        <v>3722</v>
      </c>
      <c r="I1660" s="10" t="s">
        <v>19</v>
      </c>
      <c r="J1660" s="10" t="s">
        <v>2221</v>
      </c>
      <c r="K1660" s="12">
        <v>46003</v>
      </c>
      <c r="L1660" s="28" t="s">
        <v>11</v>
      </c>
      <c r="M1660" s="14"/>
      <c r="N1660" s="10" t="s">
        <v>1028</v>
      </c>
    </row>
    <row r="1661" spans="1:20" ht="22.5" customHeight="1">
      <c r="A1661" s="8">
        <v>46003.61821270833</v>
      </c>
      <c r="B1661" s="9" t="s">
        <v>14</v>
      </c>
      <c r="C1661" s="9" t="s">
        <v>15</v>
      </c>
      <c r="D1661" s="10" t="s">
        <v>3723</v>
      </c>
      <c r="E1661" s="9" t="s">
        <v>17</v>
      </c>
      <c r="F1661" s="10">
        <v>30</v>
      </c>
      <c r="G1661" s="11">
        <v>256770784185</v>
      </c>
      <c r="H1661" s="10" t="s">
        <v>3724</v>
      </c>
      <c r="I1661" s="10" t="s">
        <v>49</v>
      </c>
      <c r="J1661" s="10" t="s">
        <v>3725</v>
      </c>
      <c r="K1661" s="12">
        <v>46003</v>
      </c>
      <c r="L1661" s="28" t="s">
        <v>11</v>
      </c>
      <c r="M1661" s="14"/>
      <c r="N1661" s="10" t="s">
        <v>1096</v>
      </c>
    </row>
    <row r="1662" spans="1:20" ht="22.5" customHeight="1">
      <c r="A1662" s="8">
        <v>46003.620019837967</v>
      </c>
      <c r="B1662" s="9" t="s">
        <v>14</v>
      </c>
      <c r="C1662" s="9" t="s">
        <v>15</v>
      </c>
      <c r="D1662" s="10" t="s">
        <v>3726</v>
      </c>
      <c r="E1662" s="9" t="s">
        <v>17</v>
      </c>
      <c r="F1662" s="10">
        <v>22</v>
      </c>
      <c r="G1662" s="11">
        <v>9127971580</v>
      </c>
      <c r="H1662" s="10" t="s">
        <v>3727</v>
      </c>
      <c r="I1662" s="10" t="s">
        <v>31</v>
      </c>
      <c r="J1662" s="10" t="s">
        <v>2410</v>
      </c>
      <c r="K1662" s="12">
        <v>46003</v>
      </c>
      <c r="L1662" s="28" t="s">
        <v>11</v>
      </c>
      <c r="M1662" s="14"/>
      <c r="N1662" s="10" t="s">
        <v>1028</v>
      </c>
    </row>
    <row r="1663" spans="1:20" ht="22.5" customHeight="1">
      <c r="A1663" s="8">
        <v>46003.621395960647</v>
      </c>
      <c r="B1663" s="9" t="s">
        <v>14</v>
      </c>
      <c r="C1663" s="9" t="s">
        <v>15</v>
      </c>
      <c r="D1663" s="10" t="s">
        <v>3728</v>
      </c>
      <c r="E1663" s="9" t="s">
        <v>22</v>
      </c>
      <c r="F1663" s="10">
        <v>25</v>
      </c>
      <c r="G1663" s="11">
        <v>9066730418</v>
      </c>
      <c r="H1663" s="10" t="s">
        <v>3729</v>
      </c>
      <c r="I1663" s="10" t="s">
        <v>27</v>
      </c>
      <c r="J1663" s="10" t="s">
        <v>1895</v>
      </c>
      <c r="K1663" s="12">
        <v>46003</v>
      </c>
      <c r="L1663" s="28" t="s">
        <v>11</v>
      </c>
      <c r="M1663" s="14"/>
      <c r="N1663" s="10" t="s">
        <v>1035</v>
      </c>
    </row>
    <row r="1664" spans="1:20" ht="22.5" customHeight="1">
      <c r="A1664" s="8">
        <v>46003.622711041666</v>
      </c>
      <c r="B1664" s="9" t="s">
        <v>14</v>
      </c>
      <c r="C1664" s="9" t="s">
        <v>15</v>
      </c>
      <c r="D1664" s="10" t="s">
        <v>3730</v>
      </c>
      <c r="E1664" s="9" t="s">
        <v>22</v>
      </c>
      <c r="F1664" s="10">
        <v>26</v>
      </c>
      <c r="G1664" s="11">
        <v>7067800979</v>
      </c>
      <c r="H1664" s="10" t="s">
        <v>3731</v>
      </c>
      <c r="I1664" s="10" t="s">
        <v>202</v>
      </c>
      <c r="J1664" s="10" t="s">
        <v>1860</v>
      </c>
      <c r="K1664" s="12">
        <v>46003</v>
      </c>
      <c r="L1664" s="28" t="s">
        <v>11</v>
      </c>
      <c r="M1664" s="14"/>
      <c r="N1664" s="10" t="s">
        <v>1096</v>
      </c>
    </row>
    <row r="1665" spans="1:14" ht="22.5" customHeight="1">
      <c r="A1665" s="8">
        <v>46003.62531447917</v>
      </c>
      <c r="B1665" s="9" t="s">
        <v>14</v>
      </c>
      <c r="C1665" s="9" t="s">
        <v>15</v>
      </c>
      <c r="D1665" s="10" t="s">
        <v>3732</v>
      </c>
      <c r="E1665" s="9" t="s">
        <v>22</v>
      </c>
      <c r="F1665" s="10">
        <v>45</v>
      </c>
      <c r="G1665" s="11">
        <v>7041968814</v>
      </c>
      <c r="H1665" s="10" t="s">
        <v>3733</v>
      </c>
      <c r="I1665" s="10" t="s">
        <v>202</v>
      </c>
      <c r="J1665" s="10" t="s">
        <v>3682</v>
      </c>
      <c r="K1665" s="12">
        <v>46003</v>
      </c>
      <c r="L1665" s="28" t="s">
        <v>11</v>
      </c>
      <c r="M1665" s="14"/>
      <c r="N1665" s="10" t="s">
        <v>1028</v>
      </c>
    </row>
    <row r="1666" spans="1:14" ht="22.5" customHeight="1">
      <c r="A1666" s="8">
        <v>46003.630849664347</v>
      </c>
      <c r="B1666" s="9" t="s">
        <v>14</v>
      </c>
      <c r="C1666" s="9" t="s">
        <v>15</v>
      </c>
      <c r="D1666" s="10" t="s">
        <v>3734</v>
      </c>
      <c r="E1666" s="9" t="s">
        <v>17</v>
      </c>
      <c r="F1666" s="10">
        <v>28</v>
      </c>
      <c r="G1666" s="11">
        <v>913784225</v>
      </c>
      <c r="H1666" s="10" t="s">
        <v>3735</v>
      </c>
      <c r="I1666" s="10" t="s">
        <v>19</v>
      </c>
      <c r="J1666" s="10" t="s">
        <v>2221</v>
      </c>
      <c r="K1666" s="12">
        <v>35789</v>
      </c>
      <c r="L1666" s="28" t="s">
        <v>11</v>
      </c>
      <c r="M1666" s="14"/>
      <c r="N1666" s="10" t="s">
        <v>1028</v>
      </c>
    </row>
    <row r="1667" spans="1:14" ht="22.5" customHeight="1">
      <c r="A1667" s="8">
        <v>46003.633867048615</v>
      </c>
      <c r="B1667" s="9" t="s">
        <v>14</v>
      </c>
      <c r="C1667" s="9" t="s">
        <v>15</v>
      </c>
      <c r="D1667" s="10" t="s">
        <v>3736</v>
      </c>
      <c r="E1667" s="9" t="s">
        <v>17</v>
      </c>
      <c r="F1667" s="10">
        <v>40</v>
      </c>
      <c r="G1667" s="11">
        <v>8138999690</v>
      </c>
      <c r="H1667" s="10" t="s">
        <v>3737</v>
      </c>
      <c r="I1667" s="10" t="s">
        <v>27</v>
      </c>
      <c r="J1667" s="10" t="s">
        <v>42</v>
      </c>
      <c r="K1667" s="12">
        <v>46003</v>
      </c>
      <c r="L1667" s="28" t="s">
        <v>11</v>
      </c>
      <c r="M1667" s="14"/>
      <c r="N1667" s="10" t="s">
        <v>1028</v>
      </c>
    </row>
    <row r="1668" spans="1:14" ht="22.5" customHeight="1">
      <c r="A1668" s="8">
        <v>46003.638313993055</v>
      </c>
      <c r="B1668" s="9" t="s">
        <v>14</v>
      </c>
      <c r="C1668" s="9" t="s">
        <v>15</v>
      </c>
      <c r="D1668" s="10" t="s">
        <v>3738</v>
      </c>
      <c r="E1668" s="9" t="s">
        <v>17</v>
      </c>
      <c r="F1668" s="10">
        <v>30</v>
      </c>
      <c r="G1668" s="11">
        <v>7045586353</v>
      </c>
      <c r="H1668" s="10" t="s">
        <v>3739</v>
      </c>
      <c r="I1668" s="10" t="s">
        <v>27</v>
      </c>
      <c r="J1668" s="10" t="s">
        <v>1475</v>
      </c>
      <c r="K1668" s="12">
        <v>46003</v>
      </c>
      <c r="L1668" s="28" t="s">
        <v>11</v>
      </c>
      <c r="M1668" s="14"/>
      <c r="N1668" s="10" t="s">
        <v>1028</v>
      </c>
    </row>
    <row r="1669" spans="1:14" ht="22.5" customHeight="1">
      <c r="A1669" s="8">
        <v>46003.639832604167</v>
      </c>
      <c r="B1669" s="9" t="s">
        <v>14</v>
      </c>
      <c r="C1669" s="9" t="s">
        <v>15</v>
      </c>
      <c r="D1669" s="10" t="s">
        <v>3740</v>
      </c>
      <c r="E1669" s="9" t="s">
        <v>17</v>
      </c>
      <c r="F1669" s="10">
        <v>25</v>
      </c>
      <c r="G1669" s="11">
        <v>7065844438</v>
      </c>
      <c r="H1669" s="10" t="s">
        <v>3741</v>
      </c>
      <c r="I1669" s="10" t="s">
        <v>27</v>
      </c>
      <c r="J1669" s="10" t="s">
        <v>172</v>
      </c>
      <c r="K1669" s="12">
        <v>46003</v>
      </c>
      <c r="L1669" s="28" t="s">
        <v>11</v>
      </c>
      <c r="M1669" s="14"/>
      <c r="N1669" s="10" t="s">
        <v>1028</v>
      </c>
    </row>
    <row r="1670" spans="1:14" ht="22.5" customHeight="1">
      <c r="A1670" s="8">
        <v>46003.643112500002</v>
      </c>
      <c r="B1670" s="9" t="s">
        <v>14</v>
      </c>
      <c r="C1670" s="9" t="s">
        <v>15</v>
      </c>
      <c r="D1670" s="10" t="s">
        <v>3742</v>
      </c>
      <c r="E1670" s="9" t="s">
        <v>17</v>
      </c>
      <c r="F1670" s="10">
        <v>23</v>
      </c>
      <c r="G1670" s="11">
        <v>7012103143</v>
      </c>
      <c r="H1670" s="10" t="s">
        <v>3743</v>
      </c>
      <c r="I1670" s="10" t="s">
        <v>27</v>
      </c>
      <c r="J1670" s="10" t="s">
        <v>172</v>
      </c>
      <c r="K1670" s="12">
        <v>46003</v>
      </c>
      <c r="L1670" s="28" t="s">
        <v>11</v>
      </c>
      <c r="M1670" s="14"/>
      <c r="N1670" s="10" t="s">
        <v>1028</v>
      </c>
    </row>
    <row r="1671" spans="1:14" ht="22.5" customHeight="1">
      <c r="A1671" s="8">
        <v>46003.643164490742</v>
      </c>
      <c r="B1671" s="9" t="s">
        <v>14</v>
      </c>
      <c r="C1671" s="9" t="s">
        <v>15</v>
      </c>
      <c r="D1671" s="10" t="s">
        <v>3744</v>
      </c>
      <c r="E1671" s="9" t="s">
        <v>17</v>
      </c>
      <c r="F1671" s="10">
        <v>28</v>
      </c>
      <c r="G1671" s="11">
        <v>7032120826</v>
      </c>
      <c r="H1671" s="10" t="s">
        <v>3745</v>
      </c>
      <c r="I1671" s="10" t="s">
        <v>27</v>
      </c>
      <c r="J1671" s="10" t="s">
        <v>372</v>
      </c>
      <c r="K1671" s="12">
        <v>46003</v>
      </c>
      <c r="L1671" s="28" t="s">
        <v>11</v>
      </c>
      <c r="M1671" s="14"/>
      <c r="N1671" s="10" t="s">
        <v>1028</v>
      </c>
    </row>
    <row r="1672" spans="1:14" ht="22.5" customHeight="1">
      <c r="A1672" s="8">
        <v>46003.643334259265</v>
      </c>
      <c r="B1672" s="9" t="s">
        <v>14</v>
      </c>
      <c r="C1672" s="9" t="s">
        <v>15</v>
      </c>
      <c r="D1672" s="10" t="s">
        <v>3746</v>
      </c>
      <c r="E1672" s="9" t="s">
        <v>17</v>
      </c>
      <c r="F1672" s="10">
        <v>33</v>
      </c>
      <c r="G1672" s="11">
        <v>8032562737</v>
      </c>
      <c r="H1672" s="10" t="s">
        <v>3747</v>
      </c>
      <c r="I1672" s="10" t="s">
        <v>49</v>
      </c>
      <c r="J1672" s="10" t="s">
        <v>157</v>
      </c>
      <c r="K1672" s="12">
        <v>46003</v>
      </c>
      <c r="L1672" s="28" t="s">
        <v>11</v>
      </c>
      <c r="M1672" s="14"/>
      <c r="N1672" s="10" t="s">
        <v>1028</v>
      </c>
    </row>
    <row r="1673" spans="1:14" ht="22.5" customHeight="1">
      <c r="A1673" s="8">
        <v>46003.64426291667</v>
      </c>
      <c r="B1673" s="9" t="s">
        <v>14</v>
      </c>
      <c r="C1673" s="9" t="s">
        <v>15</v>
      </c>
      <c r="D1673" s="10" t="s">
        <v>3748</v>
      </c>
      <c r="E1673" s="9" t="s">
        <v>22</v>
      </c>
      <c r="F1673" s="10">
        <v>22</v>
      </c>
      <c r="G1673" s="11">
        <v>8155716622</v>
      </c>
      <c r="H1673" s="10" t="s">
        <v>3749</v>
      </c>
      <c r="I1673" s="10" t="s">
        <v>27</v>
      </c>
      <c r="J1673" s="10" t="s">
        <v>53</v>
      </c>
      <c r="K1673" s="12">
        <v>46003</v>
      </c>
      <c r="L1673" s="28" t="s">
        <v>11</v>
      </c>
      <c r="M1673" s="14"/>
      <c r="N1673" s="10" t="s">
        <v>3750</v>
      </c>
    </row>
    <row r="1674" spans="1:14" ht="22.5" customHeight="1">
      <c r="A1674" s="8">
        <v>46003.645832060181</v>
      </c>
      <c r="B1674" s="9" t="s">
        <v>14</v>
      </c>
      <c r="C1674" s="9" t="s">
        <v>15</v>
      </c>
      <c r="D1674" s="10" t="s">
        <v>3751</v>
      </c>
      <c r="E1674" s="9" t="s">
        <v>22</v>
      </c>
      <c r="F1674" s="10">
        <v>32</v>
      </c>
      <c r="G1674" s="11">
        <v>8061217908</v>
      </c>
      <c r="H1674" s="10" t="s">
        <v>3752</v>
      </c>
      <c r="I1674" s="10" t="s">
        <v>27</v>
      </c>
      <c r="J1674" s="10" t="s">
        <v>703</v>
      </c>
      <c r="K1674" s="12">
        <v>46003</v>
      </c>
      <c r="L1674" s="28" t="s">
        <v>11</v>
      </c>
      <c r="M1674" s="14"/>
      <c r="N1674" s="10" t="s">
        <v>1028</v>
      </c>
    </row>
    <row r="1675" spans="1:14" ht="22.5" customHeight="1">
      <c r="A1675" s="8">
        <v>46003.645984699077</v>
      </c>
      <c r="B1675" s="9" t="s">
        <v>14</v>
      </c>
      <c r="C1675" s="9" t="s">
        <v>15</v>
      </c>
      <c r="D1675" s="10" t="s">
        <v>3753</v>
      </c>
      <c r="E1675" s="9" t="s">
        <v>17</v>
      </c>
      <c r="F1675" s="10">
        <v>25</v>
      </c>
      <c r="G1675" s="11">
        <v>7062466982</v>
      </c>
      <c r="H1675" s="10" t="s">
        <v>3754</v>
      </c>
      <c r="I1675" s="10" t="s">
        <v>27</v>
      </c>
      <c r="J1675" s="10" t="s">
        <v>70</v>
      </c>
      <c r="K1675" s="12">
        <v>46003</v>
      </c>
      <c r="L1675" s="28" t="s">
        <v>11</v>
      </c>
      <c r="M1675" s="14"/>
      <c r="N1675" s="10" t="s">
        <v>1028</v>
      </c>
    </row>
    <row r="1676" spans="1:14" ht="22.5" customHeight="1">
      <c r="A1676" s="8">
        <v>46003.651309872686</v>
      </c>
      <c r="B1676" s="9" t="s">
        <v>14</v>
      </c>
      <c r="C1676" s="9" t="s">
        <v>15</v>
      </c>
      <c r="D1676" s="10" t="s">
        <v>3755</v>
      </c>
      <c r="E1676" s="9" t="s">
        <v>22</v>
      </c>
      <c r="F1676" s="10">
        <v>28</v>
      </c>
      <c r="G1676" s="11">
        <v>8147078938</v>
      </c>
      <c r="H1676" s="10" t="s">
        <v>3756</v>
      </c>
      <c r="I1676" s="10" t="s">
        <v>27</v>
      </c>
      <c r="J1676" s="10" t="s">
        <v>172</v>
      </c>
      <c r="K1676" s="12">
        <v>46003</v>
      </c>
      <c r="L1676" s="28" t="s">
        <v>11</v>
      </c>
      <c r="M1676" s="14"/>
      <c r="N1676" s="10" t="s">
        <v>1028</v>
      </c>
    </row>
    <row r="1677" spans="1:14" ht="22.5" customHeight="1">
      <c r="A1677" s="8">
        <v>46003.651468923606</v>
      </c>
      <c r="B1677" s="9" t="s">
        <v>14</v>
      </c>
      <c r="C1677" s="9" t="s">
        <v>15</v>
      </c>
      <c r="D1677" s="10" t="s">
        <v>3757</v>
      </c>
      <c r="E1677" s="9" t="s">
        <v>22</v>
      </c>
      <c r="F1677" s="18">
        <v>22</v>
      </c>
      <c r="G1677" s="11">
        <v>8113067301</v>
      </c>
      <c r="H1677" s="10" t="s">
        <v>3758</v>
      </c>
      <c r="I1677" s="10" t="s">
        <v>202</v>
      </c>
      <c r="J1677" s="10" t="s">
        <v>3675</v>
      </c>
      <c r="K1677" s="12">
        <v>46003</v>
      </c>
      <c r="L1677" s="28" t="s">
        <v>11</v>
      </c>
      <c r="M1677" s="14"/>
      <c r="N1677" s="10" t="s">
        <v>1028</v>
      </c>
    </row>
    <row r="1678" spans="1:14" ht="22.5" customHeight="1">
      <c r="A1678" s="8">
        <v>46003.652040671295</v>
      </c>
      <c r="B1678" s="9" t="s">
        <v>14</v>
      </c>
      <c r="C1678" s="9" t="s">
        <v>15</v>
      </c>
      <c r="D1678" s="10" t="s">
        <v>3759</v>
      </c>
      <c r="E1678" s="9" t="s">
        <v>17</v>
      </c>
      <c r="F1678" s="10">
        <v>23</v>
      </c>
      <c r="G1678" s="11">
        <v>7015255835</v>
      </c>
      <c r="H1678" s="10" t="s">
        <v>3760</v>
      </c>
      <c r="I1678" s="10" t="s">
        <v>27</v>
      </c>
      <c r="J1678" s="10" t="s">
        <v>1559</v>
      </c>
      <c r="K1678" s="12">
        <v>46003</v>
      </c>
      <c r="L1678" s="28" t="s">
        <v>11</v>
      </c>
      <c r="M1678" s="14"/>
      <c r="N1678" s="10" t="s">
        <v>1028</v>
      </c>
    </row>
    <row r="1679" spans="1:14" ht="22.5" customHeight="1">
      <c r="A1679" s="8">
        <v>46003.652270613427</v>
      </c>
      <c r="B1679" s="9" t="s">
        <v>14</v>
      </c>
      <c r="C1679" s="9" t="s">
        <v>15</v>
      </c>
      <c r="D1679" s="10" t="s">
        <v>3761</v>
      </c>
      <c r="E1679" s="9" t="s">
        <v>17</v>
      </c>
      <c r="F1679" s="10">
        <v>26</v>
      </c>
      <c r="G1679" s="11">
        <v>9064278299</v>
      </c>
      <c r="H1679" s="10" t="s">
        <v>3762</v>
      </c>
      <c r="I1679" s="10" t="s">
        <v>27</v>
      </c>
      <c r="J1679" s="10" t="s">
        <v>3763</v>
      </c>
      <c r="K1679" s="12">
        <v>46003</v>
      </c>
      <c r="L1679" s="28" t="s">
        <v>11</v>
      </c>
      <c r="M1679" s="14"/>
      <c r="N1679" s="10" t="s">
        <v>1028</v>
      </c>
    </row>
    <row r="1680" spans="1:14" ht="22.5" customHeight="1">
      <c r="A1680" s="8">
        <v>46003.65337064815</v>
      </c>
      <c r="B1680" s="9" t="s">
        <v>14</v>
      </c>
      <c r="C1680" s="9" t="s">
        <v>15</v>
      </c>
      <c r="D1680" s="10" t="s">
        <v>3764</v>
      </c>
      <c r="E1680" s="9" t="s">
        <v>17</v>
      </c>
      <c r="F1680" s="10">
        <v>31</v>
      </c>
      <c r="G1680" s="11">
        <v>7062343510</v>
      </c>
      <c r="H1680" s="10" t="s">
        <v>3765</v>
      </c>
      <c r="I1680" s="10" t="s">
        <v>45</v>
      </c>
      <c r="J1680" s="10" t="s">
        <v>84</v>
      </c>
      <c r="K1680" s="12">
        <v>46003</v>
      </c>
      <c r="L1680" s="28" t="s">
        <v>11</v>
      </c>
      <c r="M1680" s="14"/>
      <c r="N1680" s="10" t="s">
        <v>1028</v>
      </c>
    </row>
    <row r="1681" spans="1:14" ht="22.5" hidden="1" customHeight="1">
      <c r="A1681" s="8">
        <v>46003.654454178242</v>
      </c>
      <c r="B1681" s="9" t="s">
        <v>14</v>
      </c>
      <c r="C1681" s="9" t="s">
        <v>15</v>
      </c>
      <c r="D1681" s="10" t="s">
        <v>3766</v>
      </c>
      <c r="E1681" s="9" t="s">
        <v>22</v>
      </c>
      <c r="F1681" s="10">
        <v>30</v>
      </c>
      <c r="G1681" s="11">
        <v>8160915960</v>
      </c>
      <c r="H1681" s="10" t="s">
        <v>3767</v>
      </c>
      <c r="I1681" s="10" t="s">
        <v>31</v>
      </c>
      <c r="J1681" s="10" t="s">
        <v>32</v>
      </c>
      <c r="K1681" s="12">
        <v>46003</v>
      </c>
      <c r="L1681" s="10" t="s">
        <v>441</v>
      </c>
      <c r="M1681" s="10" t="s">
        <v>1827</v>
      </c>
      <c r="N1681" s="10" t="s">
        <v>1096</v>
      </c>
    </row>
    <row r="1682" spans="1:14" ht="22.5" customHeight="1">
      <c r="A1682" s="8">
        <v>46003.654974097226</v>
      </c>
      <c r="B1682" s="9" t="s">
        <v>14</v>
      </c>
      <c r="C1682" s="9" t="s">
        <v>15</v>
      </c>
      <c r="D1682" s="10" t="s">
        <v>3768</v>
      </c>
      <c r="E1682" s="9" t="s">
        <v>17</v>
      </c>
      <c r="F1682" s="10">
        <v>23</v>
      </c>
      <c r="G1682" s="11">
        <v>8051374992</v>
      </c>
      <c r="H1682" s="10" t="s">
        <v>3769</v>
      </c>
      <c r="I1682" s="10" t="s">
        <v>45</v>
      </c>
      <c r="J1682" s="10" t="s">
        <v>1559</v>
      </c>
      <c r="K1682" s="12">
        <v>37257</v>
      </c>
      <c r="L1682" s="28" t="s">
        <v>11</v>
      </c>
      <c r="M1682" s="14"/>
      <c r="N1682" s="10" t="s">
        <v>1028</v>
      </c>
    </row>
    <row r="1683" spans="1:14" ht="22.5" customHeight="1">
      <c r="A1683" s="8">
        <v>46003.655533611112</v>
      </c>
      <c r="B1683" s="9" t="s">
        <v>14</v>
      </c>
      <c r="C1683" s="9" t="s">
        <v>15</v>
      </c>
      <c r="D1683" s="10" t="s">
        <v>3770</v>
      </c>
      <c r="E1683" s="9" t="s">
        <v>17</v>
      </c>
      <c r="F1683" s="10">
        <v>22</v>
      </c>
      <c r="G1683" s="11">
        <v>9123273926</v>
      </c>
      <c r="H1683" s="10" t="s">
        <v>3771</v>
      </c>
      <c r="I1683" s="10" t="s">
        <v>27</v>
      </c>
      <c r="J1683" s="10" t="s">
        <v>3772</v>
      </c>
      <c r="K1683" s="12">
        <v>38338</v>
      </c>
      <c r="L1683" s="28" t="s">
        <v>11</v>
      </c>
      <c r="M1683" s="14"/>
      <c r="N1683" s="10" t="s">
        <v>1028</v>
      </c>
    </row>
    <row r="1684" spans="1:14" ht="22.5" customHeight="1">
      <c r="A1684" s="8">
        <v>46003.656058182867</v>
      </c>
      <c r="B1684" s="9" t="s">
        <v>14</v>
      </c>
      <c r="C1684" s="9" t="s">
        <v>15</v>
      </c>
      <c r="D1684" s="10" t="s">
        <v>3773</v>
      </c>
      <c r="E1684" s="9" t="s">
        <v>17</v>
      </c>
      <c r="F1684" s="10">
        <v>27</v>
      </c>
      <c r="G1684" s="11">
        <v>8074926027</v>
      </c>
      <c r="H1684" s="10" t="s">
        <v>3774</v>
      </c>
      <c r="I1684" s="10" t="s">
        <v>45</v>
      </c>
      <c r="J1684" s="10" t="s">
        <v>1919</v>
      </c>
      <c r="K1684" s="12">
        <v>46003</v>
      </c>
      <c r="L1684" s="28" t="s">
        <v>11</v>
      </c>
      <c r="M1684" s="14"/>
      <c r="N1684" s="10" t="s">
        <v>1028</v>
      </c>
    </row>
    <row r="1685" spans="1:14" ht="22.5" customHeight="1">
      <c r="A1685" s="8">
        <v>46003.656183171297</v>
      </c>
      <c r="B1685" s="9" t="s">
        <v>14</v>
      </c>
      <c r="C1685" s="9" t="s">
        <v>15</v>
      </c>
      <c r="D1685" s="10" t="s">
        <v>3775</v>
      </c>
      <c r="E1685" s="9" t="s">
        <v>17</v>
      </c>
      <c r="F1685" s="10">
        <v>28</v>
      </c>
      <c r="G1685" s="11">
        <v>7065090389</v>
      </c>
      <c r="H1685" s="10" t="s">
        <v>3776</v>
      </c>
      <c r="I1685" s="10" t="s">
        <v>27</v>
      </c>
      <c r="J1685" s="10" t="s">
        <v>2006</v>
      </c>
      <c r="K1685" s="12">
        <v>46003</v>
      </c>
      <c r="L1685" s="28" t="s">
        <v>11</v>
      </c>
      <c r="M1685" s="14"/>
      <c r="N1685" s="10" t="s">
        <v>1028</v>
      </c>
    </row>
    <row r="1686" spans="1:14" ht="22.5" customHeight="1">
      <c r="A1686" s="8">
        <v>46003.658136365746</v>
      </c>
      <c r="B1686" s="9" t="s">
        <v>14</v>
      </c>
      <c r="C1686" s="9" t="s">
        <v>15</v>
      </c>
      <c r="D1686" s="10" t="s">
        <v>3777</v>
      </c>
      <c r="E1686" s="9" t="s">
        <v>22</v>
      </c>
      <c r="F1686" s="10">
        <v>33</v>
      </c>
      <c r="G1686" s="11">
        <v>7031131363</v>
      </c>
      <c r="H1686" s="10" t="s">
        <v>3778</v>
      </c>
      <c r="I1686" s="10" t="s">
        <v>27</v>
      </c>
      <c r="J1686" s="10" t="s">
        <v>1288</v>
      </c>
      <c r="K1686" s="12">
        <v>46003</v>
      </c>
      <c r="L1686" s="28" t="s">
        <v>11</v>
      </c>
      <c r="M1686" s="10"/>
      <c r="N1686" s="10" t="s">
        <v>1028</v>
      </c>
    </row>
    <row r="1687" spans="1:14" ht="22.5" customHeight="1">
      <c r="A1687" s="8">
        <v>46003.660684826391</v>
      </c>
      <c r="B1687" s="9" t="s">
        <v>14</v>
      </c>
      <c r="C1687" s="9" t="s">
        <v>15</v>
      </c>
      <c r="D1687" s="10" t="s">
        <v>3768</v>
      </c>
      <c r="E1687" s="9" t="s">
        <v>17</v>
      </c>
      <c r="F1687" s="10">
        <v>23</v>
      </c>
      <c r="G1687" s="11">
        <v>8051374992</v>
      </c>
      <c r="H1687" s="10" t="s">
        <v>3769</v>
      </c>
      <c r="I1687" s="10" t="s">
        <v>45</v>
      </c>
      <c r="J1687" s="10" t="s">
        <v>1559</v>
      </c>
      <c r="K1687" s="12">
        <v>46003</v>
      </c>
      <c r="L1687" s="28" t="s">
        <v>11</v>
      </c>
      <c r="M1687" s="14"/>
      <c r="N1687" s="10" t="s">
        <v>1028</v>
      </c>
    </row>
    <row r="1688" spans="1:14" ht="22.5" customHeight="1">
      <c r="A1688" s="8">
        <v>46003.660863124998</v>
      </c>
      <c r="B1688" s="9" t="s">
        <v>14</v>
      </c>
      <c r="C1688" s="9" t="s">
        <v>15</v>
      </c>
      <c r="D1688" s="10" t="s">
        <v>3779</v>
      </c>
      <c r="E1688" s="9" t="s">
        <v>17</v>
      </c>
      <c r="F1688" s="10">
        <v>28</v>
      </c>
      <c r="G1688" s="11">
        <v>9042307487</v>
      </c>
      <c r="H1688" s="10" t="s">
        <v>3780</v>
      </c>
      <c r="I1688" s="10" t="s">
        <v>45</v>
      </c>
      <c r="J1688" s="10" t="s">
        <v>932</v>
      </c>
      <c r="K1688" s="12">
        <v>46003</v>
      </c>
      <c r="L1688" s="28" t="s">
        <v>11</v>
      </c>
      <c r="M1688" s="14"/>
      <c r="N1688" s="10" t="s">
        <v>1028</v>
      </c>
    </row>
    <row r="1689" spans="1:14" ht="22.5" customHeight="1">
      <c r="A1689" s="8">
        <v>46003.662490451388</v>
      </c>
      <c r="B1689" s="9" t="s">
        <v>14</v>
      </c>
      <c r="C1689" s="9" t="s">
        <v>15</v>
      </c>
      <c r="D1689" s="10" t="s">
        <v>3781</v>
      </c>
      <c r="E1689" s="9" t="s">
        <v>22</v>
      </c>
      <c r="F1689" s="10">
        <v>34</v>
      </c>
      <c r="G1689" s="11">
        <v>7032429330</v>
      </c>
      <c r="H1689" s="10" t="s">
        <v>3782</v>
      </c>
      <c r="I1689" s="10" t="s">
        <v>49</v>
      </c>
      <c r="J1689" s="10" t="s">
        <v>599</v>
      </c>
      <c r="K1689" s="12">
        <v>46003</v>
      </c>
      <c r="L1689" s="28" t="s">
        <v>11</v>
      </c>
      <c r="M1689" s="14"/>
      <c r="N1689" s="10" t="s">
        <v>1028</v>
      </c>
    </row>
    <row r="1690" spans="1:14" ht="22.5" customHeight="1">
      <c r="A1690" s="8">
        <v>46003.66268429398</v>
      </c>
      <c r="B1690" s="9" t="s">
        <v>14</v>
      </c>
      <c r="C1690" s="9" t="s">
        <v>15</v>
      </c>
      <c r="D1690" s="10" t="s">
        <v>3783</v>
      </c>
      <c r="E1690" s="9" t="s">
        <v>22</v>
      </c>
      <c r="F1690" s="10">
        <v>29</v>
      </c>
      <c r="G1690" s="11">
        <v>8137421120</v>
      </c>
      <c r="H1690" s="10" t="s">
        <v>3784</v>
      </c>
      <c r="I1690" s="10" t="s">
        <v>27</v>
      </c>
      <c r="J1690" s="10" t="s">
        <v>1559</v>
      </c>
      <c r="K1690" s="12">
        <v>46003</v>
      </c>
      <c r="L1690" s="28" t="s">
        <v>11</v>
      </c>
      <c r="M1690" s="14"/>
      <c r="N1690" s="10" t="s">
        <v>1028</v>
      </c>
    </row>
    <row r="1691" spans="1:14" ht="22.5" customHeight="1">
      <c r="A1691" s="8">
        <v>46003.666037511575</v>
      </c>
      <c r="B1691" s="9" t="s">
        <v>14</v>
      </c>
      <c r="C1691" s="9" t="s">
        <v>15</v>
      </c>
      <c r="D1691" s="10" t="s">
        <v>3785</v>
      </c>
      <c r="E1691" s="9" t="s">
        <v>22</v>
      </c>
      <c r="F1691" s="10">
        <v>31</v>
      </c>
      <c r="G1691" s="11">
        <v>8148908134</v>
      </c>
      <c r="H1691" s="10" t="s">
        <v>3786</v>
      </c>
      <c r="I1691" s="10" t="s">
        <v>27</v>
      </c>
      <c r="J1691" s="10" t="s">
        <v>94</v>
      </c>
      <c r="K1691" s="12">
        <v>46003</v>
      </c>
      <c r="L1691" s="28" t="s">
        <v>11</v>
      </c>
      <c r="M1691" s="14"/>
      <c r="N1691" s="10" t="s">
        <v>1028</v>
      </c>
    </row>
    <row r="1692" spans="1:14" ht="22.5" customHeight="1">
      <c r="A1692" s="8">
        <v>46003.669521469907</v>
      </c>
      <c r="B1692" s="9" t="s">
        <v>14</v>
      </c>
      <c r="C1692" s="9" t="s">
        <v>15</v>
      </c>
      <c r="D1692" s="10" t="s">
        <v>3787</v>
      </c>
      <c r="E1692" s="9" t="s">
        <v>17</v>
      </c>
      <c r="F1692" s="10">
        <v>29</v>
      </c>
      <c r="G1692" s="11">
        <v>8145545550</v>
      </c>
      <c r="H1692" s="10" t="s">
        <v>3788</v>
      </c>
      <c r="I1692" s="10" t="s">
        <v>49</v>
      </c>
      <c r="J1692" s="10" t="s">
        <v>599</v>
      </c>
      <c r="K1692" s="12">
        <v>46003</v>
      </c>
      <c r="L1692" s="28" t="s">
        <v>11</v>
      </c>
      <c r="M1692" s="14"/>
      <c r="N1692" s="10" t="s">
        <v>1028</v>
      </c>
    </row>
    <row r="1693" spans="1:14" ht="22.5" customHeight="1">
      <c r="A1693" s="8">
        <v>46003.671883148148</v>
      </c>
      <c r="B1693" s="9" t="s">
        <v>14</v>
      </c>
      <c r="C1693" s="9" t="s">
        <v>15</v>
      </c>
      <c r="D1693" s="10" t="s">
        <v>3789</v>
      </c>
      <c r="E1693" s="9" t="s">
        <v>22</v>
      </c>
      <c r="F1693" s="10">
        <v>24</v>
      </c>
      <c r="G1693" s="11">
        <v>8036594083</v>
      </c>
      <c r="H1693" s="10" t="s">
        <v>3790</v>
      </c>
      <c r="I1693" s="10" t="s">
        <v>27</v>
      </c>
      <c r="J1693" s="10" t="s">
        <v>27</v>
      </c>
      <c r="K1693" s="12">
        <v>46003</v>
      </c>
      <c r="L1693" s="28" t="s">
        <v>11</v>
      </c>
      <c r="M1693" s="14"/>
      <c r="N1693" s="10" t="s">
        <v>1096</v>
      </c>
    </row>
    <row r="1694" spans="1:14" ht="22.5" customHeight="1">
      <c r="A1694" s="8">
        <v>46003.67257800926</v>
      </c>
      <c r="B1694" s="9" t="s">
        <v>14</v>
      </c>
      <c r="C1694" s="9" t="s">
        <v>15</v>
      </c>
      <c r="D1694" s="10" t="s">
        <v>3791</v>
      </c>
      <c r="E1694" s="9" t="s">
        <v>17</v>
      </c>
      <c r="F1694" s="10">
        <v>30</v>
      </c>
      <c r="G1694" s="11">
        <v>7032459260</v>
      </c>
      <c r="H1694" s="10" t="s">
        <v>3792</v>
      </c>
      <c r="I1694" s="10" t="s">
        <v>27</v>
      </c>
      <c r="J1694" s="10" t="s">
        <v>3305</v>
      </c>
      <c r="K1694" s="12">
        <v>46003</v>
      </c>
      <c r="L1694" s="28" t="s">
        <v>11</v>
      </c>
      <c r="M1694" s="14"/>
      <c r="N1694" s="10" t="s">
        <v>1028</v>
      </c>
    </row>
    <row r="1695" spans="1:14" ht="22.5" customHeight="1">
      <c r="A1695" s="8">
        <v>46003.673312430554</v>
      </c>
      <c r="B1695" s="9" t="s">
        <v>14</v>
      </c>
      <c r="C1695" s="9" t="s">
        <v>15</v>
      </c>
      <c r="D1695" s="10" t="s">
        <v>3793</v>
      </c>
      <c r="E1695" s="9" t="s">
        <v>22</v>
      </c>
      <c r="F1695" s="10">
        <v>32</v>
      </c>
      <c r="G1695" s="11">
        <v>7036604018</v>
      </c>
      <c r="H1695" s="10" t="s">
        <v>3794</v>
      </c>
      <c r="I1695" s="10" t="s">
        <v>27</v>
      </c>
      <c r="J1695" s="10" t="s">
        <v>42</v>
      </c>
      <c r="K1695" s="12">
        <v>46003</v>
      </c>
      <c r="L1695" s="28" t="s">
        <v>11</v>
      </c>
      <c r="M1695" s="14"/>
      <c r="N1695" s="10" t="s">
        <v>1028</v>
      </c>
    </row>
    <row r="1696" spans="1:14" ht="22.5" customHeight="1">
      <c r="A1696" s="8">
        <v>46003.676481863426</v>
      </c>
      <c r="B1696" s="9" t="s">
        <v>14</v>
      </c>
      <c r="C1696" s="9" t="s">
        <v>15</v>
      </c>
      <c r="D1696" s="10" t="s">
        <v>3795</v>
      </c>
      <c r="E1696" s="9" t="s">
        <v>17</v>
      </c>
      <c r="F1696" s="10">
        <v>31</v>
      </c>
      <c r="G1696" s="11">
        <v>7064132992</v>
      </c>
      <c r="H1696" s="10" t="s">
        <v>3796</v>
      </c>
      <c r="I1696" s="10" t="s">
        <v>27</v>
      </c>
      <c r="J1696" s="10" t="s">
        <v>3797</v>
      </c>
      <c r="K1696" s="12">
        <v>46003</v>
      </c>
      <c r="L1696" s="28" t="s">
        <v>11</v>
      </c>
      <c r="M1696" s="14"/>
      <c r="N1696" s="10" t="s">
        <v>1028</v>
      </c>
    </row>
    <row r="1697" spans="1:14" ht="22.5" customHeight="1">
      <c r="A1697" s="8">
        <v>46003.678757372691</v>
      </c>
      <c r="B1697" s="9" t="s">
        <v>14</v>
      </c>
      <c r="C1697" s="9" t="s">
        <v>15</v>
      </c>
      <c r="D1697" s="10" t="s">
        <v>3798</v>
      </c>
      <c r="E1697" s="9" t="s">
        <v>17</v>
      </c>
      <c r="F1697" s="10">
        <v>30</v>
      </c>
      <c r="G1697" s="11">
        <v>7051874318</v>
      </c>
      <c r="H1697" s="10" t="s">
        <v>3799</v>
      </c>
      <c r="I1697" s="10" t="s">
        <v>45</v>
      </c>
      <c r="J1697" s="10" t="s">
        <v>178</v>
      </c>
      <c r="K1697" s="12">
        <v>46003</v>
      </c>
      <c r="L1697" s="28" t="s">
        <v>11</v>
      </c>
      <c r="M1697" s="14"/>
      <c r="N1697" s="10" t="s">
        <v>1028</v>
      </c>
    </row>
    <row r="1698" spans="1:14" ht="22.5" customHeight="1">
      <c r="A1698" s="8">
        <v>46003.682907245369</v>
      </c>
      <c r="B1698" s="9" t="s">
        <v>14</v>
      </c>
      <c r="C1698" s="9" t="s">
        <v>15</v>
      </c>
      <c r="D1698" s="10" t="s">
        <v>3800</v>
      </c>
      <c r="E1698" s="9" t="s">
        <v>17</v>
      </c>
      <c r="F1698" s="10">
        <v>35</v>
      </c>
      <c r="G1698" s="11">
        <v>8032668663</v>
      </c>
      <c r="H1698" s="10" t="s">
        <v>3801</v>
      </c>
      <c r="I1698" s="10" t="s">
        <v>19</v>
      </c>
      <c r="J1698" s="10" t="s">
        <v>3802</v>
      </c>
      <c r="K1698" s="12">
        <v>46003</v>
      </c>
      <c r="L1698" s="28" t="s">
        <v>11</v>
      </c>
      <c r="M1698" s="14"/>
      <c r="N1698" s="10" t="s">
        <v>1028</v>
      </c>
    </row>
    <row r="1699" spans="1:14" ht="22.5" customHeight="1">
      <c r="A1699" s="8">
        <v>46003.684038796295</v>
      </c>
      <c r="B1699" s="9" t="s">
        <v>14</v>
      </c>
      <c r="C1699" s="9" t="s">
        <v>15</v>
      </c>
      <c r="D1699" s="10" t="s">
        <v>3803</v>
      </c>
      <c r="E1699" s="9" t="s">
        <v>17</v>
      </c>
      <c r="F1699" s="10">
        <v>20</v>
      </c>
      <c r="G1699" s="11">
        <v>8113569526</v>
      </c>
      <c r="H1699" s="10" t="s">
        <v>3804</v>
      </c>
      <c r="I1699" s="10" t="s">
        <v>49</v>
      </c>
      <c r="J1699" s="10" t="s">
        <v>208</v>
      </c>
      <c r="K1699" s="12">
        <v>46003</v>
      </c>
      <c r="L1699" s="28" t="s">
        <v>11</v>
      </c>
      <c r="M1699" s="14"/>
      <c r="N1699" s="10" t="s">
        <v>1028</v>
      </c>
    </row>
    <row r="1700" spans="1:14" ht="22.5" customHeight="1">
      <c r="A1700" s="8">
        <v>46003.686238379625</v>
      </c>
      <c r="B1700" s="9" t="s">
        <v>14</v>
      </c>
      <c r="C1700" s="9" t="s">
        <v>15</v>
      </c>
      <c r="D1700" s="10" t="s">
        <v>3805</v>
      </c>
      <c r="E1700" s="9" t="s">
        <v>17</v>
      </c>
      <c r="F1700" s="10">
        <v>27</v>
      </c>
      <c r="G1700" s="11">
        <v>7031530742</v>
      </c>
      <c r="H1700" s="10" t="s">
        <v>3806</v>
      </c>
      <c r="I1700" s="10" t="s">
        <v>145</v>
      </c>
      <c r="J1700" s="10" t="s">
        <v>3584</v>
      </c>
      <c r="K1700" s="12">
        <v>46003</v>
      </c>
      <c r="L1700" s="28" t="s">
        <v>11</v>
      </c>
      <c r="M1700" s="14"/>
      <c r="N1700" s="10" t="s">
        <v>1028</v>
      </c>
    </row>
    <row r="1701" spans="1:14" ht="22.5" customHeight="1">
      <c r="A1701" s="8">
        <v>46003.68991335648</v>
      </c>
      <c r="B1701" s="9" t="s">
        <v>14</v>
      </c>
      <c r="C1701" s="9" t="s">
        <v>15</v>
      </c>
      <c r="D1701" s="10" t="s">
        <v>3807</v>
      </c>
      <c r="E1701" s="9" t="s">
        <v>17</v>
      </c>
      <c r="F1701" s="10">
        <v>25</v>
      </c>
      <c r="G1701" s="11">
        <v>8146298229</v>
      </c>
      <c r="H1701" s="10" t="s">
        <v>3808</v>
      </c>
      <c r="I1701" s="10" t="s">
        <v>27</v>
      </c>
      <c r="J1701" s="10" t="s">
        <v>3809</v>
      </c>
      <c r="K1701" s="12">
        <v>46003</v>
      </c>
      <c r="L1701" s="28" t="s">
        <v>11</v>
      </c>
      <c r="M1701" s="14"/>
      <c r="N1701" s="10" t="s">
        <v>1028</v>
      </c>
    </row>
    <row r="1702" spans="1:14" ht="22.5" customHeight="1">
      <c r="A1702" s="8">
        <v>46003.691376041665</v>
      </c>
      <c r="B1702" s="9" t="s">
        <v>14</v>
      </c>
      <c r="C1702" s="9" t="s">
        <v>15</v>
      </c>
      <c r="D1702" s="10" t="s">
        <v>3810</v>
      </c>
      <c r="E1702" s="9" t="s">
        <v>22</v>
      </c>
      <c r="F1702" s="10">
        <v>26</v>
      </c>
      <c r="G1702" s="11">
        <v>9022006235</v>
      </c>
      <c r="H1702" s="10" t="s">
        <v>3811</v>
      </c>
      <c r="I1702" s="10" t="s">
        <v>27</v>
      </c>
      <c r="J1702" s="10" t="s">
        <v>172</v>
      </c>
      <c r="K1702" s="12">
        <v>46003</v>
      </c>
      <c r="L1702" s="28" t="s">
        <v>11</v>
      </c>
      <c r="M1702" s="14"/>
      <c r="N1702" s="10" t="s">
        <v>1028</v>
      </c>
    </row>
    <row r="1703" spans="1:14" ht="22.5" customHeight="1">
      <c r="A1703" s="8">
        <v>46003.691423055556</v>
      </c>
      <c r="B1703" s="9" t="s">
        <v>14</v>
      </c>
      <c r="C1703" s="9" t="s">
        <v>15</v>
      </c>
      <c r="D1703" s="10" t="s">
        <v>3812</v>
      </c>
      <c r="E1703" s="9" t="s">
        <v>17</v>
      </c>
      <c r="F1703" s="10">
        <v>24</v>
      </c>
      <c r="G1703" s="11">
        <v>2347041618559</v>
      </c>
      <c r="H1703" s="10" t="s">
        <v>3813</v>
      </c>
      <c r="I1703" s="10" t="s">
        <v>27</v>
      </c>
      <c r="J1703" s="10" t="s">
        <v>3814</v>
      </c>
      <c r="K1703" s="12">
        <v>46003</v>
      </c>
      <c r="L1703" s="28" t="s">
        <v>11</v>
      </c>
      <c r="M1703" s="14"/>
      <c r="N1703" s="10" t="s">
        <v>1209</v>
      </c>
    </row>
    <row r="1704" spans="1:14" ht="22.5" customHeight="1">
      <c r="A1704" s="8">
        <v>46003.691531979166</v>
      </c>
      <c r="B1704" s="9" t="s">
        <v>14</v>
      </c>
      <c r="C1704" s="9" t="s">
        <v>15</v>
      </c>
      <c r="D1704" s="10" t="s">
        <v>3815</v>
      </c>
      <c r="E1704" s="9" t="s">
        <v>22</v>
      </c>
      <c r="F1704" s="10">
        <v>29</v>
      </c>
      <c r="G1704" s="11">
        <v>8143918959</v>
      </c>
      <c r="H1704" s="10" t="s">
        <v>3816</v>
      </c>
      <c r="I1704" s="10" t="s">
        <v>31</v>
      </c>
      <c r="J1704" s="10" t="s">
        <v>32</v>
      </c>
      <c r="K1704" s="12">
        <v>46003</v>
      </c>
      <c r="L1704" s="28" t="s">
        <v>11</v>
      </c>
      <c r="M1704" s="14"/>
      <c r="N1704" s="10" t="s">
        <v>1028</v>
      </c>
    </row>
    <row r="1705" spans="1:14" ht="22.5" customHeight="1">
      <c r="A1705" s="8">
        <v>46003.692135324076</v>
      </c>
      <c r="B1705" s="9" t="s">
        <v>14</v>
      </c>
      <c r="C1705" s="9" t="s">
        <v>15</v>
      </c>
      <c r="D1705" s="10" t="s">
        <v>3817</v>
      </c>
      <c r="E1705" s="9" t="s">
        <v>17</v>
      </c>
      <c r="F1705" s="10">
        <v>39</v>
      </c>
      <c r="G1705" s="11">
        <v>8034594645</v>
      </c>
      <c r="H1705" s="10" t="s">
        <v>3818</v>
      </c>
      <c r="I1705" s="10" t="s">
        <v>49</v>
      </c>
      <c r="J1705" s="10" t="s">
        <v>106</v>
      </c>
      <c r="K1705" s="12">
        <v>46003</v>
      </c>
      <c r="L1705" s="28" t="s">
        <v>11</v>
      </c>
      <c r="M1705" s="14"/>
      <c r="N1705" s="10" t="s">
        <v>1028</v>
      </c>
    </row>
    <row r="1706" spans="1:14" ht="22.5" customHeight="1">
      <c r="A1706" s="8">
        <v>46003.692308506943</v>
      </c>
      <c r="B1706" s="9" t="s">
        <v>14</v>
      </c>
      <c r="C1706" s="9" t="s">
        <v>15</v>
      </c>
      <c r="D1706" s="10" t="s">
        <v>3819</v>
      </c>
      <c r="E1706" s="9" t="s">
        <v>22</v>
      </c>
      <c r="F1706" s="10">
        <v>22</v>
      </c>
      <c r="G1706" s="11">
        <v>7067720222</v>
      </c>
      <c r="H1706" s="10" t="s">
        <v>3820</v>
      </c>
      <c r="I1706" s="10" t="s">
        <v>27</v>
      </c>
      <c r="J1706" s="10" t="s">
        <v>1514</v>
      </c>
      <c r="K1706" s="12">
        <v>46003</v>
      </c>
      <c r="L1706" s="28" t="s">
        <v>11</v>
      </c>
      <c r="M1706" s="14"/>
      <c r="N1706" s="10" t="s">
        <v>1028</v>
      </c>
    </row>
    <row r="1707" spans="1:14" ht="22.5" customHeight="1">
      <c r="A1707" s="8">
        <v>46003.697371898146</v>
      </c>
      <c r="B1707" s="9" t="s">
        <v>14</v>
      </c>
      <c r="C1707" s="9" t="s">
        <v>15</v>
      </c>
      <c r="D1707" s="10" t="s">
        <v>941</v>
      </c>
      <c r="E1707" s="9" t="s">
        <v>17</v>
      </c>
      <c r="F1707" s="10">
        <v>24</v>
      </c>
      <c r="G1707" s="11">
        <v>8163641340</v>
      </c>
      <c r="H1707" s="10" t="s">
        <v>3821</v>
      </c>
      <c r="I1707" s="10" t="s">
        <v>27</v>
      </c>
      <c r="J1707" s="10" t="s">
        <v>1194</v>
      </c>
      <c r="K1707" s="12">
        <v>46003</v>
      </c>
      <c r="L1707" s="28" t="s">
        <v>11</v>
      </c>
      <c r="M1707" s="14"/>
      <c r="N1707" s="10" t="s">
        <v>1028</v>
      </c>
    </row>
    <row r="1708" spans="1:14" ht="22.5" customHeight="1">
      <c r="A1708" s="8">
        <v>46003.699693506947</v>
      </c>
      <c r="B1708" s="9" t="s">
        <v>14</v>
      </c>
      <c r="C1708" s="9" t="s">
        <v>15</v>
      </c>
      <c r="D1708" s="10" t="s">
        <v>3822</v>
      </c>
      <c r="E1708" s="9" t="s">
        <v>22</v>
      </c>
      <c r="F1708" s="10">
        <v>32</v>
      </c>
      <c r="G1708" s="11">
        <v>7036640627</v>
      </c>
      <c r="H1708" s="10" t="s">
        <v>3823</v>
      </c>
      <c r="I1708" s="10" t="s">
        <v>19</v>
      </c>
      <c r="J1708" s="10" t="s">
        <v>166</v>
      </c>
      <c r="K1708" s="12">
        <v>46003</v>
      </c>
      <c r="L1708" s="28" t="s">
        <v>11</v>
      </c>
      <c r="M1708" s="14"/>
      <c r="N1708" s="10" t="s">
        <v>1028</v>
      </c>
    </row>
    <row r="1709" spans="1:14" ht="22.5" customHeight="1">
      <c r="A1709" s="8">
        <v>46003.704771608798</v>
      </c>
      <c r="B1709" s="9" t="s">
        <v>14</v>
      </c>
      <c r="C1709" s="9" t="s">
        <v>15</v>
      </c>
      <c r="D1709" s="10" t="s">
        <v>3824</v>
      </c>
      <c r="E1709" s="9" t="s">
        <v>17</v>
      </c>
      <c r="F1709" s="10">
        <v>23</v>
      </c>
      <c r="G1709" s="11">
        <v>9044643970</v>
      </c>
      <c r="H1709" s="10" t="s">
        <v>3825</v>
      </c>
      <c r="I1709" s="10" t="s">
        <v>27</v>
      </c>
      <c r="J1709" s="10" t="s">
        <v>1570</v>
      </c>
      <c r="K1709" s="12">
        <v>46003</v>
      </c>
      <c r="L1709" s="28" t="s">
        <v>11</v>
      </c>
      <c r="M1709" s="14"/>
      <c r="N1709" s="10" t="s">
        <v>1028</v>
      </c>
    </row>
    <row r="1710" spans="1:14" ht="22.5" customHeight="1">
      <c r="A1710" s="8">
        <v>46003.708265347217</v>
      </c>
      <c r="B1710" s="9" t="s">
        <v>14</v>
      </c>
      <c r="C1710" s="9" t="s">
        <v>15</v>
      </c>
      <c r="D1710" s="10" t="s">
        <v>3826</v>
      </c>
      <c r="E1710" s="9" t="s">
        <v>22</v>
      </c>
      <c r="F1710" s="10">
        <v>24</v>
      </c>
      <c r="G1710" s="11">
        <v>7077647185</v>
      </c>
      <c r="H1710" s="10" t="s">
        <v>3827</v>
      </c>
      <c r="I1710" s="10" t="s">
        <v>45</v>
      </c>
      <c r="J1710" s="10" t="s">
        <v>125</v>
      </c>
      <c r="K1710" s="12">
        <v>46003</v>
      </c>
      <c r="L1710" s="28" t="s">
        <v>11</v>
      </c>
      <c r="M1710" s="14"/>
      <c r="N1710" s="10" t="s">
        <v>1028</v>
      </c>
    </row>
    <row r="1711" spans="1:14" ht="22.5" customHeight="1">
      <c r="A1711" s="8">
        <v>46003.709241018514</v>
      </c>
      <c r="B1711" s="9" t="s">
        <v>14</v>
      </c>
      <c r="C1711" s="9" t="s">
        <v>15</v>
      </c>
      <c r="D1711" s="10" t="s">
        <v>3828</v>
      </c>
      <c r="E1711" s="9" t="s">
        <v>17</v>
      </c>
      <c r="F1711" s="10">
        <v>31</v>
      </c>
      <c r="G1711" s="11">
        <v>9069982391</v>
      </c>
      <c r="H1711" s="10" t="s">
        <v>3829</v>
      </c>
      <c r="I1711" s="10" t="s">
        <v>19</v>
      </c>
      <c r="J1711" s="10" t="s">
        <v>3830</v>
      </c>
      <c r="K1711" s="12">
        <v>46003</v>
      </c>
      <c r="L1711" s="28" t="s">
        <v>11</v>
      </c>
      <c r="M1711" s="14"/>
      <c r="N1711" s="10" t="s">
        <v>1096</v>
      </c>
    </row>
    <row r="1712" spans="1:14" ht="22.5" customHeight="1">
      <c r="A1712" s="8">
        <v>46003.709691643518</v>
      </c>
      <c r="B1712" s="9" t="s">
        <v>14</v>
      </c>
      <c r="C1712" s="9" t="s">
        <v>15</v>
      </c>
      <c r="D1712" s="10" t="s">
        <v>3831</v>
      </c>
      <c r="E1712" s="9" t="s">
        <v>22</v>
      </c>
      <c r="F1712" s="10">
        <v>23</v>
      </c>
      <c r="G1712" s="11">
        <v>9030634236</v>
      </c>
      <c r="H1712" s="10" t="s">
        <v>3832</v>
      </c>
      <c r="I1712" s="10" t="s">
        <v>27</v>
      </c>
      <c r="J1712" s="10" t="s">
        <v>53</v>
      </c>
      <c r="K1712" s="12">
        <v>46003</v>
      </c>
      <c r="L1712" s="28" t="s">
        <v>11</v>
      </c>
      <c r="M1712" s="14"/>
      <c r="N1712" s="10" t="s">
        <v>3750</v>
      </c>
    </row>
    <row r="1713" spans="1:14" ht="22.5" customHeight="1">
      <c r="A1713" s="8">
        <v>46003.71427030093</v>
      </c>
      <c r="B1713" s="9" t="s">
        <v>14</v>
      </c>
      <c r="C1713" s="9" t="s">
        <v>15</v>
      </c>
      <c r="D1713" s="10" t="s">
        <v>3833</v>
      </c>
      <c r="E1713" s="9" t="s">
        <v>17</v>
      </c>
      <c r="F1713" s="10">
        <v>30</v>
      </c>
      <c r="G1713" s="11">
        <v>8132799553</v>
      </c>
      <c r="H1713" s="10" t="s">
        <v>3834</v>
      </c>
      <c r="I1713" s="10" t="s">
        <v>27</v>
      </c>
      <c r="J1713" s="10" t="s">
        <v>70</v>
      </c>
      <c r="K1713" s="12">
        <v>46003</v>
      </c>
      <c r="L1713" s="28" t="s">
        <v>11</v>
      </c>
      <c r="M1713" s="14"/>
      <c r="N1713" s="10" t="s">
        <v>1028</v>
      </c>
    </row>
    <row r="1714" spans="1:14" ht="22.5" customHeight="1">
      <c r="A1714" s="8">
        <v>46003.727274884259</v>
      </c>
      <c r="B1714" s="9" t="s">
        <v>14</v>
      </c>
      <c r="C1714" s="9" t="s">
        <v>15</v>
      </c>
      <c r="D1714" s="10" t="s">
        <v>3835</v>
      </c>
      <c r="E1714" s="9" t="s">
        <v>17</v>
      </c>
      <c r="F1714" s="10">
        <v>25</v>
      </c>
      <c r="G1714" s="11">
        <v>8141326226</v>
      </c>
      <c r="H1714" s="10" t="s">
        <v>3836</v>
      </c>
      <c r="I1714" s="10" t="s">
        <v>27</v>
      </c>
      <c r="J1714" s="10" t="s">
        <v>3837</v>
      </c>
      <c r="K1714" s="12">
        <v>46003</v>
      </c>
      <c r="L1714" s="28" t="s">
        <v>11</v>
      </c>
      <c r="M1714" s="14"/>
      <c r="N1714" s="10" t="s">
        <v>1028</v>
      </c>
    </row>
    <row r="1715" spans="1:14" ht="22.5" hidden="1" customHeight="1">
      <c r="A1715" s="8">
        <v>46003.727998645831</v>
      </c>
      <c r="B1715" s="9" t="s">
        <v>14</v>
      </c>
      <c r="C1715" s="9" t="s">
        <v>15</v>
      </c>
      <c r="D1715" s="10" t="s">
        <v>3838</v>
      </c>
      <c r="E1715" s="9" t="s">
        <v>22</v>
      </c>
      <c r="F1715" s="10">
        <v>34</v>
      </c>
      <c r="G1715" s="11">
        <v>8138528651</v>
      </c>
      <c r="H1715" s="10" t="s">
        <v>3839</v>
      </c>
      <c r="I1715" s="10" t="s">
        <v>202</v>
      </c>
      <c r="J1715" s="10" t="s">
        <v>3840</v>
      </c>
      <c r="K1715" s="12">
        <v>46003</v>
      </c>
      <c r="L1715" s="10" t="s">
        <v>441</v>
      </c>
      <c r="M1715" s="10" t="s">
        <v>1161</v>
      </c>
      <c r="N1715" s="10" t="s">
        <v>1028</v>
      </c>
    </row>
    <row r="1716" spans="1:14" ht="22.5" customHeight="1">
      <c r="A1716" s="8">
        <v>46003.732613680557</v>
      </c>
      <c r="B1716" s="9" t="s">
        <v>14</v>
      </c>
      <c r="C1716" s="9" t="s">
        <v>15</v>
      </c>
      <c r="D1716" s="10" t="s">
        <v>3841</v>
      </c>
      <c r="E1716" s="9" t="s">
        <v>17</v>
      </c>
      <c r="F1716" s="10">
        <v>32</v>
      </c>
      <c r="G1716" s="11">
        <v>8068062714</v>
      </c>
      <c r="H1716" s="10" t="s">
        <v>3842</v>
      </c>
      <c r="I1716" s="10" t="s">
        <v>31</v>
      </c>
      <c r="J1716" s="10" t="s">
        <v>2358</v>
      </c>
      <c r="K1716" s="12">
        <v>46003</v>
      </c>
      <c r="L1716" s="28" t="s">
        <v>11</v>
      </c>
      <c r="M1716" s="14"/>
      <c r="N1716" s="10" t="s">
        <v>1028</v>
      </c>
    </row>
    <row r="1717" spans="1:14" ht="22.5" customHeight="1">
      <c r="A1717" s="8">
        <v>46003.736512997682</v>
      </c>
      <c r="B1717" s="9" t="s">
        <v>14</v>
      </c>
      <c r="C1717" s="9" t="s">
        <v>15</v>
      </c>
      <c r="D1717" s="10" t="s">
        <v>3843</v>
      </c>
      <c r="E1717" s="9" t="s">
        <v>17</v>
      </c>
      <c r="F1717" s="10">
        <v>38</v>
      </c>
      <c r="G1717" s="11">
        <v>8032358985</v>
      </c>
      <c r="H1717" s="10" t="s">
        <v>3844</v>
      </c>
      <c r="I1717" s="10" t="s">
        <v>27</v>
      </c>
      <c r="J1717" s="10" t="s">
        <v>3845</v>
      </c>
      <c r="K1717" s="12">
        <v>46003</v>
      </c>
      <c r="L1717" s="28" t="s">
        <v>11</v>
      </c>
      <c r="M1717" s="14"/>
      <c r="N1717" s="10" t="s">
        <v>1028</v>
      </c>
    </row>
    <row r="1718" spans="1:14" ht="22.5" customHeight="1">
      <c r="A1718" s="8">
        <v>46003.746882141204</v>
      </c>
      <c r="B1718" s="9" t="s">
        <v>14</v>
      </c>
      <c r="C1718" s="9" t="s">
        <v>15</v>
      </c>
      <c r="D1718" s="10" t="s">
        <v>3846</v>
      </c>
      <c r="E1718" s="9" t="s">
        <v>22</v>
      </c>
      <c r="F1718" s="10">
        <v>35</v>
      </c>
      <c r="G1718" s="11">
        <v>8062981009</v>
      </c>
      <c r="H1718" s="10" t="s">
        <v>3847</v>
      </c>
      <c r="I1718" s="10" t="s">
        <v>31</v>
      </c>
      <c r="J1718" s="10" t="s">
        <v>1952</v>
      </c>
      <c r="K1718" s="12">
        <v>46003</v>
      </c>
      <c r="L1718" s="28" t="s">
        <v>11</v>
      </c>
      <c r="M1718" s="14"/>
      <c r="N1718" s="10" t="s">
        <v>1028</v>
      </c>
    </row>
    <row r="1719" spans="1:14" ht="22.5" customHeight="1">
      <c r="A1719" s="8">
        <v>46003.748444594909</v>
      </c>
      <c r="B1719" s="9" t="s">
        <v>14</v>
      </c>
      <c r="C1719" s="9" t="s">
        <v>15</v>
      </c>
      <c r="D1719" s="10" t="s">
        <v>3848</v>
      </c>
      <c r="E1719" s="9" t="s">
        <v>17</v>
      </c>
      <c r="F1719" s="10">
        <v>35</v>
      </c>
      <c r="G1719" s="11">
        <v>8054703884</v>
      </c>
      <c r="H1719" s="10" t="s">
        <v>3849</v>
      </c>
      <c r="I1719" s="10" t="s">
        <v>27</v>
      </c>
      <c r="J1719" s="10" t="s">
        <v>94</v>
      </c>
      <c r="K1719" s="12">
        <v>32967</v>
      </c>
      <c r="L1719" s="28" t="s">
        <v>11</v>
      </c>
      <c r="M1719" s="14"/>
      <c r="N1719" s="10" t="s">
        <v>1028</v>
      </c>
    </row>
    <row r="1720" spans="1:14" ht="22.5" customHeight="1">
      <c r="A1720" s="8">
        <v>46003.749607013888</v>
      </c>
      <c r="B1720" s="9" t="s">
        <v>14</v>
      </c>
      <c r="C1720" s="9" t="s">
        <v>15</v>
      </c>
      <c r="D1720" s="10" t="s">
        <v>3850</v>
      </c>
      <c r="E1720" s="9" t="s">
        <v>17</v>
      </c>
      <c r="F1720" s="10">
        <v>22</v>
      </c>
      <c r="G1720" s="11">
        <v>9037708671</v>
      </c>
      <c r="H1720" s="10" t="s">
        <v>3851</v>
      </c>
      <c r="I1720" s="10" t="s">
        <v>27</v>
      </c>
      <c r="J1720" s="10" t="s">
        <v>372</v>
      </c>
      <c r="K1720" s="12">
        <v>46003</v>
      </c>
      <c r="L1720" s="28" t="s">
        <v>11</v>
      </c>
      <c r="M1720" s="14"/>
      <c r="N1720" s="10" t="s">
        <v>1028</v>
      </c>
    </row>
    <row r="1721" spans="1:14" ht="22.5" customHeight="1">
      <c r="A1721" s="8">
        <v>46003.757398020833</v>
      </c>
      <c r="B1721" s="9" t="s">
        <v>14</v>
      </c>
      <c r="C1721" s="9" t="s">
        <v>15</v>
      </c>
      <c r="D1721" s="10" t="s">
        <v>3852</v>
      </c>
      <c r="E1721" s="9" t="s">
        <v>17</v>
      </c>
      <c r="F1721" s="10">
        <v>31</v>
      </c>
      <c r="G1721" s="11">
        <v>8059485155</v>
      </c>
      <c r="H1721" s="10" t="s">
        <v>3853</v>
      </c>
      <c r="I1721" s="10" t="s">
        <v>45</v>
      </c>
      <c r="J1721" s="10" t="s">
        <v>3854</v>
      </c>
      <c r="K1721" s="12">
        <v>46003</v>
      </c>
      <c r="L1721" s="28" t="s">
        <v>11</v>
      </c>
      <c r="M1721" s="14"/>
      <c r="N1721" s="10" t="s">
        <v>1028</v>
      </c>
    </row>
    <row r="1722" spans="1:14" ht="22.5" customHeight="1">
      <c r="A1722" s="8">
        <v>46003.757845231477</v>
      </c>
      <c r="B1722" s="9" t="s">
        <v>14</v>
      </c>
      <c r="C1722" s="9" t="s">
        <v>15</v>
      </c>
      <c r="D1722" s="10" t="s">
        <v>3855</v>
      </c>
      <c r="E1722" s="9" t="s">
        <v>17</v>
      </c>
      <c r="F1722" s="10">
        <v>35</v>
      </c>
      <c r="G1722" s="11">
        <v>7033501922</v>
      </c>
      <c r="H1722" s="10" t="s">
        <v>3856</v>
      </c>
      <c r="I1722" s="10" t="s">
        <v>27</v>
      </c>
      <c r="J1722" s="10" t="s">
        <v>2426</v>
      </c>
      <c r="K1722" s="12">
        <v>46003</v>
      </c>
      <c r="L1722" s="28" t="s">
        <v>11</v>
      </c>
      <c r="M1722" s="14"/>
      <c r="N1722" s="10" t="s">
        <v>1028</v>
      </c>
    </row>
    <row r="1723" spans="1:14" ht="22.5" customHeight="1">
      <c r="A1723" s="8">
        <v>46003.75901199074</v>
      </c>
      <c r="B1723" s="9" t="s">
        <v>14</v>
      </c>
      <c r="C1723" s="9" t="s">
        <v>15</v>
      </c>
      <c r="D1723" s="10" t="s">
        <v>3857</v>
      </c>
      <c r="E1723" s="9" t="s">
        <v>22</v>
      </c>
      <c r="F1723" s="10">
        <v>22</v>
      </c>
      <c r="G1723" s="11">
        <v>9135505570</v>
      </c>
      <c r="H1723" s="10" t="s">
        <v>3858</v>
      </c>
      <c r="I1723" s="10" t="s">
        <v>27</v>
      </c>
      <c r="J1723" s="10" t="s">
        <v>3859</v>
      </c>
      <c r="K1723" s="12">
        <v>46003</v>
      </c>
      <c r="L1723" s="28" t="s">
        <v>11</v>
      </c>
      <c r="M1723" s="10"/>
      <c r="N1723" s="10" t="s">
        <v>1028</v>
      </c>
    </row>
    <row r="1724" spans="1:14" ht="22.5" customHeight="1">
      <c r="A1724" s="8">
        <v>46003.759557847225</v>
      </c>
      <c r="B1724" s="9" t="s">
        <v>14</v>
      </c>
      <c r="C1724" s="9" t="s">
        <v>15</v>
      </c>
      <c r="D1724" s="10" t="s">
        <v>3860</v>
      </c>
      <c r="E1724" s="9" t="s">
        <v>22</v>
      </c>
      <c r="F1724" s="10">
        <v>26</v>
      </c>
      <c r="G1724" s="11">
        <v>8137504513</v>
      </c>
      <c r="H1724" s="10" t="s">
        <v>3861</v>
      </c>
      <c r="I1724" s="10" t="s">
        <v>27</v>
      </c>
      <c r="J1724" s="10" t="s">
        <v>372</v>
      </c>
      <c r="K1724" s="12">
        <v>46003</v>
      </c>
      <c r="L1724" s="28" t="s">
        <v>11</v>
      </c>
      <c r="M1724" s="14"/>
      <c r="N1724" s="10" t="s">
        <v>1028</v>
      </c>
    </row>
    <row r="1725" spans="1:14" ht="22.5" customHeight="1">
      <c r="A1725" s="8">
        <v>46003.764445717592</v>
      </c>
      <c r="B1725" s="9" t="s">
        <v>14</v>
      </c>
      <c r="C1725" s="9" t="s">
        <v>15</v>
      </c>
      <c r="D1725" s="10" t="s">
        <v>3862</v>
      </c>
      <c r="E1725" s="9" t="s">
        <v>22</v>
      </c>
      <c r="F1725" s="10">
        <v>36</v>
      </c>
      <c r="G1725" s="11">
        <v>7026148118</v>
      </c>
      <c r="H1725" s="10" t="s">
        <v>3863</v>
      </c>
      <c r="I1725" s="10" t="s">
        <v>31</v>
      </c>
      <c r="J1725" s="10" t="s">
        <v>32</v>
      </c>
      <c r="K1725" s="12">
        <v>46003</v>
      </c>
      <c r="L1725" s="28" t="s">
        <v>11</v>
      </c>
      <c r="M1725" s="14"/>
      <c r="N1725" s="10" t="s">
        <v>1028</v>
      </c>
    </row>
    <row r="1726" spans="1:14" ht="22.5" customHeight="1">
      <c r="A1726" s="8">
        <v>46003.765608402777</v>
      </c>
      <c r="B1726" s="9" t="s">
        <v>14</v>
      </c>
      <c r="C1726" s="9" t="s">
        <v>15</v>
      </c>
      <c r="D1726" s="10" t="s">
        <v>3864</v>
      </c>
      <c r="E1726" s="9" t="s">
        <v>17</v>
      </c>
      <c r="F1726" s="10">
        <v>38</v>
      </c>
      <c r="G1726" s="11">
        <v>8032349741</v>
      </c>
      <c r="H1726" s="10" t="s">
        <v>3865</v>
      </c>
      <c r="I1726" s="10" t="s">
        <v>27</v>
      </c>
      <c r="J1726" s="10" t="s">
        <v>372</v>
      </c>
      <c r="K1726" s="12">
        <v>46003</v>
      </c>
      <c r="L1726" s="28" t="s">
        <v>11</v>
      </c>
      <c r="M1726" s="14"/>
      <c r="N1726" s="10" t="s">
        <v>1028</v>
      </c>
    </row>
    <row r="1727" spans="1:14" ht="22.5" customHeight="1">
      <c r="A1727" s="8">
        <v>46003.771461655095</v>
      </c>
      <c r="B1727" s="9" t="s">
        <v>14</v>
      </c>
      <c r="C1727" s="9" t="s">
        <v>15</v>
      </c>
      <c r="D1727" s="10" t="s">
        <v>3866</v>
      </c>
      <c r="E1727" s="9" t="s">
        <v>17</v>
      </c>
      <c r="F1727" s="10">
        <v>33</v>
      </c>
      <c r="G1727" s="11">
        <v>8139737857</v>
      </c>
      <c r="H1727" s="10" t="s">
        <v>3867</v>
      </c>
      <c r="I1727" s="10" t="s">
        <v>31</v>
      </c>
      <c r="J1727" s="10" t="s">
        <v>32</v>
      </c>
      <c r="K1727" s="12">
        <v>46003</v>
      </c>
      <c r="L1727" s="28" t="s">
        <v>11</v>
      </c>
      <c r="M1727" s="14"/>
      <c r="N1727" s="10" t="s">
        <v>1028</v>
      </c>
    </row>
    <row r="1728" spans="1:14" ht="22.5" customHeight="1">
      <c r="A1728" s="8">
        <v>46003.774109282407</v>
      </c>
      <c r="B1728" s="9" t="s">
        <v>14</v>
      </c>
      <c r="C1728" s="9" t="s">
        <v>15</v>
      </c>
      <c r="D1728" s="10" t="s">
        <v>3868</v>
      </c>
      <c r="E1728" s="9" t="s">
        <v>17</v>
      </c>
      <c r="F1728" s="10">
        <v>19</v>
      </c>
      <c r="G1728" s="11">
        <v>9135125701</v>
      </c>
      <c r="H1728" s="10" t="s">
        <v>3869</v>
      </c>
      <c r="I1728" s="10" t="s">
        <v>31</v>
      </c>
      <c r="J1728" s="10" t="s">
        <v>3870</v>
      </c>
      <c r="K1728" s="12">
        <v>46003</v>
      </c>
      <c r="L1728" s="28" t="s">
        <v>11</v>
      </c>
      <c r="M1728" s="14"/>
      <c r="N1728" s="10" t="s">
        <v>1028</v>
      </c>
    </row>
    <row r="1729" spans="1:14" ht="22.5" customHeight="1">
      <c r="A1729" s="8">
        <v>46003.776554861106</v>
      </c>
      <c r="B1729" s="9" t="s">
        <v>14</v>
      </c>
      <c r="C1729" s="9" t="s">
        <v>15</v>
      </c>
      <c r="D1729" s="10" t="s">
        <v>3871</v>
      </c>
      <c r="E1729" s="9" t="s">
        <v>22</v>
      </c>
      <c r="F1729" s="10">
        <v>26</v>
      </c>
      <c r="G1729" s="11">
        <v>9797113764</v>
      </c>
      <c r="H1729" s="10" t="s">
        <v>3872</v>
      </c>
      <c r="I1729" s="10" t="s">
        <v>202</v>
      </c>
      <c r="J1729" s="10" t="s">
        <v>3873</v>
      </c>
      <c r="K1729" s="12">
        <v>46003</v>
      </c>
      <c r="L1729" s="28" t="s">
        <v>11</v>
      </c>
      <c r="M1729" s="14"/>
      <c r="N1729" s="10" t="s">
        <v>3874</v>
      </c>
    </row>
    <row r="1730" spans="1:14" ht="22.5" customHeight="1">
      <c r="A1730" s="8">
        <v>46003.778936574075</v>
      </c>
      <c r="B1730" s="9" t="s">
        <v>14</v>
      </c>
      <c r="C1730" s="9" t="s">
        <v>15</v>
      </c>
      <c r="D1730" s="10" t="s">
        <v>3875</v>
      </c>
      <c r="E1730" s="9" t="s">
        <v>17</v>
      </c>
      <c r="F1730" s="10">
        <v>22</v>
      </c>
      <c r="G1730" s="11">
        <v>9134538455</v>
      </c>
      <c r="H1730" s="10" t="s">
        <v>3876</v>
      </c>
      <c r="I1730" s="10" t="s">
        <v>27</v>
      </c>
      <c r="J1730" s="10" t="s">
        <v>94</v>
      </c>
      <c r="K1730" s="12">
        <v>46003</v>
      </c>
      <c r="L1730" s="28" t="s">
        <v>11</v>
      </c>
      <c r="M1730" s="14"/>
      <c r="N1730" s="10" t="s">
        <v>1028</v>
      </c>
    </row>
    <row r="1731" spans="1:14" ht="22.5" customHeight="1">
      <c r="A1731" s="8">
        <v>46003.785024861107</v>
      </c>
      <c r="B1731" s="9" t="s">
        <v>14</v>
      </c>
      <c r="C1731" s="9" t="s">
        <v>15</v>
      </c>
      <c r="D1731" s="10" t="s">
        <v>3877</v>
      </c>
      <c r="E1731" s="9" t="s">
        <v>17</v>
      </c>
      <c r="F1731" s="10">
        <v>27</v>
      </c>
      <c r="G1731" s="11">
        <v>8169814699</v>
      </c>
      <c r="H1731" s="10" t="s">
        <v>3878</v>
      </c>
      <c r="I1731" s="10" t="s">
        <v>27</v>
      </c>
      <c r="J1731" s="10" t="s">
        <v>372</v>
      </c>
      <c r="K1731" s="12">
        <v>46003</v>
      </c>
      <c r="L1731" s="28" t="s">
        <v>11</v>
      </c>
      <c r="M1731" s="14"/>
      <c r="N1731" s="10" t="s">
        <v>1028</v>
      </c>
    </row>
    <row r="1732" spans="1:14" ht="22.5" customHeight="1">
      <c r="A1732" s="8">
        <v>46003.790482916665</v>
      </c>
      <c r="B1732" s="9" t="s">
        <v>14</v>
      </c>
      <c r="C1732" s="9" t="s">
        <v>15</v>
      </c>
      <c r="D1732" s="10" t="s">
        <v>3879</v>
      </c>
      <c r="E1732" s="9" t="s">
        <v>17</v>
      </c>
      <c r="F1732" s="10">
        <v>36</v>
      </c>
      <c r="G1732" s="11">
        <v>8065596944</v>
      </c>
      <c r="H1732" s="10" t="s">
        <v>3880</v>
      </c>
      <c r="I1732" s="10" t="s">
        <v>19</v>
      </c>
      <c r="J1732" s="10" t="s">
        <v>3881</v>
      </c>
      <c r="K1732" s="12">
        <v>46003</v>
      </c>
      <c r="L1732" s="28" t="s">
        <v>11</v>
      </c>
      <c r="M1732" s="14"/>
      <c r="N1732" s="10" t="s">
        <v>1028</v>
      </c>
    </row>
    <row r="1733" spans="1:14" ht="22.5" customHeight="1">
      <c r="A1733" s="8">
        <v>46003.802117384257</v>
      </c>
      <c r="B1733" s="9" t="s">
        <v>14</v>
      </c>
      <c r="C1733" s="9" t="s">
        <v>15</v>
      </c>
      <c r="D1733" s="10" t="s">
        <v>295</v>
      </c>
      <c r="E1733" s="9" t="s">
        <v>17</v>
      </c>
      <c r="F1733" s="10">
        <v>32</v>
      </c>
      <c r="G1733" s="11">
        <v>8060263434</v>
      </c>
      <c r="H1733" s="10" t="s">
        <v>3882</v>
      </c>
      <c r="I1733" s="10" t="s">
        <v>49</v>
      </c>
      <c r="J1733" s="10" t="s">
        <v>157</v>
      </c>
      <c r="K1733" s="12">
        <v>46003</v>
      </c>
      <c r="L1733" s="28" t="s">
        <v>11</v>
      </c>
      <c r="M1733" s="14"/>
      <c r="N1733" s="10" t="s">
        <v>1028</v>
      </c>
    </row>
    <row r="1734" spans="1:14" ht="22.5" customHeight="1">
      <c r="A1734" s="8">
        <v>46003.80603684028</v>
      </c>
      <c r="B1734" s="9" t="s">
        <v>14</v>
      </c>
      <c r="C1734" s="9" t="s">
        <v>15</v>
      </c>
      <c r="D1734" s="10" t="s">
        <v>3883</v>
      </c>
      <c r="E1734" s="9" t="s">
        <v>17</v>
      </c>
      <c r="F1734" s="10">
        <v>34</v>
      </c>
      <c r="G1734" s="11">
        <v>7017014005</v>
      </c>
      <c r="H1734" s="10" t="s">
        <v>3884</v>
      </c>
      <c r="I1734" s="10" t="s">
        <v>202</v>
      </c>
      <c r="J1734" s="10" t="s">
        <v>2059</v>
      </c>
      <c r="K1734" s="12">
        <v>46003</v>
      </c>
      <c r="L1734" s="28" t="s">
        <v>11</v>
      </c>
      <c r="M1734" s="14"/>
      <c r="N1734" s="10" t="s">
        <v>1028</v>
      </c>
    </row>
    <row r="1735" spans="1:14" ht="22.5" customHeight="1">
      <c r="A1735" s="8">
        <v>46003.806176550926</v>
      </c>
      <c r="B1735" s="9" t="s">
        <v>14</v>
      </c>
      <c r="C1735" s="9" t="s">
        <v>15</v>
      </c>
      <c r="D1735" s="10" t="s">
        <v>3885</v>
      </c>
      <c r="E1735" s="9" t="s">
        <v>22</v>
      </c>
      <c r="F1735" s="10">
        <v>25</v>
      </c>
      <c r="G1735" s="11">
        <v>7035138278</v>
      </c>
      <c r="H1735" s="10" t="s">
        <v>3886</v>
      </c>
      <c r="I1735" s="10" t="s">
        <v>31</v>
      </c>
      <c r="J1735" s="10" t="s">
        <v>32</v>
      </c>
      <c r="K1735" s="12">
        <v>46003</v>
      </c>
      <c r="L1735" s="28" t="s">
        <v>11</v>
      </c>
      <c r="M1735" s="14"/>
      <c r="N1735" s="10" t="s">
        <v>1028</v>
      </c>
    </row>
    <row r="1736" spans="1:14" ht="22.5" customHeight="1">
      <c r="A1736" s="8">
        <v>46003.806913726847</v>
      </c>
      <c r="B1736" s="9" t="s">
        <v>14</v>
      </c>
      <c r="C1736" s="9" t="s">
        <v>15</v>
      </c>
      <c r="D1736" s="10" t="s">
        <v>3887</v>
      </c>
      <c r="E1736" s="9" t="s">
        <v>17</v>
      </c>
      <c r="F1736" s="10">
        <v>33</v>
      </c>
      <c r="G1736" s="11">
        <v>8109944700</v>
      </c>
      <c r="H1736" s="10" t="s">
        <v>3888</v>
      </c>
      <c r="I1736" s="10" t="s">
        <v>27</v>
      </c>
      <c r="J1736" s="10" t="s">
        <v>1514</v>
      </c>
      <c r="K1736" s="12">
        <v>46003</v>
      </c>
      <c r="L1736" s="28" t="s">
        <v>11</v>
      </c>
      <c r="M1736" s="14"/>
      <c r="N1736" s="10" t="s">
        <v>1028</v>
      </c>
    </row>
    <row r="1737" spans="1:14" ht="22.5" customHeight="1">
      <c r="A1737" s="8">
        <v>46003.808391990737</v>
      </c>
      <c r="B1737" s="9" t="s">
        <v>14</v>
      </c>
      <c r="C1737" s="9" t="s">
        <v>15</v>
      </c>
      <c r="D1737" s="10" t="s">
        <v>3889</v>
      </c>
      <c r="E1737" s="9" t="s">
        <v>22</v>
      </c>
      <c r="F1737" s="10">
        <v>20</v>
      </c>
      <c r="G1737" s="11">
        <v>9164814668</v>
      </c>
      <c r="H1737" s="10" t="s">
        <v>3890</v>
      </c>
      <c r="I1737" s="10" t="s">
        <v>27</v>
      </c>
      <c r="J1737" s="10" t="s">
        <v>703</v>
      </c>
      <c r="K1737" s="12">
        <v>46003</v>
      </c>
      <c r="L1737" s="28" t="s">
        <v>11</v>
      </c>
      <c r="M1737" s="14"/>
      <c r="N1737" s="10" t="s">
        <v>1028</v>
      </c>
    </row>
    <row r="1738" spans="1:14" ht="22.5" customHeight="1">
      <c r="A1738" s="8">
        <v>46003.816223553236</v>
      </c>
      <c r="B1738" s="9" t="s">
        <v>14</v>
      </c>
      <c r="C1738" s="9" t="s">
        <v>15</v>
      </c>
      <c r="D1738" s="10" t="s">
        <v>3891</v>
      </c>
      <c r="E1738" s="9" t="s">
        <v>22</v>
      </c>
      <c r="F1738" s="10">
        <v>29</v>
      </c>
      <c r="G1738" s="11">
        <v>8065687499</v>
      </c>
      <c r="H1738" s="10" t="s">
        <v>3892</v>
      </c>
      <c r="I1738" s="10" t="s">
        <v>27</v>
      </c>
      <c r="J1738" s="10" t="s">
        <v>172</v>
      </c>
      <c r="K1738" s="12">
        <v>46003</v>
      </c>
      <c r="L1738" s="28" t="s">
        <v>11</v>
      </c>
      <c r="M1738" s="14"/>
      <c r="N1738" s="10" t="s">
        <v>1028</v>
      </c>
    </row>
    <row r="1739" spans="1:14" ht="22.5" customHeight="1">
      <c r="A1739" s="8">
        <v>46003.817398298612</v>
      </c>
      <c r="B1739" s="9" t="s">
        <v>14</v>
      </c>
      <c r="C1739" s="9" t="s">
        <v>15</v>
      </c>
      <c r="D1739" s="10" t="s">
        <v>3893</v>
      </c>
      <c r="E1739" s="9" t="s">
        <v>17</v>
      </c>
      <c r="F1739" s="10">
        <v>34</v>
      </c>
      <c r="G1739" s="11">
        <v>8103443377</v>
      </c>
      <c r="H1739" s="10" t="s">
        <v>3894</v>
      </c>
      <c r="I1739" s="10" t="s">
        <v>202</v>
      </c>
      <c r="J1739" s="10" t="s">
        <v>3895</v>
      </c>
      <c r="K1739" s="12">
        <v>46003</v>
      </c>
      <c r="L1739" s="28" t="s">
        <v>11</v>
      </c>
      <c r="M1739" s="14"/>
      <c r="N1739" s="10" t="s">
        <v>1096</v>
      </c>
    </row>
    <row r="1740" spans="1:14" ht="22.5" customHeight="1">
      <c r="A1740" s="8">
        <v>46003.822191006941</v>
      </c>
      <c r="B1740" s="9" t="s">
        <v>14</v>
      </c>
      <c r="C1740" s="9" t="s">
        <v>15</v>
      </c>
      <c r="D1740" s="10" t="s">
        <v>3896</v>
      </c>
      <c r="E1740" s="9" t="s">
        <v>17</v>
      </c>
      <c r="F1740" s="10">
        <v>29</v>
      </c>
      <c r="G1740" s="11">
        <f t="shared" ref="G1740" si="42">265991080653</f>
        <v>265991080653</v>
      </c>
      <c r="H1740" s="10" t="s">
        <v>3897</v>
      </c>
      <c r="I1740" s="10" t="s">
        <v>19</v>
      </c>
      <c r="J1740" s="10" t="s">
        <v>3898</v>
      </c>
      <c r="K1740" s="12">
        <v>46003</v>
      </c>
      <c r="L1740" s="28" t="s">
        <v>11</v>
      </c>
      <c r="M1740" s="14"/>
      <c r="N1740" s="10" t="s">
        <v>1028</v>
      </c>
    </row>
    <row r="1741" spans="1:14" ht="22.5" customHeight="1">
      <c r="A1741" s="8">
        <v>46003.82246693287</v>
      </c>
      <c r="B1741" s="9" t="s">
        <v>14</v>
      </c>
      <c r="C1741" s="9" t="s">
        <v>15</v>
      </c>
      <c r="D1741" s="10" t="s">
        <v>3899</v>
      </c>
      <c r="E1741" s="9" t="s">
        <v>17</v>
      </c>
      <c r="F1741" s="10">
        <v>36</v>
      </c>
      <c r="G1741" s="11">
        <v>9075780644</v>
      </c>
      <c r="H1741" s="10" t="s">
        <v>3900</v>
      </c>
      <c r="I1741" s="10" t="s">
        <v>27</v>
      </c>
      <c r="J1741" s="10" t="s">
        <v>3901</v>
      </c>
      <c r="K1741" s="12">
        <v>46003</v>
      </c>
      <c r="L1741" s="28" t="s">
        <v>11</v>
      </c>
      <c r="M1741" s="14"/>
      <c r="N1741" s="10" t="s">
        <v>1028</v>
      </c>
    </row>
    <row r="1742" spans="1:14" ht="22.5" customHeight="1">
      <c r="A1742" s="8">
        <v>46003.822707071755</v>
      </c>
      <c r="B1742" s="9" t="s">
        <v>14</v>
      </c>
      <c r="C1742" s="9" t="s">
        <v>15</v>
      </c>
      <c r="D1742" s="10" t="s">
        <v>3902</v>
      </c>
      <c r="E1742" s="9" t="s">
        <v>17</v>
      </c>
      <c r="F1742" s="10">
        <v>31</v>
      </c>
      <c r="G1742" s="11">
        <v>9037421727</v>
      </c>
      <c r="H1742" s="10" t="s">
        <v>3903</v>
      </c>
      <c r="I1742" s="10" t="s">
        <v>202</v>
      </c>
      <c r="J1742" s="10" t="s">
        <v>3904</v>
      </c>
      <c r="K1742" s="12">
        <v>46003</v>
      </c>
      <c r="L1742" s="28" t="s">
        <v>11</v>
      </c>
      <c r="M1742" s="14"/>
      <c r="N1742" s="10" t="s">
        <v>1028</v>
      </c>
    </row>
    <row r="1743" spans="1:14" ht="22.5" customHeight="1">
      <c r="A1743" s="8">
        <v>46003.824370856484</v>
      </c>
      <c r="B1743" s="9" t="s">
        <v>14</v>
      </c>
      <c r="C1743" s="9" t="s">
        <v>15</v>
      </c>
      <c r="D1743" s="10" t="s">
        <v>3905</v>
      </c>
      <c r="E1743" s="9" t="s">
        <v>17</v>
      </c>
      <c r="F1743" s="10">
        <v>30</v>
      </c>
      <c r="G1743" s="11">
        <v>8069679258</v>
      </c>
      <c r="H1743" s="10" t="s">
        <v>3906</v>
      </c>
      <c r="I1743" s="10" t="s">
        <v>202</v>
      </c>
      <c r="J1743" s="10" t="s">
        <v>3907</v>
      </c>
      <c r="K1743" s="12">
        <v>46003</v>
      </c>
      <c r="L1743" s="28" t="s">
        <v>11</v>
      </c>
      <c r="M1743" s="14"/>
      <c r="N1743" s="10" t="s">
        <v>1140</v>
      </c>
    </row>
    <row r="1744" spans="1:14" ht="22.5" customHeight="1">
      <c r="A1744" s="8">
        <v>46003.82495195602</v>
      </c>
      <c r="B1744" s="9" t="s">
        <v>14</v>
      </c>
      <c r="C1744" s="9" t="s">
        <v>15</v>
      </c>
      <c r="D1744" s="10" t="s">
        <v>3908</v>
      </c>
      <c r="E1744" s="9" t="s">
        <v>17</v>
      </c>
      <c r="F1744" s="10">
        <v>39</v>
      </c>
      <c r="G1744" s="11">
        <v>8134785482</v>
      </c>
      <c r="H1744" s="10" t="s">
        <v>3909</v>
      </c>
      <c r="I1744" s="10" t="s">
        <v>202</v>
      </c>
      <c r="J1744" s="10" t="s">
        <v>3907</v>
      </c>
      <c r="K1744" s="12">
        <v>46003</v>
      </c>
      <c r="L1744" s="28" t="s">
        <v>11</v>
      </c>
      <c r="M1744" s="14"/>
      <c r="N1744" s="10" t="s">
        <v>1140</v>
      </c>
    </row>
    <row r="1745" spans="1:14" ht="22.5" customHeight="1">
      <c r="A1745" s="8">
        <v>46003.828566643519</v>
      </c>
      <c r="B1745" s="9" t="s">
        <v>14</v>
      </c>
      <c r="C1745" s="9" t="s">
        <v>15</v>
      </c>
      <c r="D1745" s="10" t="s">
        <v>3910</v>
      </c>
      <c r="E1745" s="9" t="s">
        <v>17</v>
      </c>
      <c r="F1745" s="10">
        <v>31</v>
      </c>
      <c r="G1745" s="11">
        <v>8028855272</v>
      </c>
      <c r="H1745" s="10" t="s">
        <v>3911</v>
      </c>
      <c r="I1745" s="10" t="s">
        <v>27</v>
      </c>
      <c r="J1745" s="10" t="s">
        <v>28</v>
      </c>
      <c r="K1745" s="12">
        <v>34632</v>
      </c>
      <c r="L1745" s="28" t="s">
        <v>11</v>
      </c>
      <c r="M1745" s="10"/>
      <c r="N1745" s="10" t="s">
        <v>1028</v>
      </c>
    </row>
    <row r="1746" spans="1:14" ht="22.5" customHeight="1">
      <c r="A1746" s="8">
        <v>46003.83126298611</v>
      </c>
      <c r="B1746" s="9" t="s">
        <v>14</v>
      </c>
      <c r="C1746" s="9" t="s">
        <v>15</v>
      </c>
      <c r="D1746" s="10" t="s">
        <v>3912</v>
      </c>
      <c r="E1746" s="9" t="s">
        <v>22</v>
      </c>
      <c r="F1746" s="10">
        <v>35</v>
      </c>
      <c r="G1746" s="11">
        <v>7017778145</v>
      </c>
      <c r="H1746" s="10" t="s">
        <v>3913</v>
      </c>
      <c r="I1746" s="10" t="s">
        <v>45</v>
      </c>
      <c r="J1746" s="10" t="s">
        <v>3914</v>
      </c>
      <c r="K1746" s="12">
        <v>46003</v>
      </c>
      <c r="L1746" s="28" t="s">
        <v>11</v>
      </c>
      <c r="M1746" s="14"/>
      <c r="N1746" s="10" t="s">
        <v>1096</v>
      </c>
    </row>
    <row r="1747" spans="1:14" ht="22.5" customHeight="1">
      <c r="A1747" s="8">
        <v>46003.843132395836</v>
      </c>
      <c r="B1747" s="9" t="s">
        <v>14</v>
      </c>
      <c r="C1747" s="9" t="s">
        <v>15</v>
      </c>
      <c r="D1747" s="10" t="s">
        <v>3915</v>
      </c>
      <c r="E1747" s="9" t="s">
        <v>22</v>
      </c>
      <c r="F1747" s="10">
        <v>33</v>
      </c>
      <c r="G1747" s="11">
        <v>9112928043</v>
      </c>
      <c r="H1747" s="10" t="s">
        <v>3916</v>
      </c>
      <c r="I1747" s="10" t="s">
        <v>27</v>
      </c>
      <c r="J1747" s="10" t="s">
        <v>94</v>
      </c>
      <c r="K1747" s="12">
        <v>46003</v>
      </c>
      <c r="L1747" s="28" t="s">
        <v>11</v>
      </c>
      <c r="M1747" s="10"/>
      <c r="N1747" s="10" t="s">
        <v>1028</v>
      </c>
    </row>
    <row r="1748" spans="1:14" ht="22.5" customHeight="1">
      <c r="A1748" s="8">
        <v>46003.843174733796</v>
      </c>
      <c r="B1748" s="9" t="s">
        <v>14</v>
      </c>
      <c r="C1748" s="9" t="s">
        <v>15</v>
      </c>
      <c r="D1748" s="10" t="s">
        <v>3917</v>
      </c>
      <c r="E1748" s="9" t="s">
        <v>17</v>
      </c>
      <c r="F1748" s="10">
        <v>25</v>
      </c>
      <c r="G1748" s="11">
        <v>7069012985</v>
      </c>
      <c r="H1748" s="10" t="s">
        <v>3918</v>
      </c>
      <c r="I1748" s="10" t="s">
        <v>202</v>
      </c>
      <c r="J1748" s="10" t="s">
        <v>3437</v>
      </c>
      <c r="K1748" s="12">
        <v>46003</v>
      </c>
      <c r="L1748" s="28" t="s">
        <v>11</v>
      </c>
      <c r="M1748" s="14"/>
      <c r="N1748" s="10" t="s">
        <v>1028</v>
      </c>
    </row>
    <row r="1749" spans="1:14" ht="22.5" customHeight="1">
      <c r="A1749" s="8">
        <v>46003.843302291665</v>
      </c>
      <c r="B1749" s="9" t="s">
        <v>14</v>
      </c>
      <c r="C1749" s="9" t="s">
        <v>15</v>
      </c>
      <c r="D1749" s="10" t="s">
        <v>3919</v>
      </c>
      <c r="E1749" s="9" t="s">
        <v>22</v>
      </c>
      <c r="F1749" s="10">
        <v>23</v>
      </c>
      <c r="G1749" s="11">
        <v>8165554129</v>
      </c>
      <c r="H1749" s="10" t="s">
        <v>3920</v>
      </c>
      <c r="I1749" s="10" t="s">
        <v>27</v>
      </c>
      <c r="J1749" s="10" t="s">
        <v>94</v>
      </c>
      <c r="K1749" s="12">
        <v>46003</v>
      </c>
      <c r="L1749" s="28" t="s">
        <v>11</v>
      </c>
      <c r="M1749" s="14"/>
      <c r="N1749" s="10" t="s">
        <v>1028</v>
      </c>
    </row>
    <row r="1750" spans="1:14" ht="22.5" customHeight="1">
      <c r="A1750" s="8">
        <v>46003.845440254634</v>
      </c>
      <c r="B1750" s="9" t="s">
        <v>14</v>
      </c>
      <c r="C1750" s="9" t="s">
        <v>15</v>
      </c>
      <c r="D1750" s="10" t="s">
        <v>3921</v>
      </c>
      <c r="E1750" s="9" t="s">
        <v>22</v>
      </c>
      <c r="F1750" s="10">
        <v>28</v>
      </c>
      <c r="G1750" s="11">
        <v>8163437280</v>
      </c>
      <c r="H1750" s="10" t="s">
        <v>3922</v>
      </c>
      <c r="I1750" s="10" t="s">
        <v>31</v>
      </c>
      <c r="J1750" s="10" t="s">
        <v>3923</v>
      </c>
      <c r="K1750" s="12">
        <v>46003</v>
      </c>
      <c r="L1750" s="28" t="s">
        <v>11</v>
      </c>
      <c r="M1750" s="14"/>
      <c r="N1750" s="10" t="s">
        <v>1096</v>
      </c>
    </row>
    <row r="1751" spans="1:14" ht="22.5" customHeight="1">
      <c r="A1751" s="8">
        <v>46003.845918263891</v>
      </c>
      <c r="B1751" s="9" t="s">
        <v>14</v>
      </c>
      <c r="C1751" s="9" t="s">
        <v>15</v>
      </c>
      <c r="D1751" s="10" t="s">
        <v>3924</v>
      </c>
      <c r="E1751" s="9" t="s">
        <v>22</v>
      </c>
      <c r="F1751" s="10">
        <v>32</v>
      </c>
      <c r="G1751" s="11">
        <v>80622229</v>
      </c>
      <c r="H1751" s="10" t="s">
        <v>3925</v>
      </c>
      <c r="I1751" s="10" t="s">
        <v>27</v>
      </c>
      <c r="J1751" s="10" t="s">
        <v>1924</v>
      </c>
      <c r="K1751" s="12">
        <v>46003</v>
      </c>
      <c r="L1751" s="28" t="s">
        <v>11</v>
      </c>
      <c r="M1751" s="10"/>
      <c r="N1751" s="10" t="s">
        <v>1028</v>
      </c>
    </row>
    <row r="1752" spans="1:14" ht="22.5" customHeight="1">
      <c r="A1752" s="8">
        <v>46003.846336296294</v>
      </c>
      <c r="B1752" s="9" t="s">
        <v>14</v>
      </c>
      <c r="C1752" s="9" t="s">
        <v>15</v>
      </c>
      <c r="D1752" s="10" t="s">
        <v>3926</v>
      </c>
      <c r="E1752" s="9" t="s">
        <v>22</v>
      </c>
      <c r="F1752" s="10">
        <v>23</v>
      </c>
      <c r="G1752" s="11">
        <v>9063669682</v>
      </c>
      <c r="H1752" s="10" t="s">
        <v>3927</v>
      </c>
      <c r="I1752" s="10" t="s">
        <v>27</v>
      </c>
      <c r="J1752" s="10" t="s">
        <v>172</v>
      </c>
      <c r="K1752" s="12">
        <v>37466</v>
      </c>
      <c r="L1752" s="28" t="s">
        <v>11</v>
      </c>
      <c r="M1752" s="14"/>
      <c r="N1752" s="10" t="s">
        <v>1028</v>
      </c>
    </row>
    <row r="1753" spans="1:14" ht="22.5" customHeight="1">
      <c r="A1753" s="8">
        <v>46003.849529953703</v>
      </c>
      <c r="B1753" s="9" t="s">
        <v>14</v>
      </c>
      <c r="C1753" s="9" t="s">
        <v>15</v>
      </c>
      <c r="D1753" s="10" t="s">
        <v>3928</v>
      </c>
      <c r="E1753" s="9" t="s">
        <v>17</v>
      </c>
      <c r="F1753" s="10">
        <v>34</v>
      </c>
      <c r="G1753" s="11">
        <v>8138949454</v>
      </c>
      <c r="H1753" s="10" t="s">
        <v>3929</v>
      </c>
      <c r="I1753" s="10" t="s">
        <v>202</v>
      </c>
      <c r="J1753" s="10" t="s">
        <v>3904</v>
      </c>
      <c r="K1753" s="12">
        <v>46003</v>
      </c>
      <c r="L1753" s="28" t="s">
        <v>11</v>
      </c>
      <c r="M1753" s="14"/>
      <c r="N1753" s="10" t="s">
        <v>1028</v>
      </c>
    </row>
    <row r="1754" spans="1:14" ht="22.5" customHeight="1">
      <c r="A1754" s="8">
        <v>46003.850825381945</v>
      </c>
      <c r="B1754" s="9" t="s">
        <v>14</v>
      </c>
      <c r="C1754" s="9" t="s">
        <v>15</v>
      </c>
      <c r="D1754" s="10" t="s">
        <v>3930</v>
      </c>
      <c r="E1754" s="9" t="s">
        <v>17</v>
      </c>
      <c r="F1754" s="10">
        <v>32</v>
      </c>
      <c r="G1754" s="11">
        <v>7036091748</v>
      </c>
      <c r="H1754" s="10" t="s">
        <v>3931</v>
      </c>
      <c r="I1754" s="10" t="s">
        <v>27</v>
      </c>
      <c r="J1754" s="10" t="s">
        <v>3932</v>
      </c>
      <c r="K1754" s="12">
        <v>46003</v>
      </c>
      <c r="L1754" s="28" t="s">
        <v>11</v>
      </c>
      <c r="M1754" s="14"/>
      <c r="N1754" s="10" t="s">
        <v>1028</v>
      </c>
    </row>
    <row r="1755" spans="1:14" ht="22.5" customHeight="1">
      <c r="A1755" s="8">
        <v>46003.851328009259</v>
      </c>
      <c r="B1755" s="9" t="s">
        <v>14</v>
      </c>
      <c r="C1755" s="9" t="s">
        <v>15</v>
      </c>
      <c r="D1755" s="10" t="s">
        <v>356</v>
      </c>
      <c r="E1755" s="9" t="s">
        <v>22</v>
      </c>
      <c r="F1755" s="10">
        <v>27</v>
      </c>
      <c r="G1755" s="11">
        <v>9038752381</v>
      </c>
      <c r="H1755" s="10" t="s">
        <v>3933</v>
      </c>
      <c r="I1755" s="10" t="s">
        <v>27</v>
      </c>
      <c r="J1755" s="10" t="s">
        <v>2258</v>
      </c>
      <c r="K1755" s="12">
        <v>46003</v>
      </c>
      <c r="L1755" s="28" t="s">
        <v>11</v>
      </c>
      <c r="M1755" s="14"/>
      <c r="N1755" s="10" t="s">
        <v>1028</v>
      </c>
    </row>
    <row r="1756" spans="1:14" ht="22.5" customHeight="1">
      <c r="A1756" s="8">
        <v>46003.854044409723</v>
      </c>
      <c r="B1756" s="9" t="s">
        <v>14</v>
      </c>
      <c r="C1756" s="9" t="s">
        <v>15</v>
      </c>
      <c r="D1756" s="10" t="s">
        <v>3934</v>
      </c>
      <c r="E1756" s="9" t="s">
        <v>22</v>
      </c>
      <c r="F1756" s="10">
        <v>26</v>
      </c>
      <c r="G1756" s="11">
        <v>7069628289</v>
      </c>
      <c r="H1756" s="10" t="s">
        <v>3935</v>
      </c>
      <c r="I1756" s="10" t="s">
        <v>27</v>
      </c>
      <c r="J1756" s="10" t="s">
        <v>1559</v>
      </c>
      <c r="K1756" s="12">
        <v>46003</v>
      </c>
      <c r="L1756" s="28" t="s">
        <v>11</v>
      </c>
      <c r="M1756" s="14"/>
      <c r="N1756" s="10" t="s">
        <v>1028</v>
      </c>
    </row>
    <row r="1757" spans="1:14" ht="22.5" customHeight="1">
      <c r="A1757" s="8">
        <v>46003.856646354165</v>
      </c>
      <c r="B1757" s="9" t="s">
        <v>14</v>
      </c>
      <c r="C1757" s="9" t="s">
        <v>15</v>
      </c>
      <c r="D1757" s="10" t="s">
        <v>3936</v>
      </c>
      <c r="E1757" s="9" t="s">
        <v>22</v>
      </c>
      <c r="F1757" s="10">
        <v>20</v>
      </c>
      <c r="G1757" s="11">
        <v>8104400542</v>
      </c>
      <c r="H1757" s="10" t="s">
        <v>3937</v>
      </c>
      <c r="I1757" s="10" t="s">
        <v>27</v>
      </c>
      <c r="J1757" s="10" t="s">
        <v>1288</v>
      </c>
      <c r="K1757" s="12">
        <v>46003</v>
      </c>
      <c r="L1757" s="28" t="s">
        <v>11</v>
      </c>
      <c r="M1757" s="14"/>
      <c r="N1757" s="10" t="s">
        <v>1028</v>
      </c>
    </row>
    <row r="1758" spans="1:14" ht="22.5" customHeight="1">
      <c r="A1758" s="8">
        <v>46003.858350636576</v>
      </c>
      <c r="B1758" s="9" t="s">
        <v>14</v>
      </c>
      <c r="C1758" s="9" t="s">
        <v>15</v>
      </c>
      <c r="D1758" s="10" t="s">
        <v>3938</v>
      </c>
      <c r="E1758" s="9" t="s">
        <v>22</v>
      </c>
      <c r="F1758" s="10">
        <v>36</v>
      </c>
      <c r="G1758" s="11">
        <v>7030130829</v>
      </c>
      <c r="H1758" s="10" t="s">
        <v>3939</v>
      </c>
      <c r="I1758" s="10" t="s">
        <v>31</v>
      </c>
      <c r="J1758" s="10" t="s">
        <v>3940</v>
      </c>
      <c r="K1758" s="12">
        <v>46003</v>
      </c>
      <c r="L1758" s="28" t="s">
        <v>11</v>
      </c>
      <c r="M1758" s="14"/>
      <c r="N1758" s="10" t="s">
        <v>1028</v>
      </c>
    </row>
    <row r="1759" spans="1:14" ht="22.5" customHeight="1">
      <c r="A1759" s="8">
        <v>46003.85964116898</v>
      </c>
      <c r="B1759" s="9" t="s">
        <v>14</v>
      </c>
      <c r="C1759" s="9" t="s">
        <v>15</v>
      </c>
      <c r="D1759" s="10" t="s">
        <v>3941</v>
      </c>
      <c r="E1759" s="9" t="s">
        <v>17</v>
      </c>
      <c r="F1759" s="10">
        <v>35</v>
      </c>
      <c r="G1759" s="11">
        <v>8035220606</v>
      </c>
      <c r="H1759" s="10" t="s">
        <v>3942</v>
      </c>
      <c r="I1759" s="10" t="s">
        <v>27</v>
      </c>
      <c r="J1759" s="10" t="s">
        <v>172</v>
      </c>
      <c r="K1759" s="12">
        <v>46003</v>
      </c>
      <c r="L1759" s="28" t="s">
        <v>11</v>
      </c>
      <c r="M1759" s="14"/>
      <c r="N1759" s="10" t="s">
        <v>1028</v>
      </c>
    </row>
    <row r="1760" spans="1:14" ht="22.5" customHeight="1">
      <c r="A1760" s="8">
        <v>46003.860999965276</v>
      </c>
      <c r="B1760" s="9" t="s">
        <v>14</v>
      </c>
      <c r="C1760" s="9" t="s">
        <v>15</v>
      </c>
      <c r="D1760" s="10" t="s">
        <v>3943</v>
      </c>
      <c r="E1760" s="9" t="s">
        <v>17</v>
      </c>
      <c r="F1760" s="10">
        <v>27</v>
      </c>
      <c r="G1760" s="11">
        <v>8163201598</v>
      </c>
      <c r="H1760" s="10" t="s">
        <v>3944</v>
      </c>
      <c r="I1760" s="10" t="s">
        <v>27</v>
      </c>
      <c r="J1760" s="10" t="s">
        <v>2836</v>
      </c>
      <c r="K1760" s="12">
        <v>46003</v>
      </c>
      <c r="L1760" s="28" t="s">
        <v>11</v>
      </c>
      <c r="M1760" s="14"/>
      <c r="N1760" s="10" t="s">
        <v>1035</v>
      </c>
    </row>
    <row r="1761" spans="1:14" ht="22.5" customHeight="1">
      <c r="A1761" s="8">
        <v>46003.864363854169</v>
      </c>
      <c r="B1761" s="9" t="s">
        <v>14</v>
      </c>
      <c r="C1761" s="9" t="s">
        <v>15</v>
      </c>
      <c r="D1761" s="10" t="s">
        <v>3945</v>
      </c>
      <c r="E1761" s="9" t="s">
        <v>22</v>
      </c>
      <c r="F1761" s="10">
        <v>32</v>
      </c>
      <c r="G1761" s="11">
        <v>9121990758</v>
      </c>
      <c r="H1761" s="10" t="s">
        <v>3946</v>
      </c>
      <c r="I1761" s="10" t="s">
        <v>27</v>
      </c>
      <c r="J1761" s="10" t="s">
        <v>42</v>
      </c>
      <c r="K1761" s="12">
        <v>46003</v>
      </c>
      <c r="L1761" s="28" t="s">
        <v>11</v>
      </c>
      <c r="M1761" s="14"/>
      <c r="N1761" s="10" t="s">
        <v>1028</v>
      </c>
    </row>
    <row r="1762" spans="1:14" ht="22.5" customHeight="1">
      <c r="A1762" s="8">
        <v>46003.867267060181</v>
      </c>
      <c r="B1762" s="9" t="s">
        <v>14</v>
      </c>
      <c r="C1762" s="9" t="s">
        <v>15</v>
      </c>
      <c r="D1762" s="10" t="s">
        <v>3947</v>
      </c>
      <c r="E1762" s="9" t="s">
        <v>22</v>
      </c>
      <c r="F1762" s="10">
        <v>29</v>
      </c>
      <c r="G1762" s="11">
        <v>8101762050</v>
      </c>
      <c r="H1762" s="10" t="s">
        <v>3948</v>
      </c>
      <c r="I1762" s="10" t="s">
        <v>27</v>
      </c>
      <c r="J1762" s="10" t="s">
        <v>1194</v>
      </c>
      <c r="K1762" s="12">
        <v>46003</v>
      </c>
      <c r="L1762" s="28" t="s">
        <v>11</v>
      </c>
      <c r="M1762" s="14"/>
      <c r="N1762" s="10" t="s">
        <v>1028</v>
      </c>
    </row>
    <row r="1763" spans="1:14" ht="22.5" customHeight="1">
      <c r="A1763" s="8">
        <v>46003.867622395832</v>
      </c>
      <c r="B1763" s="9" t="s">
        <v>14</v>
      </c>
      <c r="C1763" s="9" t="s">
        <v>15</v>
      </c>
      <c r="D1763" s="10" t="s">
        <v>3936</v>
      </c>
      <c r="E1763" s="9" t="s">
        <v>22</v>
      </c>
      <c r="F1763" s="10">
        <v>20</v>
      </c>
      <c r="G1763" s="11">
        <v>8104400542</v>
      </c>
      <c r="H1763" s="10" t="s">
        <v>3937</v>
      </c>
      <c r="I1763" s="10" t="s">
        <v>27</v>
      </c>
      <c r="J1763" s="10" t="s">
        <v>1288</v>
      </c>
      <c r="K1763" s="12">
        <v>46003</v>
      </c>
      <c r="L1763" s="28" t="s">
        <v>11</v>
      </c>
      <c r="M1763" s="14"/>
      <c r="N1763" s="10" t="s">
        <v>1028</v>
      </c>
    </row>
    <row r="1764" spans="1:14" ht="22.5" customHeight="1">
      <c r="A1764" s="8">
        <v>46003.871565416666</v>
      </c>
      <c r="B1764" s="9" t="s">
        <v>14</v>
      </c>
      <c r="C1764" s="9" t="s">
        <v>15</v>
      </c>
      <c r="D1764" s="10" t="s">
        <v>3949</v>
      </c>
      <c r="E1764" s="9" t="s">
        <v>17</v>
      </c>
      <c r="F1764" s="10">
        <v>29</v>
      </c>
      <c r="G1764" s="11">
        <v>9027538619</v>
      </c>
      <c r="H1764" s="10" t="s">
        <v>3950</v>
      </c>
      <c r="I1764" s="10" t="s">
        <v>27</v>
      </c>
      <c r="J1764" s="10" t="s">
        <v>1949</v>
      </c>
      <c r="K1764" s="12">
        <v>46003</v>
      </c>
      <c r="L1764" s="28" t="s">
        <v>11</v>
      </c>
      <c r="M1764" s="14"/>
      <c r="N1764" s="10" t="s">
        <v>1028</v>
      </c>
    </row>
    <row r="1765" spans="1:14" ht="22.5" customHeight="1">
      <c r="A1765" s="8">
        <v>46003.874358414352</v>
      </c>
      <c r="B1765" s="9" t="s">
        <v>14</v>
      </c>
      <c r="C1765" s="9" t="s">
        <v>15</v>
      </c>
      <c r="D1765" s="10" t="s">
        <v>3951</v>
      </c>
      <c r="E1765" s="9" t="s">
        <v>17</v>
      </c>
      <c r="F1765" s="10">
        <v>31</v>
      </c>
      <c r="G1765" s="11">
        <v>8168711980</v>
      </c>
      <c r="H1765" s="10" t="s">
        <v>3952</v>
      </c>
      <c r="I1765" s="10" t="s">
        <v>27</v>
      </c>
      <c r="J1765" s="10" t="s">
        <v>2479</v>
      </c>
      <c r="K1765" s="12">
        <v>46003</v>
      </c>
      <c r="L1765" s="28" t="s">
        <v>11</v>
      </c>
      <c r="M1765" s="14"/>
      <c r="N1765" s="10" t="s">
        <v>1028</v>
      </c>
    </row>
    <row r="1766" spans="1:14" ht="22.5" customHeight="1">
      <c r="A1766" s="8">
        <v>46003.883586944445</v>
      </c>
      <c r="B1766" s="9" t="s">
        <v>14</v>
      </c>
      <c r="C1766" s="9" t="s">
        <v>15</v>
      </c>
      <c r="D1766" s="10" t="s">
        <v>3953</v>
      </c>
      <c r="E1766" s="9" t="s">
        <v>22</v>
      </c>
      <c r="F1766" s="10">
        <v>30</v>
      </c>
      <c r="G1766" s="11">
        <v>9079553832</v>
      </c>
      <c r="H1766" s="10" t="s">
        <v>3954</v>
      </c>
      <c r="I1766" s="10" t="s">
        <v>27</v>
      </c>
      <c r="J1766" s="10" t="s">
        <v>1890</v>
      </c>
      <c r="K1766" s="12">
        <v>46003</v>
      </c>
      <c r="L1766" s="28" t="s">
        <v>11</v>
      </c>
      <c r="M1766" s="14"/>
      <c r="N1766" s="10" t="s">
        <v>1028</v>
      </c>
    </row>
    <row r="1767" spans="1:14" ht="22.5" customHeight="1">
      <c r="A1767" s="8">
        <v>46003.88403105324</v>
      </c>
      <c r="B1767" s="9" t="s">
        <v>14</v>
      </c>
      <c r="C1767" s="9" t="s">
        <v>15</v>
      </c>
      <c r="D1767" s="10" t="s">
        <v>3955</v>
      </c>
      <c r="E1767" s="9" t="s">
        <v>22</v>
      </c>
      <c r="F1767" s="10">
        <v>21</v>
      </c>
      <c r="G1767" s="11">
        <v>7010787084</v>
      </c>
      <c r="H1767" s="10" t="s">
        <v>3956</v>
      </c>
      <c r="I1767" s="10" t="s">
        <v>27</v>
      </c>
      <c r="J1767" s="10" t="s">
        <v>2591</v>
      </c>
      <c r="K1767" s="12">
        <v>46003</v>
      </c>
      <c r="L1767" s="28" t="s">
        <v>11</v>
      </c>
      <c r="M1767" s="14"/>
      <c r="N1767" s="10" t="s">
        <v>1028</v>
      </c>
    </row>
    <row r="1768" spans="1:14" ht="22.5" customHeight="1">
      <c r="A1768" s="8">
        <v>46003.885947986113</v>
      </c>
      <c r="B1768" s="9" t="s">
        <v>14</v>
      </c>
      <c r="C1768" s="9" t="s">
        <v>15</v>
      </c>
      <c r="D1768" s="10" t="s">
        <v>3957</v>
      </c>
      <c r="E1768" s="9" t="s">
        <v>22</v>
      </c>
      <c r="F1768" s="10">
        <v>30</v>
      </c>
      <c r="G1768" s="11">
        <v>8066944743</v>
      </c>
      <c r="H1768" s="10" t="s">
        <v>3958</v>
      </c>
      <c r="I1768" s="10" t="s">
        <v>27</v>
      </c>
      <c r="J1768" s="10" t="s">
        <v>3959</v>
      </c>
      <c r="K1768" s="12">
        <v>46003</v>
      </c>
      <c r="L1768" s="28" t="s">
        <v>11</v>
      </c>
      <c r="M1768" s="14"/>
      <c r="N1768" s="10" t="s">
        <v>1028</v>
      </c>
    </row>
    <row r="1769" spans="1:14" ht="22.5" customHeight="1">
      <c r="A1769" s="8">
        <v>46003.887120069441</v>
      </c>
      <c r="B1769" s="9" t="s">
        <v>14</v>
      </c>
      <c r="C1769" s="9" t="s">
        <v>15</v>
      </c>
      <c r="D1769" s="10" t="s">
        <v>3960</v>
      </c>
      <c r="E1769" s="9" t="s">
        <v>22</v>
      </c>
      <c r="F1769" s="10">
        <v>26</v>
      </c>
      <c r="G1769" s="11">
        <v>8136991180</v>
      </c>
      <c r="H1769" s="10" t="s">
        <v>3961</v>
      </c>
      <c r="I1769" s="10" t="s">
        <v>202</v>
      </c>
      <c r="J1769" s="10" t="s">
        <v>1619</v>
      </c>
      <c r="K1769" s="12">
        <v>46003</v>
      </c>
      <c r="L1769" s="28" t="s">
        <v>11</v>
      </c>
      <c r="M1769" s="14"/>
      <c r="N1769" s="10" t="s">
        <v>1028</v>
      </c>
    </row>
    <row r="1770" spans="1:14" ht="22.5" customHeight="1">
      <c r="A1770" s="8">
        <v>46003.904245393518</v>
      </c>
      <c r="B1770" s="9" t="s">
        <v>14</v>
      </c>
      <c r="C1770" s="9" t="s">
        <v>15</v>
      </c>
      <c r="D1770" s="10" t="s">
        <v>3962</v>
      </c>
      <c r="E1770" s="9" t="s">
        <v>17</v>
      </c>
      <c r="F1770" s="10">
        <v>36</v>
      </c>
      <c r="G1770" s="11">
        <v>8037993032</v>
      </c>
      <c r="H1770" s="10" t="s">
        <v>3963</v>
      </c>
      <c r="I1770" s="10" t="s">
        <v>27</v>
      </c>
      <c r="J1770" s="10" t="s">
        <v>70</v>
      </c>
      <c r="K1770" s="12">
        <v>46003</v>
      </c>
      <c r="L1770" s="28" t="s">
        <v>11</v>
      </c>
      <c r="M1770" s="14"/>
      <c r="N1770" s="10" t="s">
        <v>1028</v>
      </c>
    </row>
    <row r="1771" spans="1:14" ht="22.5" customHeight="1">
      <c r="A1771" s="8">
        <v>46003.905503136571</v>
      </c>
      <c r="B1771" s="9" t="s">
        <v>14</v>
      </c>
      <c r="C1771" s="9" t="s">
        <v>15</v>
      </c>
      <c r="D1771" s="10" t="s">
        <v>3964</v>
      </c>
      <c r="E1771" s="9" t="s">
        <v>17</v>
      </c>
      <c r="F1771" s="10">
        <v>35</v>
      </c>
      <c r="G1771" s="11">
        <v>9122137371</v>
      </c>
      <c r="H1771" s="10" t="s">
        <v>3965</v>
      </c>
      <c r="I1771" s="10" t="s">
        <v>27</v>
      </c>
      <c r="J1771" s="10" t="s">
        <v>94</v>
      </c>
      <c r="K1771" s="12">
        <v>46003</v>
      </c>
      <c r="L1771" s="28" t="s">
        <v>11</v>
      </c>
      <c r="M1771" s="14"/>
      <c r="N1771" s="10" t="s">
        <v>1028</v>
      </c>
    </row>
    <row r="1772" spans="1:14" ht="22.5" customHeight="1">
      <c r="A1772" s="8">
        <v>46003.908314918983</v>
      </c>
      <c r="B1772" s="9" t="s">
        <v>14</v>
      </c>
      <c r="C1772" s="9" t="s">
        <v>15</v>
      </c>
      <c r="D1772" s="10" t="s">
        <v>3966</v>
      </c>
      <c r="E1772" s="9" t="s">
        <v>17</v>
      </c>
      <c r="F1772" s="10">
        <v>26</v>
      </c>
      <c r="G1772" s="11">
        <v>9063914681</v>
      </c>
      <c r="H1772" s="10" t="s">
        <v>3967</v>
      </c>
      <c r="I1772" s="10" t="s">
        <v>27</v>
      </c>
      <c r="J1772" s="10" t="s">
        <v>1949</v>
      </c>
      <c r="K1772" s="12">
        <v>46003</v>
      </c>
      <c r="L1772" s="28" t="s">
        <v>11</v>
      </c>
      <c r="M1772" s="14"/>
      <c r="N1772" s="10" t="s">
        <v>1028</v>
      </c>
    </row>
    <row r="1773" spans="1:14" ht="22.5" customHeight="1">
      <c r="A1773" s="8">
        <v>46003.910355474538</v>
      </c>
      <c r="B1773" s="9" t="s">
        <v>14</v>
      </c>
      <c r="C1773" s="9" t="s">
        <v>15</v>
      </c>
      <c r="D1773" s="10" t="s">
        <v>3968</v>
      </c>
      <c r="E1773" s="9" t="s">
        <v>22</v>
      </c>
      <c r="F1773" s="10">
        <v>28</v>
      </c>
      <c r="G1773" s="11">
        <v>7048905610</v>
      </c>
      <c r="H1773" s="10" t="s">
        <v>3969</v>
      </c>
      <c r="I1773" s="10" t="s">
        <v>27</v>
      </c>
      <c r="J1773" s="10" t="s">
        <v>3970</v>
      </c>
      <c r="K1773" s="12">
        <v>46003</v>
      </c>
      <c r="L1773" s="28" t="s">
        <v>11</v>
      </c>
      <c r="M1773" s="14"/>
      <c r="N1773" s="10" t="s">
        <v>1028</v>
      </c>
    </row>
    <row r="1774" spans="1:14" ht="22.5" customHeight="1">
      <c r="A1774" s="8">
        <v>46003.915392604162</v>
      </c>
      <c r="B1774" s="9" t="s">
        <v>14</v>
      </c>
      <c r="C1774" s="9" t="s">
        <v>15</v>
      </c>
      <c r="D1774" s="10" t="s">
        <v>3971</v>
      </c>
      <c r="E1774" s="9" t="s">
        <v>17</v>
      </c>
      <c r="F1774" s="10">
        <v>27</v>
      </c>
      <c r="G1774" s="11">
        <v>9011329202</v>
      </c>
      <c r="H1774" s="10" t="s">
        <v>3972</v>
      </c>
      <c r="I1774" s="10" t="s">
        <v>45</v>
      </c>
      <c r="J1774" s="10" t="s">
        <v>131</v>
      </c>
      <c r="K1774" s="12">
        <v>35844</v>
      </c>
      <c r="L1774" s="28" t="s">
        <v>11</v>
      </c>
      <c r="M1774" s="14"/>
      <c r="N1774" s="10" t="s">
        <v>1028</v>
      </c>
    </row>
    <row r="1775" spans="1:14" ht="22.5" customHeight="1">
      <c r="A1775" s="8">
        <v>46003.917444212959</v>
      </c>
      <c r="B1775" s="9" t="s">
        <v>14</v>
      </c>
      <c r="C1775" s="9" t="s">
        <v>15</v>
      </c>
      <c r="D1775" s="10" t="s">
        <v>3973</v>
      </c>
      <c r="E1775" s="9" t="s">
        <v>17</v>
      </c>
      <c r="F1775" s="10">
        <v>30</v>
      </c>
      <c r="G1775" s="11">
        <v>8167030902</v>
      </c>
      <c r="H1775" s="10" t="s">
        <v>3974</v>
      </c>
      <c r="I1775" s="10" t="s">
        <v>27</v>
      </c>
      <c r="J1775" s="10" t="s">
        <v>1456</v>
      </c>
      <c r="K1775" s="12">
        <v>46003</v>
      </c>
      <c r="L1775" s="28" t="s">
        <v>11</v>
      </c>
      <c r="M1775" s="14"/>
      <c r="N1775" s="10" t="s">
        <v>1028</v>
      </c>
    </row>
    <row r="1776" spans="1:14" ht="22.5" customHeight="1">
      <c r="A1776" s="8">
        <v>46003.921620081019</v>
      </c>
      <c r="B1776" s="9" t="s">
        <v>14</v>
      </c>
      <c r="C1776" s="9" t="s">
        <v>15</v>
      </c>
      <c r="D1776" s="10" t="s">
        <v>3975</v>
      </c>
      <c r="E1776" s="9" t="s">
        <v>22</v>
      </c>
      <c r="F1776" s="10">
        <v>30</v>
      </c>
      <c r="G1776" s="11">
        <v>7032312403</v>
      </c>
      <c r="H1776" s="10" t="s">
        <v>3976</v>
      </c>
      <c r="I1776" s="10" t="s">
        <v>27</v>
      </c>
      <c r="J1776" s="10" t="s">
        <v>1559</v>
      </c>
      <c r="K1776" s="12">
        <v>46003</v>
      </c>
      <c r="L1776" s="28" t="s">
        <v>11</v>
      </c>
      <c r="M1776" s="10"/>
      <c r="N1776" s="10" t="s">
        <v>1563</v>
      </c>
    </row>
    <row r="1777" spans="1:14" ht="22.5" customHeight="1">
      <c r="A1777" s="8">
        <v>46003.92269688657</v>
      </c>
      <c r="B1777" s="9" t="s">
        <v>14</v>
      </c>
      <c r="C1777" s="9" t="s">
        <v>15</v>
      </c>
      <c r="D1777" s="10" t="s">
        <v>3977</v>
      </c>
      <c r="E1777" s="9" t="s">
        <v>17</v>
      </c>
      <c r="F1777" s="10">
        <v>24</v>
      </c>
      <c r="G1777" s="11">
        <v>9078390871</v>
      </c>
      <c r="H1777" s="10" t="s">
        <v>3978</v>
      </c>
      <c r="I1777" s="10" t="s">
        <v>45</v>
      </c>
      <c r="J1777" s="10" t="s">
        <v>287</v>
      </c>
      <c r="K1777" s="12">
        <v>46003</v>
      </c>
      <c r="L1777" s="28" t="s">
        <v>11</v>
      </c>
      <c r="M1777" s="14"/>
      <c r="N1777" s="10" t="s">
        <v>1028</v>
      </c>
    </row>
    <row r="1778" spans="1:14" ht="22.5" hidden="1" customHeight="1">
      <c r="A1778" s="8">
        <v>46003.923460150458</v>
      </c>
      <c r="B1778" s="9" t="s">
        <v>14</v>
      </c>
      <c r="C1778" s="9" t="s">
        <v>15</v>
      </c>
      <c r="D1778" s="10" t="s">
        <v>3979</v>
      </c>
      <c r="E1778" s="9" t="s">
        <v>22</v>
      </c>
      <c r="F1778" s="10">
        <v>30</v>
      </c>
      <c r="G1778" s="11">
        <v>8032882347</v>
      </c>
      <c r="H1778" s="10" t="s">
        <v>3980</v>
      </c>
      <c r="I1778" s="10" t="s">
        <v>202</v>
      </c>
      <c r="J1778" s="10" t="s">
        <v>3482</v>
      </c>
      <c r="K1778" s="12">
        <v>46003</v>
      </c>
      <c r="L1778" s="10" t="s">
        <v>441</v>
      </c>
      <c r="M1778" s="14"/>
      <c r="N1778" s="10" t="s">
        <v>1028</v>
      </c>
    </row>
    <row r="1779" spans="1:14" ht="22.5" customHeight="1">
      <c r="A1779" s="8">
        <v>46003.924975879629</v>
      </c>
      <c r="B1779" s="9" t="s">
        <v>14</v>
      </c>
      <c r="C1779" s="9" t="s">
        <v>15</v>
      </c>
      <c r="D1779" s="10" t="s">
        <v>3981</v>
      </c>
      <c r="E1779" s="9" t="s">
        <v>17</v>
      </c>
      <c r="F1779" s="10">
        <v>29</v>
      </c>
      <c r="G1779" s="11">
        <v>9038960654</v>
      </c>
      <c r="H1779" s="10" t="s">
        <v>3982</v>
      </c>
      <c r="I1779" s="10" t="s">
        <v>27</v>
      </c>
      <c r="J1779" s="10" t="s">
        <v>372</v>
      </c>
      <c r="K1779" s="12">
        <v>46003</v>
      </c>
      <c r="L1779" s="28" t="s">
        <v>11</v>
      </c>
      <c r="M1779" s="14"/>
      <c r="N1779" s="10" t="s">
        <v>1028</v>
      </c>
    </row>
    <row r="1780" spans="1:14" ht="22.5" customHeight="1">
      <c r="A1780" s="8">
        <v>46003.927017789349</v>
      </c>
      <c r="B1780" s="9" t="s">
        <v>14</v>
      </c>
      <c r="C1780" s="9" t="s">
        <v>15</v>
      </c>
      <c r="D1780" s="10" t="s">
        <v>3983</v>
      </c>
      <c r="E1780" s="9" t="s">
        <v>17</v>
      </c>
      <c r="F1780" s="10">
        <v>39</v>
      </c>
      <c r="G1780" s="11">
        <v>8035953095</v>
      </c>
      <c r="H1780" s="10" t="s">
        <v>3984</v>
      </c>
      <c r="I1780" s="10" t="s">
        <v>27</v>
      </c>
      <c r="J1780" s="10" t="s">
        <v>258</v>
      </c>
      <c r="K1780" s="12">
        <v>46003</v>
      </c>
      <c r="L1780" s="28" t="s">
        <v>11</v>
      </c>
      <c r="M1780" s="14"/>
      <c r="N1780" s="10" t="s">
        <v>1028</v>
      </c>
    </row>
    <row r="1781" spans="1:14" ht="22.5" customHeight="1">
      <c r="A1781" s="8">
        <v>46003.927841759258</v>
      </c>
      <c r="B1781" s="9" t="s">
        <v>14</v>
      </c>
      <c r="C1781" s="9" t="s">
        <v>15</v>
      </c>
      <c r="D1781" s="10" t="s">
        <v>3985</v>
      </c>
      <c r="E1781" s="9" t="s">
        <v>22</v>
      </c>
      <c r="F1781" s="10">
        <v>34</v>
      </c>
      <c r="G1781" s="11">
        <v>7064430994</v>
      </c>
      <c r="H1781" s="10" t="s">
        <v>3479</v>
      </c>
      <c r="I1781" s="10" t="s">
        <v>27</v>
      </c>
      <c r="J1781" s="10" t="s">
        <v>2196</v>
      </c>
      <c r="K1781" s="12">
        <v>46003</v>
      </c>
      <c r="L1781" s="28" t="s">
        <v>11</v>
      </c>
      <c r="M1781" s="14"/>
      <c r="N1781" s="10" t="s">
        <v>1028</v>
      </c>
    </row>
    <row r="1782" spans="1:14" ht="22.5" customHeight="1">
      <c r="A1782" s="8">
        <v>46003.928106030093</v>
      </c>
      <c r="B1782" s="9" t="s">
        <v>14</v>
      </c>
      <c r="C1782" s="9" t="s">
        <v>15</v>
      </c>
      <c r="D1782" s="10" t="s">
        <v>3986</v>
      </c>
      <c r="E1782" s="9" t="s">
        <v>17</v>
      </c>
      <c r="F1782" s="10">
        <v>21</v>
      </c>
      <c r="G1782" s="11">
        <v>8163521868</v>
      </c>
      <c r="H1782" s="10" t="s">
        <v>3987</v>
      </c>
      <c r="I1782" s="10" t="s">
        <v>27</v>
      </c>
      <c r="J1782" s="10" t="s">
        <v>372</v>
      </c>
      <c r="K1782" s="12">
        <v>46003</v>
      </c>
      <c r="L1782" s="28" t="s">
        <v>11</v>
      </c>
      <c r="M1782" s="14"/>
      <c r="N1782" s="10" t="s">
        <v>1563</v>
      </c>
    </row>
    <row r="1783" spans="1:14" ht="22.5" customHeight="1">
      <c r="A1783" s="8">
        <v>46003.928549606484</v>
      </c>
      <c r="B1783" s="9" t="s">
        <v>14</v>
      </c>
      <c r="C1783" s="9" t="s">
        <v>15</v>
      </c>
      <c r="D1783" s="10" t="s">
        <v>3988</v>
      </c>
      <c r="E1783" s="9" t="s">
        <v>22</v>
      </c>
      <c r="F1783" s="10">
        <v>24</v>
      </c>
      <c r="G1783" s="11">
        <v>7049589674</v>
      </c>
      <c r="H1783" s="10" t="s">
        <v>3989</v>
      </c>
      <c r="I1783" s="10" t="s">
        <v>19</v>
      </c>
      <c r="J1783" s="10" t="s">
        <v>1777</v>
      </c>
      <c r="K1783" s="12">
        <v>46003</v>
      </c>
      <c r="L1783" s="28" t="s">
        <v>11</v>
      </c>
      <c r="M1783" s="14"/>
      <c r="N1783" s="10" t="s">
        <v>1096</v>
      </c>
    </row>
    <row r="1784" spans="1:14" ht="22.5" customHeight="1">
      <c r="A1784" s="8">
        <v>46003.92877993056</v>
      </c>
      <c r="B1784" s="9" t="s">
        <v>14</v>
      </c>
      <c r="C1784" s="9" t="s">
        <v>15</v>
      </c>
      <c r="D1784" s="10" t="s">
        <v>3990</v>
      </c>
      <c r="E1784" s="9" t="s">
        <v>17</v>
      </c>
      <c r="F1784" s="10">
        <v>26</v>
      </c>
      <c r="G1784" s="11">
        <v>8137497014</v>
      </c>
      <c r="H1784" s="10" t="s">
        <v>3991</v>
      </c>
      <c r="I1784" s="10" t="s">
        <v>27</v>
      </c>
      <c r="J1784" s="10" t="s">
        <v>3992</v>
      </c>
      <c r="K1784" s="12">
        <v>46003</v>
      </c>
      <c r="L1784" s="28" t="s">
        <v>11</v>
      </c>
      <c r="M1784" s="14"/>
      <c r="N1784" s="10" t="s">
        <v>1028</v>
      </c>
    </row>
    <row r="1785" spans="1:14" ht="22.5" customHeight="1">
      <c r="A1785" s="8">
        <v>46003.936066678245</v>
      </c>
      <c r="B1785" s="9" t="s">
        <v>14</v>
      </c>
      <c r="C1785" s="9" t="s">
        <v>15</v>
      </c>
      <c r="D1785" s="10" t="s">
        <v>3993</v>
      </c>
      <c r="E1785" s="9" t="s">
        <v>17</v>
      </c>
      <c r="F1785" s="10">
        <v>28</v>
      </c>
      <c r="G1785" s="11">
        <v>7068255796</v>
      </c>
      <c r="H1785" s="10" t="s">
        <v>3994</v>
      </c>
      <c r="I1785" s="10" t="s">
        <v>49</v>
      </c>
      <c r="J1785" s="10" t="s">
        <v>109</v>
      </c>
      <c r="K1785" s="12">
        <v>46003</v>
      </c>
      <c r="L1785" s="28" t="s">
        <v>11</v>
      </c>
      <c r="M1785" s="14"/>
      <c r="N1785" s="10" t="s">
        <v>1028</v>
      </c>
    </row>
    <row r="1786" spans="1:14" ht="22.5" customHeight="1">
      <c r="A1786" s="8">
        <v>46003.943908819449</v>
      </c>
      <c r="B1786" s="9" t="s">
        <v>14</v>
      </c>
      <c r="C1786" s="9" t="s">
        <v>15</v>
      </c>
      <c r="D1786" s="10" t="s">
        <v>3995</v>
      </c>
      <c r="E1786" s="9" t="s">
        <v>17</v>
      </c>
      <c r="F1786" s="10">
        <v>28</v>
      </c>
      <c r="G1786" s="11">
        <v>7026030411</v>
      </c>
      <c r="H1786" s="10" t="s">
        <v>3996</v>
      </c>
      <c r="I1786" s="10" t="s">
        <v>19</v>
      </c>
      <c r="J1786" s="10" t="s">
        <v>119</v>
      </c>
      <c r="K1786" s="12">
        <v>46003</v>
      </c>
      <c r="L1786" s="28" t="s">
        <v>11</v>
      </c>
      <c r="M1786" s="14"/>
      <c r="N1786" s="10" t="s">
        <v>2482</v>
      </c>
    </row>
    <row r="1787" spans="1:14" ht="22.5" customHeight="1">
      <c r="A1787" s="8">
        <v>46003.94783005787</v>
      </c>
      <c r="B1787" s="9" t="s">
        <v>14</v>
      </c>
      <c r="C1787" s="9" t="s">
        <v>15</v>
      </c>
      <c r="D1787" s="10" t="s">
        <v>3997</v>
      </c>
      <c r="E1787" s="9" t="s">
        <v>17</v>
      </c>
      <c r="F1787" s="10">
        <v>30</v>
      </c>
      <c r="G1787" s="11">
        <v>8032821739</v>
      </c>
      <c r="H1787" s="10" t="s">
        <v>3998</v>
      </c>
      <c r="I1787" s="10" t="s">
        <v>45</v>
      </c>
      <c r="J1787" s="10" t="s">
        <v>3999</v>
      </c>
      <c r="K1787" s="12">
        <v>46003</v>
      </c>
      <c r="L1787" s="28" t="s">
        <v>11</v>
      </c>
      <c r="M1787" s="14"/>
      <c r="N1787" s="10" t="s">
        <v>1096</v>
      </c>
    </row>
    <row r="1788" spans="1:14" ht="22.5" customHeight="1">
      <c r="A1788" s="8">
        <v>46003.951650000003</v>
      </c>
      <c r="B1788" s="9" t="s">
        <v>14</v>
      </c>
      <c r="C1788" s="9" t="s">
        <v>15</v>
      </c>
      <c r="D1788" s="10" t="s">
        <v>4000</v>
      </c>
      <c r="E1788" s="9" t="s">
        <v>17</v>
      </c>
      <c r="F1788" s="10">
        <v>29</v>
      </c>
      <c r="G1788" s="11">
        <v>8083319697</v>
      </c>
      <c r="H1788" s="10" t="s">
        <v>4001</v>
      </c>
      <c r="I1788" s="10" t="s">
        <v>19</v>
      </c>
      <c r="J1788" s="10" t="s">
        <v>4002</v>
      </c>
      <c r="K1788" s="12">
        <v>46003</v>
      </c>
      <c r="L1788" s="28" t="s">
        <v>11</v>
      </c>
      <c r="M1788" s="14"/>
      <c r="N1788" s="10" t="s">
        <v>1209</v>
      </c>
    </row>
    <row r="1789" spans="1:14" ht="22.5" customHeight="1">
      <c r="A1789" s="8">
        <v>46003.953315543986</v>
      </c>
      <c r="B1789" s="9" t="s">
        <v>14</v>
      </c>
      <c r="C1789" s="9" t="s">
        <v>15</v>
      </c>
      <c r="D1789" s="10" t="s">
        <v>4003</v>
      </c>
      <c r="E1789" s="9" t="s">
        <v>17</v>
      </c>
      <c r="F1789" s="10">
        <v>35</v>
      </c>
      <c r="G1789" s="11">
        <v>8090510391</v>
      </c>
      <c r="H1789" s="10" t="s">
        <v>4004</v>
      </c>
      <c r="I1789" s="10" t="s">
        <v>202</v>
      </c>
      <c r="J1789" s="10" t="s">
        <v>4005</v>
      </c>
      <c r="K1789" s="12">
        <v>46003</v>
      </c>
      <c r="L1789" s="28" t="s">
        <v>11</v>
      </c>
      <c r="M1789" s="14"/>
      <c r="N1789" s="10" t="s">
        <v>1028</v>
      </c>
    </row>
    <row r="1790" spans="1:14" ht="22.5" customHeight="1">
      <c r="A1790" s="8">
        <v>46003.959370219905</v>
      </c>
      <c r="B1790" s="9" t="s">
        <v>14</v>
      </c>
      <c r="C1790" s="9" t="s">
        <v>15</v>
      </c>
      <c r="D1790" s="10" t="s">
        <v>4006</v>
      </c>
      <c r="E1790" s="9" t="s">
        <v>22</v>
      </c>
      <c r="F1790" s="10">
        <v>25</v>
      </c>
      <c r="G1790" s="11">
        <v>9021887833</v>
      </c>
      <c r="H1790" s="10" t="s">
        <v>4007</v>
      </c>
      <c r="I1790" s="10" t="s">
        <v>19</v>
      </c>
      <c r="J1790" s="10" t="s">
        <v>1845</v>
      </c>
      <c r="K1790" s="12">
        <v>46003</v>
      </c>
      <c r="L1790" s="28" t="s">
        <v>11</v>
      </c>
      <c r="M1790" s="14"/>
      <c r="N1790" s="10" t="s">
        <v>1096</v>
      </c>
    </row>
    <row r="1791" spans="1:14" ht="22.5" customHeight="1">
      <c r="A1791" s="8">
        <v>46003.960334652773</v>
      </c>
      <c r="B1791" s="9" t="s">
        <v>14</v>
      </c>
      <c r="C1791" s="9" t="s">
        <v>15</v>
      </c>
      <c r="D1791" s="10" t="s">
        <v>4008</v>
      </c>
      <c r="E1791" s="9" t="s">
        <v>17</v>
      </c>
      <c r="F1791" s="10">
        <v>30</v>
      </c>
      <c r="G1791" s="11">
        <v>8027745777</v>
      </c>
      <c r="H1791" s="10" t="s">
        <v>4009</v>
      </c>
      <c r="I1791" s="10" t="s">
        <v>27</v>
      </c>
      <c r="J1791" s="10" t="s">
        <v>172</v>
      </c>
      <c r="K1791" s="12">
        <v>46003</v>
      </c>
      <c r="L1791" s="28" t="s">
        <v>11</v>
      </c>
      <c r="M1791" s="14"/>
      <c r="N1791" s="10" t="s">
        <v>1028</v>
      </c>
    </row>
    <row r="1792" spans="1:14" ht="22.5" customHeight="1">
      <c r="A1792" s="8">
        <v>46003.962207384262</v>
      </c>
      <c r="B1792" s="9" t="s">
        <v>14</v>
      </c>
      <c r="C1792" s="9" t="s">
        <v>15</v>
      </c>
      <c r="D1792" s="10" t="s">
        <v>4010</v>
      </c>
      <c r="E1792" s="9" t="s">
        <v>22</v>
      </c>
      <c r="F1792" s="10">
        <v>36</v>
      </c>
      <c r="G1792" s="11">
        <v>8067339064</v>
      </c>
      <c r="H1792" s="10" t="s">
        <v>4011</v>
      </c>
      <c r="I1792" s="10" t="s">
        <v>19</v>
      </c>
      <c r="J1792" s="10" t="s">
        <v>4012</v>
      </c>
      <c r="K1792" s="12">
        <v>46003</v>
      </c>
      <c r="L1792" s="28" t="s">
        <v>11</v>
      </c>
      <c r="M1792" s="14"/>
      <c r="N1792" s="10" t="s">
        <v>1096</v>
      </c>
    </row>
    <row r="1793" spans="1:14" ht="22.5" hidden="1" customHeight="1">
      <c r="A1793" s="8">
        <v>46003.96461304398</v>
      </c>
      <c r="B1793" s="9" t="s">
        <v>14</v>
      </c>
      <c r="C1793" s="9" t="s">
        <v>15</v>
      </c>
      <c r="D1793" s="10" t="s">
        <v>4013</v>
      </c>
      <c r="E1793" s="9" t="s">
        <v>17</v>
      </c>
      <c r="F1793" s="19">
        <v>36</v>
      </c>
      <c r="G1793" s="11">
        <v>7032991806</v>
      </c>
      <c r="H1793" s="10" t="s">
        <v>4014</v>
      </c>
      <c r="I1793" s="10" t="s">
        <v>202</v>
      </c>
      <c r="J1793" s="10" t="s">
        <v>4015</v>
      </c>
      <c r="K1793" s="12">
        <v>46003</v>
      </c>
      <c r="L1793" s="10" t="s">
        <v>441</v>
      </c>
      <c r="M1793" s="10" t="s">
        <v>1361</v>
      </c>
      <c r="N1793" s="10" t="s">
        <v>1028</v>
      </c>
    </row>
    <row r="1794" spans="1:14" ht="22.5" customHeight="1">
      <c r="A1794" s="8">
        <v>46003.969747210649</v>
      </c>
      <c r="B1794" s="9" t="s">
        <v>14</v>
      </c>
      <c r="C1794" s="9" t="s">
        <v>15</v>
      </c>
      <c r="D1794" s="10" t="s">
        <v>4016</v>
      </c>
      <c r="E1794" s="9" t="s">
        <v>22</v>
      </c>
      <c r="F1794" s="10">
        <v>21</v>
      </c>
      <c r="G1794" s="11">
        <v>7048127652</v>
      </c>
      <c r="H1794" s="10" t="s">
        <v>4017</v>
      </c>
      <c r="I1794" s="10" t="s">
        <v>31</v>
      </c>
      <c r="J1794" s="10" t="s">
        <v>32</v>
      </c>
      <c r="K1794" s="12">
        <v>46003</v>
      </c>
      <c r="L1794" s="28" t="s">
        <v>11</v>
      </c>
      <c r="M1794" s="14"/>
      <c r="N1794" s="10" t="s">
        <v>1028</v>
      </c>
    </row>
    <row r="1795" spans="1:14" ht="22.5" customHeight="1">
      <c r="A1795" s="8">
        <v>46003.970259189809</v>
      </c>
      <c r="B1795" s="9" t="s">
        <v>14</v>
      </c>
      <c r="C1795" s="9" t="s">
        <v>15</v>
      </c>
      <c r="D1795" s="10" t="s">
        <v>4018</v>
      </c>
      <c r="E1795" s="9" t="s">
        <v>17</v>
      </c>
      <c r="F1795" s="10">
        <v>31</v>
      </c>
      <c r="G1795" s="11">
        <v>7057601685</v>
      </c>
      <c r="H1795" s="10" t="s">
        <v>4019</v>
      </c>
      <c r="I1795" s="10" t="s">
        <v>202</v>
      </c>
      <c r="J1795" s="10" t="s">
        <v>4020</v>
      </c>
      <c r="K1795" s="12">
        <v>46003</v>
      </c>
      <c r="L1795" s="28" t="s">
        <v>11</v>
      </c>
      <c r="M1795" s="14"/>
      <c r="N1795" s="10" t="s">
        <v>1035</v>
      </c>
    </row>
    <row r="1796" spans="1:14" ht="22.5" customHeight="1">
      <c r="A1796" s="8">
        <v>46003.970500115742</v>
      </c>
      <c r="B1796" s="9" t="s">
        <v>14</v>
      </c>
      <c r="C1796" s="9" t="s">
        <v>15</v>
      </c>
      <c r="D1796" s="10" t="s">
        <v>4021</v>
      </c>
      <c r="E1796" s="9" t="s">
        <v>22</v>
      </c>
      <c r="F1796" s="10">
        <v>25</v>
      </c>
      <c r="G1796" s="11">
        <v>9038179455</v>
      </c>
      <c r="H1796" s="10" t="s">
        <v>4022</v>
      </c>
      <c r="I1796" s="10" t="s">
        <v>45</v>
      </c>
      <c r="J1796" s="10" t="s">
        <v>1191</v>
      </c>
      <c r="K1796" s="12">
        <v>46003</v>
      </c>
      <c r="L1796" s="28" t="s">
        <v>11</v>
      </c>
      <c r="M1796" s="14"/>
      <c r="N1796" s="10" t="s">
        <v>1028</v>
      </c>
    </row>
    <row r="1797" spans="1:14" ht="22.5" customHeight="1">
      <c r="A1797" s="8">
        <v>46003.977635613424</v>
      </c>
      <c r="B1797" s="9" t="s">
        <v>14</v>
      </c>
      <c r="C1797" s="9" t="s">
        <v>15</v>
      </c>
      <c r="D1797" s="10" t="s">
        <v>4023</v>
      </c>
      <c r="E1797" s="9" t="s">
        <v>17</v>
      </c>
      <c r="F1797" s="10">
        <v>22</v>
      </c>
      <c r="G1797" s="11">
        <v>7034985386</v>
      </c>
      <c r="H1797" s="10" t="s">
        <v>4024</v>
      </c>
      <c r="I1797" s="10" t="s">
        <v>27</v>
      </c>
      <c r="J1797" s="10" t="s">
        <v>4025</v>
      </c>
      <c r="K1797" s="12">
        <v>46003</v>
      </c>
      <c r="L1797" s="28" t="s">
        <v>11</v>
      </c>
      <c r="M1797" s="14"/>
      <c r="N1797" s="10" t="s">
        <v>1096</v>
      </c>
    </row>
    <row r="1798" spans="1:14" ht="22.5" customHeight="1">
      <c r="A1798" s="8">
        <v>46003.981670335648</v>
      </c>
      <c r="B1798" s="9" t="s">
        <v>14</v>
      </c>
      <c r="C1798" s="9" t="s">
        <v>15</v>
      </c>
      <c r="D1798" s="10" t="s">
        <v>3557</v>
      </c>
      <c r="E1798" s="9" t="s">
        <v>22</v>
      </c>
      <c r="F1798" s="10">
        <v>28</v>
      </c>
      <c r="G1798" s="11">
        <v>8129097498</v>
      </c>
      <c r="H1798" s="10" t="s">
        <v>4026</v>
      </c>
      <c r="I1798" s="10" t="s">
        <v>145</v>
      </c>
      <c r="J1798" s="10" t="s">
        <v>3559</v>
      </c>
      <c r="K1798" s="12">
        <v>46003</v>
      </c>
      <c r="L1798" s="28" t="s">
        <v>11</v>
      </c>
      <c r="M1798" s="14"/>
      <c r="N1798" s="10" t="s">
        <v>1096</v>
      </c>
    </row>
    <row r="1799" spans="1:14" ht="22.5" customHeight="1">
      <c r="A1799" s="8">
        <v>46003.98565033565</v>
      </c>
      <c r="B1799" s="9" t="s">
        <v>14</v>
      </c>
      <c r="C1799" s="9" t="s">
        <v>15</v>
      </c>
      <c r="D1799" s="10" t="s">
        <v>4027</v>
      </c>
      <c r="E1799" s="9" t="s">
        <v>22</v>
      </c>
      <c r="F1799" s="10">
        <v>30</v>
      </c>
      <c r="G1799" s="11">
        <v>8103486969</v>
      </c>
      <c r="H1799" s="10" t="s">
        <v>4028</v>
      </c>
      <c r="I1799" s="10" t="s">
        <v>202</v>
      </c>
      <c r="J1799" s="10" t="s">
        <v>4029</v>
      </c>
      <c r="K1799" s="12">
        <v>46003</v>
      </c>
      <c r="L1799" s="28" t="s">
        <v>11</v>
      </c>
      <c r="M1799" s="14"/>
      <c r="N1799" s="10" t="s">
        <v>1028</v>
      </c>
    </row>
    <row r="1800" spans="1:14" ht="22.5" customHeight="1">
      <c r="A1800" s="8">
        <v>46003.986343321754</v>
      </c>
      <c r="B1800" s="9" t="s">
        <v>14</v>
      </c>
      <c r="C1800" s="9" t="s">
        <v>15</v>
      </c>
      <c r="D1800" s="10" t="s">
        <v>4030</v>
      </c>
      <c r="E1800" s="9" t="s">
        <v>22</v>
      </c>
      <c r="F1800" s="10">
        <v>35</v>
      </c>
      <c r="G1800" s="11">
        <v>7037447441</v>
      </c>
      <c r="H1800" s="10" t="s">
        <v>4031</v>
      </c>
      <c r="I1800" s="10" t="s">
        <v>27</v>
      </c>
      <c r="J1800" s="10" t="s">
        <v>2348</v>
      </c>
      <c r="K1800" s="12">
        <v>46003</v>
      </c>
      <c r="L1800" s="28" t="s">
        <v>11</v>
      </c>
      <c r="M1800" s="14"/>
      <c r="N1800" s="10" t="s">
        <v>1028</v>
      </c>
    </row>
    <row r="1801" spans="1:14" ht="22.5" hidden="1" customHeight="1">
      <c r="A1801" s="8">
        <v>46003.988532592593</v>
      </c>
      <c r="B1801" s="9" t="s">
        <v>14</v>
      </c>
      <c r="C1801" s="9" t="s">
        <v>15</v>
      </c>
      <c r="D1801" s="10" t="s">
        <v>4032</v>
      </c>
      <c r="E1801" s="9" t="s">
        <v>17</v>
      </c>
      <c r="F1801" s="10">
        <v>23</v>
      </c>
      <c r="G1801" s="11">
        <v>7040164475</v>
      </c>
      <c r="H1801" s="10" t="s">
        <v>4033</v>
      </c>
      <c r="I1801" s="10" t="s">
        <v>27</v>
      </c>
      <c r="J1801" s="10" t="s">
        <v>2228</v>
      </c>
      <c r="K1801" s="12">
        <v>46003</v>
      </c>
      <c r="L1801" s="10" t="s">
        <v>441</v>
      </c>
      <c r="M1801" s="10" t="s">
        <v>1356</v>
      </c>
      <c r="N1801" s="10" t="s">
        <v>1028</v>
      </c>
    </row>
    <row r="1802" spans="1:14" ht="22.5" customHeight="1">
      <c r="A1802" s="8">
        <v>46003.988706597222</v>
      </c>
      <c r="B1802" s="9" t="s">
        <v>14</v>
      </c>
      <c r="C1802" s="9" t="s">
        <v>15</v>
      </c>
      <c r="D1802" s="10" t="s">
        <v>4034</v>
      </c>
      <c r="E1802" s="9" t="s">
        <v>22</v>
      </c>
      <c r="F1802" s="10">
        <v>22</v>
      </c>
      <c r="G1802" s="11">
        <v>8113140226</v>
      </c>
      <c r="H1802" s="10" t="s">
        <v>4035</v>
      </c>
      <c r="I1802" s="10" t="s">
        <v>49</v>
      </c>
      <c r="J1802" s="10" t="s">
        <v>762</v>
      </c>
      <c r="K1802" s="12">
        <v>46003</v>
      </c>
      <c r="L1802" s="28" t="s">
        <v>11</v>
      </c>
      <c r="M1802" s="14"/>
      <c r="N1802" s="10" t="s">
        <v>1028</v>
      </c>
    </row>
    <row r="1803" spans="1:14" ht="22.5" customHeight="1">
      <c r="A1803" s="8">
        <v>46003.988843541665</v>
      </c>
      <c r="B1803" s="9" t="s">
        <v>14</v>
      </c>
      <c r="C1803" s="9" t="s">
        <v>15</v>
      </c>
      <c r="D1803" s="10" t="s">
        <v>4036</v>
      </c>
      <c r="E1803" s="9" t="s">
        <v>17</v>
      </c>
      <c r="F1803" s="10">
        <v>26</v>
      </c>
      <c r="G1803" s="11">
        <v>7062040627</v>
      </c>
      <c r="H1803" s="10" t="s">
        <v>4037</v>
      </c>
      <c r="I1803" s="10" t="s">
        <v>27</v>
      </c>
      <c r="J1803" s="10" t="s">
        <v>70</v>
      </c>
      <c r="K1803" s="12">
        <v>46003</v>
      </c>
      <c r="L1803" s="28" t="s">
        <v>11</v>
      </c>
      <c r="M1803" s="14"/>
      <c r="N1803" s="10" t="s">
        <v>1096</v>
      </c>
    </row>
    <row r="1804" spans="1:14" ht="22.5" customHeight="1">
      <c r="A1804" s="8">
        <v>46003.995759768513</v>
      </c>
      <c r="B1804" s="9" t="s">
        <v>14</v>
      </c>
      <c r="C1804" s="9" t="s">
        <v>15</v>
      </c>
      <c r="D1804" s="10" t="s">
        <v>4038</v>
      </c>
      <c r="E1804" s="9" t="s">
        <v>17</v>
      </c>
      <c r="F1804" s="10">
        <v>40</v>
      </c>
      <c r="G1804" s="11">
        <v>8062353286</v>
      </c>
      <c r="H1804" s="10" t="s">
        <v>4039</v>
      </c>
      <c r="I1804" s="10" t="s">
        <v>45</v>
      </c>
      <c r="J1804" s="10" t="s">
        <v>4040</v>
      </c>
      <c r="K1804" s="12">
        <v>46003</v>
      </c>
      <c r="L1804" s="28" t="s">
        <v>11</v>
      </c>
      <c r="M1804" s="14"/>
      <c r="N1804" s="10" t="s">
        <v>1028</v>
      </c>
    </row>
    <row r="1805" spans="1:14" ht="22.5" customHeight="1">
      <c r="A1805" s="8">
        <v>46003.996258645835</v>
      </c>
      <c r="B1805" s="9" t="s">
        <v>14</v>
      </c>
      <c r="C1805" s="9" t="s">
        <v>15</v>
      </c>
      <c r="D1805" s="10" t="s">
        <v>4041</v>
      </c>
      <c r="E1805" s="9" t="s">
        <v>17</v>
      </c>
      <c r="F1805" s="10">
        <v>27</v>
      </c>
      <c r="G1805" s="11">
        <v>9068585717</v>
      </c>
      <c r="H1805" s="10" t="s">
        <v>4042</v>
      </c>
      <c r="I1805" s="10" t="s">
        <v>27</v>
      </c>
      <c r="J1805" s="10" t="s">
        <v>1559</v>
      </c>
      <c r="K1805" s="12">
        <v>46003</v>
      </c>
      <c r="L1805" s="28" t="s">
        <v>11</v>
      </c>
      <c r="M1805" s="14"/>
      <c r="N1805" s="10" t="s">
        <v>1096</v>
      </c>
    </row>
    <row r="1806" spans="1:14" ht="22.5" customHeight="1">
      <c r="A1806" s="8">
        <v>46003.998018379629</v>
      </c>
      <c r="B1806" s="9" t="s">
        <v>14</v>
      </c>
      <c r="C1806" s="9" t="s">
        <v>15</v>
      </c>
      <c r="D1806" s="10" t="s">
        <v>4043</v>
      </c>
      <c r="E1806" s="9" t="s">
        <v>17</v>
      </c>
      <c r="F1806" s="10">
        <v>30</v>
      </c>
      <c r="G1806" s="11">
        <v>7069175830</v>
      </c>
      <c r="H1806" s="10" t="s">
        <v>4044</v>
      </c>
      <c r="I1806" s="10" t="s">
        <v>49</v>
      </c>
      <c r="J1806" s="10" t="s">
        <v>73</v>
      </c>
      <c r="K1806" s="12">
        <v>46003</v>
      </c>
      <c r="L1806" s="28" t="s">
        <v>11</v>
      </c>
      <c r="M1806" s="14"/>
      <c r="N1806" s="10" t="s">
        <v>1096</v>
      </c>
    </row>
    <row r="1807" spans="1:14" ht="22.5" customHeight="1">
      <c r="A1807" s="8">
        <v>46004.037822835649</v>
      </c>
      <c r="B1807" s="9" t="s">
        <v>14</v>
      </c>
      <c r="C1807" s="9" t="s">
        <v>15</v>
      </c>
      <c r="D1807" s="10" t="s">
        <v>4045</v>
      </c>
      <c r="E1807" s="9" t="s">
        <v>17</v>
      </c>
      <c r="F1807" s="10">
        <v>24</v>
      </c>
      <c r="G1807" s="11">
        <v>9035855663</v>
      </c>
      <c r="H1807" s="10" t="s">
        <v>4046</v>
      </c>
      <c r="I1807" s="10" t="s">
        <v>202</v>
      </c>
      <c r="J1807" s="10" t="s">
        <v>1619</v>
      </c>
      <c r="K1807" s="12">
        <v>46004</v>
      </c>
      <c r="L1807" s="28" t="s">
        <v>11</v>
      </c>
      <c r="M1807" s="14"/>
      <c r="N1807" s="10" t="s">
        <v>1028</v>
      </c>
    </row>
    <row r="1808" spans="1:14" ht="22.5" customHeight="1">
      <c r="A1808" s="8">
        <v>46004.05551711806</v>
      </c>
      <c r="B1808" s="9" t="s">
        <v>14</v>
      </c>
      <c r="C1808" s="9" t="s">
        <v>15</v>
      </c>
      <c r="D1808" s="10" t="s">
        <v>4047</v>
      </c>
      <c r="E1808" s="9" t="s">
        <v>17</v>
      </c>
      <c r="F1808" s="10">
        <v>30</v>
      </c>
      <c r="G1808" s="11">
        <v>7033426748</v>
      </c>
      <c r="H1808" s="10" t="s">
        <v>4048</v>
      </c>
      <c r="I1808" s="10" t="s">
        <v>19</v>
      </c>
      <c r="J1808" s="10" t="s">
        <v>812</v>
      </c>
      <c r="K1808" s="12">
        <v>46004</v>
      </c>
      <c r="L1808" s="28" t="s">
        <v>11</v>
      </c>
      <c r="M1808" s="14"/>
      <c r="N1808" s="10" t="s">
        <v>1028</v>
      </c>
    </row>
    <row r="1809" spans="1:14" ht="22.5" customHeight="1">
      <c r="A1809" s="8">
        <v>46004.06212347222</v>
      </c>
      <c r="B1809" s="9" t="s">
        <v>14</v>
      </c>
      <c r="C1809" s="9" t="s">
        <v>15</v>
      </c>
      <c r="D1809" s="10" t="s">
        <v>4049</v>
      </c>
      <c r="E1809" s="9" t="s">
        <v>17</v>
      </c>
      <c r="F1809" s="10">
        <v>23</v>
      </c>
      <c r="G1809" s="11">
        <v>9041725054</v>
      </c>
      <c r="H1809" s="10" t="s">
        <v>4050</v>
      </c>
      <c r="I1809" s="10" t="s">
        <v>49</v>
      </c>
      <c r="J1809" s="10" t="s">
        <v>303</v>
      </c>
      <c r="K1809" s="12">
        <v>46004</v>
      </c>
      <c r="L1809" s="28" t="s">
        <v>11</v>
      </c>
      <c r="M1809" s="14"/>
      <c r="N1809" s="10" t="s">
        <v>1028</v>
      </c>
    </row>
    <row r="1810" spans="1:14" ht="22.5" customHeight="1">
      <c r="A1810" s="8">
        <v>46004.06331972222</v>
      </c>
      <c r="B1810" s="9" t="s">
        <v>14</v>
      </c>
      <c r="C1810" s="9" t="s">
        <v>15</v>
      </c>
      <c r="D1810" s="10" t="s">
        <v>4051</v>
      </c>
      <c r="E1810" s="9" t="s">
        <v>17</v>
      </c>
      <c r="F1810" s="10">
        <v>31</v>
      </c>
      <c r="G1810" s="11">
        <v>7050416261</v>
      </c>
      <c r="H1810" s="10" t="s">
        <v>4052</v>
      </c>
      <c r="I1810" s="10" t="s">
        <v>31</v>
      </c>
      <c r="J1810" s="10" t="s">
        <v>1582</v>
      </c>
      <c r="K1810" s="12">
        <v>46004</v>
      </c>
      <c r="L1810" s="28" t="s">
        <v>11</v>
      </c>
      <c r="M1810" s="14"/>
      <c r="N1810" s="10" t="s">
        <v>1028</v>
      </c>
    </row>
    <row r="1811" spans="1:14" ht="22.5" customHeight="1">
      <c r="A1811" s="8">
        <v>46004.070396099538</v>
      </c>
      <c r="B1811" s="9" t="s">
        <v>14</v>
      </c>
      <c r="C1811" s="9" t="s">
        <v>15</v>
      </c>
      <c r="D1811" s="10" t="s">
        <v>4053</v>
      </c>
      <c r="E1811" s="9" t="s">
        <v>22</v>
      </c>
      <c r="F1811" s="10">
        <v>26</v>
      </c>
      <c r="G1811" s="11">
        <v>8134910361</v>
      </c>
      <c r="H1811" s="10" t="s">
        <v>4054</v>
      </c>
      <c r="I1811" s="10" t="s">
        <v>31</v>
      </c>
      <c r="J1811" s="10" t="s">
        <v>1952</v>
      </c>
      <c r="K1811" s="12">
        <v>46004</v>
      </c>
      <c r="L1811" s="28" t="s">
        <v>11</v>
      </c>
      <c r="M1811" s="14"/>
      <c r="N1811" s="10" t="s">
        <v>1028</v>
      </c>
    </row>
    <row r="1812" spans="1:14" ht="22.5" customHeight="1">
      <c r="A1812" s="8">
        <v>46004.081314641204</v>
      </c>
      <c r="B1812" s="9" t="s">
        <v>14</v>
      </c>
      <c r="C1812" s="9" t="s">
        <v>15</v>
      </c>
      <c r="D1812" s="10" t="s">
        <v>4055</v>
      </c>
      <c r="E1812" s="9" t="s">
        <v>17</v>
      </c>
      <c r="F1812" s="10">
        <v>20</v>
      </c>
      <c r="G1812" s="11">
        <v>8148039648</v>
      </c>
      <c r="H1812" s="10" t="s">
        <v>4056</v>
      </c>
      <c r="I1812" s="10" t="s">
        <v>45</v>
      </c>
      <c r="J1812" s="10" t="s">
        <v>287</v>
      </c>
      <c r="K1812" s="12">
        <v>46004</v>
      </c>
      <c r="L1812" s="28" t="s">
        <v>11</v>
      </c>
      <c r="M1812" s="14"/>
      <c r="N1812" s="10" t="s">
        <v>1028</v>
      </c>
    </row>
    <row r="1813" spans="1:14" ht="22.5" customHeight="1">
      <c r="A1813" s="8">
        <v>46004.09161802083</v>
      </c>
      <c r="B1813" s="9" t="s">
        <v>14</v>
      </c>
      <c r="C1813" s="9" t="s">
        <v>15</v>
      </c>
      <c r="D1813" s="10" t="s">
        <v>4057</v>
      </c>
      <c r="E1813" s="9" t="s">
        <v>17</v>
      </c>
      <c r="F1813" s="10">
        <v>31</v>
      </c>
      <c r="G1813" s="11">
        <v>8139288451</v>
      </c>
      <c r="H1813" s="10" t="s">
        <v>4058</v>
      </c>
      <c r="I1813" s="10" t="s">
        <v>45</v>
      </c>
      <c r="J1813" s="10" t="s">
        <v>46</v>
      </c>
      <c r="K1813" s="12">
        <v>46004</v>
      </c>
      <c r="L1813" s="28" t="s">
        <v>11</v>
      </c>
      <c r="M1813" s="14"/>
      <c r="N1813" s="10" t="s">
        <v>1028</v>
      </c>
    </row>
    <row r="1814" spans="1:14" ht="22.5" customHeight="1">
      <c r="A1814" s="8">
        <v>46004.115959930554</v>
      </c>
      <c r="B1814" s="9" t="s">
        <v>14</v>
      </c>
      <c r="C1814" s="9" t="s">
        <v>15</v>
      </c>
      <c r="D1814" s="10" t="s">
        <v>4059</v>
      </c>
      <c r="E1814" s="9" t="s">
        <v>22</v>
      </c>
      <c r="F1814" s="10">
        <v>25</v>
      </c>
      <c r="G1814" s="11">
        <v>8168580841</v>
      </c>
      <c r="H1814" s="10" t="s">
        <v>4060</v>
      </c>
      <c r="I1814" s="10" t="s">
        <v>45</v>
      </c>
      <c r="J1814" s="10" t="s">
        <v>932</v>
      </c>
      <c r="K1814" s="12">
        <v>46004</v>
      </c>
      <c r="L1814" s="28" t="s">
        <v>11</v>
      </c>
      <c r="M1814" s="14"/>
      <c r="N1814" s="10" t="s">
        <v>1028</v>
      </c>
    </row>
    <row r="1815" spans="1:14" ht="22.5" customHeight="1">
      <c r="A1815" s="8">
        <v>46004.141491435184</v>
      </c>
      <c r="B1815" s="9" t="s">
        <v>14</v>
      </c>
      <c r="C1815" s="9" t="s">
        <v>15</v>
      </c>
      <c r="D1815" s="10" t="s">
        <v>4061</v>
      </c>
      <c r="E1815" s="9" t="s">
        <v>22</v>
      </c>
      <c r="F1815" s="10">
        <v>33</v>
      </c>
      <c r="G1815" s="11">
        <v>8162540121</v>
      </c>
      <c r="H1815" s="10" t="s">
        <v>4062</v>
      </c>
      <c r="I1815" s="10" t="s">
        <v>19</v>
      </c>
      <c r="J1815" s="10" t="s">
        <v>4063</v>
      </c>
      <c r="K1815" s="12">
        <v>46004</v>
      </c>
      <c r="L1815" s="28" t="s">
        <v>11</v>
      </c>
      <c r="M1815" s="14"/>
      <c r="N1815" s="10" t="s">
        <v>1028</v>
      </c>
    </row>
    <row r="1816" spans="1:14" ht="22.5" customHeight="1">
      <c r="A1816" s="8">
        <v>46004.143769942129</v>
      </c>
      <c r="B1816" s="9" t="s">
        <v>14</v>
      </c>
      <c r="C1816" s="9" t="s">
        <v>15</v>
      </c>
      <c r="D1816" s="10" t="s">
        <v>4064</v>
      </c>
      <c r="E1816" s="9" t="s">
        <v>22</v>
      </c>
      <c r="F1816" s="10">
        <v>34</v>
      </c>
      <c r="G1816" s="11">
        <v>8140783533</v>
      </c>
      <c r="H1816" s="10" t="s">
        <v>4065</v>
      </c>
      <c r="I1816" s="10" t="s">
        <v>31</v>
      </c>
      <c r="J1816" s="10" t="s">
        <v>32</v>
      </c>
      <c r="K1816" s="12">
        <v>46004</v>
      </c>
      <c r="L1816" s="28" t="s">
        <v>11</v>
      </c>
      <c r="M1816" s="14"/>
      <c r="N1816" s="10" t="s">
        <v>1028</v>
      </c>
    </row>
    <row r="1817" spans="1:14" ht="22.5" customHeight="1">
      <c r="A1817" s="8">
        <v>46004.159653888884</v>
      </c>
      <c r="B1817" s="9" t="s">
        <v>14</v>
      </c>
      <c r="C1817" s="9" t="s">
        <v>15</v>
      </c>
      <c r="D1817" s="10" t="s">
        <v>4066</v>
      </c>
      <c r="E1817" s="9" t="s">
        <v>22</v>
      </c>
      <c r="F1817" s="10">
        <v>34</v>
      </c>
      <c r="G1817" s="11">
        <v>8140783533</v>
      </c>
      <c r="H1817" s="10" t="s">
        <v>4065</v>
      </c>
      <c r="I1817" s="10" t="s">
        <v>31</v>
      </c>
      <c r="J1817" s="10" t="s">
        <v>32</v>
      </c>
      <c r="K1817" s="12">
        <v>46004</v>
      </c>
      <c r="L1817" s="28" t="s">
        <v>11</v>
      </c>
      <c r="M1817" s="14"/>
      <c r="N1817" s="10" t="s">
        <v>1028</v>
      </c>
    </row>
    <row r="1818" spans="1:14" ht="22.5" customHeight="1">
      <c r="A1818" s="8">
        <v>46004.162623668977</v>
      </c>
      <c r="B1818" s="9" t="s">
        <v>14</v>
      </c>
      <c r="C1818" s="9" t="s">
        <v>15</v>
      </c>
      <c r="D1818" s="10" t="s">
        <v>4067</v>
      </c>
      <c r="E1818" s="9" t="s">
        <v>22</v>
      </c>
      <c r="F1818" s="18">
        <v>27</v>
      </c>
      <c r="G1818" s="11">
        <v>9157678304</v>
      </c>
      <c r="H1818" s="10" t="s">
        <v>4068</v>
      </c>
      <c r="I1818" s="10" t="s">
        <v>202</v>
      </c>
      <c r="J1818" s="10" t="s">
        <v>4069</v>
      </c>
      <c r="K1818" s="12">
        <v>46004</v>
      </c>
      <c r="L1818" s="28" t="s">
        <v>11</v>
      </c>
      <c r="M1818" s="14"/>
      <c r="N1818" s="10" t="s">
        <v>1563</v>
      </c>
    </row>
    <row r="1819" spans="1:14" ht="22.5" customHeight="1">
      <c r="A1819" s="8">
        <v>46004.172888113426</v>
      </c>
      <c r="B1819" s="9" t="s">
        <v>14</v>
      </c>
      <c r="C1819" s="9" t="s">
        <v>15</v>
      </c>
      <c r="D1819" s="10" t="s">
        <v>4070</v>
      </c>
      <c r="E1819" s="9" t="s">
        <v>17</v>
      </c>
      <c r="F1819" s="10">
        <v>38</v>
      </c>
      <c r="G1819" s="11">
        <v>7082006161</v>
      </c>
      <c r="H1819" s="10" t="s">
        <v>4071</v>
      </c>
      <c r="I1819" s="10" t="s">
        <v>45</v>
      </c>
      <c r="J1819" s="10" t="s">
        <v>279</v>
      </c>
      <c r="K1819" s="12">
        <v>46004</v>
      </c>
      <c r="L1819" s="28" t="s">
        <v>11</v>
      </c>
      <c r="M1819" s="14"/>
      <c r="N1819" s="10" t="s">
        <v>1028</v>
      </c>
    </row>
    <row r="1820" spans="1:14" ht="22.5" customHeight="1">
      <c r="A1820" s="8">
        <v>46004.184918738421</v>
      </c>
      <c r="B1820" s="9" t="s">
        <v>14</v>
      </c>
      <c r="C1820" s="9" t="s">
        <v>15</v>
      </c>
      <c r="D1820" s="10" t="s">
        <v>4072</v>
      </c>
      <c r="E1820" s="9" t="s">
        <v>17</v>
      </c>
      <c r="F1820" s="10">
        <v>22</v>
      </c>
      <c r="G1820" s="11">
        <v>8125087715</v>
      </c>
      <c r="H1820" s="10" t="s">
        <v>4073</v>
      </c>
      <c r="I1820" s="10" t="s">
        <v>45</v>
      </c>
      <c r="J1820" s="10" t="s">
        <v>4074</v>
      </c>
      <c r="K1820" s="12">
        <v>46004</v>
      </c>
      <c r="L1820" s="28" t="s">
        <v>11</v>
      </c>
      <c r="M1820" s="14"/>
      <c r="N1820" s="10" t="s">
        <v>1028</v>
      </c>
    </row>
    <row r="1821" spans="1:14" ht="22.5" customHeight="1">
      <c r="A1821" s="8">
        <v>46004.212830891207</v>
      </c>
      <c r="B1821" s="9" t="s">
        <v>14</v>
      </c>
      <c r="C1821" s="9" t="s">
        <v>15</v>
      </c>
      <c r="D1821" s="10" t="s">
        <v>4075</v>
      </c>
      <c r="E1821" s="9" t="s">
        <v>17</v>
      </c>
      <c r="F1821" s="10">
        <v>28</v>
      </c>
      <c r="G1821" s="11">
        <v>682173028</v>
      </c>
      <c r="H1821" s="10" t="s">
        <v>4076</v>
      </c>
      <c r="I1821" s="10" t="s">
        <v>202</v>
      </c>
      <c r="J1821" s="10" t="s">
        <v>4077</v>
      </c>
      <c r="K1821" s="12">
        <v>46004</v>
      </c>
      <c r="L1821" s="28" t="s">
        <v>11</v>
      </c>
      <c r="M1821" s="14"/>
      <c r="N1821" s="10" t="s">
        <v>1563</v>
      </c>
    </row>
    <row r="1822" spans="1:14" ht="22.5" customHeight="1">
      <c r="A1822" s="8">
        <v>46004.21846856481</v>
      </c>
      <c r="B1822" s="9" t="s">
        <v>14</v>
      </c>
      <c r="C1822" s="9" t="s">
        <v>15</v>
      </c>
      <c r="D1822" s="10" t="s">
        <v>4078</v>
      </c>
      <c r="E1822" s="9" t="s">
        <v>22</v>
      </c>
      <c r="F1822" s="10">
        <v>34</v>
      </c>
      <c r="G1822" s="11">
        <v>9033484323</v>
      </c>
      <c r="H1822" s="10" t="s">
        <v>4079</v>
      </c>
      <c r="I1822" s="10" t="s">
        <v>27</v>
      </c>
      <c r="J1822" s="10" t="s">
        <v>1559</v>
      </c>
      <c r="K1822" s="12">
        <v>46004</v>
      </c>
      <c r="L1822" s="28" t="s">
        <v>11</v>
      </c>
      <c r="M1822" s="14"/>
      <c r="N1822" s="10" t="s">
        <v>1028</v>
      </c>
    </row>
    <row r="1823" spans="1:14" ht="22.5" customHeight="1">
      <c r="A1823" s="8">
        <v>46004.223051817127</v>
      </c>
      <c r="B1823" s="9" t="s">
        <v>14</v>
      </c>
      <c r="C1823" s="9" t="s">
        <v>15</v>
      </c>
      <c r="D1823" s="10" t="s">
        <v>4080</v>
      </c>
      <c r="E1823" s="9" t="s">
        <v>17</v>
      </c>
      <c r="F1823" s="10">
        <v>32</v>
      </c>
      <c r="G1823" s="11">
        <v>8107866899</v>
      </c>
      <c r="H1823" s="10" t="s">
        <v>4081</v>
      </c>
      <c r="I1823" s="10" t="s">
        <v>27</v>
      </c>
      <c r="J1823" s="10" t="s">
        <v>27</v>
      </c>
      <c r="K1823" s="12">
        <v>46004</v>
      </c>
      <c r="L1823" s="28" t="s">
        <v>11</v>
      </c>
      <c r="M1823" s="14"/>
      <c r="N1823" s="10" t="s">
        <v>1096</v>
      </c>
    </row>
    <row r="1824" spans="1:14" ht="22.5" customHeight="1">
      <c r="A1824" s="8">
        <v>46004.257411180559</v>
      </c>
      <c r="B1824" s="9" t="s">
        <v>14</v>
      </c>
      <c r="C1824" s="9" t="s">
        <v>15</v>
      </c>
      <c r="D1824" s="10" t="s">
        <v>4082</v>
      </c>
      <c r="E1824" s="9" t="s">
        <v>17</v>
      </c>
      <c r="F1824" s="10">
        <v>33</v>
      </c>
      <c r="G1824" s="11">
        <v>7063548702</v>
      </c>
      <c r="H1824" s="10" t="s">
        <v>4083</v>
      </c>
      <c r="I1824" s="10" t="s">
        <v>27</v>
      </c>
      <c r="J1824" s="10" t="s">
        <v>2196</v>
      </c>
      <c r="K1824" s="12">
        <v>46004</v>
      </c>
      <c r="L1824" s="28" t="s">
        <v>11</v>
      </c>
      <c r="M1824" s="14"/>
      <c r="N1824" s="10" t="s">
        <v>1096</v>
      </c>
    </row>
    <row r="1825" spans="1:20" ht="22.5" customHeight="1">
      <c r="A1825" s="8">
        <v>46004.259942731485</v>
      </c>
      <c r="B1825" s="9" t="s">
        <v>14</v>
      </c>
      <c r="C1825" s="9" t="s">
        <v>15</v>
      </c>
      <c r="D1825" s="10" t="s">
        <v>4084</v>
      </c>
      <c r="E1825" s="9" t="s">
        <v>17</v>
      </c>
      <c r="F1825" s="10">
        <v>33</v>
      </c>
      <c r="G1825" s="11">
        <v>8154531280</v>
      </c>
      <c r="H1825" s="10" t="s">
        <v>4085</v>
      </c>
      <c r="I1825" s="10" t="s">
        <v>19</v>
      </c>
      <c r="J1825" s="10" t="s">
        <v>4086</v>
      </c>
      <c r="K1825" s="12">
        <v>46004</v>
      </c>
      <c r="L1825" s="28" t="s">
        <v>11</v>
      </c>
      <c r="M1825" s="14"/>
      <c r="N1825" s="10" t="s">
        <v>1028</v>
      </c>
    </row>
    <row r="1826" spans="1:20" ht="22.5" customHeight="1">
      <c r="A1826" s="8">
        <v>46004.27049200231</v>
      </c>
      <c r="B1826" s="9" t="s">
        <v>14</v>
      </c>
      <c r="C1826" s="9" t="s">
        <v>15</v>
      </c>
      <c r="D1826" s="10" t="s">
        <v>4087</v>
      </c>
      <c r="E1826" s="9" t="s">
        <v>22</v>
      </c>
      <c r="F1826" s="10">
        <v>30</v>
      </c>
      <c r="G1826" s="11">
        <v>7066706352</v>
      </c>
      <c r="H1826" s="10" t="s">
        <v>4088</v>
      </c>
      <c r="I1826" s="10" t="s">
        <v>31</v>
      </c>
      <c r="J1826" s="10" t="s">
        <v>4089</v>
      </c>
      <c r="K1826" s="12">
        <v>46004</v>
      </c>
      <c r="L1826" s="28" t="s">
        <v>11</v>
      </c>
      <c r="M1826" s="14"/>
      <c r="N1826" s="10" t="s">
        <v>1028</v>
      </c>
    </row>
    <row r="1827" spans="1:20" ht="22.5" customHeight="1">
      <c r="A1827" s="8">
        <v>46004.27498451389</v>
      </c>
      <c r="B1827" s="9" t="s">
        <v>14</v>
      </c>
      <c r="C1827" s="9" t="s">
        <v>15</v>
      </c>
      <c r="D1827" s="10" t="s">
        <v>4090</v>
      </c>
      <c r="E1827" s="9" t="s">
        <v>17</v>
      </c>
      <c r="F1827" s="10">
        <v>34</v>
      </c>
      <c r="G1827" s="11">
        <v>7069218237</v>
      </c>
      <c r="H1827" s="10" t="s">
        <v>4091</v>
      </c>
      <c r="I1827" s="10" t="s">
        <v>19</v>
      </c>
      <c r="J1827" s="10" t="s">
        <v>1845</v>
      </c>
      <c r="K1827" s="12">
        <v>46004</v>
      </c>
      <c r="L1827" s="28" t="s">
        <v>11</v>
      </c>
      <c r="M1827" s="14"/>
      <c r="N1827" s="10" t="s">
        <v>1028</v>
      </c>
    </row>
    <row r="1828" spans="1:20" ht="22.5" customHeight="1">
      <c r="A1828" s="8">
        <v>46004.27645424768</v>
      </c>
      <c r="B1828" s="9" t="s">
        <v>14</v>
      </c>
      <c r="C1828" s="9" t="s">
        <v>15</v>
      </c>
      <c r="D1828" s="10" t="s">
        <v>4092</v>
      </c>
      <c r="E1828" s="9" t="s">
        <v>22</v>
      </c>
      <c r="F1828" s="10">
        <v>26</v>
      </c>
      <c r="G1828" s="11">
        <v>8133526431</v>
      </c>
      <c r="H1828" s="10" t="s">
        <v>4093</v>
      </c>
      <c r="I1828" s="10" t="s">
        <v>27</v>
      </c>
      <c r="J1828" s="10" t="s">
        <v>172</v>
      </c>
      <c r="K1828" s="12">
        <v>46004</v>
      </c>
      <c r="L1828" s="28" t="s">
        <v>11</v>
      </c>
      <c r="M1828" s="14"/>
      <c r="N1828" s="10" t="s">
        <v>1028</v>
      </c>
    </row>
    <row r="1829" spans="1:20" ht="22.5" customHeight="1">
      <c r="A1829" s="8">
        <v>46004.281816342591</v>
      </c>
      <c r="B1829" s="9" t="s">
        <v>14</v>
      </c>
      <c r="C1829" s="9" t="s">
        <v>15</v>
      </c>
      <c r="D1829" s="10" t="s">
        <v>4094</v>
      </c>
      <c r="E1829" s="9" t="s">
        <v>17</v>
      </c>
      <c r="F1829" s="10">
        <v>30</v>
      </c>
      <c r="G1829" s="11">
        <v>8133001103</v>
      </c>
      <c r="H1829" s="10" t="s">
        <v>4095</v>
      </c>
      <c r="I1829" s="10" t="s">
        <v>27</v>
      </c>
      <c r="J1829" s="10" t="s">
        <v>42</v>
      </c>
      <c r="K1829" s="12">
        <v>46004</v>
      </c>
      <c r="L1829" s="28" t="s">
        <v>11</v>
      </c>
      <c r="M1829" s="14"/>
      <c r="N1829" s="10" t="s">
        <v>1028</v>
      </c>
    </row>
    <row r="1830" spans="1:20" ht="22.5" customHeight="1">
      <c r="A1830" s="8">
        <v>46004.282114745365</v>
      </c>
      <c r="B1830" s="9" t="s">
        <v>14</v>
      </c>
      <c r="C1830" s="9" t="s">
        <v>15</v>
      </c>
      <c r="D1830" s="10" t="s">
        <v>4096</v>
      </c>
      <c r="E1830" s="9" t="s">
        <v>22</v>
      </c>
      <c r="F1830" s="10">
        <v>24</v>
      </c>
      <c r="G1830" s="11">
        <v>7038385429</v>
      </c>
      <c r="H1830" s="10" t="s">
        <v>4097</v>
      </c>
      <c r="I1830" s="10" t="s">
        <v>27</v>
      </c>
      <c r="J1830" s="10" t="s">
        <v>70</v>
      </c>
      <c r="K1830" s="12">
        <v>46004</v>
      </c>
      <c r="L1830" s="28" t="s">
        <v>11</v>
      </c>
      <c r="M1830" s="14"/>
      <c r="N1830" s="10" t="s">
        <v>1028</v>
      </c>
    </row>
    <row r="1831" spans="1:20" ht="22.5" customHeight="1">
      <c r="A1831" s="8">
        <v>46004.29411920139</v>
      </c>
      <c r="B1831" s="9" t="s">
        <v>14</v>
      </c>
      <c r="C1831" s="9" t="s">
        <v>15</v>
      </c>
      <c r="D1831" s="10" t="s">
        <v>4098</v>
      </c>
      <c r="E1831" s="9" t="s">
        <v>17</v>
      </c>
      <c r="F1831" s="10">
        <v>34</v>
      </c>
      <c r="G1831" s="11">
        <v>8034961809</v>
      </c>
      <c r="H1831" s="10" t="s">
        <v>4099</v>
      </c>
      <c r="I1831" s="10" t="s">
        <v>145</v>
      </c>
      <c r="J1831" s="10" t="s">
        <v>4100</v>
      </c>
      <c r="K1831" s="12">
        <v>46004</v>
      </c>
      <c r="L1831" s="28" t="s">
        <v>11</v>
      </c>
      <c r="M1831" s="14"/>
      <c r="N1831" s="10" t="s">
        <v>1028</v>
      </c>
    </row>
    <row r="1832" spans="1:20" ht="22.5" customHeight="1">
      <c r="A1832" s="8">
        <v>46004.294506990744</v>
      </c>
      <c r="B1832" s="9" t="s">
        <v>14</v>
      </c>
      <c r="C1832" s="9" t="s">
        <v>15</v>
      </c>
      <c r="D1832" s="10" t="s">
        <v>4101</v>
      </c>
      <c r="E1832" s="9" t="s">
        <v>22</v>
      </c>
      <c r="F1832" s="10">
        <v>33</v>
      </c>
      <c r="G1832" s="11">
        <v>7032194072</v>
      </c>
      <c r="H1832" s="10" t="s">
        <v>4102</v>
      </c>
      <c r="I1832" s="10" t="s">
        <v>19</v>
      </c>
      <c r="J1832" s="10" t="s">
        <v>4103</v>
      </c>
      <c r="K1832" s="12">
        <v>46004</v>
      </c>
      <c r="L1832" s="28" t="s">
        <v>11</v>
      </c>
      <c r="M1832" s="14"/>
      <c r="N1832" s="10" t="s">
        <v>1028</v>
      </c>
    </row>
    <row r="1833" spans="1:20" ht="22.5" customHeight="1">
      <c r="A1833" s="8">
        <v>46004.303238877314</v>
      </c>
      <c r="B1833" s="9" t="s">
        <v>14</v>
      </c>
      <c r="C1833" s="9" t="s">
        <v>15</v>
      </c>
      <c r="D1833" s="10" t="s">
        <v>4104</v>
      </c>
      <c r="E1833" s="9" t="s">
        <v>17</v>
      </c>
      <c r="F1833" s="10">
        <v>36</v>
      </c>
      <c r="G1833" s="11">
        <v>8135952587</v>
      </c>
      <c r="H1833" s="10" t="s">
        <v>4105</v>
      </c>
      <c r="I1833" s="10" t="s">
        <v>49</v>
      </c>
      <c r="J1833" s="10" t="s">
        <v>50</v>
      </c>
      <c r="K1833" s="12">
        <v>46004</v>
      </c>
      <c r="L1833" s="28" t="s">
        <v>11</v>
      </c>
      <c r="M1833" s="14"/>
      <c r="N1833" s="10" t="s">
        <v>1028</v>
      </c>
    </row>
    <row r="1834" spans="1:20" ht="22.5" customHeight="1">
      <c r="A1834" s="8">
        <v>46004.316937083335</v>
      </c>
      <c r="B1834" s="9" t="s">
        <v>14</v>
      </c>
      <c r="C1834" s="9" t="s">
        <v>15</v>
      </c>
      <c r="D1834" s="10" t="s">
        <v>4106</v>
      </c>
      <c r="E1834" s="9" t="s">
        <v>17</v>
      </c>
      <c r="F1834" s="10">
        <v>23</v>
      </c>
      <c r="G1834" s="11">
        <v>7068937612</v>
      </c>
      <c r="H1834" s="10" t="s">
        <v>4107</v>
      </c>
      <c r="I1834" s="10" t="s">
        <v>19</v>
      </c>
      <c r="J1834" s="10" t="s">
        <v>3369</v>
      </c>
      <c r="K1834" s="12">
        <v>46004</v>
      </c>
      <c r="L1834" s="28" t="s">
        <v>11</v>
      </c>
      <c r="M1834" s="14"/>
      <c r="N1834" s="10" t="s">
        <v>1028</v>
      </c>
    </row>
    <row r="1835" spans="1:20" ht="22.5" customHeight="1">
      <c r="A1835" s="8">
        <v>46004.332942824076</v>
      </c>
      <c r="B1835" s="9" t="s">
        <v>14</v>
      </c>
      <c r="C1835" s="9" t="s">
        <v>15</v>
      </c>
      <c r="D1835" s="10" t="s">
        <v>4108</v>
      </c>
      <c r="E1835" s="9" t="s">
        <v>17</v>
      </c>
      <c r="F1835" s="10">
        <v>31</v>
      </c>
      <c r="G1835" s="11">
        <v>7033262650</v>
      </c>
      <c r="H1835" s="10" t="s">
        <v>4109</v>
      </c>
      <c r="I1835" s="10" t="s">
        <v>19</v>
      </c>
      <c r="J1835" s="10" t="s">
        <v>4110</v>
      </c>
      <c r="K1835" s="12">
        <v>46004</v>
      </c>
      <c r="L1835" s="28" t="s">
        <v>11</v>
      </c>
      <c r="M1835" s="14"/>
      <c r="N1835" s="10" t="s">
        <v>1028</v>
      </c>
    </row>
    <row r="1836" spans="1:20" ht="22.5" customHeight="1">
      <c r="A1836" s="8">
        <v>46004.340053692125</v>
      </c>
      <c r="B1836" s="9" t="s">
        <v>14</v>
      </c>
      <c r="C1836" s="9" t="s">
        <v>15</v>
      </c>
      <c r="D1836" s="10" t="s">
        <v>4111</v>
      </c>
      <c r="E1836" s="9" t="s">
        <v>17</v>
      </c>
      <c r="F1836" s="10">
        <v>31</v>
      </c>
      <c r="G1836" s="11">
        <v>8032932201</v>
      </c>
      <c r="H1836" s="10" t="s">
        <v>4112</v>
      </c>
      <c r="I1836" s="10" t="s">
        <v>19</v>
      </c>
      <c r="J1836" s="10" t="s">
        <v>812</v>
      </c>
      <c r="K1836" s="12">
        <v>46004</v>
      </c>
      <c r="L1836" s="28" t="s">
        <v>11</v>
      </c>
      <c r="M1836" s="14"/>
      <c r="N1836" s="10" t="s">
        <v>1028</v>
      </c>
    </row>
    <row r="1837" spans="1:20" ht="22.5" customHeight="1">
      <c r="A1837" s="8">
        <v>46004.34021840278</v>
      </c>
      <c r="B1837" s="9" t="s">
        <v>14</v>
      </c>
      <c r="C1837" s="9" t="s">
        <v>15</v>
      </c>
      <c r="D1837" s="10" t="s">
        <v>4113</v>
      </c>
      <c r="E1837" s="9" t="s">
        <v>22</v>
      </c>
      <c r="F1837" s="10">
        <v>24</v>
      </c>
      <c r="G1837" s="11">
        <v>8079012582</v>
      </c>
      <c r="H1837" s="10" t="s">
        <v>4114</v>
      </c>
      <c r="I1837" s="10" t="s">
        <v>31</v>
      </c>
      <c r="J1837" s="10" t="s">
        <v>4115</v>
      </c>
      <c r="K1837" s="12">
        <v>46004</v>
      </c>
      <c r="L1837" s="28" t="s">
        <v>11</v>
      </c>
      <c r="M1837" s="14"/>
      <c r="N1837" s="10" t="s">
        <v>1028</v>
      </c>
    </row>
    <row r="1838" spans="1:20" ht="22.5" customHeight="1">
      <c r="A1838" s="8">
        <v>46004.357787581015</v>
      </c>
      <c r="B1838" s="9" t="s">
        <v>14</v>
      </c>
      <c r="C1838" s="9" t="s">
        <v>15</v>
      </c>
      <c r="D1838" s="10" t="s">
        <v>4116</v>
      </c>
      <c r="E1838" s="9" t="s">
        <v>22</v>
      </c>
      <c r="F1838" s="10">
        <v>23</v>
      </c>
      <c r="G1838" s="11">
        <v>9073090010</v>
      </c>
      <c r="H1838" s="10" t="s">
        <v>4117</v>
      </c>
      <c r="I1838" s="10" t="s">
        <v>19</v>
      </c>
      <c r="J1838" s="10" t="s">
        <v>4118</v>
      </c>
      <c r="K1838" s="12">
        <v>46004</v>
      </c>
      <c r="L1838" s="28" t="s">
        <v>11</v>
      </c>
      <c r="M1838" s="14"/>
      <c r="N1838" s="10" t="s">
        <v>1209</v>
      </c>
    </row>
    <row r="1839" spans="1:20" ht="22.5" customHeight="1">
      <c r="A1839" s="8">
        <v>46004.362499085648</v>
      </c>
      <c r="B1839" s="9" t="s">
        <v>14</v>
      </c>
      <c r="C1839" s="9" t="s">
        <v>15</v>
      </c>
      <c r="D1839" s="10" t="s">
        <v>2376</v>
      </c>
      <c r="E1839" s="9" t="s">
        <v>22</v>
      </c>
      <c r="F1839" s="10">
        <v>41</v>
      </c>
      <c r="G1839" s="11">
        <f t="shared" ref="G1839" si="43">2348130472566</f>
        <v>2348130472566</v>
      </c>
      <c r="H1839" s="10" t="s">
        <v>2377</v>
      </c>
      <c r="I1839" s="10" t="s">
        <v>27</v>
      </c>
      <c r="J1839" s="10" t="s">
        <v>703</v>
      </c>
      <c r="K1839" s="12">
        <v>46001</v>
      </c>
      <c r="L1839" s="28" t="s">
        <v>11</v>
      </c>
      <c r="M1839" s="14"/>
      <c r="N1839" s="10" t="s">
        <v>1028</v>
      </c>
    </row>
    <row r="1840" spans="1:20" ht="22.5" customHeight="1">
      <c r="A1840" s="8">
        <v>46004.367383182871</v>
      </c>
      <c r="B1840" s="9" t="s">
        <v>14</v>
      </c>
      <c r="C1840" s="9" t="s">
        <v>15</v>
      </c>
      <c r="D1840" s="10" t="s">
        <v>4119</v>
      </c>
      <c r="E1840" s="9" t="s">
        <v>17</v>
      </c>
      <c r="F1840" s="10">
        <v>33</v>
      </c>
      <c r="G1840" s="11">
        <v>8100854431</v>
      </c>
      <c r="H1840" s="10" t="s">
        <v>4120</v>
      </c>
      <c r="I1840" s="10" t="s">
        <v>27</v>
      </c>
      <c r="J1840" s="10" t="s">
        <v>42</v>
      </c>
      <c r="K1840" s="12">
        <v>46004</v>
      </c>
      <c r="L1840" s="28" t="s">
        <v>11</v>
      </c>
      <c r="M1840" s="14"/>
      <c r="N1840" s="10" t="s">
        <v>1028</v>
      </c>
      <c r="O1840" s="16"/>
      <c r="P1840" s="17"/>
      <c r="Q1840" s="17"/>
      <c r="R1840" s="17"/>
      <c r="S1840" s="17"/>
      <c r="T1840" s="17"/>
    </row>
    <row r="1841" spans="1:14" ht="22.5" customHeight="1">
      <c r="A1841" s="8">
        <v>46004.368735416661</v>
      </c>
      <c r="B1841" s="9" t="s">
        <v>14</v>
      </c>
      <c r="C1841" s="9" t="s">
        <v>15</v>
      </c>
      <c r="D1841" s="10" t="s">
        <v>4121</v>
      </c>
      <c r="E1841" s="9" t="s">
        <v>17</v>
      </c>
      <c r="F1841" s="10">
        <v>22</v>
      </c>
      <c r="G1841" s="11">
        <v>8067879016</v>
      </c>
      <c r="H1841" s="10" t="s">
        <v>4122</v>
      </c>
      <c r="I1841" s="10" t="s">
        <v>19</v>
      </c>
      <c r="J1841" s="10" t="s">
        <v>3273</v>
      </c>
      <c r="K1841" s="12">
        <v>46004</v>
      </c>
      <c r="L1841" s="28" t="s">
        <v>11</v>
      </c>
      <c r="M1841" s="14"/>
      <c r="N1841" s="10" t="s">
        <v>1028</v>
      </c>
    </row>
    <row r="1842" spans="1:14" ht="22.5" customHeight="1">
      <c r="A1842" s="8">
        <v>46004.37332353009</v>
      </c>
      <c r="B1842" s="9" t="s">
        <v>14</v>
      </c>
      <c r="C1842" s="9" t="s">
        <v>15</v>
      </c>
      <c r="D1842" s="10" t="s">
        <v>4123</v>
      </c>
      <c r="E1842" s="9" t="s">
        <v>22</v>
      </c>
      <c r="F1842" s="10">
        <v>24</v>
      </c>
      <c r="G1842" s="11">
        <v>8106963759</v>
      </c>
      <c r="H1842" s="10" t="s">
        <v>4124</v>
      </c>
      <c r="I1842" s="10" t="s">
        <v>27</v>
      </c>
      <c r="J1842" s="10" t="s">
        <v>67</v>
      </c>
      <c r="K1842" s="12">
        <v>46004</v>
      </c>
      <c r="L1842" s="28" t="s">
        <v>11</v>
      </c>
      <c r="M1842" s="14"/>
      <c r="N1842" s="10" t="s">
        <v>1096</v>
      </c>
    </row>
    <row r="1843" spans="1:14" ht="22.5" customHeight="1">
      <c r="A1843" s="8">
        <v>46004.373372696762</v>
      </c>
      <c r="B1843" s="9" t="s">
        <v>14</v>
      </c>
      <c r="C1843" s="9" t="s">
        <v>15</v>
      </c>
      <c r="D1843" s="10" t="s">
        <v>4125</v>
      </c>
      <c r="E1843" s="9" t="s">
        <v>17</v>
      </c>
      <c r="F1843" s="10">
        <v>26</v>
      </c>
      <c r="G1843" s="11">
        <v>9064708556</v>
      </c>
      <c r="H1843" s="10" t="s">
        <v>4126</v>
      </c>
      <c r="I1843" s="10" t="s">
        <v>27</v>
      </c>
      <c r="J1843" s="10" t="s">
        <v>67</v>
      </c>
      <c r="K1843" s="12">
        <v>46004</v>
      </c>
      <c r="L1843" s="28" t="s">
        <v>11</v>
      </c>
      <c r="M1843" s="14"/>
      <c r="N1843" s="10" t="s">
        <v>1096</v>
      </c>
    </row>
    <row r="1844" spans="1:14" ht="22.5" customHeight="1">
      <c r="A1844" s="8">
        <v>46004.376351354163</v>
      </c>
      <c r="B1844" s="9" t="s">
        <v>14</v>
      </c>
      <c r="C1844" s="9" t="s">
        <v>15</v>
      </c>
      <c r="D1844" s="10" t="s">
        <v>4127</v>
      </c>
      <c r="E1844" s="9" t="s">
        <v>22</v>
      </c>
      <c r="F1844" s="10">
        <v>24</v>
      </c>
      <c r="G1844" s="11">
        <v>7045010101</v>
      </c>
      <c r="H1844" s="10" t="s">
        <v>4128</v>
      </c>
      <c r="I1844" s="10" t="s">
        <v>27</v>
      </c>
      <c r="J1844" s="10" t="s">
        <v>94</v>
      </c>
      <c r="K1844" s="12">
        <v>46004</v>
      </c>
      <c r="L1844" s="28" t="s">
        <v>11</v>
      </c>
      <c r="M1844" s="14"/>
      <c r="N1844" s="10" t="s">
        <v>1028</v>
      </c>
    </row>
    <row r="1845" spans="1:14" ht="22.5" customHeight="1">
      <c r="A1845" s="8">
        <v>46004.382078460651</v>
      </c>
      <c r="B1845" s="9" t="s">
        <v>14</v>
      </c>
      <c r="C1845" s="9" t="s">
        <v>15</v>
      </c>
      <c r="D1845" s="10" t="s">
        <v>4129</v>
      </c>
      <c r="E1845" s="9" t="s">
        <v>17</v>
      </c>
      <c r="F1845" s="10">
        <v>35</v>
      </c>
      <c r="G1845" s="11">
        <v>22391910909</v>
      </c>
      <c r="H1845" s="10" t="s">
        <v>4130</v>
      </c>
      <c r="I1845" s="10" t="s">
        <v>49</v>
      </c>
      <c r="J1845" s="10" t="s">
        <v>4131</v>
      </c>
      <c r="K1845" s="12">
        <v>46004</v>
      </c>
      <c r="L1845" s="28" t="s">
        <v>11</v>
      </c>
      <c r="M1845" s="14"/>
      <c r="N1845" s="10" t="s">
        <v>4132</v>
      </c>
    </row>
    <row r="1846" spans="1:14" ht="22.5" customHeight="1">
      <c r="A1846" s="8">
        <v>46004.384395555557</v>
      </c>
      <c r="B1846" s="9" t="s">
        <v>14</v>
      </c>
      <c r="C1846" s="9" t="s">
        <v>15</v>
      </c>
      <c r="D1846" s="10" t="s">
        <v>4133</v>
      </c>
      <c r="E1846" s="9" t="s">
        <v>17</v>
      </c>
      <c r="F1846" s="10">
        <v>30</v>
      </c>
      <c r="G1846" s="11">
        <v>8066038946</v>
      </c>
      <c r="H1846" s="10" t="s">
        <v>4134</v>
      </c>
      <c r="I1846" s="10" t="s">
        <v>27</v>
      </c>
      <c r="J1846" s="10" t="s">
        <v>70</v>
      </c>
      <c r="K1846" s="12">
        <v>46004</v>
      </c>
      <c r="L1846" s="28" t="s">
        <v>11</v>
      </c>
      <c r="M1846" s="14"/>
      <c r="N1846" s="10" t="s">
        <v>1028</v>
      </c>
    </row>
    <row r="1847" spans="1:14" ht="22.5" customHeight="1">
      <c r="A1847" s="8">
        <v>46004.387819236115</v>
      </c>
      <c r="B1847" s="9" t="s">
        <v>14</v>
      </c>
      <c r="C1847" s="9" t="s">
        <v>15</v>
      </c>
      <c r="D1847" s="10" t="s">
        <v>4135</v>
      </c>
      <c r="E1847" s="9" t="s">
        <v>22</v>
      </c>
      <c r="F1847" s="10">
        <v>29</v>
      </c>
      <c r="G1847" s="11">
        <v>9067100779</v>
      </c>
      <c r="H1847" s="10" t="s">
        <v>4136</v>
      </c>
      <c r="I1847" s="10" t="s">
        <v>27</v>
      </c>
      <c r="J1847" s="10" t="s">
        <v>28</v>
      </c>
      <c r="K1847" s="12">
        <v>46004</v>
      </c>
      <c r="L1847" s="28" t="s">
        <v>11</v>
      </c>
      <c r="M1847" s="14"/>
      <c r="N1847" s="10" t="s">
        <v>1028</v>
      </c>
    </row>
    <row r="1848" spans="1:14" ht="22.5" customHeight="1">
      <c r="A1848" s="8">
        <v>46004.389479201389</v>
      </c>
      <c r="B1848" s="9" t="s">
        <v>14</v>
      </c>
      <c r="C1848" s="9" t="s">
        <v>15</v>
      </c>
      <c r="D1848" s="10" t="s">
        <v>4137</v>
      </c>
      <c r="E1848" s="9" t="s">
        <v>22</v>
      </c>
      <c r="F1848" s="19">
        <v>26</v>
      </c>
      <c r="G1848" s="11">
        <v>9168153060</v>
      </c>
      <c r="H1848" s="10" t="s">
        <v>4138</v>
      </c>
      <c r="I1848" s="10" t="s">
        <v>19</v>
      </c>
      <c r="J1848" s="10" t="s">
        <v>4139</v>
      </c>
      <c r="K1848" s="12">
        <v>46004</v>
      </c>
      <c r="L1848" s="28" t="s">
        <v>11</v>
      </c>
      <c r="M1848" s="14"/>
      <c r="N1848" s="10" t="s">
        <v>1028</v>
      </c>
    </row>
    <row r="1849" spans="1:14" ht="22.5" customHeight="1">
      <c r="A1849" s="8">
        <v>46004.390505046293</v>
      </c>
      <c r="B1849" s="9" t="s">
        <v>14</v>
      </c>
      <c r="C1849" s="9" t="s">
        <v>15</v>
      </c>
      <c r="D1849" s="10" t="s">
        <v>4140</v>
      </c>
      <c r="E1849" s="9" t="s">
        <v>17</v>
      </c>
      <c r="F1849" s="10">
        <v>41</v>
      </c>
      <c r="G1849" s="11">
        <v>8035456507</v>
      </c>
      <c r="H1849" s="10" t="s">
        <v>4141</v>
      </c>
      <c r="I1849" s="10" t="s">
        <v>45</v>
      </c>
      <c r="J1849" s="10" t="s">
        <v>4074</v>
      </c>
      <c r="K1849" s="12">
        <v>46004</v>
      </c>
      <c r="L1849" s="28" t="s">
        <v>11</v>
      </c>
      <c r="M1849" s="14"/>
      <c r="N1849" s="10" t="s">
        <v>1028</v>
      </c>
    </row>
    <row r="1850" spans="1:14" ht="22.5" customHeight="1">
      <c r="A1850" s="8">
        <v>46004.393098912042</v>
      </c>
      <c r="B1850" s="9" t="s">
        <v>14</v>
      </c>
      <c r="C1850" s="9" t="s">
        <v>15</v>
      </c>
      <c r="D1850" s="10" t="s">
        <v>4142</v>
      </c>
      <c r="E1850" s="9" t="s">
        <v>22</v>
      </c>
      <c r="F1850" s="10">
        <v>22</v>
      </c>
      <c r="G1850" s="11">
        <v>9126427891</v>
      </c>
      <c r="H1850" s="10" t="s">
        <v>4143</v>
      </c>
      <c r="I1850" s="10" t="s">
        <v>27</v>
      </c>
      <c r="J1850" s="10" t="s">
        <v>1456</v>
      </c>
      <c r="K1850" s="12">
        <v>46004</v>
      </c>
      <c r="L1850" s="28" t="s">
        <v>11</v>
      </c>
      <c r="M1850" s="14"/>
      <c r="N1850" s="10" t="s">
        <v>1028</v>
      </c>
    </row>
    <row r="1851" spans="1:14" ht="22.5" customHeight="1">
      <c r="A1851" s="8">
        <v>46004.397056979171</v>
      </c>
      <c r="B1851" s="9" t="s">
        <v>14</v>
      </c>
      <c r="C1851" s="9" t="s">
        <v>15</v>
      </c>
      <c r="D1851" s="10" t="s">
        <v>4144</v>
      </c>
      <c r="E1851" s="9" t="s">
        <v>17</v>
      </c>
      <c r="F1851" s="10">
        <v>31</v>
      </c>
      <c r="G1851" s="11">
        <v>8147353327</v>
      </c>
      <c r="H1851" s="10" t="s">
        <v>4145</v>
      </c>
      <c r="I1851" s="10" t="s">
        <v>19</v>
      </c>
      <c r="J1851" s="10" t="s">
        <v>119</v>
      </c>
      <c r="K1851" s="12">
        <v>46004</v>
      </c>
      <c r="L1851" s="28" t="s">
        <v>11</v>
      </c>
      <c r="M1851" s="14"/>
      <c r="N1851" s="10" t="s">
        <v>1028</v>
      </c>
    </row>
    <row r="1852" spans="1:14" ht="22.5" customHeight="1">
      <c r="A1852" s="8">
        <v>46004.39747862269</v>
      </c>
      <c r="B1852" s="9" t="s">
        <v>14</v>
      </c>
      <c r="C1852" s="9" t="s">
        <v>15</v>
      </c>
      <c r="D1852" s="10" t="s">
        <v>4146</v>
      </c>
      <c r="E1852" s="9" t="s">
        <v>17</v>
      </c>
      <c r="F1852" s="10">
        <v>26</v>
      </c>
      <c r="G1852" s="11">
        <v>8165759435</v>
      </c>
      <c r="H1852" s="10" t="s">
        <v>4147</v>
      </c>
      <c r="I1852" s="10" t="s">
        <v>19</v>
      </c>
      <c r="J1852" s="10" t="s">
        <v>4148</v>
      </c>
      <c r="K1852" s="12">
        <v>46004</v>
      </c>
      <c r="L1852" s="28" t="s">
        <v>11</v>
      </c>
      <c r="M1852" s="14"/>
      <c r="N1852" s="10" t="s">
        <v>1028</v>
      </c>
    </row>
    <row r="1853" spans="1:14" ht="22.5" customHeight="1">
      <c r="A1853" s="8">
        <v>46004.39936152778</v>
      </c>
      <c r="B1853" s="9" t="s">
        <v>14</v>
      </c>
      <c r="C1853" s="9" t="s">
        <v>15</v>
      </c>
      <c r="D1853" s="10" t="s">
        <v>4149</v>
      </c>
      <c r="E1853" s="9" t="s">
        <v>22</v>
      </c>
      <c r="F1853" s="10">
        <v>26</v>
      </c>
      <c r="G1853" s="11">
        <v>9067332779</v>
      </c>
      <c r="H1853" s="10" t="s">
        <v>4150</v>
      </c>
      <c r="I1853" s="10" t="s">
        <v>27</v>
      </c>
      <c r="J1853" s="10" t="s">
        <v>1456</v>
      </c>
      <c r="K1853" s="12">
        <v>46004</v>
      </c>
      <c r="L1853" s="28" t="s">
        <v>11</v>
      </c>
      <c r="M1853" s="10"/>
      <c r="N1853" s="10" t="s">
        <v>1028</v>
      </c>
    </row>
    <row r="1854" spans="1:14" ht="22.5" customHeight="1">
      <c r="A1854" s="8">
        <v>46004.399766921299</v>
      </c>
      <c r="B1854" s="9" t="s">
        <v>14</v>
      </c>
      <c r="C1854" s="9" t="s">
        <v>15</v>
      </c>
      <c r="D1854" s="10" t="s">
        <v>4151</v>
      </c>
      <c r="E1854" s="9" t="s">
        <v>17</v>
      </c>
      <c r="F1854" s="18">
        <v>42</v>
      </c>
      <c r="G1854" s="11">
        <v>7031836510</v>
      </c>
      <c r="H1854" s="10" t="s">
        <v>4152</v>
      </c>
      <c r="I1854" s="10" t="s">
        <v>145</v>
      </c>
      <c r="J1854" s="10" t="s">
        <v>1717</v>
      </c>
      <c r="K1854" s="12">
        <v>46004</v>
      </c>
      <c r="L1854" s="28" t="s">
        <v>11</v>
      </c>
      <c r="M1854" s="14"/>
      <c r="N1854" s="10" t="s">
        <v>1028</v>
      </c>
    </row>
    <row r="1855" spans="1:14" ht="22.5" customHeight="1">
      <c r="A1855" s="8">
        <v>46004.405486608797</v>
      </c>
      <c r="B1855" s="9" t="s">
        <v>14</v>
      </c>
      <c r="C1855" s="9" t="s">
        <v>15</v>
      </c>
      <c r="D1855" s="10" t="s">
        <v>4153</v>
      </c>
      <c r="E1855" s="9" t="s">
        <v>22</v>
      </c>
      <c r="F1855" s="10">
        <v>26</v>
      </c>
      <c r="G1855" s="11">
        <v>7045374853</v>
      </c>
      <c r="H1855" s="10" t="s">
        <v>4154</v>
      </c>
      <c r="I1855" s="10" t="s">
        <v>27</v>
      </c>
      <c r="J1855" s="10" t="s">
        <v>372</v>
      </c>
      <c r="K1855" s="12">
        <v>46004</v>
      </c>
      <c r="L1855" s="28" t="s">
        <v>11</v>
      </c>
      <c r="M1855" s="14"/>
      <c r="N1855" s="10" t="s">
        <v>1028</v>
      </c>
    </row>
    <row r="1856" spans="1:14" ht="22.5" customHeight="1">
      <c r="A1856" s="8">
        <v>46004.408733229167</v>
      </c>
      <c r="B1856" s="9" t="s">
        <v>14</v>
      </c>
      <c r="C1856" s="9" t="s">
        <v>15</v>
      </c>
      <c r="D1856" s="10" t="s">
        <v>4155</v>
      </c>
      <c r="E1856" s="9" t="s">
        <v>17</v>
      </c>
      <c r="F1856" s="10">
        <v>27</v>
      </c>
      <c r="G1856" s="11">
        <v>7034474181</v>
      </c>
      <c r="H1856" s="10" t="s">
        <v>4156</v>
      </c>
      <c r="I1856" s="10" t="s">
        <v>27</v>
      </c>
      <c r="J1856" s="10" t="s">
        <v>172</v>
      </c>
      <c r="K1856" s="12">
        <v>46004</v>
      </c>
      <c r="L1856" s="28" t="s">
        <v>11</v>
      </c>
      <c r="M1856" s="14"/>
      <c r="N1856" s="10" t="s">
        <v>1028</v>
      </c>
    </row>
    <row r="1857" spans="1:14" ht="22.5" customHeight="1">
      <c r="A1857" s="8">
        <v>46004.41120357639</v>
      </c>
      <c r="B1857" s="9" t="s">
        <v>14</v>
      </c>
      <c r="C1857" s="9" t="s">
        <v>15</v>
      </c>
      <c r="D1857" s="10" t="s">
        <v>4157</v>
      </c>
      <c r="E1857" s="9" t="s">
        <v>17</v>
      </c>
      <c r="F1857" s="10">
        <v>31</v>
      </c>
      <c r="G1857" s="11">
        <v>8069153051</v>
      </c>
      <c r="H1857" s="10" t="s">
        <v>4158</v>
      </c>
      <c r="I1857" s="10" t="s">
        <v>49</v>
      </c>
      <c r="J1857" s="10" t="s">
        <v>103</v>
      </c>
      <c r="K1857" s="12">
        <v>46004</v>
      </c>
      <c r="L1857" s="28" t="s">
        <v>11</v>
      </c>
      <c r="M1857" s="14"/>
      <c r="N1857" s="10" t="s">
        <v>1028</v>
      </c>
    </row>
    <row r="1858" spans="1:14" ht="22.5" customHeight="1">
      <c r="A1858" s="8">
        <v>46004.412145057868</v>
      </c>
      <c r="B1858" s="9" t="s">
        <v>14</v>
      </c>
      <c r="C1858" s="9" t="s">
        <v>15</v>
      </c>
      <c r="D1858" s="10" t="s">
        <v>4159</v>
      </c>
      <c r="E1858" s="9" t="s">
        <v>22</v>
      </c>
      <c r="F1858" s="10">
        <v>25</v>
      </c>
      <c r="G1858" s="11">
        <v>8157589895</v>
      </c>
      <c r="H1858" s="10" t="s">
        <v>4160</v>
      </c>
      <c r="I1858" s="10" t="s">
        <v>19</v>
      </c>
      <c r="J1858" s="10" t="s">
        <v>4161</v>
      </c>
      <c r="K1858" s="12">
        <v>46004</v>
      </c>
      <c r="L1858" s="28" t="s">
        <v>11</v>
      </c>
      <c r="M1858" s="14"/>
      <c r="N1858" s="10" t="s">
        <v>1028</v>
      </c>
    </row>
    <row r="1859" spans="1:14" ht="22.5" hidden="1" customHeight="1">
      <c r="A1859" s="8">
        <v>46004.415642361113</v>
      </c>
      <c r="B1859" s="9" t="s">
        <v>14</v>
      </c>
      <c r="C1859" s="9" t="s">
        <v>15</v>
      </c>
      <c r="D1859" s="10" t="s">
        <v>4162</v>
      </c>
      <c r="E1859" s="9" t="s">
        <v>22</v>
      </c>
      <c r="F1859" s="10">
        <v>23</v>
      </c>
      <c r="G1859" s="11">
        <f>2348062887476</f>
        <v>2348062887476</v>
      </c>
      <c r="H1859" s="10" t="s">
        <v>4163</v>
      </c>
      <c r="I1859" s="10" t="s">
        <v>27</v>
      </c>
      <c r="J1859" s="10" t="s">
        <v>4164</v>
      </c>
      <c r="K1859" s="12">
        <v>46004</v>
      </c>
      <c r="L1859" s="10" t="s">
        <v>441</v>
      </c>
      <c r="M1859" s="10" t="s">
        <v>1361</v>
      </c>
      <c r="N1859" s="10" t="s">
        <v>1563</v>
      </c>
    </row>
    <row r="1860" spans="1:14" ht="22.5" customHeight="1">
      <c r="A1860" s="8">
        <v>46004.445046967594</v>
      </c>
      <c r="B1860" s="9" t="s">
        <v>14</v>
      </c>
      <c r="C1860" s="9" t="s">
        <v>15</v>
      </c>
      <c r="D1860" s="10" t="s">
        <v>4165</v>
      </c>
      <c r="E1860" s="9" t="s">
        <v>22</v>
      </c>
      <c r="F1860" s="10">
        <v>21</v>
      </c>
      <c r="G1860" s="11">
        <v>8036105983</v>
      </c>
      <c r="H1860" s="10" t="s">
        <v>4166</v>
      </c>
      <c r="I1860" s="10" t="s">
        <v>19</v>
      </c>
      <c r="J1860" s="10" t="s">
        <v>4167</v>
      </c>
      <c r="K1860" s="12">
        <v>46004</v>
      </c>
      <c r="L1860" s="28" t="s">
        <v>11</v>
      </c>
      <c r="M1860" s="14"/>
      <c r="N1860" s="10" t="s">
        <v>1028</v>
      </c>
    </row>
    <row r="1861" spans="1:14" ht="22.5" customHeight="1">
      <c r="A1861" s="8">
        <v>46004.445459317125</v>
      </c>
      <c r="B1861" s="9" t="s">
        <v>14</v>
      </c>
      <c r="C1861" s="9" t="s">
        <v>15</v>
      </c>
      <c r="D1861" s="10" t="s">
        <v>4168</v>
      </c>
      <c r="E1861" s="9" t="s">
        <v>17</v>
      </c>
      <c r="F1861" s="10">
        <v>36</v>
      </c>
      <c r="G1861" s="11">
        <v>8022493310</v>
      </c>
      <c r="H1861" s="10" t="s">
        <v>4169</v>
      </c>
      <c r="I1861" s="10" t="s">
        <v>27</v>
      </c>
      <c r="J1861" s="10" t="s">
        <v>1475</v>
      </c>
      <c r="K1861" s="12">
        <v>46004</v>
      </c>
      <c r="L1861" s="28" t="s">
        <v>11</v>
      </c>
      <c r="M1861" s="14"/>
      <c r="N1861" s="10" t="s">
        <v>1028</v>
      </c>
    </row>
    <row r="1862" spans="1:14" ht="22.5" customHeight="1">
      <c r="A1862" s="8">
        <v>46004.448008182866</v>
      </c>
      <c r="B1862" s="9" t="s">
        <v>14</v>
      </c>
      <c r="C1862" s="9" t="s">
        <v>15</v>
      </c>
      <c r="D1862" s="10" t="s">
        <v>4170</v>
      </c>
      <c r="E1862" s="9" t="s">
        <v>22</v>
      </c>
      <c r="F1862" s="10">
        <v>23</v>
      </c>
      <c r="G1862" s="11">
        <v>8163914342</v>
      </c>
      <c r="H1862" s="10" t="s">
        <v>4171</v>
      </c>
      <c r="I1862" s="10" t="s">
        <v>19</v>
      </c>
      <c r="J1862" s="10" t="s">
        <v>3466</v>
      </c>
      <c r="K1862" s="12">
        <v>37571</v>
      </c>
      <c r="L1862" s="28" t="s">
        <v>11</v>
      </c>
      <c r="M1862" s="14"/>
      <c r="N1862" s="10" t="s">
        <v>1028</v>
      </c>
    </row>
    <row r="1863" spans="1:14" ht="22.5" customHeight="1">
      <c r="A1863" s="8">
        <v>46004.451347453709</v>
      </c>
      <c r="B1863" s="9" t="s">
        <v>14</v>
      </c>
      <c r="C1863" s="9" t="s">
        <v>15</v>
      </c>
      <c r="D1863" s="10" t="s">
        <v>4172</v>
      </c>
      <c r="E1863" s="9" t="s">
        <v>17</v>
      </c>
      <c r="F1863" s="10">
        <v>22</v>
      </c>
      <c r="G1863" s="11">
        <v>9065821686</v>
      </c>
      <c r="H1863" s="10" t="s">
        <v>4173</v>
      </c>
      <c r="I1863" s="10" t="s">
        <v>202</v>
      </c>
      <c r="J1863" s="10" t="s">
        <v>4174</v>
      </c>
      <c r="K1863" s="12">
        <v>46004</v>
      </c>
      <c r="L1863" s="28" t="s">
        <v>11</v>
      </c>
      <c r="M1863" s="14"/>
      <c r="N1863" s="10" t="s">
        <v>1096</v>
      </c>
    </row>
    <row r="1864" spans="1:14" ht="22.5" customHeight="1">
      <c r="A1864" s="8">
        <v>46004.458205057876</v>
      </c>
      <c r="B1864" s="9" t="s">
        <v>14</v>
      </c>
      <c r="C1864" s="9" t="s">
        <v>15</v>
      </c>
      <c r="D1864" s="10" t="s">
        <v>4175</v>
      </c>
      <c r="E1864" s="9" t="s">
        <v>17</v>
      </c>
      <c r="F1864" s="10">
        <v>27</v>
      </c>
      <c r="G1864" s="11">
        <v>7011105888</v>
      </c>
      <c r="H1864" s="10" t="s">
        <v>4176</v>
      </c>
      <c r="I1864" s="10" t="s">
        <v>202</v>
      </c>
      <c r="J1864" s="10" t="s">
        <v>4177</v>
      </c>
      <c r="K1864" s="12">
        <v>46004</v>
      </c>
      <c r="L1864" s="28" t="s">
        <v>11</v>
      </c>
      <c r="M1864" s="14"/>
      <c r="N1864" s="10" t="s">
        <v>1096</v>
      </c>
    </row>
    <row r="1865" spans="1:14" ht="22.5" customHeight="1">
      <c r="A1865" s="8">
        <v>46004.459882071758</v>
      </c>
      <c r="B1865" s="9" t="s">
        <v>14</v>
      </c>
      <c r="C1865" s="9" t="s">
        <v>15</v>
      </c>
      <c r="D1865" s="10" t="s">
        <v>4178</v>
      </c>
      <c r="E1865" s="9" t="s">
        <v>17</v>
      </c>
      <c r="F1865" s="10">
        <v>29</v>
      </c>
      <c r="G1865" s="11">
        <v>8025373703</v>
      </c>
      <c r="H1865" s="10" t="s">
        <v>4179</v>
      </c>
      <c r="I1865" s="10" t="s">
        <v>27</v>
      </c>
      <c r="J1865" s="10" t="s">
        <v>2855</v>
      </c>
      <c r="K1865" s="12">
        <v>46004</v>
      </c>
      <c r="L1865" s="28" t="s">
        <v>11</v>
      </c>
      <c r="M1865" s="14"/>
      <c r="N1865" s="10" t="s">
        <v>1028</v>
      </c>
    </row>
    <row r="1866" spans="1:14" ht="22.5" customHeight="1">
      <c r="A1866" s="8">
        <v>46004.461954745369</v>
      </c>
      <c r="B1866" s="9" t="s">
        <v>14</v>
      </c>
      <c r="C1866" s="9" t="s">
        <v>15</v>
      </c>
      <c r="D1866" s="10" t="s">
        <v>4180</v>
      </c>
      <c r="E1866" s="9" t="s">
        <v>22</v>
      </c>
      <c r="F1866" s="10">
        <v>20</v>
      </c>
      <c r="G1866" s="11">
        <v>8162845959</v>
      </c>
      <c r="H1866" s="10" t="s">
        <v>4181</v>
      </c>
      <c r="I1866" s="10" t="s">
        <v>19</v>
      </c>
      <c r="J1866" s="10" t="s">
        <v>4182</v>
      </c>
      <c r="K1866" s="12">
        <v>38402</v>
      </c>
      <c r="L1866" s="28" t="s">
        <v>11</v>
      </c>
      <c r="M1866" s="14"/>
      <c r="N1866" s="10" t="s">
        <v>1028</v>
      </c>
    </row>
    <row r="1867" spans="1:14" ht="22.5" customHeight="1">
      <c r="A1867" s="8">
        <v>46004.468155439812</v>
      </c>
      <c r="B1867" s="9" t="s">
        <v>14</v>
      </c>
      <c r="C1867" s="9" t="s">
        <v>15</v>
      </c>
      <c r="D1867" s="10" t="s">
        <v>4183</v>
      </c>
      <c r="E1867" s="9" t="s">
        <v>17</v>
      </c>
      <c r="F1867" s="10">
        <v>32</v>
      </c>
      <c r="G1867" s="11">
        <v>2348065612504</v>
      </c>
      <c r="H1867" s="10" t="s">
        <v>4184</v>
      </c>
      <c r="I1867" s="10" t="s">
        <v>49</v>
      </c>
      <c r="J1867" s="10" t="s">
        <v>109</v>
      </c>
      <c r="K1867" s="12">
        <v>46004</v>
      </c>
      <c r="L1867" s="28" t="s">
        <v>11</v>
      </c>
      <c r="M1867" s="14"/>
      <c r="N1867" s="10" t="s">
        <v>1028</v>
      </c>
    </row>
    <row r="1868" spans="1:14" ht="22.5" customHeight="1">
      <c r="A1868" s="8">
        <v>46004.470856041662</v>
      </c>
      <c r="B1868" s="9" t="s">
        <v>14</v>
      </c>
      <c r="C1868" s="9" t="s">
        <v>15</v>
      </c>
      <c r="D1868" s="10" t="s">
        <v>4185</v>
      </c>
      <c r="E1868" s="9" t="s">
        <v>17</v>
      </c>
      <c r="F1868" s="10">
        <v>26</v>
      </c>
      <c r="G1868" s="11">
        <v>8147196542</v>
      </c>
      <c r="H1868" s="10" t="s">
        <v>4186</v>
      </c>
      <c r="I1868" s="10" t="s">
        <v>27</v>
      </c>
      <c r="J1868" s="10" t="s">
        <v>42</v>
      </c>
      <c r="K1868" s="12">
        <v>46004</v>
      </c>
      <c r="L1868" s="28" t="s">
        <v>11</v>
      </c>
      <c r="M1868" s="14"/>
      <c r="N1868" s="10" t="s">
        <v>1028</v>
      </c>
    </row>
    <row r="1869" spans="1:14" ht="22.5" customHeight="1">
      <c r="A1869" s="8">
        <v>46004.472987326386</v>
      </c>
      <c r="B1869" s="9" t="s">
        <v>14</v>
      </c>
      <c r="C1869" s="9" t="s">
        <v>15</v>
      </c>
      <c r="D1869" s="10" t="s">
        <v>4187</v>
      </c>
      <c r="E1869" s="9" t="s">
        <v>22</v>
      </c>
      <c r="F1869" s="10">
        <v>26</v>
      </c>
      <c r="G1869" s="11">
        <v>9066787641</v>
      </c>
      <c r="H1869" s="10" t="s">
        <v>4188</v>
      </c>
      <c r="I1869" s="10" t="s">
        <v>27</v>
      </c>
      <c r="J1869" s="10" t="s">
        <v>372</v>
      </c>
      <c r="K1869" s="12">
        <v>46004</v>
      </c>
      <c r="L1869" s="28" t="s">
        <v>11</v>
      </c>
      <c r="M1869" s="14"/>
      <c r="N1869" s="10" t="s">
        <v>1028</v>
      </c>
    </row>
    <row r="1870" spans="1:14" ht="22.5" customHeight="1">
      <c r="A1870" s="8">
        <v>46004.473959641204</v>
      </c>
      <c r="B1870" s="9" t="s">
        <v>14</v>
      </c>
      <c r="C1870" s="9" t="s">
        <v>15</v>
      </c>
      <c r="D1870" s="10" t="s">
        <v>4189</v>
      </c>
      <c r="E1870" s="9" t="s">
        <v>22</v>
      </c>
      <c r="F1870" s="10">
        <v>22</v>
      </c>
      <c r="G1870" s="11">
        <v>7025691330</v>
      </c>
      <c r="H1870" s="10" t="s">
        <v>4190</v>
      </c>
      <c r="I1870" s="10" t="s">
        <v>27</v>
      </c>
      <c r="J1870" s="10" t="s">
        <v>42</v>
      </c>
      <c r="K1870" s="12">
        <v>46004</v>
      </c>
      <c r="L1870" s="28" t="s">
        <v>11</v>
      </c>
      <c r="M1870" s="14"/>
      <c r="N1870" s="10" t="s">
        <v>1028</v>
      </c>
    </row>
    <row r="1871" spans="1:14" ht="22.5" customHeight="1">
      <c r="A1871" s="8">
        <v>46004.475483148148</v>
      </c>
      <c r="B1871" s="9" t="s">
        <v>14</v>
      </c>
      <c r="C1871" s="9" t="s">
        <v>15</v>
      </c>
      <c r="D1871" s="10" t="s">
        <v>4191</v>
      </c>
      <c r="E1871" s="9" t="s">
        <v>17</v>
      </c>
      <c r="F1871" s="10">
        <v>30</v>
      </c>
      <c r="G1871" s="11">
        <v>8149100789</v>
      </c>
      <c r="H1871" s="10" t="s">
        <v>4192</v>
      </c>
      <c r="I1871" s="10" t="s">
        <v>27</v>
      </c>
      <c r="J1871" s="10" t="s">
        <v>70</v>
      </c>
      <c r="K1871" s="12">
        <v>46004</v>
      </c>
      <c r="L1871" s="28" t="s">
        <v>11</v>
      </c>
      <c r="M1871" s="10"/>
      <c r="N1871" s="10" t="s">
        <v>1096</v>
      </c>
    </row>
    <row r="1872" spans="1:14" ht="22.5" customHeight="1">
      <c r="A1872" s="8">
        <v>46004.479271643519</v>
      </c>
      <c r="B1872" s="9" t="s">
        <v>14</v>
      </c>
      <c r="C1872" s="9" t="s">
        <v>15</v>
      </c>
      <c r="D1872" s="10" t="s">
        <v>4193</v>
      </c>
      <c r="E1872" s="9" t="s">
        <v>22</v>
      </c>
      <c r="F1872" s="10">
        <v>22</v>
      </c>
      <c r="G1872" s="11">
        <v>8026151945</v>
      </c>
      <c r="H1872" s="10" t="s">
        <v>4194</v>
      </c>
      <c r="I1872" s="10" t="s">
        <v>27</v>
      </c>
      <c r="J1872" s="10" t="s">
        <v>42</v>
      </c>
      <c r="K1872" s="12">
        <v>46004</v>
      </c>
      <c r="L1872" s="28" t="s">
        <v>11</v>
      </c>
      <c r="M1872" s="14"/>
      <c r="N1872" s="10" t="s">
        <v>1028</v>
      </c>
    </row>
    <row r="1873" spans="1:14" ht="22.5" customHeight="1">
      <c r="A1873" s="8">
        <v>46004.47933894676</v>
      </c>
      <c r="B1873" s="9" t="s">
        <v>14</v>
      </c>
      <c r="C1873" s="9" t="s">
        <v>15</v>
      </c>
      <c r="D1873" s="10" t="s">
        <v>4195</v>
      </c>
      <c r="E1873" s="9" t="s">
        <v>22</v>
      </c>
      <c r="F1873" s="10">
        <v>27</v>
      </c>
      <c r="G1873" s="11">
        <v>9076533039</v>
      </c>
      <c r="H1873" s="10" t="s">
        <v>4196</v>
      </c>
      <c r="I1873" s="10" t="s">
        <v>202</v>
      </c>
      <c r="J1873" s="10" t="s">
        <v>4177</v>
      </c>
      <c r="K1873" s="12">
        <v>46004</v>
      </c>
      <c r="L1873" s="28" t="s">
        <v>11</v>
      </c>
      <c r="M1873" s="14"/>
      <c r="N1873" s="10" t="s">
        <v>1028</v>
      </c>
    </row>
    <row r="1874" spans="1:14" ht="22.5" customHeight="1">
      <c r="A1874" s="8">
        <v>46004.493429710652</v>
      </c>
      <c r="B1874" s="9" t="s">
        <v>14</v>
      </c>
      <c r="C1874" s="9" t="s">
        <v>15</v>
      </c>
      <c r="D1874" s="10" t="s">
        <v>4197</v>
      </c>
      <c r="E1874" s="9" t="s">
        <v>22</v>
      </c>
      <c r="F1874" s="10">
        <v>22</v>
      </c>
      <c r="G1874" s="11">
        <v>9065800347</v>
      </c>
      <c r="H1874" s="10" t="s">
        <v>4198</v>
      </c>
      <c r="I1874" s="10" t="s">
        <v>27</v>
      </c>
      <c r="J1874" s="10" t="s">
        <v>372</v>
      </c>
      <c r="K1874" s="12">
        <v>46004</v>
      </c>
      <c r="L1874" s="28" t="s">
        <v>11</v>
      </c>
      <c r="M1874" s="14"/>
      <c r="N1874" s="10" t="s">
        <v>1028</v>
      </c>
    </row>
    <row r="1875" spans="1:14" ht="22.5" customHeight="1">
      <c r="A1875" s="8">
        <v>46004.495755428245</v>
      </c>
      <c r="B1875" s="9" t="s">
        <v>14</v>
      </c>
      <c r="C1875" s="9" t="s">
        <v>15</v>
      </c>
      <c r="D1875" s="10" t="s">
        <v>4199</v>
      </c>
      <c r="E1875" s="9" t="s">
        <v>17</v>
      </c>
      <c r="F1875" s="10">
        <v>19</v>
      </c>
      <c r="G1875" s="11">
        <v>7044294130</v>
      </c>
      <c r="H1875" s="10" t="s">
        <v>4200</v>
      </c>
      <c r="I1875" s="10" t="s">
        <v>27</v>
      </c>
      <c r="J1875" s="10" t="s">
        <v>42</v>
      </c>
      <c r="K1875" s="12">
        <v>46004</v>
      </c>
      <c r="L1875" s="28" t="s">
        <v>11</v>
      </c>
      <c r="M1875" s="14"/>
      <c r="N1875" s="10" t="s">
        <v>1028</v>
      </c>
    </row>
    <row r="1876" spans="1:14" ht="22.5" customHeight="1">
      <c r="A1876" s="8">
        <v>46004.500043715278</v>
      </c>
      <c r="B1876" s="9" t="s">
        <v>14</v>
      </c>
      <c r="C1876" s="9" t="s">
        <v>15</v>
      </c>
      <c r="D1876" s="10" t="s">
        <v>4201</v>
      </c>
      <c r="E1876" s="9" t="s">
        <v>22</v>
      </c>
      <c r="F1876" s="10">
        <v>34</v>
      </c>
      <c r="G1876" s="11">
        <v>8032553174</v>
      </c>
      <c r="H1876" s="10" t="s">
        <v>4202</v>
      </c>
      <c r="I1876" s="10" t="s">
        <v>27</v>
      </c>
      <c r="J1876" s="10" t="s">
        <v>172</v>
      </c>
      <c r="K1876" s="12">
        <v>46004</v>
      </c>
      <c r="L1876" s="28" t="s">
        <v>11</v>
      </c>
      <c r="M1876" s="14"/>
      <c r="N1876" s="10" t="s">
        <v>1028</v>
      </c>
    </row>
    <row r="1877" spans="1:14" ht="22.5" customHeight="1">
      <c r="A1877" s="8">
        <v>46004.500084675921</v>
      </c>
      <c r="B1877" s="9" t="s">
        <v>14</v>
      </c>
      <c r="C1877" s="9" t="s">
        <v>15</v>
      </c>
      <c r="D1877" s="10" t="s">
        <v>4203</v>
      </c>
      <c r="E1877" s="9" t="s">
        <v>22</v>
      </c>
      <c r="F1877" s="10">
        <v>36</v>
      </c>
      <c r="G1877" s="11">
        <v>8096036773</v>
      </c>
      <c r="H1877" s="10" t="s">
        <v>4204</v>
      </c>
      <c r="I1877" s="10" t="s">
        <v>27</v>
      </c>
      <c r="J1877" s="10" t="s">
        <v>94</v>
      </c>
      <c r="K1877" s="12">
        <v>46004</v>
      </c>
      <c r="L1877" s="28" t="s">
        <v>11</v>
      </c>
      <c r="M1877" s="14"/>
      <c r="N1877" s="10" t="s">
        <v>1028</v>
      </c>
    </row>
    <row r="1878" spans="1:14" ht="22.5" customHeight="1">
      <c r="A1878" s="8">
        <v>46004.500470659725</v>
      </c>
      <c r="B1878" s="9" t="s">
        <v>14</v>
      </c>
      <c r="C1878" s="9" t="s">
        <v>15</v>
      </c>
      <c r="D1878" s="10" t="s">
        <v>4205</v>
      </c>
      <c r="E1878" s="9" t="s">
        <v>22</v>
      </c>
      <c r="F1878" s="10">
        <v>21</v>
      </c>
      <c r="G1878" s="11">
        <v>8109235433</v>
      </c>
      <c r="H1878" s="10" t="s">
        <v>4206</v>
      </c>
      <c r="I1878" s="10" t="s">
        <v>27</v>
      </c>
      <c r="J1878" s="10" t="s">
        <v>372</v>
      </c>
      <c r="K1878" s="12">
        <v>46004</v>
      </c>
      <c r="L1878" s="28" t="s">
        <v>11</v>
      </c>
      <c r="M1878" s="14"/>
      <c r="N1878" s="10" t="s">
        <v>1028</v>
      </c>
    </row>
    <row r="1879" spans="1:14" ht="22.5" customHeight="1">
      <c r="A1879" s="8">
        <v>46004.505129988422</v>
      </c>
      <c r="B1879" s="9" t="s">
        <v>14</v>
      </c>
      <c r="C1879" s="9" t="s">
        <v>15</v>
      </c>
      <c r="D1879" s="10" t="s">
        <v>4207</v>
      </c>
      <c r="E1879" s="9" t="s">
        <v>22</v>
      </c>
      <c r="F1879" s="10">
        <v>29</v>
      </c>
      <c r="G1879" s="11">
        <v>9137870953</v>
      </c>
      <c r="H1879" s="10" t="s">
        <v>4208</v>
      </c>
      <c r="I1879" s="10" t="s">
        <v>202</v>
      </c>
      <c r="J1879" s="10" t="s">
        <v>3904</v>
      </c>
      <c r="K1879" s="12">
        <v>46004</v>
      </c>
      <c r="L1879" s="28" t="s">
        <v>11</v>
      </c>
      <c r="M1879" s="14"/>
      <c r="N1879" s="10" t="s">
        <v>1028</v>
      </c>
    </row>
    <row r="1880" spans="1:14" ht="22.5" customHeight="1">
      <c r="A1880" s="8">
        <v>46004.506097939811</v>
      </c>
      <c r="B1880" s="9" t="s">
        <v>14</v>
      </c>
      <c r="C1880" s="9" t="s">
        <v>15</v>
      </c>
      <c r="D1880" s="10" t="s">
        <v>4209</v>
      </c>
      <c r="E1880" s="9" t="s">
        <v>22</v>
      </c>
      <c r="F1880" s="10">
        <v>32</v>
      </c>
      <c r="G1880" s="11">
        <v>8080826300</v>
      </c>
      <c r="H1880" s="10" t="s">
        <v>4210</v>
      </c>
      <c r="I1880" s="10" t="s">
        <v>27</v>
      </c>
      <c r="J1880" s="10" t="s">
        <v>2417</v>
      </c>
      <c r="K1880" s="12">
        <v>46004</v>
      </c>
      <c r="L1880" s="28" t="s">
        <v>11</v>
      </c>
      <c r="M1880" s="14"/>
      <c r="N1880" s="10" t="s">
        <v>1028</v>
      </c>
    </row>
    <row r="1881" spans="1:14" ht="22.5" customHeight="1">
      <c r="A1881" s="8">
        <v>46004.509233622681</v>
      </c>
      <c r="B1881" s="9" t="s">
        <v>14</v>
      </c>
      <c r="C1881" s="9" t="s">
        <v>15</v>
      </c>
      <c r="D1881" s="10" t="s">
        <v>4211</v>
      </c>
      <c r="E1881" s="9" t="s">
        <v>17</v>
      </c>
      <c r="F1881" s="10">
        <v>29</v>
      </c>
      <c r="G1881" s="11">
        <v>8139182449</v>
      </c>
      <c r="H1881" s="10" t="s">
        <v>4212</v>
      </c>
      <c r="I1881" s="10" t="s">
        <v>19</v>
      </c>
      <c r="J1881" s="10" t="s">
        <v>1664</v>
      </c>
      <c r="K1881" s="12">
        <v>46004</v>
      </c>
      <c r="L1881" s="28" t="s">
        <v>11</v>
      </c>
      <c r="M1881" s="14"/>
      <c r="N1881" s="10" t="s">
        <v>1028</v>
      </c>
    </row>
    <row r="1882" spans="1:14" ht="22.5" customHeight="1">
      <c r="A1882" s="8">
        <v>46004.50943283565</v>
      </c>
      <c r="B1882" s="9" t="s">
        <v>14</v>
      </c>
      <c r="C1882" s="9" t="s">
        <v>15</v>
      </c>
      <c r="D1882" s="10" t="s">
        <v>4213</v>
      </c>
      <c r="E1882" s="9" t="s">
        <v>22</v>
      </c>
      <c r="F1882" s="10">
        <v>26</v>
      </c>
      <c r="G1882" s="11">
        <v>8167932665</v>
      </c>
      <c r="H1882" s="10" t="s">
        <v>4214</v>
      </c>
      <c r="I1882" s="10" t="s">
        <v>27</v>
      </c>
      <c r="J1882" s="10" t="s">
        <v>94</v>
      </c>
      <c r="K1882" s="12">
        <v>46004</v>
      </c>
      <c r="L1882" s="28" t="s">
        <v>11</v>
      </c>
      <c r="M1882" s="14"/>
      <c r="N1882" s="10" t="s">
        <v>1028</v>
      </c>
    </row>
    <row r="1883" spans="1:14" ht="22.5" customHeight="1">
      <c r="A1883" s="8">
        <v>46004.525506041668</v>
      </c>
      <c r="B1883" s="9" t="s">
        <v>14</v>
      </c>
      <c r="C1883" s="9" t="s">
        <v>15</v>
      </c>
      <c r="D1883" s="10" t="s">
        <v>4215</v>
      </c>
      <c r="E1883" s="9" t="s">
        <v>17</v>
      </c>
      <c r="F1883" s="10">
        <v>56</v>
      </c>
      <c r="G1883" s="11">
        <v>8131305666</v>
      </c>
      <c r="H1883" s="10" t="s">
        <v>4216</v>
      </c>
      <c r="I1883" s="10" t="s">
        <v>27</v>
      </c>
      <c r="J1883" s="10" t="s">
        <v>42</v>
      </c>
      <c r="K1883" s="12">
        <v>46004</v>
      </c>
      <c r="L1883" s="28" t="s">
        <v>11</v>
      </c>
      <c r="M1883" s="14"/>
      <c r="N1883" s="10" t="s">
        <v>1028</v>
      </c>
    </row>
    <row r="1884" spans="1:14" ht="22.5" customHeight="1">
      <c r="A1884" s="8">
        <v>46004.527663020832</v>
      </c>
      <c r="B1884" s="9" t="s">
        <v>14</v>
      </c>
      <c r="C1884" s="9" t="s">
        <v>15</v>
      </c>
      <c r="D1884" s="10" t="s">
        <v>4217</v>
      </c>
      <c r="E1884" s="9" t="s">
        <v>17</v>
      </c>
      <c r="F1884" s="10">
        <v>34</v>
      </c>
      <c r="G1884" s="11">
        <f>211924643280</f>
        <v>211924643280</v>
      </c>
      <c r="H1884" s="10" t="s">
        <v>4218</v>
      </c>
      <c r="I1884" s="10" t="s">
        <v>202</v>
      </c>
      <c r="J1884" s="10" t="s">
        <v>4219</v>
      </c>
      <c r="K1884" s="12">
        <v>46004</v>
      </c>
      <c r="L1884" s="28" t="s">
        <v>11</v>
      </c>
      <c r="M1884" s="14"/>
      <c r="N1884" s="10" t="s">
        <v>1718</v>
      </c>
    </row>
    <row r="1885" spans="1:14" ht="22.5" customHeight="1">
      <c r="A1885" s="8">
        <v>46004.531792395836</v>
      </c>
      <c r="B1885" s="9" t="s">
        <v>14</v>
      </c>
      <c r="C1885" s="9" t="s">
        <v>15</v>
      </c>
      <c r="D1885" s="10" t="s">
        <v>4220</v>
      </c>
      <c r="E1885" s="9" t="s">
        <v>17</v>
      </c>
      <c r="F1885" s="10">
        <v>27</v>
      </c>
      <c r="G1885" s="11">
        <v>8065229126</v>
      </c>
      <c r="H1885" s="10" t="s">
        <v>4221</v>
      </c>
      <c r="I1885" s="10" t="s">
        <v>19</v>
      </c>
      <c r="J1885" s="10" t="s">
        <v>4222</v>
      </c>
      <c r="K1885" s="12">
        <v>36003</v>
      </c>
      <c r="L1885" s="28" t="s">
        <v>11</v>
      </c>
      <c r="M1885" s="14"/>
      <c r="N1885" s="10" t="s">
        <v>1028</v>
      </c>
    </row>
    <row r="1886" spans="1:14" ht="22.5" customHeight="1">
      <c r="A1886" s="8">
        <v>46004.532855185185</v>
      </c>
      <c r="B1886" s="9" t="s">
        <v>14</v>
      </c>
      <c r="C1886" s="9" t="s">
        <v>15</v>
      </c>
      <c r="D1886" s="10" t="s">
        <v>4223</v>
      </c>
      <c r="E1886" s="9" t="s">
        <v>17</v>
      </c>
      <c r="F1886" s="10">
        <v>18</v>
      </c>
      <c r="G1886" s="11">
        <v>8025732930</v>
      </c>
      <c r="H1886" s="10" t="s">
        <v>4224</v>
      </c>
      <c r="I1886" s="10" t="s">
        <v>27</v>
      </c>
      <c r="J1886" s="10" t="s">
        <v>70</v>
      </c>
      <c r="K1886" s="12">
        <v>46004</v>
      </c>
      <c r="L1886" s="28" t="s">
        <v>11</v>
      </c>
      <c r="M1886" s="14"/>
      <c r="N1886" s="10" t="s">
        <v>1028</v>
      </c>
    </row>
    <row r="1887" spans="1:14" ht="22.5" customHeight="1">
      <c r="A1887" s="8">
        <v>46004.53475313657</v>
      </c>
      <c r="B1887" s="9" t="s">
        <v>14</v>
      </c>
      <c r="C1887" s="9" t="s">
        <v>15</v>
      </c>
      <c r="D1887" s="10" t="s">
        <v>4225</v>
      </c>
      <c r="E1887" s="9" t="s">
        <v>17</v>
      </c>
      <c r="F1887" s="10">
        <v>30</v>
      </c>
      <c r="G1887" s="11">
        <v>8102150354</v>
      </c>
      <c r="H1887" s="10" t="s">
        <v>4226</v>
      </c>
      <c r="I1887" s="10" t="s">
        <v>27</v>
      </c>
      <c r="J1887" s="10" t="s">
        <v>42</v>
      </c>
      <c r="K1887" s="12">
        <v>46004</v>
      </c>
      <c r="L1887" s="28" t="s">
        <v>11</v>
      </c>
      <c r="M1887" s="14"/>
      <c r="N1887" s="10" t="s">
        <v>1028</v>
      </c>
    </row>
    <row r="1888" spans="1:14" ht="22.5" customHeight="1">
      <c r="A1888" s="8">
        <v>46004.535475833334</v>
      </c>
      <c r="B1888" s="9" t="s">
        <v>14</v>
      </c>
      <c r="C1888" s="9" t="s">
        <v>15</v>
      </c>
      <c r="D1888" s="10" t="s">
        <v>4227</v>
      </c>
      <c r="E1888" s="9" t="s">
        <v>17</v>
      </c>
      <c r="F1888" s="10">
        <v>24</v>
      </c>
      <c r="G1888" s="11">
        <v>8160154011</v>
      </c>
      <c r="H1888" s="10" t="s">
        <v>4228</v>
      </c>
      <c r="I1888" s="10" t="s">
        <v>31</v>
      </c>
      <c r="J1888" s="10" t="s">
        <v>1786</v>
      </c>
      <c r="K1888" s="12">
        <v>46004</v>
      </c>
      <c r="L1888" s="28" t="s">
        <v>11</v>
      </c>
      <c r="M1888" s="14"/>
      <c r="N1888" s="10" t="s">
        <v>1028</v>
      </c>
    </row>
    <row r="1889" spans="1:14" ht="22.5" customHeight="1">
      <c r="A1889" s="8">
        <v>46004.535623784723</v>
      </c>
      <c r="B1889" s="9" t="s">
        <v>14</v>
      </c>
      <c r="C1889" s="9" t="s">
        <v>15</v>
      </c>
      <c r="D1889" s="10" t="s">
        <v>4229</v>
      </c>
      <c r="E1889" s="9" t="s">
        <v>17</v>
      </c>
      <c r="F1889" s="19">
        <v>35</v>
      </c>
      <c r="G1889" s="11">
        <v>8074459948</v>
      </c>
      <c r="H1889" s="10" t="s">
        <v>4230</v>
      </c>
      <c r="I1889" s="10" t="s">
        <v>27</v>
      </c>
      <c r="J1889" s="10" t="s">
        <v>372</v>
      </c>
      <c r="K1889" s="12">
        <v>33039</v>
      </c>
      <c r="L1889" s="28" t="s">
        <v>11</v>
      </c>
      <c r="M1889" s="14"/>
      <c r="N1889" s="10" t="s">
        <v>1028</v>
      </c>
    </row>
    <row r="1890" spans="1:14" ht="22.5" customHeight="1">
      <c r="A1890" s="8">
        <v>46004.536765497687</v>
      </c>
      <c r="B1890" s="9" t="s">
        <v>14</v>
      </c>
      <c r="C1890" s="9" t="s">
        <v>15</v>
      </c>
      <c r="D1890" s="10" t="s">
        <v>4231</v>
      </c>
      <c r="E1890" s="9" t="s">
        <v>17</v>
      </c>
      <c r="F1890" s="10">
        <v>42</v>
      </c>
      <c r="G1890" s="11">
        <v>8132495341</v>
      </c>
      <c r="H1890" s="10" t="s">
        <v>4232</v>
      </c>
      <c r="I1890" s="10" t="s">
        <v>27</v>
      </c>
      <c r="J1890" s="10" t="s">
        <v>1514</v>
      </c>
      <c r="K1890" s="12">
        <v>46004</v>
      </c>
      <c r="L1890" s="28" t="s">
        <v>11</v>
      </c>
      <c r="M1890" s="14"/>
      <c r="N1890" s="10" t="s">
        <v>1028</v>
      </c>
    </row>
    <row r="1891" spans="1:14" ht="22.5" customHeight="1">
      <c r="A1891" s="8">
        <v>46004.540470358799</v>
      </c>
      <c r="B1891" s="9" t="s">
        <v>14</v>
      </c>
      <c r="C1891" s="9" t="s">
        <v>15</v>
      </c>
      <c r="D1891" s="10" t="s">
        <v>4233</v>
      </c>
      <c r="E1891" s="9" t="s">
        <v>17</v>
      </c>
      <c r="F1891" s="10">
        <v>20</v>
      </c>
      <c r="G1891" s="11">
        <v>8105294641</v>
      </c>
      <c r="H1891" s="10" t="s">
        <v>4234</v>
      </c>
      <c r="I1891" s="10" t="s">
        <v>27</v>
      </c>
      <c r="J1891" s="10" t="s">
        <v>1907</v>
      </c>
      <c r="K1891" s="12">
        <v>46004</v>
      </c>
      <c r="L1891" s="28" t="s">
        <v>11</v>
      </c>
      <c r="M1891" s="14"/>
      <c r="N1891" s="10" t="s">
        <v>1028</v>
      </c>
    </row>
    <row r="1892" spans="1:14" ht="22.5" customHeight="1">
      <c r="A1892" s="8">
        <v>46004.553048796297</v>
      </c>
      <c r="B1892" s="9" t="s">
        <v>14</v>
      </c>
      <c r="C1892" s="9" t="s">
        <v>15</v>
      </c>
      <c r="D1892" s="10" t="s">
        <v>4235</v>
      </c>
      <c r="E1892" s="9" t="s">
        <v>22</v>
      </c>
      <c r="F1892" s="10">
        <v>17</v>
      </c>
      <c r="G1892" s="11">
        <v>8155744521</v>
      </c>
      <c r="H1892" s="10" t="s">
        <v>4236</v>
      </c>
      <c r="I1892" s="10" t="s">
        <v>27</v>
      </c>
      <c r="J1892" s="10" t="s">
        <v>42</v>
      </c>
      <c r="K1892" s="12">
        <v>39435</v>
      </c>
      <c r="L1892" s="28" t="s">
        <v>11</v>
      </c>
      <c r="M1892" s="14"/>
      <c r="N1892" s="10" t="s">
        <v>1028</v>
      </c>
    </row>
    <row r="1893" spans="1:14" ht="22.5" customHeight="1">
      <c r="A1893" s="8">
        <v>46004.554121724534</v>
      </c>
      <c r="B1893" s="9" t="s">
        <v>14</v>
      </c>
      <c r="C1893" s="9" t="s">
        <v>15</v>
      </c>
      <c r="D1893" s="10" t="s">
        <v>4237</v>
      </c>
      <c r="E1893" s="9" t="s">
        <v>17</v>
      </c>
      <c r="F1893" s="10">
        <v>27</v>
      </c>
      <c r="G1893" s="11">
        <v>7018894214</v>
      </c>
      <c r="H1893" s="10" t="s">
        <v>4238</v>
      </c>
      <c r="I1893" s="10" t="s">
        <v>45</v>
      </c>
      <c r="J1893" s="10" t="s">
        <v>46</v>
      </c>
      <c r="K1893" s="12">
        <v>46004</v>
      </c>
      <c r="L1893" s="28" t="s">
        <v>11</v>
      </c>
      <c r="M1893" s="14"/>
      <c r="N1893" s="10" t="s">
        <v>1028</v>
      </c>
    </row>
    <row r="1894" spans="1:14" ht="22.5" customHeight="1">
      <c r="A1894" s="8">
        <v>46004.56433793981</v>
      </c>
      <c r="B1894" s="9" t="s">
        <v>14</v>
      </c>
      <c r="C1894" s="9" t="s">
        <v>15</v>
      </c>
      <c r="D1894" s="10" t="s">
        <v>4239</v>
      </c>
      <c r="E1894" s="9" t="s">
        <v>17</v>
      </c>
      <c r="F1894" s="10">
        <v>24</v>
      </c>
      <c r="G1894" s="11">
        <v>8150775240</v>
      </c>
      <c r="H1894" s="10" t="s">
        <v>4240</v>
      </c>
      <c r="I1894" s="10" t="s">
        <v>27</v>
      </c>
      <c r="J1894" s="10" t="s">
        <v>2855</v>
      </c>
      <c r="K1894" s="12">
        <v>37097</v>
      </c>
      <c r="L1894" s="28" t="s">
        <v>11</v>
      </c>
      <c r="M1894" s="14"/>
      <c r="N1894" s="10" t="s">
        <v>1028</v>
      </c>
    </row>
    <row r="1895" spans="1:14" ht="22.5" customHeight="1">
      <c r="A1895" s="8">
        <v>46004.570189872684</v>
      </c>
      <c r="B1895" s="9" t="s">
        <v>14</v>
      </c>
      <c r="C1895" s="9" t="s">
        <v>15</v>
      </c>
      <c r="D1895" s="10" t="s">
        <v>4241</v>
      </c>
      <c r="E1895" s="9" t="s">
        <v>22</v>
      </c>
      <c r="F1895" s="10">
        <v>32</v>
      </c>
      <c r="G1895" s="11">
        <v>8025297577</v>
      </c>
      <c r="H1895" s="10" t="s">
        <v>4242</v>
      </c>
      <c r="I1895" s="10" t="s">
        <v>45</v>
      </c>
      <c r="J1895" s="10" t="s">
        <v>4243</v>
      </c>
      <c r="K1895" s="12">
        <v>34245</v>
      </c>
      <c r="L1895" s="28" t="s">
        <v>11</v>
      </c>
      <c r="M1895" s="14"/>
      <c r="N1895" s="10" t="s">
        <v>1028</v>
      </c>
    </row>
    <row r="1896" spans="1:14" ht="22.5" customHeight="1">
      <c r="A1896" s="8">
        <v>46004.5778078125</v>
      </c>
      <c r="B1896" s="9" t="s">
        <v>14</v>
      </c>
      <c r="C1896" s="9" t="s">
        <v>15</v>
      </c>
      <c r="D1896" s="10" t="s">
        <v>4244</v>
      </c>
      <c r="E1896" s="9" t="s">
        <v>17</v>
      </c>
      <c r="F1896" s="10">
        <v>37</v>
      </c>
      <c r="G1896" s="11">
        <f t="shared" ref="G1896" si="44">251917760423</f>
        <v>251917760423</v>
      </c>
      <c r="H1896" s="10" t="s">
        <v>4245</v>
      </c>
      <c r="I1896" s="10" t="s">
        <v>19</v>
      </c>
      <c r="J1896" s="10" t="s">
        <v>2809</v>
      </c>
      <c r="K1896" s="12">
        <v>46004</v>
      </c>
      <c r="L1896" s="28" t="s">
        <v>11</v>
      </c>
      <c r="M1896" s="14"/>
      <c r="N1896" s="10" t="s">
        <v>1028</v>
      </c>
    </row>
    <row r="1897" spans="1:14" ht="22.5" customHeight="1">
      <c r="A1897" s="8">
        <v>46004.591798275462</v>
      </c>
      <c r="B1897" s="9" t="s">
        <v>14</v>
      </c>
      <c r="C1897" s="9" t="s">
        <v>15</v>
      </c>
      <c r="D1897" s="10" t="s">
        <v>4246</v>
      </c>
      <c r="E1897" s="9" t="s">
        <v>17</v>
      </c>
      <c r="F1897" s="10">
        <v>33</v>
      </c>
      <c r="G1897" s="11">
        <v>8033468433</v>
      </c>
      <c r="H1897" s="10" t="s">
        <v>4247</v>
      </c>
      <c r="I1897" s="10" t="s">
        <v>27</v>
      </c>
      <c r="J1897" s="10" t="s">
        <v>172</v>
      </c>
      <c r="K1897" s="12">
        <v>46004</v>
      </c>
      <c r="L1897" s="28" t="s">
        <v>11</v>
      </c>
      <c r="M1897" s="14"/>
      <c r="N1897" s="10" t="s">
        <v>1028</v>
      </c>
    </row>
    <row r="1898" spans="1:14" ht="22.5" customHeight="1">
      <c r="A1898" s="8">
        <v>46004.596294305557</v>
      </c>
      <c r="B1898" s="9" t="s">
        <v>14</v>
      </c>
      <c r="C1898" s="9" t="s">
        <v>15</v>
      </c>
      <c r="D1898" s="10" t="s">
        <v>4248</v>
      </c>
      <c r="E1898" s="9" t="s">
        <v>17</v>
      </c>
      <c r="F1898" s="10">
        <v>32</v>
      </c>
      <c r="G1898" s="11">
        <v>8034363196</v>
      </c>
      <c r="H1898" s="10" t="s">
        <v>4249</v>
      </c>
      <c r="I1898" s="10" t="s">
        <v>27</v>
      </c>
      <c r="J1898" s="10" t="s">
        <v>372</v>
      </c>
      <c r="K1898" s="12">
        <v>46004</v>
      </c>
      <c r="L1898" s="28" t="s">
        <v>11</v>
      </c>
      <c r="M1898" s="14"/>
      <c r="N1898" s="10" t="s">
        <v>1028</v>
      </c>
    </row>
    <row r="1899" spans="1:14" ht="22.5" customHeight="1">
      <c r="A1899" s="8">
        <v>46004.601147719906</v>
      </c>
      <c r="B1899" s="9" t="s">
        <v>14</v>
      </c>
      <c r="C1899" s="9" t="s">
        <v>15</v>
      </c>
      <c r="D1899" s="10" t="s">
        <v>4250</v>
      </c>
      <c r="E1899" s="9" t="s">
        <v>22</v>
      </c>
      <c r="F1899" s="10">
        <v>26</v>
      </c>
      <c r="G1899" s="11">
        <v>7065373288</v>
      </c>
      <c r="H1899" s="10" t="s">
        <v>4251</v>
      </c>
      <c r="I1899" s="10" t="s">
        <v>27</v>
      </c>
      <c r="J1899" s="10" t="s">
        <v>4252</v>
      </c>
      <c r="K1899" s="12">
        <v>46004</v>
      </c>
      <c r="L1899" s="28" t="s">
        <v>11</v>
      </c>
      <c r="M1899" s="14"/>
      <c r="N1899" s="10" t="s">
        <v>1028</v>
      </c>
    </row>
    <row r="1900" spans="1:14" ht="22.5" customHeight="1">
      <c r="A1900" s="8">
        <v>46004.605815138886</v>
      </c>
      <c r="B1900" s="9" t="s">
        <v>14</v>
      </c>
      <c r="C1900" s="9" t="s">
        <v>15</v>
      </c>
      <c r="D1900" s="10" t="s">
        <v>4253</v>
      </c>
      <c r="E1900" s="9" t="s">
        <v>17</v>
      </c>
      <c r="F1900" s="10">
        <v>31</v>
      </c>
      <c r="G1900" s="11">
        <v>9033552288</v>
      </c>
      <c r="H1900" s="10" t="s">
        <v>4254</v>
      </c>
      <c r="I1900" s="10" t="s">
        <v>27</v>
      </c>
      <c r="J1900" s="10" t="s">
        <v>42</v>
      </c>
      <c r="K1900" s="12">
        <v>46004</v>
      </c>
      <c r="L1900" s="28" t="s">
        <v>11</v>
      </c>
      <c r="M1900" s="14"/>
      <c r="N1900" s="10" t="s">
        <v>1028</v>
      </c>
    </row>
    <row r="1901" spans="1:14" ht="22.5" customHeight="1">
      <c r="A1901" s="8">
        <v>46004.606155543981</v>
      </c>
      <c r="B1901" s="9" t="s">
        <v>14</v>
      </c>
      <c r="C1901" s="9" t="s">
        <v>15</v>
      </c>
      <c r="D1901" s="10" t="s">
        <v>4255</v>
      </c>
      <c r="E1901" s="9" t="s">
        <v>17</v>
      </c>
      <c r="F1901" s="10">
        <v>25</v>
      </c>
      <c r="G1901" s="11">
        <v>8140393988</v>
      </c>
      <c r="H1901" s="10" t="s">
        <v>4256</v>
      </c>
      <c r="I1901" s="10" t="s">
        <v>19</v>
      </c>
      <c r="J1901" s="10" t="s">
        <v>1540</v>
      </c>
      <c r="K1901" s="12">
        <v>46004</v>
      </c>
      <c r="L1901" s="28" t="s">
        <v>11</v>
      </c>
      <c r="M1901" s="14"/>
      <c r="N1901" s="10" t="s">
        <v>2482</v>
      </c>
    </row>
    <row r="1902" spans="1:14" ht="22.5" customHeight="1">
      <c r="A1902" s="8">
        <v>46004.606702928242</v>
      </c>
      <c r="B1902" s="9" t="s">
        <v>14</v>
      </c>
      <c r="C1902" s="9" t="s">
        <v>15</v>
      </c>
      <c r="D1902" s="10" t="s">
        <v>4257</v>
      </c>
      <c r="E1902" s="9" t="s">
        <v>17</v>
      </c>
      <c r="F1902" s="10">
        <v>40</v>
      </c>
      <c r="G1902" s="11">
        <v>8071130625</v>
      </c>
      <c r="H1902" s="10" t="s">
        <v>4258</v>
      </c>
      <c r="I1902" s="10" t="s">
        <v>19</v>
      </c>
      <c r="J1902" s="10" t="s">
        <v>4259</v>
      </c>
      <c r="K1902" s="12">
        <v>46004</v>
      </c>
      <c r="L1902" s="28" t="s">
        <v>11</v>
      </c>
      <c r="M1902" s="14"/>
      <c r="N1902" s="10" t="s">
        <v>1028</v>
      </c>
    </row>
    <row r="1903" spans="1:14" ht="22.5" customHeight="1">
      <c r="A1903" s="8">
        <v>46004.614191087967</v>
      </c>
      <c r="B1903" s="9" t="s">
        <v>14</v>
      </c>
      <c r="C1903" s="9" t="s">
        <v>15</v>
      </c>
      <c r="D1903" s="10" t="s">
        <v>4260</v>
      </c>
      <c r="E1903" s="9" t="s">
        <v>22</v>
      </c>
      <c r="F1903" s="10">
        <v>21</v>
      </c>
      <c r="G1903" s="11">
        <v>7033605053</v>
      </c>
      <c r="H1903" s="10" t="s">
        <v>4261</v>
      </c>
      <c r="I1903" s="10" t="s">
        <v>27</v>
      </c>
      <c r="J1903" s="10" t="s">
        <v>42</v>
      </c>
      <c r="K1903" s="12">
        <v>46004</v>
      </c>
      <c r="L1903" s="28" t="s">
        <v>11</v>
      </c>
      <c r="M1903" s="14"/>
      <c r="N1903" s="10" t="s">
        <v>1028</v>
      </c>
    </row>
    <row r="1904" spans="1:14" ht="22.5" customHeight="1">
      <c r="A1904" s="8">
        <v>46004.615952488428</v>
      </c>
      <c r="B1904" s="9" t="s">
        <v>14</v>
      </c>
      <c r="C1904" s="9" t="s">
        <v>15</v>
      </c>
      <c r="D1904" s="10" t="s">
        <v>4262</v>
      </c>
      <c r="E1904" s="9" t="s">
        <v>17</v>
      </c>
      <c r="F1904" s="10">
        <v>29</v>
      </c>
      <c r="G1904" s="11">
        <v>8142674611</v>
      </c>
      <c r="H1904" s="10" t="s">
        <v>4263</v>
      </c>
      <c r="I1904" s="10" t="s">
        <v>27</v>
      </c>
      <c r="J1904" s="10" t="s">
        <v>70</v>
      </c>
      <c r="K1904" s="12">
        <v>46004</v>
      </c>
      <c r="L1904" s="28" t="s">
        <v>11</v>
      </c>
      <c r="M1904" s="14"/>
      <c r="N1904" s="10" t="s">
        <v>1096</v>
      </c>
    </row>
    <row r="1905" spans="1:14" ht="22.5" customHeight="1">
      <c r="A1905" s="8">
        <v>46004.617373449073</v>
      </c>
      <c r="B1905" s="9" t="s">
        <v>14</v>
      </c>
      <c r="C1905" s="9" t="s">
        <v>15</v>
      </c>
      <c r="D1905" s="10" t="s">
        <v>4264</v>
      </c>
      <c r="E1905" s="9" t="s">
        <v>22</v>
      </c>
      <c r="F1905" s="10">
        <v>22</v>
      </c>
      <c r="G1905" s="11">
        <v>7067720222</v>
      </c>
      <c r="H1905" s="10" t="s">
        <v>3820</v>
      </c>
      <c r="I1905" s="10" t="s">
        <v>27</v>
      </c>
      <c r="J1905" s="10" t="s">
        <v>1514</v>
      </c>
      <c r="K1905" s="12">
        <v>46004</v>
      </c>
      <c r="L1905" s="28" t="s">
        <v>11</v>
      </c>
      <c r="M1905" s="14"/>
      <c r="N1905" s="10" t="s">
        <v>1028</v>
      </c>
    </row>
    <row r="1906" spans="1:14" ht="22.5" customHeight="1">
      <c r="A1906" s="8">
        <v>46004.618306562501</v>
      </c>
      <c r="B1906" s="9" t="s">
        <v>14</v>
      </c>
      <c r="C1906" s="9" t="s">
        <v>15</v>
      </c>
      <c r="D1906" s="10" t="s">
        <v>4265</v>
      </c>
      <c r="E1906" s="9" t="s">
        <v>17</v>
      </c>
      <c r="F1906" s="10">
        <v>23</v>
      </c>
      <c r="G1906" s="11">
        <v>8101507090</v>
      </c>
      <c r="H1906" s="10" t="s">
        <v>4266</v>
      </c>
      <c r="I1906" s="10" t="s">
        <v>19</v>
      </c>
      <c r="J1906" s="10" t="s">
        <v>4267</v>
      </c>
      <c r="K1906" s="12">
        <v>46004</v>
      </c>
      <c r="L1906" s="28" t="s">
        <v>11</v>
      </c>
      <c r="M1906" s="14"/>
      <c r="N1906" s="10" t="s">
        <v>1028</v>
      </c>
    </row>
    <row r="1907" spans="1:14" ht="22.5" customHeight="1">
      <c r="A1907" s="8">
        <v>46004.621502349539</v>
      </c>
      <c r="B1907" s="9" t="s">
        <v>14</v>
      </c>
      <c r="C1907" s="9" t="s">
        <v>15</v>
      </c>
      <c r="D1907" s="10" t="s">
        <v>4268</v>
      </c>
      <c r="E1907" s="9" t="s">
        <v>22</v>
      </c>
      <c r="F1907" s="10">
        <v>20</v>
      </c>
      <c r="G1907" s="11">
        <v>8165562581</v>
      </c>
      <c r="H1907" s="10" t="s">
        <v>4269</v>
      </c>
      <c r="I1907" s="10" t="s">
        <v>19</v>
      </c>
      <c r="J1907" s="10" t="s">
        <v>24</v>
      </c>
      <c r="K1907" s="12">
        <v>46004</v>
      </c>
      <c r="L1907" s="28" t="s">
        <v>11</v>
      </c>
      <c r="M1907" s="14"/>
      <c r="N1907" s="10" t="s">
        <v>1028</v>
      </c>
    </row>
    <row r="1908" spans="1:14" ht="22.5" customHeight="1">
      <c r="A1908" s="8">
        <v>46004.622377141204</v>
      </c>
      <c r="B1908" s="9" t="s">
        <v>14</v>
      </c>
      <c r="C1908" s="9" t="s">
        <v>15</v>
      </c>
      <c r="D1908" s="10" t="s">
        <v>4270</v>
      </c>
      <c r="E1908" s="9" t="s">
        <v>17</v>
      </c>
      <c r="F1908" s="10">
        <v>23</v>
      </c>
      <c r="G1908" s="11">
        <v>9135070108</v>
      </c>
      <c r="H1908" s="10" t="s">
        <v>4271</v>
      </c>
      <c r="I1908" s="10" t="s">
        <v>49</v>
      </c>
      <c r="J1908" s="10" t="s">
        <v>303</v>
      </c>
      <c r="K1908" s="12">
        <v>46004</v>
      </c>
      <c r="L1908" s="28" t="s">
        <v>11</v>
      </c>
      <c r="M1908" s="14"/>
      <c r="N1908" s="10" t="s">
        <v>1028</v>
      </c>
    </row>
    <row r="1909" spans="1:14" ht="22.5" customHeight="1">
      <c r="A1909" s="8">
        <v>46004.62952130787</v>
      </c>
      <c r="B1909" s="9" t="s">
        <v>14</v>
      </c>
      <c r="C1909" s="9" t="s">
        <v>15</v>
      </c>
      <c r="D1909" s="10" t="s">
        <v>4272</v>
      </c>
      <c r="E1909" s="9" t="s">
        <v>17</v>
      </c>
      <c r="F1909" s="10">
        <v>41</v>
      </c>
      <c r="G1909" s="11">
        <v>8032064180</v>
      </c>
      <c r="H1909" s="10" t="s">
        <v>4273</v>
      </c>
      <c r="I1909" s="10" t="s">
        <v>27</v>
      </c>
      <c r="J1909" s="10" t="s">
        <v>42</v>
      </c>
      <c r="K1909" s="12">
        <v>46004</v>
      </c>
      <c r="L1909" s="28" t="s">
        <v>11</v>
      </c>
      <c r="M1909" s="14"/>
      <c r="N1909" s="10" t="s">
        <v>1028</v>
      </c>
    </row>
    <row r="1910" spans="1:14" ht="22.5" customHeight="1">
      <c r="A1910" s="8">
        <v>46004.634020787038</v>
      </c>
      <c r="B1910" s="9" t="s">
        <v>14</v>
      </c>
      <c r="C1910" s="9" t="s">
        <v>15</v>
      </c>
      <c r="D1910" s="10" t="s">
        <v>4274</v>
      </c>
      <c r="E1910" s="9" t="s">
        <v>17</v>
      </c>
      <c r="F1910" s="10">
        <v>20</v>
      </c>
      <c r="G1910" s="11">
        <v>8068966065</v>
      </c>
      <c r="H1910" s="10" t="s">
        <v>4275</v>
      </c>
      <c r="I1910" s="10" t="s">
        <v>27</v>
      </c>
      <c r="J1910" s="10" t="s">
        <v>172</v>
      </c>
      <c r="K1910" s="12">
        <v>46004</v>
      </c>
      <c r="L1910" s="28" t="s">
        <v>11</v>
      </c>
      <c r="M1910" s="14"/>
      <c r="N1910" s="10" t="s">
        <v>1035</v>
      </c>
    </row>
    <row r="1911" spans="1:14" ht="22.5" customHeight="1">
      <c r="A1911" s="8">
        <v>46004.644677662036</v>
      </c>
      <c r="B1911" s="9" t="s">
        <v>14</v>
      </c>
      <c r="C1911" s="9" t="s">
        <v>15</v>
      </c>
      <c r="D1911" s="10" t="s">
        <v>4276</v>
      </c>
      <c r="E1911" s="9" t="s">
        <v>22</v>
      </c>
      <c r="F1911" s="10">
        <v>33</v>
      </c>
      <c r="G1911" s="11">
        <v>8026776288</v>
      </c>
      <c r="H1911" s="10" t="s">
        <v>4277</v>
      </c>
      <c r="I1911" s="10" t="s">
        <v>27</v>
      </c>
      <c r="J1911" s="10" t="s">
        <v>1456</v>
      </c>
      <c r="K1911" s="12">
        <v>46004</v>
      </c>
      <c r="L1911" s="28" t="s">
        <v>11</v>
      </c>
      <c r="M1911" s="10"/>
      <c r="N1911" s="10" t="s">
        <v>1140</v>
      </c>
    </row>
    <row r="1912" spans="1:14" ht="22.5" customHeight="1">
      <c r="A1912" s="8">
        <v>46004.651606423606</v>
      </c>
      <c r="B1912" s="9" t="s">
        <v>14</v>
      </c>
      <c r="C1912" s="9" t="s">
        <v>15</v>
      </c>
      <c r="D1912" s="10" t="s">
        <v>4278</v>
      </c>
      <c r="E1912" s="9" t="s">
        <v>17</v>
      </c>
      <c r="F1912" s="10">
        <v>27</v>
      </c>
      <c r="G1912" s="11">
        <v>8143866790</v>
      </c>
      <c r="H1912" s="10" t="s">
        <v>4279</v>
      </c>
      <c r="I1912" s="10" t="s">
        <v>27</v>
      </c>
      <c r="J1912" s="10" t="s">
        <v>4280</v>
      </c>
      <c r="K1912" s="12">
        <v>46004</v>
      </c>
      <c r="L1912" s="28" t="s">
        <v>11</v>
      </c>
      <c r="M1912" s="14"/>
      <c r="N1912" s="10" t="s">
        <v>1028</v>
      </c>
    </row>
    <row r="1913" spans="1:14" ht="22.5" customHeight="1">
      <c r="A1913" s="8">
        <v>46004.665197187496</v>
      </c>
      <c r="B1913" s="9" t="s">
        <v>14</v>
      </c>
      <c r="C1913" s="9" t="s">
        <v>15</v>
      </c>
      <c r="D1913" s="10" t="s">
        <v>4281</v>
      </c>
      <c r="E1913" s="9" t="s">
        <v>17</v>
      </c>
      <c r="F1913" s="10">
        <v>35</v>
      </c>
      <c r="G1913" s="11">
        <v>8089251296</v>
      </c>
      <c r="H1913" s="10" t="s">
        <v>4282</v>
      </c>
      <c r="I1913" s="10" t="s">
        <v>31</v>
      </c>
      <c r="J1913" s="10" t="s">
        <v>32</v>
      </c>
      <c r="K1913" s="12">
        <v>46004</v>
      </c>
      <c r="L1913" s="28" t="s">
        <v>11</v>
      </c>
      <c r="M1913" s="14"/>
      <c r="N1913" s="10" t="s">
        <v>1028</v>
      </c>
    </row>
    <row r="1914" spans="1:14" ht="22.5" customHeight="1">
      <c r="A1914" s="8">
        <v>46004.671826655089</v>
      </c>
      <c r="B1914" s="9" t="s">
        <v>14</v>
      </c>
      <c r="C1914" s="9" t="s">
        <v>15</v>
      </c>
      <c r="D1914" s="10" t="s">
        <v>4283</v>
      </c>
      <c r="E1914" s="9" t="s">
        <v>22</v>
      </c>
      <c r="F1914" s="10">
        <v>25</v>
      </c>
      <c r="G1914" s="11">
        <v>9031950489</v>
      </c>
      <c r="H1914" s="10" t="s">
        <v>4284</v>
      </c>
      <c r="I1914" s="10" t="s">
        <v>19</v>
      </c>
      <c r="J1914" s="10" t="s">
        <v>1977</v>
      </c>
      <c r="K1914" s="12">
        <v>46004</v>
      </c>
      <c r="L1914" s="28" t="s">
        <v>11</v>
      </c>
      <c r="M1914" s="14"/>
      <c r="N1914" s="10" t="s">
        <v>1028</v>
      </c>
    </row>
    <row r="1915" spans="1:14" ht="22.5" customHeight="1">
      <c r="A1915" s="8">
        <v>46004.67603451389</v>
      </c>
      <c r="B1915" s="9" t="s">
        <v>14</v>
      </c>
      <c r="C1915" s="9" t="s">
        <v>15</v>
      </c>
      <c r="D1915" s="10" t="s">
        <v>4285</v>
      </c>
      <c r="E1915" s="9" t="s">
        <v>22</v>
      </c>
      <c r="F1915" s="10">
        <v>25</v>
      </c>
      <c r="G1915" s="11">
        <v>8131141099</v>
      </c>
      <c r="H1915" s="10" t="s">
        <v>4286</v>
      </c>
      <c r="I1915" s="10" t="s">
        <v>49</v>
      </c>
      <c r="J1915" s="10" t="s">
        <v>73</v>
      </c>
      <c r="K1915" s="12">
        <v>46004</v>
      </c>
      <c r="L1915" s="28" t="s">
        <v>11</v>
      </c>
      <c r="M1915" s="14"/>
      <c r="N1915" s="10" t="s">
        <v>1028</v>
      </c>
    </row>
    <row r="1916" spans="1:14" ht="22.5" customHeight="1">
      <c r="A1916" s="8">
        <v>46004.680070787035</v>
      </c>
      <c r="B1916" s="9" t="s">
        <v>14</v>
      </c>
      <c r="C1916" s="9" t="s">
        <v>15</v>
      </c>
      <c r="D1916" s="10" t="s">
        <v>4287</v>
      </c>
      <c r="E1916" s="9" t="s">
        <v>22</v>
      </c>
      <c r="F1916" s="10">
        <v>45</v>
      </c>
      <c r="G1916" s="11">
        <v>8035024045</v>
      </c>
      <c r="H1916" s="10" t="s">
        <v>4288</v>
      </c>
      <c r="I1916" s="10" t="s">
        <v>145</v>
      </c>
      <c r="J1916" s="10" t="s">
        <v>4289</v>
      </c>
      <c r="K1916" s="12">
        <v>46004</v>
      </c>
      <c r="L1916" s="28" t="s">
        <v>11</v>
      </c>
      <c r="M1916" s="14"/>
      <c r="N1916" s="10" t="s">
        <v>1028</v>
      </c>
    </row>
    <row r="1917" spans="1:14" ht="22.5" customHeight="1">
      <c r="A1917" s="8">
        <v>46004.681239837962</v>
      </c>
      <c r="B1917" s="9" t="s">
        <v>14</v>
      </c>
      <c r="C1917" s="9" t="s">
        <v>15</v>
      </c>
      <c r="D1917" s="10" t="s">
        <v>4290</v>
      </c>
      <c r="E1917" s="9" t="s">
        <v>17</v>
      </c>
      <c r="F1917" s="10">
        <v>18</v>
      </c>
      <c r="G1917" s="11">
        <v>8087257445</v>
      </c>
      <c r="H1917" s="10" t="s">
        <v>4291</v>
      </c>
      <c r="I1917" s="10" t="s">
        <v>19</v>
      </c>
      <c r="J1917" s="10" t="s">
        <v>24</v>
      </c>
      <c r="K1917" s="12">
        <v>46004</v>
      </c>
      <c r="L1917" s="28" t="s">
        <v>11</v>
      </c>
      <c r="M1917" s="14"/>
      <c r="N1917" s="10" t="s">
        <v>1035</v>
      </c>
    </row>
    <row r="1918" spans="1:14" ht="22.5" customHeight="1">
      <c r="A1918" s="8">
        <v>46004.684191898152</v>
      </c>
      <c r="B1918" s="9" t="s">
        <v>14</v>
      </c>
      <c r="C1918" s="9" t="s">
        <v>15</v>
      </c>
      <c r="D1918" s="10" t="s">
        <v>4292</v>
      </c>
      <c r="E1918" s="9" t="s">
        <v>17</v>
      </c>
      <c r="F1918" s="10">
        <v>33</v>
      </c>
      <c r="G1918" s="11">
        <v>8036709404</v>
      </c>
      <c r="H1918" s="10" t="s">
        <v>4293</v>
      </c>
      <c r="I1918" s="10" t="s">
        <v>27</v>
      </c>
      <c r="J1918" s="10" t="s">
        <v>2328</v>
      </c>
      <c r="K1918" s="12">
        <v>46004</v>
      </c>
      <c r="L1918" s="28" t="s">
        <v>11</v>
      </c>
      <c r="M1918" s="14"/>
      <c r="N1918" s="10" t="s">
        <v>1028</v>
      </c>
    </row>
    <row r="1919" spans="1:14" ht="22.5" customHeight="1">
      <c r="A1919" s="8">
        <v>46004.686296504631</v>
      </c>
      <c r="B1919" s="9" t="s">
        <v>14</v>
      </c>
      <c r="C1919" s="9" t="s">
        <v>15</v>
      </c>
      <c r="D1919" s="10" t="s">
        <v>4294</v>
      </c>
      <c r="E1919" s="9" t="s">
        <v>17</v>
      </c>
      <c r="F1919" s="10">
        <v>24</v>
      </c>
      <c r="G1919" s="11">
        <v>8138074503</v>
      </c>
      <c r="H1919" s="10" t="s">
        <v>4295</v>
      </c>
      <c r="I1919" s="10" t="s">
        <v>27</v>
      </c>
      <c r="J1919" s="10" t="s">
        <v>3992</v>
      </c>
      <c r="K1919" s="12">
        <v>46004</v>
      </c>
      <c r="L1919" s="28" t="s">
        <v>11</v>
      </c>
      <c r="M1919" s="14"/>
      <c r="N1919" s="10" t="s">
        <v>1028</v>
      </c>
    </row>
    <row r="1920" spans="1:14" ht="22.5" customHeight="1">
      <c r="A1920" s="8">
        <v>46004.687710254628</v>
      </c>
      <c r="B1920" s="9" t="s">
        <v>14</v>
      </c>
      <c r="C1920" s="9" t="s">
        <v>15</v>
      </c>
      <c r="D1920" s="10" t="s">
        <v>4296</v>
      </c>
      <c r="E1920" s="9" t="s">
        <v>17</v>
      </c>
      <c r="F1920" s="10">
        <v>22</v>
      </c>
      <c r="G1920" s="11">
        <v>7061634776</v>
      </c>
      <c r="H1920" s="10" t="s">
        <v>4297</v>
      </c>
      <c r="I1920" s="10" t="s">
        <v>27</v>
      </c>
      <c r="J1920" s="10" t="s">
        <v>42</v>
      </c>
      <c r="K1920" s="12">
        <v>45807</v>
      </c>
      <c r="L1920" s="28" t="s">
        <v>11</v>
      </c>
      <c r="M1920" s="14"/>
      <c r="N1920" s="10" t="s">
        <v>1028</v>
      </c>
    </row>
    <row r="1921" spans="1:14" ht="22.5" customHeight="1">
      <c r="A1921" s="8">
        <v>46004.694365555551</v>
      </c>
      <c r="B1921" s="9" t="s">
        <v>14</v>
      </c>
      <c r="C1921" s="9" t="s">
        <v>15</v>
      </c>
      <c r="D1921" s="10" t="s">
        <v>4298</v>
      </c>
      <c r="E1921" s="9" t="s">
        <v>22</v>
      </c>
      <c r="F1921" s="10">
        <v>26</v>
      </c>
      <c r="G1921" s="11">
        <v>8133712278</v>
      </c>
      <c r="H1921" s="10" t="s">
        <v>4299</v>
      </c>
      <c r="I1921" s="10" t="s">
        <v>27</v>
      </c>
      <c r="J1921" s="10" t="s">
        <v>42</v>
      </c>
      <c r="K1921" s="12">
        <v>46004</v>
      </c>
      <c r="L1921" s="28" t="s">
        <v>11</v>
      </c>
      <c r="M1921" s="10"/>
      <c r="N1921" s="10" t="s">
        <v>1096</v>
      </c>
    </row>
    <row r="1922" spans="1:14" ht="22.5" customHeight="1">
      <c r="A1922" s="8">
        <v>46004.695199745373</v>
      </c>
      <c r="B1922" s="9" t="s">
        <v>14</v>
      </c>
      <c r="C1922" s="9" t="s">
        <v>15</v>
      </c>
      <c r="D1922" s="10" t="s">
        <v>4300</v>
      </c>
      <c r="E1922" s="9" t="s">
        <v>17</v>
      </c>
      <c r="F1922" s="10">
        <v>25</v>
      </c>
      <c r="G1922" s="11">
        <v>9033261584</v>
      </c>
      <c r="H1922" s="10" t="s">
        <v>4301</v>
      </c>
      <c r="I1922" s="10" t="s">
        <v>27</v>
      </c>
      <c r="J1922" s="10" t="s">
        <v>94</v>
      </c>
      <c r="K1922" s="12">
        <v>46004</v>
      </c>
      <c r="L1922" s="28" t="s">
        <v>11</v>
      </c>
      <c r="M1922" s="14"/>
      <c r="N1922" s="10" t="s">
        <v>1028</v>
      </c>
    </row>
    <row r="1923" spans="1:14" ht="22.5" customHeight="1">
      <c r="A1923" s="8">
        <v>46004.69612177083</v>
      </c>
      <c r="B1923" s="9" t="s">
        <v>14</v>
      </c>
      <c r="C1923" s="9" t="s">
        <v>15</v>
      </c>
      <c r="D1923" s="10" t="s">
        <v>4302</v>
      </c>
      <c r="E1923" s="9" t="s">
        <v>17</v>
      </c>
      <c r="F1923" s="10">
        <v>23</v>
      </c>
      <c r="G1923" s="11">
        <v>8033711759</v>
      </c>
      <c r="H1923" s="10" t="s">
        <v>4303</v>
      </c>
      <c r="I1923" s="10" t="s">
        <v>27</v>
      </c>
      <c r="J1923" s="10" t="s">
        <v>42</v>
      </c>
      <c r="K1923" s="12">
        <v>36559</v>
      </c>
      <c r="L1923" s="28" t="s">
        <v>11</v>
      </c>
      <c r="M1923" s="14"/>
      <c r="N1923" s="10" t="s">
        <v>1028</v>
      </c>
    </row>
    <row r="1924" spans="1:14" ht="22.5" customHeight="1">
      <c r="A1924" s="8">
        <v>46004.698066944446</v>
      </c>
      <c r="B1924" s="9" t="s">
        <v>14</v>
      </c>
      <c r="C1924" s="9" t="s">
        <v>15</v>
      </c>
      <c r="D1924" s="10" t="s">
        <v>4304</v>
      </c>
      <c r="E1924" s="9" t="s">
        <v>17</v>
      </c>
      <c r="F1924" s="10">
        <v>34</v>
      </c>
      <c r="G1924" s="11">
        <v>8065851128</v>
      </c>
      <c r="H1924" s="10" t="s">
        <v>4305</v>
      </c>
      <c r="I1924" s="10" t="s">
        <v>27</v>
      </c>
      <c r="J1924" s="10" t="s">
        <v>2639</v>
      </c>
      <c r="K1924" s="12">
        <v>46004</v>
      </c>
      <c r="L1924" s="28" t="s">
        <v>11</v>
      </c>
      <c r="M1924" s="14"/>
      <c r="N1924" s="10" t="s">
        <v>1028</v>
      </c>
    </row>
    <row r="1925" spans="1:14" ht="22.5" customHeight="1">
      <c r="A1925" s="8">
        <v>46004.702438472217</v>
      </c>
      <c r="B1925" s="9" t="s">
        <v>14</v>
      </c>
      <c r="C1925" s="9" t="s">
        <v>15</v>
      </c>
      <c r="D1925" s="10" t="s">
        <v>4306</v>
      </c>
      <c r="E1925" s="9" t="s">
        <v>17</v>
      </c>
      <c r="F1925" s="10">
        <v>33</v>
      </c>
      <c r="G1925" s="11">
        <v>9052034720</v>
      </c>
      <c r="H1925" s="10" t="s">
        <v>4307</v>
      </c>
      <c r="I1925" s="10" t="s">
        <v>31</v>
      </c>
      <c r="J1925" s="10" t="s">
        <v>39</v>
      </c>
      <c r="K1925" s="12">
        <v>46004</v>
      </c>
      <c r="L1925" s="28" t="s">
        <v>11</v>
      </c>
      <c r="M1925" s="14"/>
      <c r="N1925" s="10" t="s">
        <v>1028</v>
      </c>
    </row>
    <row r="1926" spans="1:14" ht="22.5" customHeight="1">
      <c r="A1926" s="8">
        <v>46004.702542511572</v>
      </c>
      <c r="B1926" s="9" t="s">
        <v>14</v>
      </c>
      <c r="C1926" s="9" t="s">
        <v>15</v>
      </c>
      <c r="D1926" s="10" t="s">
        <v>4308</v>
      </c>
      <c r="E1926" s="9" t="s">
        <v>17</v>
      </c>
      <c r="F1926" s="10">
        <v>35</v>
      </c>
      <c r="G1926" s="11">
        <v>8079532216</v>
      </c>
      <c r="H1926" s="10" t="s">
        <v>4309</v>
      </c>
      <c r="I1926" s="10" t="s">
        <v>45</v>
      </c>
      <c r="J1926" s="10" t="s">
        <v>46</v>
      </c>
      <c r="K1926" s="12">
        <v>46004</v>
      </c>
      <c r="L1926" s="28" t="s">
        <v>11</v>
      </c>
      <c r="M1926" s="14"/>
      <c r="N1926" s="10" t="s">
        <v>1028</v>
      </c>
    </row>
    <row r="1927" spans="1:14" ht="22.5" customHeight="1">
      <c r="A1927" s="8">
        <v>46004.709653240745</v>
      </c>
      <c r="B1927" s="9" t="s">
        <v>14</v>
      </c>
      <c r="C1927" s="9" t="s">
        <v>15</v>
      </c>
      <c r="D1927" s="10" t="s">
        <v>4310</v>
      </c>
      <c r="E1927" s="9" t="s">
        <v>22</v>
      </c>
      <c r="F1927" s="10">
        <v>23</v>
      </c>
      <c r="G1927" s="11">
        <v>8165554129</v>
      </c>
      <c r="H1927" s="10" t="s">
        <v>3920</v>
      </c>
      <c r="I1927" s="10" t="s">
        <v>27</v>
      </c>
      <c r="J1927" s="10" t="s">
        <v>94</v>
      </c>
      <c r="K1927" s="12">
        <v>46004</v>
      </c>
      <c r="L1927" s="28" t="s">
        <v>11</v>
      </c>
      <c r="M1927" s="10"/>
      <c r="N1927" s="10" t="s">
        <v>1028</v>
      </c>
    </row>
    <row r="1928" spans="1:14" ht="22.5" customHeight="1">
      <c r="A1928" s="8">
        <v>46004.715720335647</v>
      </c>
      <c r="B1928" s="9" t="s">
        <v>14</v>
      </c>
      <c r="C1928" s="9" t="s">
        <v>15</v>
      </c>
      <c r="D1928" s="10" t="s">
        <v>4311</v>
      </c>
      <c r="E1928" s="9" t="s">
        <v>22</v>
      </c>
      <c r="F1928" s="10">
        <v>59</v>
      </c>
      <c r="G1928" s="11">
        <v>9064239635</v>
      </c>
      <c r="H1928" s="10" t="s">
        <v>4312</v>
      </c>
      <c r="I1928" s="10" t="s">
        <v>31</v>
      </c>
      <c r="J1928" s="10" t="s">
        <v>1582</v>
      </c>
      <c r="K1928" s="12">
        <v>46004</v>
      </c>
      <c r="L1928" s="28" t="s">
        <v>11</v>
      </c>
      <c r="M1928" s="14"/>
      <c r="N1928" s="10" t="s">
        <v>1028</v>
      </c>
    </row>
    <row r="1929" spans="1:14" ht="22.5" customHeight="1">
      <c r="A1929" s="8">
        <v>46004.724871597224</v>
      </c>
      <c r="B1929" s="9" t="s">
        <v>14</v>
      </c>
      <c r="C1929" s="9" t="s">
        <v>15</v>
      </c>
      <c r="D1929" s="10" t="s">
        <v>4313</v>
      </c>
      <c r="E1929" s="9" t="s">
        <v>17</v>
      </c>
      <c r="F1929" s="10">
        <v>37</v>
      </c>
      <c r="G1929" s="11">
        <v>7038342512</v>
      </c>
      <c r="H1929" s="10" t="s">
        <v>4314</v>
      </c>
      <c r="I1929" s="10" t="s">
        <v>27</v>
      </c>
      <c r="J1929" s="10" t="s">
        <v>1559</v>
      </c>
      <c r="K1929" s="12">
        <v>46004</v>
      </c>
      <c r="L1929" s="28" t="s">
        <v>11</v>
      </c>
      <c r="M1929" s="14"/>
      <c r="N1929" s="10" t="s">
        <v>1096</v>
      </c>
    </row>
    <row r="1930" spans="1:14" ht="22.5" customHeight="1">
      <c r="A1930" s="8">
        <v>46004.730572835644</v>
      </c>
      <c r="B1930" s="9" t="s">
        <v>14</v>
      </c>
      <c r="C1930" s="9" t="s">
        <v>15</v>
      </c>
      <c r="D1930" s="10" t="s">
        <v>4315</v>
      </c>
      <c r="E1930" s="9" t="s">
        <v>17</v>
      </c>
      <c r="F1930" s="18">
        <v>26</v>
      </c>
      <c r="G1930" s="11">
        <v>7081741195</v>
      </c>
      <c r="H1930" s="10" t="s">
        <v>4316</v>
      </c>
      <c r="I1930" s="10" t="s">
        <v>45</v>
      </c>
      <c r="J1930" s="10" t="s">
        <v>339</v>
      </c>
      <c r="K1930" s="12">
        <v>46004</v>
      </c>
      <c r="L1930" s="28" t="s">
        <v>11</v>
      </c>
      <c r="M1930" s="14"/>
      <c r="N1930" s="10" t="s">
        <v>1028</v>
      </c>
    </row>
    <row r="1931" spans="1:14" ht="22.5" customHeight="1">
      <c r="A1931" s="8">
        <v>46004.730974421298</v>
      </c>
      <c r="B1931" s="9" t="s">
        <v>14</v>
      </c>
      <c r="C1931" s="9" t="s">
        <v>15</v>
      </c>
      <c r="D1931" s="10" t="s">
        <v>4317</v>
      </c>
      <c r="E1931" s="9" t="s">
        <v>22</v>
      </c>
      <c r="F1931" s="10">
        <v>33</v>
      </c>
      <c r="G1931" s="11">
        <v>8100488085</v>
      </c>
      <c r="H1931" s="10" t="s">
        <v>4318</v>
      </c>
      <c r="I1931" s="10" t="s">
        <v>45</v>
      </c>
      <c r="J1931" s="10" t="s">
        <v>4319</v>
      </c>
      <c r="K1931" s="12">
        <v>46004</v>
      </c>
      <c r="L1931" s="28" t="s">
        <v>11</v>
      </c>
      <c r="M1931" s="14"/>
      <c r="N1931" s="10" t="s">
        <v>1028</v>
      </c>
    </row>
    <row r="1932" spans="1:14" ht="22.5" customHeight="1">
      <c r="A1932" s="8">
        <v>46004.73115097222</v>
      </c>
      <c r="B1932" s="9" t="s">
        <v>14</v>
      </c>
      <c r="C1932" s="9" t="s">
        <v>15</v>
      </c>
      <c r="D1932" s="10" t="s">
        <v>4320</v>
      </c>
      <c r="E1932" s="9" t="s">
        <v>17</v>
      </c>
      <c r="F1932" s="10">
        <v>31</v>
      </c>
      <c r="G1932" s="11">
        <v>7030117472</v>
      </c>
      <c r="H1932" s="10" t="s">
        <v>4321</v>
      </c>
      <c r="I1932" s="10" t="s">
        <v>49</v>
      </c>
      <c r="J1932" s="10" t="s">
        <v>282</v>
      </c>
      <c r="K1932" s="12">
        <v>46004</v>
      </c>
      <c r="L1932" s="28" t="s">
        <v>11</v>
      </c>
      <c r="M1932" s="14"/>
      <c r="N1932" s="10" t="s">
        <v>1028</v>
      </c>
    </row>
    <row r="1933" spans="1:14" ht="22.5" customHeight="1">
      <c r="A1933" s="8">
        <v>46004.731811770835</v>
      </c>
      <c r="B1933" s="9" t="s">
        <v>14</v>
      </c>
      <c r="C1933" s="9" t="s">
        <v>15</v>
      </c>
      <c r="D1933" s="10" t="s">
        <v>4322</v>
      </c>
      <c r="E1933" s="9" t="s">
        <v>17</v>
      </c>
      <c r="F1933" s="10">
        <v>29</v>
      </c>
      <c r="G1933" s="11">
        <v>8141921813</v>
      </c>
      <c r="H1933" s="10" t="s">
        <v>4323</v>
      </c>
      <c r="I1933" s="10" t="s">
        <v>27</v>
      </c>
      <c r="J1933" s="10" t="s">
        <v>70</v>
      </c>
      <c r="K1933" s="12">
        <v>35424</v>
      </c>
      <c r="L1933" s="28" t="s">
        <v>11</v>
      </c>
      <c r="M1933" s="14"/>
      <c r="N1933" s="10" t="s">
        <v>1028</v>
      </c>
    </row>
    <row r="1934" spans="1:14" ht="22.5" hidden="1" customHeight="1">
      <c r="A1934" s="8">
        <v>46004.737619652777</v>
      </c>
      <c r="B1934" s="9" t="s">
        <v>14</v>
      </c>
      <c r="C1934" s="9" t="s">
        <v>15</v>
      </c>
      <c r="D1934" s="10" t="s">
        <v>4324</v>
      </c>
      <c r="E1934" s="9" t="s">
        <v>17</v>
      </c>
      <c r="F1934" s="10">
        <v>22</v>
      </c>
      <c r="G1934" s="11">
        <v>8156236082</v>
      </c>
      <c r="H1934" s="10" t="s">
        <v>4325</v>
      </c>
      <c r="I1934" s="10" t="s">
        <v>45</v>
      </c>
      <c r="J1934" s="10" t="s">
        <v>45</v>
      </c>
      <c r="K1934" s="12">
        <v>46004</v>
      </c>
      <c r="L1934" s="10" t="s">
        <v>441</v>
      </c>
      <c r="M1934" s="10" t="s">
        <v>1827</v>
      </c>
      <c r="N1934" s="10" t="s">
        <v>1563</v>
      </c>
    </row>
    <row r="1935" spans="1:14" ht="22.5" customHeight="1">
      <c r="A1935" s="8">
        <v>46004.748082604172</v>
      </c>
      <c r="B1935" s="9" t="s">
        <v>14</v>
      </c>
      <c r="C1935" s="9" t="s">
        <v>15</v>
      </c>
      <c r="D1935" s="10" t="s">
        <v>4326</v>
      </c>
      <c r="E1935" s="9" t="s">
        <v>17</v>
      </c>
      <c r="F1935" s="10">
        <v>26</v>
      </c>
      <c r="G1935" s="11">
        <v>8025214237</v>
      </c>
      <c r="H1935" s="10" t="s">
        <v>4327</v>
      </c>
      <c r="I1935" s="10" t="s">
        <v>19</v>
      </c>
      <c r="J1935" s="10" t="s">
        <v>812</v>
      </c>
      <c r="K1935" s="12">
        <v>46004</v>
      </c>
      <c r="L1935" s="28" t="s">
        <v>11</v>
      </c>
      <c r="M1935" s="14"/>
      <c r="N1935" s="10" t="s">
        <v>1028</v>
      </c>
    </row>
    <row r="1936" spans="1:14" ht="22.5" customHeight="1">
      <c r="A1936" s="8">
        <v>46004.752476111113</v>
      </c>
      <c r="B1936" s="9" t="s">
        <v>14</v>
      </c>
      <c r="C1936" s="9" t="s">
        <v>15</v>
      </c>
      <c r="D1936" s="10" t="s">
        <v>4328</v>
      </c>
      <c r="E1936" s="9" t="s">
        <v>17</v>
      </c>
      <c r="F1936" s="10">
        <v>30</v>
      </c>
      <c r="G1936" s="11">
        <v>7010328469</v>
      </c>
      <c r="H1936" s="10" t="s">
        <v>4329</v>
      </c>
      <c r="I1936" s="10" t="s">
        <v>45</v>
      </c>
      <c r="J1936" s="10" t="s">
        <v>46</v>
      </c>
      <c r="K1936" s="12">
        <v>46004</v>
      </c>
      <c r="L1936" s="28" t="s">
        <v>11</v>
      </c>
      <c r="M1936" s="14"/>
      <c r="N1936" s="10" t="s">
        <v>1096</v>
      </c>
    </row>
    <row r="1937" spans="1:14" ht="22.5" customHeight="1">
      <c r="A1937" s="8">
        <v>46004.755877766205</v>
      </c>
      <c r="B1937" s="9" t="s">
        <v>14</v>
      </c>
      <c r="C1937" s="9" t="s">
        <v>15</v>
      </c>
      <c r="D1937" s="10" t="s">
        <v>4330</v>
      </c>
      <c r="E1937" s="9" t="s">
        <v>22</v>
      </c>
      <c r="F1937" s="10">
        <v>25</v>
      </c>
      <c r="G1937" s="11">
        <v>7014349693</v>
      </c>
      <c r="H1937" s="10" t="s">
        <v>4331</v>
      </c>
      <c r="I1937" s="10" t="s">
        <v>27</v>
      </c>
      <c r="J1937" s="10" t="s">
        <v>2348</v>
      </c>
      <c r="K1937" s="12">
        <v>46004</v>
      </c>
      <c r="L1937" s="28" t="s">
        <v>11</v>
      </c>
      <c r="M1937" s="14"/>
      <c r="N1937" s="10" t="s">
        <v>1028</v>
      </c>
    </row>
    <row r="1938" spans="1:14" ht="22.5" customHeight="1">
      <c r="A1938" s="8">
        <v>46004.757716412038</v>
      </c>
      <c r="B1938" s="9" t="s">
        <v>14</v>
      </c>
      <c r="C1938" s="9" t="s">
        <v>15</v>
      </c>
      <c r="D1938" s="10" t="s">
        <v>4332</v>
      </c>
      <c r="E1938" s="9" t="s">
        <v>17</v>
      </c>
      <c r="F1938" s="10">
        <v>29</v>
      </c>
      <c r="G1938" s="11">
        <v>8110318238</v>
      </c>
      <c r="H1938" s="10" t="s">
        <v>4333</v>
      </c>
      <c r="I1938" s="10" t="s">
        <v>45</v>
      </c>
      <c r="J1938" s="10" t="s">
        <v>125</v>
      </c>
      <c r="K1938" s="12">
        <v>46004</v>
      </c>
      <c r="L1938" s="28" t="s">
        <v>11</v>
      </c>
      <c r="M1938" s="10"/>
      <c r="N1938" s="10" t="s">
        <v>1028</v>
      </c>
    </row>
    <row r="1939" spans="1:14" ht="22.5" customHeight="1">
      <c r="A1939" s="8">
        <v>46004.762451932867</v>
      </c>
      <c r="B1939" s="9" t="s">
        <v>14</v>
      </c>
      <c r="C1939" s="9" t="s">
        <v>15</v>
      </c>
      <c r="D1939" s="10" t="s">
        <v>4334</v>
      </c>
      <c r="E1939" s="9" t="s">
        <v>22</v>
      </c>
      <c r="F1939" s="10">
        <v>29</v>
      </c>
      <c r="G1939" s="11">
        <v>7033404144</v>
      </c>
      <c r="H1939" s="10" t="s">
        <v>4335</v>
      </c>
      <c r="I1939" s="10" t="s">
        <v>27</v>
      </c>
      <c r="J1939" s="10" t="s">
        <v>70</v>
      </c>
      <c r="K1939" s="12">
        <v>46004</v>
      </c>
      <c r="L1939" s="28" t="s">
        <v>11</v>
      </c>
      <c r="M1939" s="14"/>
      <c r="N1939" s="10" t="s">
        <v>1028</v>
      </c>
    </row>
    <row r="1940" spans="1:14" ht="22.5" customHeight="1">
      <c r="A1940" s="8">
        <v>46004.785258171294</v>
      </c>
      <c r="B1940" s="9" t="s">
        <v>14</v>
      </c>
      <c r="C1940" s="9" t="s">
        <v>15</v>
      </c>
      <c r="D1940" s="10" t="s">
        <v>4336</v>
      </c>
      <c r="E1940" s="9" t="s">
        <v>17</v>
      </c>
      <c r="F1940" s="10">
        <v>29</v>
      </c>
      <c r="G1940" s="11">
        <v>7035494947</v>
      </c>
      <c r="H1940" s="10" t="s">
        <v>4337</v>
      </c>
      <c r="I1940" s="10" t="s">
        <v>27</v>
      </c>
      <c r="J1940" s="10" t="s">
        <v>4338</v>
      </c>
      <c r="K1940" s="12">
        <v>46004</v>
      </c>
      <c r="L1940" s="28" t="s">
        <v>11</v>
      </c>
      <c r="M1940" s="14"/>
      <c r="N1940" s="10" t="s">
        <v>1028</v>
      </c>
    </row>
    <row r="1941" spans="1:14" ht="22.5" hidden="1" customHeight="1">
      <c r="A1941" s="8">
        <v>46004.788014594902</v>
      </c>
      <c r="B1941" s="9" t="s">
        <v>14</v>
      </c>
      <c r="C1941" s="9" t="s">
        <v>15</v>
      </c>
      <c r="D1941" s="10" t="s">
        <v>4339</v>
      </c>
      <c r="E1941" s="9" t="s">
        <v>17</v>
      </c>
      <c r="F1941" s="10">
        <v>24</v>
      </c>
      <c r="G1941" s="11">
        <v>783187800</v>
      </c>
      <c r="H1941" s="10" t="s">
        <v>4340</v>
      </c>
      <c r="I1941" s="10" t="s">
        <v>31</v>
      </c>
      <c r="J1941" s="10" t="s">
        <v>4341</v>
      </c>
      <c r="K1941" s="12">
        <v>46004</v>
      </c>
      <c r="L1941" s="10" t="s">
        <v>441</v>
      </c>
      <c r="M1941" s="10" t="s">
        <v>4342</v>
      </c>
      <c r="N1941" s="10" t="s">
        <v>1563</v>
      </c>
    </row>
    <row r="1942" spans="1:14" ht="22.5" customHeight="1">
      <c r="A1942" s="8">
        <v>46004.788136909723</v>
      </c>
      <c r="B1942" s="9" t="s">
        <v>14</v>
      </c>
      <c r="C1942" s="9" t="s">
        <v>15</v>
      </c>
      <c r="D1942" s="10" t="s">
        <v>4343</v>
      </c>
      <c r="E1942" s="9" t="s">
        <v>17</v>
      </c>
      <c r="F1942" s="10">
        <v>35</v>
      </c>
      <c r="G1942" s="11">
        <v>8123156501</v>
      </c>
      <c r="H1942" s="10" t="s">
        <v>4344</v>
      </c>
      <c r="I1942" s="10" t="s">
        <v>27</v>
      </c>
      <c r="J1942" s="10" t="s">
        <v>3189</v>
      </c>
      <c r="K1942" s="12">
        <v>46004</v>
      </c>
      <c r="L1942" s="28" t="s">
        <v>11</v>
      </c>
      <c r="M1942" s="14"/>
      <c r="N1942" s="10" t="s">
        <v>1096</v>
      </c>
    </row>
    <row r="1943" spans="1:14" ht="22.5" customHeight="1">
      <c r="A1943" s="8">
        <v>46004.798711724536</v>
      </c>
      <c r="B1943" s="9" t="s">
        <v>14</v>
      </c>
      <c r="C1943" s="9" t="s">
        <v>15</v>
      </c>
      <c r="D1943" s="10" t="s">
        <v>4345</v>
      </c>
      <c r="E1943" s="9" t="s">
        <v>22</v>
      </c>
      <c r="F1943" s="10">
        <v>20</v>
      </c>
      <c r="G1943" s="11">
        <v>8109137652</v>
      </c>
      <c r="H1943" s="10" t="s">
        <v>4346</v>
      </c>
      <c r="I1943" s="10" t="s">
        <v>27</v>
      </c>
      <c r="J1943" s="10" t="s">
        <v>172</v>
      </c>
      <c r="K1943" s="12">
        <v>46004</v>
      </c>
      <c r="L1943" s="28" t="s">
        <v>11</v>
      </c>
      <c r="M1943" s="14"/>
      <c r="N1943" s="10" t="s">
        <v>1028</v>
      </c>
    </row>
    <row r="1944" spans="1:14" ht="22.5" customHeight="1">
      <c r="A1944" s="8">
        <v>46004.798748842593</v>
      </c>
      <c r="B1944" s="9" t="s">
        <v>14</v>
      </c>
      <c r="C1944" s="9" t="s">
        <v>15</v>
      </c>
      <c r="D1944" s="10" t="s">
        <v>4347</v>
      </c>
      <c r="E1944" s="9" t="s">
        <v>17</v>
      </c>
      <c r="F1944" s="10">
        <v>32</v>
      </c>
      <c r="G1944" s="11">
        <v>8164568740</v>
      </c>
      <c r="H1944" s="10" t="s">
        <v>4348</v>
      </c>
      <c r="I1944" s="10" t="s">
        <v>19</v>
      </c>
      <c r="J1944" s="10" t="s">
        <v>4349</v>
      </c>
      <c r="K1944" s="12">
        <v>46004</v>
      </c>
      <c r="L1944" s="28" t="s">
        <v>11</v>
      </c>
      <c r="M1944" s="14"/>
      <c r="N1944" s="10" t="s">
        <v>1140</v>
      </c>
    </row>
    <row r="1945" spans="1:14" ht="22.5" customHeight="1">
      <c r="A1945" s="8">
        <v>46004.812598101853</v>
      </c>
      <c r="B1945" s="9" t="s">
        <v>14</v>
      </c>
      <c r="C1945" s="9" t="s">
        <v>15</v>
      </c>
      <c r="D1945" s="10" t="s">
        <v>4350</v>
      </c>
      <c r="E1945" s="9" t="s">
        <v>17</v>
      </c>
      <c r="F1945" s="10">
        <v>19</v>
      </c>
      <c r="G1945" s="11">
        <v>9130436934</v>
      </c>
      <c r="H1945" s="10" t="s">
        <v>4351</v>
      </c>
      <c r="I1945" s="10" t="s">
        <v>145</v>
      </c>
      <c r="J1945" s="10" t="s">
        <v>4352</v>
      </c>
      <c r="K1945" s="12">
        <v>38797</v>
      </c>
      <c r="L1945" s="28" t="s">
        <v>11</v>
      </c>
      <c r="M1945" s="14"/>
      <c r="N1945" s="10" t="s">
        <v>1028</v>
      </c>
    </row>
    <row r="1946" spans="1:14" ht="22.5" customHeight="1">
      <c r="A1946" s="8">
        <v>46004.81388725694</v>
      </c>
      <c r="B1946" s="9" t="s">
        <v>14</v>
      </c>
      <c r="C1946" s="9" t="s">
        <v>15</v>
      </c>
      <c r="D1946" s="10" t="s">
        <v>4353</v>
      </c>
      <c r="E1946" s="9" t="s">
        <v>22</v>
      </c>
      <c r="F1946" s="10">
        <v>31</v>
      </c>
      <c r="G1946" s="11">
        <v>7047232612</v>
      </c>
      <c r="H1946" s="10" t="s">
        <v>4354</v>
      </c>
      <c r="I1946" s="10" t="s">
        <v>27</v>
      </c>
      <c r="J1946" s="10" t="s">
        <v>2258</v>
      </c>
      <c r="K1946" s="12">
        <v>46004</v>
      </c>
      <c r="L1946" s="28" t="s">
        <v>11</v>
      </c>
      <c r="M1946" s="14"/>
      <c r="N1946" s="10" t="s">
        <v>1028</v>
      </c>
    </row>
    <row r="1947" spans="1:14" ht="22.5" customHeight="1">
      <c r="A1947" s="8">
        <v>46004.814343136575</v>
      </c>
      <c r="B1947" s="9" t="s">
        <v>14</v>
      </c>
      <c r="C1947" s="9" t="s">
        <v>15</v>
      </c>
      <c r="D1947" s="10" t="s">
        <v>4355</v>
      </c>
      <c r="E1947" s="9" t="s">
        <v>22</v>
      </c>
      <c r="F1947" s="10">
        <v>20</v>
      </c>
      <c r="G1947" s="11">
        <v>9162511482</v>
      </c>
      <c r="H1947" s="10" t="s">
        <v>4356</v>
      </c>
      <c r="I1947" s="10" t="s">
        <v>19</v>
      </c>
      <c r="J1947" s="10" t="s">
        <v>4357</v>
      </c>
      <c r="K1947" s="12">
        <v>46004</v>
      </c>
      <c r="L1947" s="28" t="s">
        <v>11</v>
      </c>
      <c r="M1947" s="14"/>
      <c r="N1947" s="10" t="s">
        <v>1028</v>
      </c>
    </row>
    <row r="1948" spans="1:14" ht="22.5" customHeight="1">
      <c r="A1948" s="8">
        <v>46004.815390057869</v>
      </c>
      <c r="B1948" s="9" t="s">
        <v>14</v>
      </c>
      <c r="C1948" s="9" t="s">
        <v>15</v>
      </c>
      <c r="D1948" s="10" t="s">
        <v>4358</v>
      </c>
      <c r="E1948" s="9" t="s">
        <v>22</v>
      </c>
      <c r="F1948" s="10">
        <v>34</v>
      </c>
      <c r="G1948" s="11">
        <v>8033263157</v>
      </c>
      <c r="H1948" s="10" t="s">
        <v>4359</v>
      </c>
      <c r="I1948" s="10" t="s">
        <v>27</v>
      </c>
      <c r="J1948" s="10" t="s">
        <v>94</v>
      </c>
      <c r="K1948" s="12">
        <v>46004</v>
      </c>
      <c r="L1948" s="28" t="s">
        <v>11</v>
      </c>
      <c r="M1948" s="14"/>
      <c r="N1948" s="10" t="s">
        <v>1028</v>
      </c>
    </row>
    <row r="1949" spans="1:14" ht="22.5" customHeight="1">
      <c r="A1949" s="8">
        <v>46004.815771539354</v>
      </c>
      <c r="B1949" s="9" t="s">
        <v>14</v>
      </c>
      <c r="C1949" s="9" t="s">
        <v>15</v>
      </c>
      <c r="D1949" s="10" t="s">
        <v>4360</v>
      </c>
      <c r="E1949" s="9" t="s">
        <v>17</v>
      </c>
      <c r="F1949" s="10">
        <v>29</v>
      </c>
      <c r="G1949" s="11">
        <v>9068966468</v>
      </c>
      <c r="H1949" s="10" t="s">
        <v>4361</v>
      </c>
      <c r="I1949" s="10" t="s">
        <v>19</v>
      </c>
      <c r="J1949" s="10" t="s">
        <v>812</v>
      </c>
      <c r="K1949" s="12">
        <v>46004</v>
      </c>
      <c r="L1949" s="28" t="s">
        <v>11</v>
      </c>
      <c r="M1949" s="14"/>
      <c r="N1949" s="10" t="s">
        <v>1028</v>
      </c>
    </row>
    <row r="1950" spans="1:14" ht="22.5" hidden="1" customHeight="1">
      <c r="A1950" s="8">
        <v>46004.816944444443</v>
      </c>
      <c r="B1950" s="9" t="s">
        <v>14</v>
      </c>
      <c r="C1950" s="9" t="s">
        <v>15</v>
      </c>
      <c r="D1950" s="10" t="s">
        <v>4362</v>
      </c>
      <c r="E1950" s="9" t="s">
        <v>22</v>
      </c>
      <c r="F1950" s="10">
        <v>18</v>
      </c>
      <c r="G1950" s="11">
        <v>9164231902</v>
      </c>
      <c r="H1950" s="10" t="s">
        <v>4363</v>
      </c>
      <c r="I1950" s="10" t="s">
        <v>27</v>
      </c>
      <c r="J1950" s="10" t="s">
        <v>4364</v>
      </c>
      <c r="K1950" s="12">
        <v>46004</v>
      </c>
      <c r="L1950" s="10" t="s">
        <v>441</v>
      </c>
      <c r="M1950" s="10" t="s">
        <v>1361</v>
      </c>
      <c r="N1950" s="10" t="s">
        <v>1096</v>
      </c>
    </row>
    <row r="1951" spans="1:14" ht="22.5" hidden="1" customHeight="1">
      <c r="A1951" s="8">
        <v>46004.821689791672</v>
      </c>
      <c r="B1951" s="9" t="s">
        <v>14</v>
      </c>
      <c r="C1951" s="9" t="s">
        <v>15</v>
      </c>
      <c r="D1951" s="10" t="s">
        <v>4365</v>
      </c>
      <c r="E1951" s="9" t="s">
        <v>17</v>
      </c>
      <c r="F1951" s="10">
        <v>26</v>
      </c>
      <c r="G1951" s="11">
        <v>7044865023</v>
      </c>
      <c r="H1951" s="10" t="s">
        <v>4366</v>
      </c>
      <c r="I1951" s="10" t="s">
        <v>27</v>
      </c>
      <c r="J1951" s="10" t="s">
        <v>4367</v>
      </c>
      <c r="K1951" s="12">
        <v>46004</v>
      </c>
      <c r="L1951" s="10" t="s">
        <v>441</v>
      </c>
      <c r="M1951" s="10" t="s">
        <v>1827</v>
      </c>
      <c r="N1951" s="10" t="s">
        <v>1035</v>
      </c>
    </row>
    <row r="1952" spans="1:14" ht="22.5" customHeight="1">
      <c r="A1952" s="8">
        <v>46004.824834768515</v>
      </c>
      <c r="B1952" s="9" t="s">
        <v>14</v>
      </c>
      <c r="C1952" s="9" t="s">
        <v>15</v>
      </c>
      <c r="D1952" s="10" t="s">
        <v>4368</v>
      </c>
      <c r="E1952" s="9" t="s">
        <v>17</v>
      </c>
      <c r="F1952" s="10">
        <v>29</v>
      </c>
      <c r="G1952" s="11">
        <v>7033868469</v>
      </c>
      <c r="H1952" s="10" t="s">
        <v>4369</v>
      </c>
      <c r="I1952" s="10" t="s">
        <v>27</v>
      </c>
      <c r="J1952" s="10" t="s">
        <v>4370</v>
      </c>
      <c r="K1952" s="12">
        <v>46004</v>
      </c>
      <c r="L1952" s="28" t="s">
        <v>11</v>
      </c>
      <c r="M1952" s="14"/>
      <c r="N1952" s="10" t="s">
        <v>1028</v>
      </c>
    </row>
    <row r="1953" spans="1:14" ht="22.5" customHeight="1">
      <c r="A1953" s="8">
        <v>46004.825717905092</v>
      </c>
      <c r="B1953" s="9" t="s">
        <v>14</v>
      </c>
      <c r="C1953" s="9" t="s">
        <v>15</v>
      </c>
      <c r="D1953" s="10" t="s">
        <v>4371</v>
      </c>
      <c r="E1953" s="9" t="s">
        <v>17</v>
      </c>
      <c r="F1953" s="10">
        <v>29</v>
      </c>
      <c r="G1953" s="11">
        <v>7014835401</v>
      </c>
      <c r="H1953" s="10" t="s">
        <v>4372</v>
      </c>
      <c r="I1953" s="10" t="s">
        <v>49</v>
      </c>
      <c r="J1953" s="10" t="s">
        <v>4373</v>
      </c>
      <c r="K1953" s="12">
        <v>46004</v>
      </c>
      <c r="L1953" s="28" t="s">
        <v>11</v>
      </c>
      <c r="M1953" s="14"/>
      <c r="N1953" s="10" t="s">
        <v>1028</v>
      </c>
    </row>
    <row r="1954" spans="1:14" ht="22.5" customHeight="1">
      <c r="A1954" s="8">
        <v>46004.828104675922</v>
      </c>
      <c r="B1954" s="9" t="s">
        <v>14</v>
      </c>
      <c r="C1954" s="9" t="s">
        <v>15</v>
      </c>
      <c r="D1954" s="10" t="s">
        <v>4374</v>
      </c>
      <c r="E1954" s="9" t="s">
        <v>17</v>
      </c>
      <c r="F1954" s="10">
        <v>26</v>
      </c>
      <c r="G1954" s="11">
        <v>9636525194</v>
      </c>
      <c r="H1954" s="10" t="s">
        <v>4375</v>
      </c>
      <c r="I1954" s="10" t="s">
        <v>19</v>
      </c>
      <c r="J1954" s="10" t="s">
        <v>4376</v>
      </c>
      <c r="K1954" s="12">
        <v>46005</v>
      </c>
      <c r="L1954" s="28" t="s">
        <v>11</v>
      </c>
      <c r="M1954" s="14"/>
      <c r="N1954" s="10" t="s">
        <v>4377</v>
      </c>
    </row>
    <row r="1955" spans="1:14" ht="22.5" customHeight="1">
      <c r="A1955" s="8">
        <v>46004.830701840277</v>
      </c>
      <c r="B1955" s="9" t="s">
        <v>14</v>
      </c>
      <c r="C1955" s="9" t="s">
        <v>15</v>
      </c>
      <c r="D1955" s="10" t="s">
        <v>4378</v>
      </c>
      <c r="E1955" s="9" t="s">
        <v>17</v>
      </c>
      <c r="F1955" s="10">
        <v>22</v>
      </c>
      <c r="G1955" s="11">
        <v>9130846990</v>
      </c>
      <c r="H1955" s="10" t="s">
        <v>4379</v>
      </c>
      <c r="I1955" s="10" t="s">
        <v>27</v>
      </c>
      <c r="J1955" s="10" t="s">
        <v>2228</v>
      </c>
      <c r="K1955" s="12">
        <v>46004</v>
      </c>
      <c r="L1955" s="28" t="s">
        <v>11</v>
      </c>
      <c r="M1955" s="14"/>
      <c r="N1955" s="10" t="s">
        <v>1718</v>
      </c>
    </row>
    <row r="1956" spans="1:14" ht="22.5" customHeight="1">
      <c r="A1956" s="8">
        <v>46004.831163599534</v>
      </c>
      <c r="B1956" s="9" t="s">
        <v>14</v>
      </c>
      <c r="C1956" s="9" t="s">
        <v>15</v>
      </c>
      <c r="D1956" s="10" t="s">
        <v>4380</v>
      </c>
      <c r="E1956" s="9" t="s">
        <v>17</v>
      </c>
      <c r="F1956" s="10">
        <v>30</v>
      </c>
      <c r="G1956" s="11">
        <v>8144031287</v>
      </c>
      <c r="H1956" s="10" t="s">
        <v>4381</v>
      </c>
      <c r="I1956" s="10" t="s">
        <v>45</v>
      </c>
      <c r="J1956" s="10" t="s">
        <v>4382</v>
      </c>
      <c r="K1956" s="12">
        <v>46004</v>
      </c>
      <c r="L1956" s="28" t="s">
        <v>11</v>
      </c>
      <c r="M1956" s="14"/>
      <c r="N1956" s="10" t="s">
        <v>1028</v>
      </c>
    </row>
    <row r="1957" spans="1:14" ht="22.5" customHeight="1">
      <c r="A1957" s="8">
        <v>46004.846920312499</v>
      </c>
      <c r="B1957" s="9" t="s">
        <v>14</v>
      </c>
      <c r="C1957" s="9" t="s">
        <v>15</v>
      </c>
      <c r="D1957" s="10" t="s">
        <v>4383</v>
      </c>
      <c r="E1957" s="9" t="s">
        <v>22</v>
      </c>
      <c r="F1957" s="10">
        <v>22</v>
      </c>
      <c r="G1957" s="11">
        <v>9074584785</v>
      </c>
      <c r="H1957" s="10" t="s">
        <v>4384</v>
      </c>
      <c r="I1957" s="10" t="s">
        <v>202</v>
      </c>
      <c r="J1957" s="10" t="s">
        <v>3482</v>
      </c>
      <c r="K1957" s="12">
        <v>46004</v>
      </c>
      <c r="L1957" s="28" t="s">
        <v>11</v>
      </c>
      <c r="M1957" s="14"/>
      <c r="N1957" s="10" t="s">
        <v>1028</v>
      </c>
    </row>
    <row r="1958" spans="1:14" ht="22.5" customHeight="1">
      <c r="A1958" s="8">
        <v>46004.847719953701</v>
      </c>
      <c r="B1958" s="9" t="s">
        <v>14</v>
      </c>
      <c r="C1958" s="9" t="s">
        <v>15</v>
      </c>
      <c r="D1958" s="10" t="s">
        <v>4385</v>
      </c>
      <c r="E1958" s="9" t="s">
        <v>17</v>
      </c>
      <c r="F1958" s="10">
        <v>35</v>
      </c>
      <c r="G1958" s="11">
        <v>8188188189</v>
      </c>
      <c r="H1958" s="10" t="s">
        <v>4386</v>
      </c>
      <c r="I1958" s="10" t="s">
        <v>27</v>
      </c>
      <c r="J1958" s="10" t="s">
        <v>4387</v>
      </c>
      <c r="K1958" s="12">
        <v>46004</v>
      </c>
      <c r="L1958" s="28" t="s">
        <v>11</v>
      </c>
      <c r="M1958" s="14"/>
      <c r="N1958" s="10" t="s">
        <v>1028</v>
      </c>
    </row>
    <row r="1959" spans="1:14" ht="22.5" customHeight="1">
      <c r="A1959" s="8">
        <v>46004.856701377314</v>
      </c>
      <c r="B1959" s="9" t="s">
        <v>14</v>
      </c>
      <c r="C1959" s="9" t="s">
        <v>15</v>
      </c>
      <c r="D1959" s="10" t="s">
        <v>4388</v>
      </c>
      <c r="E1959" s="9" t="s">
        <v>17</v>
      </c>
      <c r="F1959" s="10">
        <v>38</v>
      </c>
      <c r="G1959" s="11">
        <v>7035999399</v>
      </c>
      <c r="H1959" s="10" t="s">
        <v>4389</v>
      </c>
      <c r="I1959" s="10" t="s">
        <v>27</v>
      </c>
      <c r="J1959" s="10" t="s">
        <v>1288</v>
      </c>
      <c r="K1959" s="12">
        <v>46004</v>
      </c>
      <c r="L1959" s="28" t="s">
        <v>11</v>
      </c>
      <c r="M1959" s="14"/>
      <c r="N1959" s="10" t="s">
        <v>1028</v>
      </c>
    </row>
    <row r="1960" spans="1:14" ht="22.5" customHeight="1">
      <c r="A1960" s="8">
        <v>46004.860014317128</v>
      </c>
      <c r="B1960" s="9" t="s">
        <v>14</v>
      </c>
      <c r="C1960" s="9" t="s">
        <v>15</v>
      </c>
      <c r="D1960" s="10" t="s">
        <v>4390</v>
      </c>
      <c r="E1960" s="9" t="s">
        <v>17</v>
      </c>
      <c r="F1960" s="10">
        <v>29</v>
      </c>
      <c r="G1960" s="11">
        <v>9035785693</v>
      </c>
      <c r="H1960" s="10" t="s">
        <v>4391</v>
      </c>
      <c r="I1960" s="10" t="s">
        <v>27</v>
      </c>
      <c r="J1960" s="10" t="s">
        <v>4392</v>
      </c>
      <c r="K1960" s="12">
        <v>46004</v>
      </c>
      <c r="L1960" s="28" t="s">
        <v>11</v>
      </c>
      <c r="M1960" s="14"/>
      <c r="N1960" s="10" t="s">
        <v>1028</v>
      </c>
    </row>
    <row r="1961" spans="1:14" ht="22.5" customHeight="1">
      <c r="A1961" s="8">
        <v>46004.864287870369</v>
      </c>
      <c r="B1961" s="9" t="s">
        <v>14</v>
      </c>
      <c r="C1961" s="9" t="s">
        <v>15</v>
      </c>
      <c r="D1961" s="10" t="s">
        <v>4393</v>
      </c>
      <c r="E1961" s="9" t="s">
        <v>17</v>
      </c>
      <c r="F1961" s="10">
        <v>22</v>
      </c>
      <c r="G1961" s="11">
        <v>9067321697</v>
      </c>
      <c r="H1961" s="10" t="s">
        <v>4394</v>
      </c>
      <c r="I1961" s="10" t="s">
        <v>27</v>
      </c>
      <c r="J1961" s="10" t="s">
        <v>94</v>
      </c>
      <c r="K1961" s="12">
        <v>46004</v>
      </c>
      <c r="L1961" s="28" t="s">
        <v>11</v>
      </c>
      <c r="M1961" s="14"/>
      <c r="N1961" s="10" t="s">
        <v>1028</v>
      </c>
    </row>
    <row r="1962" spans="1:14" ht="22.5" customHeight="1">
      <c r="A1962" s="8">
        <v>46004.870911840277</v>
      </c>
      <c r="B1962" s="9" t="s">
        <v>14</v>
      </c>
      <c r="C1962" s="9" t="s">
        <v>15</v>
      </c>
      <c r="D1962" s="10" t="s">
        <v>4395</v>
      </c>
      <c r="E1962" s="9" t="s">
        <v>17</v>
      </c>
      <c r="F1962" s="10">
        <v>41</v>
      </c>
      <c r="G1962" s="11">
        <v>7066055449</v>
      </c>
      <c r="H1962" s="10" t="s">
        <v>4396</v>
      </c>
      <c r="I1962" s="10" t="s">
        <v>27</v>
      </c>
      <c r="J1962" s="10" t="s">
        <v>42</v>
      </c>
      <c r="K1962" s="12">
        <v>46004</v>
      </c>
      <c r="L1962" s="28" t="s">
        <v>11</v>
      </c>
      <c r="M1962" s="14"/>
      <c r="N1962" s="10" t="s">
        <v>1028</v>
      </c>
    </row>
    <row r="1963" spans="1:14" ht="22.5" hidden="1" customHeight="1">
      <c r="A1963" s="8">
        <v>46004.873833101854</v>
      </c>
      <c r="B1963" s="9" t="s">
        <v>14</v>
      </c>
      <c r="C1963" s="9" t="s">
        <v>15</v>
      </c>
      <c r="D1963" s="10" t="s">
        <v>4397</v>
      </c>
      <c r="E1963" s="9" t="s">
        <v>17</v>
      </c>
      <c r="F1963" s="10">
        <v>38</v>
      </c>
      <c r="G1963" s="11">
        <v>7035334401</v>
      </c>
      <c r="H1963" s="10" t="s">
        <v>4398</v>
      </c>
      <c r="I1963" s="10" t="s">
        <v>49</v>
      </c>
      <c r="J1963" s="10" t="s">
        <v>4399</v>
      </c>
      <c r="K1963" s="12">
        <v>46004</v>
      </c>
      <c r="L1963" s="10" t="s">
        <v>441</v>
      </c>
      <c r="M1963" s="10" t="s">
        <v>1361</v>
      </c>
      <c r="N1963" s="10" t="s">
        <v>1028</v>
      </c>
    </row>
    <row r="1964" spans="1:14" ht="22.5" customHeight="1">
      <c r="A1964" s="8">
        <v>46004.875611550931</v>
      </c>
      <c r="B1964" s="9" t="s">
        <v>14</v>
      </c>
      <c r="C1964" s="9" t="s">
        <v>15</v>
      </c>
      <c r="D1964" s="10" t="s">
        <v>4400</v>
      </c>
      <c r="E1964" s="9" t="s">
        <v>17</v>
      </c>
      <c r="F1964" s="19">
        <v>3</v>
      </c>
      <c r="G1964" s="11">
        <v>8061713058</v>
      </c>
      <c r="H1964" s="10" t="s">
        <v>4401</v>
      </c>
      <c r="I1964" s="10" t="s">
        <v>27</v>
      </c>
      <c r="J1964" s="10" t="s">
        <v>1288</v>
      </c>
      <c r="K1964" s="12">
        <v>46004</v>
      </c>
      <c r="L1964" s="28" t="s">
        <v>11</v>
      </c>
      <c r="M1964" s="14"/>
      <c r="N1964" s="10" t="s">
        <v>1028</v>
      </c>
    </row>
    <row r="1965" spans="1:14" ht="22.5" customHeight="1">
      <c r="A1965" s="8">
        <v>46004.876629444443</v>
      </c>
      <c r="B1965" s="9" t="s">
        <v>14</v>
      </c>
      <c r="C1965" s="9" t="s">
        <v>15</v>
      </c>
      <c r="D1965" s="10" t="s">
        <v>4402</v>
      </c>
      <c r="E1965" s="9" t="s">
        <v>17</v>
      </c>
      <c r="F1965" s="18">
        <v>22</v>
      </c>
      <c r="G1965" s="11">
        <v>9138209683</v>
      </c>
      <c r="H1965" s="10" t="s">
        <v>4403</v>
      </c>
      <c r="I1965" s="10" t="s">
        <v>27</v>
      </c>
      <c r="J1965" s="10" t="s">
        <v>4404</v>
      </c>
      <c r="K1965" s="12">
        <v>46004</v>
      </c>
      <c r="L1965" s="28" t="s">
        <v>11</v>
      </c>
      <c r="M1965" s="14"/>
      <c r="N1965" s="10" t="s">
        <v>4405</v>
      </c>
    </row>
    <row r="1966" spans="1:14" ht="22.5" customHeight="1">
      <c r="A1966" s="8">
        <v>46004.879582384259</v>
      </c>
      <c r="B1966" s="9" t="s">
        <v>14</v>
      </c>
      <c r="C1966" s="9" t="s">
        <v>15</v>
      </c>
      <c r="D1966" s="10" t="s">
        <v>4406</v>
      </c>
      <c r="E1966" s="9" t="s">
        <v>22</v>
      </c>
      <c r="F1966" s="10">
        <v>27</v>
      </c>
      <c r="G1966" s="11">
        <v>9068963469</v>
      </c>
      <c r="H1966" s="10" t="s">
        <v>4407</v>
      </c>
      <c r="I1966" s="10" t="s">
        <v>27</v>
      </c>
      <c r="J1966" s="10" t="s">
        <v>703</v>
      </c>
      <c r="K1966" s="12">
        <v>46004</v>
      </c>
      <c r="L1966" s="28" t="s">
        <v>11</v>
      </c>
      <c r="M1966" s="14"/>
      <c r="N1966" s="10" t="s">
        <v>1028</v>
      </c>
    </row>
    <row r="1967" spans="1:14" ht="22.5" customHeight="1">
      <c r="A1967" s="8">
        <v>46004.880697361106</v>
      </c>
      <c r="B1967" s="9" t="s">
        <v>14</v>
      </c>
      <c r="C1967" s="9" t="s">
        <v>15</v>
      </c>
      <c r="D1967" s="10" t="s">
        <v>4408</v>
      </c>
      <c r="E1967" s="9" t="s">
        <v>22</v>
      </c>
      <c r="F1967" s="10">
        <v>22</v>
      </c>
      <c r="G1967" s="11">
        <v>8164127927</v>
      </c>
      <c r="H1967" s="10" t="s">
        <v>4409</v>
      </c>
      <c r="I1967" s="10" t="s">
        <v>45</v>
      </c>
      <c r="J1967" s="10" t="s">
        <v>688</v>
      </c>
      <c r="K1967" s="12">
        <v>46004</v>
      </c>
      <c r="L1967" s="28" t="s">
        <v>11</v>
      </c>
      <c r="M1967" s="14"/>
      <c r="N1967" s="10" t="s">
        <v>1096</v>
      </c>
    </row>
    <row r="1968" spans="1:14" ht="22.5" customHeight="1">
      <c r="A1968" s="8">
        <v>46004.883022604168</v>
      </c>
      <c r="B1968" s="9" t="s">
        <v>14</v>
      </c>
      <c r="C1968" s="9" t="s">
        <v>15</v>
      </c>
      <c r="D1968" s="10" t="s">
        <v>4410</v>
      </c>
      <c r="E1968" s="9" t="s">
        <v>17</v>
      </c>
      <c r="F1968" s="10">
        <v>26</v>
      </c>
      <c r="G1968" s="11">
        <f t="shared" ref="G1968" si="45">250782682199</f>
        <v>250782682199</v>
      </c>
      <c r="H1968" s="10" t="s">
        <v>4411</v>
      </c>
      <c r="I1968" s="10" t="s">
        <v>202</v>
      </c>
      <c r="J1968" s="10" t="s">
        <v>4412</v>
      </c>
      <c r="K1968" s="12">
        <v>46004</v>
      </c>
      <c r="L1968" s="28" t="s">
        <v>11</v>
      </c>
      <c r="M1968" s="14"/>
      <c r="N1968" s="10" t="s">
        <v>1563</v>
      </c>
    </row>
    <row r="1969" spans="1:14" ht="22.5" customHeight="1">
      <c r="A1969" s="8">
        <v>46004.887698425926</v>
      </c>
      <c r="B1969" s="9" t="s">
        <v>14</v>
      </c>
      <c r="C1969" s="9" t="s">
        <v>15</v>
      </c>
      <c r="D1969" s="10" t="s">
        <v>4413</v>
      </c>
      <c r="E1969" s="9" t="s">
        <v>17</v>
      </c>
      <c r="F1969" s="10">
        <v>33</v>
      </c>
      <c r="G1969" s="11">
        <v>8133215801</v>
      </c>
      <c r="H1969" s="10" t="s">
        <v>4414</v>
      </c>
      <c r="I1969" s="10" t="s">
        <v>202</v>
      </c>
      <c r="J1969" s="10" t="s">
        <v>4005</v>
      </c>
      <c r="K1969" s="12">
        <v>46004</v>
      </c>
      <c r="L1969" s="28" t="s">
        <v>11</v>
      </c>
      <c r="M1969" s="14"/>
      <c r="N1969" s="10" t="s">
        <v>1028</v>
      </c>
    </row>
    <row r="1970" spans="1:14" ht="22.5" customHeight="1">
      <c r="A1970" s="8">
        <v>46004.904733333329</v>
      </c>
      <c r="B1970" s="9" t="s">
        <v>14</v>
      </c>
      <c r="C1970" s="9" t="s">
        <v>15</v>
      </c>
      <c r="D1970" s="10" t="s">
        <v>4415</v>
      </c>
      <c r="E1970" s="9" t="s">
        <v>17</v>
      </c>
      <c r="F1970" s="10">
        <v>19</v>
      </c>
      <c r="G1970" s="11">
        <v>9078008655</v>
      </c>
      <c r="H1970" s="10" t="s">
        <v>4416</v>
      </c>
      <c r="I1970" s="10" t="s">
        <v>27</v>
      </c>
      <c r="J1970" s="10" t="s">
        <v>42</v>
      </c>
      <c r="K1970" s="12">
        <v>46004</v>
      </c>
      <c r="L1970" s="28" t="s">
        <v>11</v>
      </c>
      <c r="M1970" s="14"/>
      <c r="N1970" s="10" t="s">
        <v>1028</v>
      </c>
    </row>
    <row r="1971" spans="1:14" ht="22.5" customHeight="1">
      <c r="A1971" s="8">
        <v>46004.910471435185</v>
      </c>
      <c r="B1971" s="9" t="s">
        <v>14</v>
      </c>
      <c r="C1971" s="9" t="s">
        <v>15</v>
      </c>
      <c r="D1971" s="10" t="s">
        <v>4417</v>
      </c>
      <c r="E1971" s="9" t="s">
        <v>17</v>
      </c>
      <c r="F1971" s="10">
        <v>21</v>
      </c>
      <c r="G1971" s="11">
        <v>8149942959</v>
      </c>
      <c r="H1971" s="10" t="s">
        <v>4418</v>
      </c>
      <c r="I1971" s="10" t="s">
        <v>45</v>
      </c>
      <c r="J1971" s="10" t="s">
        <v>4419</v>
      </c>
      <c r="K1971" s="12">
        <v>46004</v>
      </c>
      <c r="L1971" s="28" t="s">
        <v>11</v>
      </c>
      <c r="M1971" s="14"/>
      <c r="N1971" s="10" t="s">
        <v>1028</v>
      </c>
    </row>
    <row r="1972" spans="1:14" ht="22.5" hidden="1" customHeight="1">
      <c r="A1972" s="8">
        <v>46004.915074074073</v>
      </c>
      <c r="B1972" s="9" t="s">
        <v>14</v>
      </c>
      <c r="C1972" s="9" t="s">
        <v>15</v>
      </c>
      <c r="D1972" s="10" t="s">
        <v>4420</v>
      </c>
      <c r="E1972" s="9" t="s">
        <v>17</v>
      </c>
      <c r="F1972" s="10">
        <v>20</v>
      </c>
      <c r="G1972" s="11">
        <v>7754804684</v>
      </c>
      <c r="H1972" s="10" t="s">
        <v>4421</v>
      </c>
      <c r="I1972" s="10" t="s">
        <v>202</v>
      </c>
      <c r="J1972" s="10" t="s">
        <v>4422</v>
      </c>
      <c r="K1972" s="12">
        <v>46005</v>
      </c>
      <c r="L1972" s="10" t="s">
        <v>441</v>
      </c>
      <c r="M1972" s="14"/>
      <c r="N1972" s="10" t="s">
        <v>1028</v>
      </c>
    </row>
    <row r="1973" spans="1:14" ht="22.5" customHeight="1">
      <c r="A1973" s="8">
        <v>46004.927727141199</v>
      </c>
      <c r="B1973" s="9" t="s">
        <v>14</v>
      </c>
      <c r="C1973" s="9" t="s">
        <v>15</v>
      </c>
      <c r="D1973" s="10" t="s">
        <v>173</v>
      </c>
      <c r="E1973" s="9" t="s">
        <v>22</v>
      </c>
      <c r="F1973" s="10">
        <v>27</v>
      </c>
      <c r="G1973" s="11">
        <v>9038740845</v>
      </c>
      <c r="H1973" s="10" t="s">
        <v>4423</v>
      </c>
      <c r="I1973" s="10" t="s">
        <v>45</v>
      </c>
      <c r="J1973" s="10" t="s">
        <v>100</v>
      </c>
      <c r="K1973" s="12">
        <v>46004</v>
      </c>
      <c r="L1973" s="28" t="s">
        <v>11</v>
      </c>
      <c r="M1973" s="14"/>
      <c r="N1973" s="10" t="s">
        <v>1096</v>
      </c>
    </row>
    <row r="1974" spans="1:14" ht="22.5" customHeight="1">
      <c r="A1974" s="8">
        <v>46004.931054259258</v>
      </c>
      <c r="B1974" s="9" t="s">
        <v>14</v>
      </c>
      <c r="C1974" s="9" t="s">
        <v>15</v>
      </c>
      <c r="D1974" s="10" t="s">
        <v>4424</v>
      </c>
      <c r="E1974" s="9" t="s">
        <v>17</v>
      </c>
      <c r="F1974" s="10">
        <v>22</v>
      </c>
      <c r="G1974" s="11">
        <v>9069001012</v>
      </c>
      <c r="H1974" s="10" t="s">
        <v>4425</v>
      </c>
      <c r="I1974" s="10" t="s">
        <v>202</v>
      </c>
      <c r="J1974" s="10" t="s">
        <v>4426</v>
      </c>
      <c r="K1974" s="12">
        <v>46004</v>
      </c>
      <c r="L1974" s="28" t="s">
        <v>11</v>
      </c>
      <c r="M1974" s="14"/>
      <c r="N1974" s="10" t="s">
        <v>4427</v>
      </c>
    </row>
    <row r="1975" spans="1:14" ht="22.5" customHeight="1">
      <c r="A1975" s="8">
        <v>46004.935962094911</v>
      </c>
      <c r="B1975" s="9" t="s">
        <v>14</v>
      </c>
      <c r="C1975" s="9" t="s">
        <v>15</v>
      </c>
      <c r="D1975" s="10" t="s">
        <v>4428</v>
      </c>
      <c r="E1975" s="9" t="s">
        <v>22</v>
      </c>
      <c r="F1975" s="10">
        <v>26</v>
      </c>
      <c r="G1975" s="11">
        <v>9014520450</v>
      </c>
      <c r="H1975" s="10" t="s">
        <v>4429</v>
      </c>
      <c r="I1975" s="10" t="s">
        <v>45</v>
      </c>
      <c r="J1975" s="10" t="s">
        <v>4430</v>
      </c>
      <c r="K1975" s="12">
        <v>46004</v>
      </c>
      <c r="L1975" s="28" t="s">
        <v>11</v>
      </c>
      <c r="M1975" s="14"/>
      <c r="N1975" s="10" t="s">
        <v>1096</v>
      </c>
    </row>
    <row r="1976" spans="1:14" ht="22.5" hidden="1" customHeight="1">
      <c r="A1976" s="8">
        <v>46004.937095543981</v>
      </c>
      <c r="B1976" s="9" t="s">
        <v>14</v>
      </c>
      <c r="C1976" s="9" t="s">
        <v>15</v>
      </c>
      <c r="D1976" s="10" t="s">
        <v>4431</v>
      </c>
      <c r="E1976" s="9" t="s">
        <v>22</v>
      </c>
      <c r="F1976" s="10">
        <v>27</v>
      </c>
      <c r="G1976" s="11">
        <v>9966704696</v>
      </c>
      <c r="H1976" s="10" t="s">
        <v>4432</v>
      </c>
      <c r="I1976" s="10" t="s">
        <v>27</v>
      </c>
      <c r="J1976" s="10" t="s">
        <v>372</v>
      </c>
      <c r="K1976" s="12">
        <v>46004</v>
      </c>
      <c r="L1976" s="10" t="s">
        <v>441</v>
      </c>
      <c r="M1976" s="10" t="s">
        <v>1361</v>
      </c>
      <c r="N1976" s="10" t="s">
        <v>1028</v>
      </c>
    </row>
    <row r="1977" spans="1:14" ht="22.5" customHeight="1">
      <c r="A1977" s="8">
        <v>46004.940610694444</v>
      </c>
      <c r="B1977" s="9" t="s">
        <v>14</v>
      </c>
      <c r="C1977" s="9" t="s">
        <v>15</v>
      </c>
      <c r="D1977" s="10" t="s">
        <v>4433</v>
      </c>
      <c r="E1977" s="9" t="s">
        <v>22</v>
      </c>
      <c r="F1977" s="10">
        <v>27</v>
      </c>
      <c r="G1977" s="11">
        <v>8063807010</v>
      </c>
      <c r="H1977" s="10" t="s">
        <v>4434</v>
      </c>
      <c r="I1977" s="10" t="s">
        <v>27</v>
      </c>
      <c r="J1977" s="10" t="s">
        <v>172</v>
      </c>
      <c r="K1977" s="12">
        <v>36024</v>
      </c>
      <c r="L1977" s="28" t="s">
        <v>11</v>
      </c>
      <c r="M1977" s="14"/>
      <c r="N1977" s="10" t="s">
        <v>1028</v>
      </c>
    </row>
    <row r="1978" spans="1:14" ht="22.5" customHeight="1">
      <c r="A1978" s="8">
        <v>46004.947293148143</v>
      </c>
      <c r="B1978" s="9" t="s">
        <v>14</v>
      </c>
      <c r="C1978" s="9" t="s">
        <v>15</v>
      </c>
      <c r="D1978" s="10" t="s">
        <v>4435</v>
      </c>
      <c r="E1978" s="9" t="s">
        <v>17</v>
      </c>
      <c r="F1978" s="10">
        <v>25</v>
      </c>
      <c r="G1978" s="11">
        <v>8023118903</v>
      </c>
      <c r="H1978" s="10" t="s">
        <v>4436</v>
      </c>
      <c r="I1978" s="10" t="s">
        <v>27</v>
      </c>
      <c r="J1978" s="10" t="s">
        <v>27</v>
      </c>
      <c r="K1978" s="12">
        <v>46004</v>
      </c>
      <c r="L1978" s="28" t="s">
        <v>11</v>
      </c>
      <c r="M1978" s="14"/>
      <c r="N1978" s="10" t="s">
        <v>1028</v>
      </c>
    </row>
    <row r="1979" spans="1:14" ht="22.5" customHeight="1">
      <c r="A1979" s="8">
        <v>46004.951287488424</v>
      </c>
      <c r="B1979" s="9" t="s">
        <v>14</v>
      </c>
      <c r="C1979" s="9" t="s">
        <v>15</v>
      </c>
      <c r="D1979" s="10" t="s">
        <v>4437</v>
      </c>
      <c r="E1979" s="9" t="s">
        <v>17</v>
      </c>
      <c r="F1979" s="10">
        <v>25</v>
      </c>
      <c r="G1979" s="11">
        <v>8125499976</v>
      </c>
      <c r="H1979" s="10" t="s">
        <v>4438</v>
      </c>
      <c r="I1979" s="10" t="s">
        <v>27</v>
      </c>
      <c r="J1979" s="10" t="s">
        <v>1514</v>
      </c>
      <c r="K1979" s="12">
        <v>46004</v>
      </c>
      <c r="L1979" s="28" t="s">
        <v>11</v>
      </c>
      <c r="M1979" s="14"/>
      <c r="N1979" s="10" t="s">
        <v>1028</v>
      </c>
    </row>
    <row r="1980" spans="1:14" ht="22.5" customHeight="1">
      <c r="A1980" s="8">
        <v>46004.959742581021</v>
      </c>
      <c r="B1980" s="9" t="s">
        <v>14</v>
      </c>
      <c r="C1980" s="9" t="s">
        <v>15</v>
      </c>
      <c r="D1980" s="10" t="s">
        <v>4439</v>
      </c>
      <c r="E1980" s="9" t="s">
        <v>17</v>
      </c>
      <c r="F1980" s="10">
        <v>26</v>
      </c>
      <c r="G1980" s="11">
        <v>9036201870</v>
      </c>
      <c r="H1980" s="10" t="s">
        <v>4440</v>
      </c>
      <c r="I1980" s="10" t="s">
        <v>27</v>
      </c>
      <c r="J1980" s="10" t="s">
        <v>703</v>
      </c>
      <c r="K1980" s="12">
        <v>46004</v>
      </c>
      <c r="L1980" s="28" t="s">
        <v>11</v>
      </c>
      <c r="M1980" s="14"/>
      <c r="N1980" s="10" t="s">
        <v>1028</v>
      </c>
    </row>
    <row r="1981" spans="1:14" ht="22.5" customHeight="1">
      <c r="A1981" s="8">
        <v>46004.971960729163</v>
      </c>
      <c r="B1981" s="9" t="s">
        <v>14</v>
      </c>
      <c r="C1981" s="9" t="s">
        <v>15</v>
      </c>
      <c r="D1981" s="10" t="s">
        <v>4441</v>
      </c>
      <c r="E1981" s="9" t="s">
        <v>22</v>
      </c>
      <c r="F1981" s="10">
        <v>28</v>
      </c>
      <c r="G1981" s="11">
        <v>7038761014</v>
      </c>
      <c r="H1981" s="10" t="s">
        <v>4442</v>
      </c>
      <c r="I1981" s="10" t="s">
        <v>45</v>
      </c>
      <c r="J1981" s="10" t="s">
        <v>623</v>
      </c>
      <c r="K1981" s="12">
        <v>46004</v>
      </c>
      <c r="L1981" s="28" t="s">
        <v>11</v>
      </c>
      <c r="M1981" s="10"/>
      <c r="N1981" s="10" t="s">
        <v>1028</v>
      </c>
    </row>
    <row r="1982" spans="1:14" ht="22.5" hidden="1" customHeight="1">
      <c r="A1982" s="8">
        <v>46004.972163495375</v>
      </c>
      <c r="B1982" s="9" t="s">
        <v>14</v>
      </c>
      <c r="C1982" s="9" t="s">
        <v>15</v>
      </c>
      <c r="D1982" s="10" t="s">
        <v>4443</v>
      </c>
      <c r="E1982" s="9" t="s">
        <v>17</v>
      </c>
      <c r="F1982" s="10">
        <v>30</v>
      </c>
      <c r="G1982" s="11">
        <v>7066438914</v>
      </c>
      <c r="H1982" s="10" t="s">
        <v>4444</v>
      </c>
      <c r="I1982" s="10" t="s">
        <v>45</v>
      </c>
      <c r="J1982" s="10" t="s">
        <v>46</v>
      </c>
      <c r="K1982" s="12">
        <v>46004</v>
      </c>
      <c r="L1982" s="10" t="s">
        <v>441</v>
      </c>
      <c r="M1982" s="10" t="s">
        <v>1361</v>
      </c>
      <c r="N1982" s="10" t="s">
        <v>1028</v>
      </c>
    </row>
    <row r="1983" spans="1:14" ht="22.5" customHeight="1">
      <c r="A1983" s="8">
        <v>46004.972456053241</v>
      </c>
      <c r="B1983" s="9" t="s">
        <v>14</v>
      </c>
      <c r="C1983" s="9" t="s">
        <v>15</v>
      </c>
      <c r="D1983" s="10" t="s">
        <v>4445</v>
      </c>
      <c r="E1983" s="9" t="s">
        <v>17</v>
      </c>
      <c r="F1983" s="10">
        <v>36</v>
      </c>
      <c r="G1983" s="11">
        <v>7011211414</v>
      </c>
      <c r="H1983" s="10" t="s">
        <v>4446</v>
      </c>
      <c r="I1983" s="10" t="s">
        <v>27</v>
      </c>
      <c r="J1983" s="10" t="s">
        <v>4447</v>
      </c>
      <c r="K1983" s="12">
        <v>46004</v>
      </c>
      <c r="L1983" s="28" t="s">
        <v>11</v>
      </c>
      <c r="M1983" s="14"/>
      <c r="N1983" s="10" t="s">
        <v>1028</v>
      </c>
    </row>
    <row r="1984" spans="1:14" ht="22.5" customHeight="1">
      <c r="A1984" s="8">
        <v>46004.976921423615</v>
      </c>
      <c r="B1984" s="9" t="s">
        <v>14</v>
      </c>
      <c r="C1984" s="9" t="s">
        <v>15</v>
      </c>
      <c r="D1984" s="10" t="s">
        <v>4448</v>
      </c>
      <c r="E1984" s="9" t="s">
        <v>22</v>
      </c>
      <c r="F1984" s="10">
        <v>26</v>
      </c>
      <c r="G1984" s="11">
        <v>8133851115</v>
      </c>
      <c r="H1984" s="10" t="s">
        <v>4449</v>
      </c>
      <c r="I1984" s="10" t="s">
        <v>45</v>
      </c>
      <c r="J1984" s="10" t="s">
        <v>4450</v>
      </c>
      <c r="K1984" s="12">
        <v>46004</v>
      </c>
      <c r="L1984" s="28" t="s">
        <v>11</v>
      </c>
      <c r="M1984" s="10"/>
      <c r="N1984" s="10" t="s">
        <v>1028</v>
      </c>
    </row>
    <row r="1985" spans="1:14" ht="22.5" customHeight="1">
      <c r="A1985" s="8">
        <v>46004.983583344903</v>
      </c>
      <c r="B1985" s="9" t="s">
        <v>14</v>
      </c>
      <c r="C1985" s="9" t="s">
        <v>15</v>
      </c>
      <c r="D1985" s="10" t="s">
        <v>4451</v>
      </c>
      <c r="E1985" s="9" t="s">
        <v>22</v>
      </c>
      <c r="F1985" s="10">
        <v>27</v>
      </c>
      <c r="G1985" s="11">
        <v>9039055487</v>
      </c>
      <c r="H1985" s="10" t="s">
        <v>4452</v>
      </c>
      <c r="I1985" s="10" t="s">
        <v>27</v>
      </c>
      <c r="J1985" s="10" t="s">
        <v>70</v>
      </c>
      <c r="K1985" s="12">
        <v>46004</v>
      </c>
      <c r="L1985" s="28" t="s">
        <v>11</v>
      </c>
      <c r="M1985" s="14"/>
      <c r="N1985" s="10" t="s">
        <v>1028</v>
      </c>
    </row>
    <row r="1986" spans="1:14" ht="22.5" customHeight="1">
      <c r="A1986" s="8">
        <v>46004.992666608799</v>
      </c>
      <c r="B1986" s="9" t="s">
        <v>14</v>
      </c>
      <c r="C1986" s="9" t="s">
        <v>15</v>
      </c>
      <c r="D1986" s="10" t="s">
        <v>4453</v>
      </c>
      <c r="E1986" s="9" t="s">
        <v>22</v>
      </c>
      <c r="F1986" s="10">
        <v>24</v>
      </c>
      <c r="G1986" s="11">
        <v>7070722632</v>
      </c>
      <c r="H1986" s="10" t="s">
        <v>4454</v>
      </c>
      <c r="I1986" s="10" t="s">
        <v>202</v>
      </c>
      <c r="J1986" s="10" t="s">
        <v>3682</v>
      </c>
      <c r="K1986" s="12">
        <v>46004</v>
      </c>
      <c r="L1986" s="28" t="s">
        <v>11</v>
      </c>
      <c r="M1986" s="14"/>
      <c r="N1986" s="10" t="s">
        <v>1028</v>
      </c>
    </row>
    <row r="1987" spans="1:14" ht="22.5" customHeight="1">
      <c r="A1987" s="8">
        <v>46004.998338599537</v>
      </c>
      <c r="B1987" s="9" t="s">
        <v>14</v>
      </c>
      <c r="C1987" s="9" t="s">
        <v>15</v>
      </c>
      <c r="D1987" s="10" t="s">
        <v>4455</v>
      </c>
      <c r="E1987" s="9" t="s">
        <v>22</v>
      </c>
      <c r="F1987" s="10">
        <v>30</v>
      </c>
      <c r="G1987" s="11">
        <v>8135130569</v>
      </c>
      <c r="H1987" s="10" t="s">
        <v>4456</v>
      </c>
      <c r="I1987" s="10" t="s">
        <v>19</v>
      </c>
      <c r="J1987" s="10" t="s">
        <v>2221</v>
      </c>
      <c r="K1987" s="12">
        <v>46004</v>
      </c>
      <c r="L1987" s="28" t="s">
        <v>11</v>
      </c>
      <c r="M1987" s="14"/>
      <c r="N1987" s="10" t="s">
        <v>1028</v>
      </c>
    </row>
    <row r="1988" spans="1:14" ht="22.5" customHeight="1">
      <c r="A1988" s="8">
        <v>46005.000326527777</v>
      </c>
      <c r="B1988" s="9" t="s">
        <v>14</v>
      </c>
      <c r="C1988" s="9" t="s">
        <v>15</v>
      </c>
      <c r="D1988" s="10" t="s">
        <v>3282</v>
      </c>
      <c r="E1988" s="9" t="s">
        <v>22</v>
      </c>
      <c r="F1988" s="10">
        <v>25</v>
      </c>
      <c r="G1988" s="11">
        <v>7065748886</v>
      </c>
      <c r="H1988" s="10" t="s">
        <v>3283</v>
      </c>
      <c r="I1988" s="10" t="s">
        <v>27</v>
      </c>
      <c r="J1988" s="10" t="s">
        <v>172</v>
      </c>
      <c r="K1988" s="12">
        <v>46005</v>
      </c>
      <c r="L1988" s="28" t="s">
        <v>11</v>
      </c>
      <c r="M1988" s="14"/>
      <c r="N1988" s="10" t="s">
        <v>1028</v>
      </c>
    </row>
    <row r="1989" spans="1:14" ht="22.5" customHeight="1">
      <c r="A1989" s="8">
        <v>46005.001688113422</v>
      </c>
      <c r="B1989" s="9" t="s">
        <v>14</v>
      </c>
      <c r="C1989" s="9" t="s">
        <v>15</v>
      </c>
      <c r="D1989" s="10" t="s">
        <v>4457</v>
      </c>
      <c r="E1989" s="9" t="s">
        <v>22</v>
      </c>
      <c r="F1989" s="10">
        <v>35</v>
      </c>
      <c r="G1989" s="11">
        <v>8136339795</v>
      </c>
      <c r="H1989" s="10" t="s">
        <v>4458</v>
      </c>
      <c r="I1989" s="10" t="s">
        <v>27</v>
      </c>
      <c r="J1989" s="10" t="s">
        <v>703</v>
      </c>
      <c r="K1989" s="12">
        <v>46005</v>
      </c>
      <c r="L1989" s="28" t="s">
        <v>11</v>
      </c>
      <c r="M1989" s="14"/>
      <c r="N1989" s="10" t="s">
        <v>1028</v>
      </c>
    </row>
    <row r="1990" spans="1:14" ht="22.5" customHeight="1">
      <c r="A1990" s="8">
        <v>46005.003208321759</v>
      </c>
      <c r="B1990" s="9" t="s">
        <v>14</v>
      </c>
      <c r="C1990" s="9" t="s">
        <v>15</v>
      </c>
      <c r="D1990" s="10" t="s">
        <v>4459</v>
      </c>
      <c r="E1990" s="9" t="s">
        <v>17</v>
      </c>
      <c r="F1990" s="10">
        <v>33</v>
      </c>
      <c r="G1990" s="11">
        <v>8065440346</v>
      </c>
      <c r="H1990" s="10" t="s">
        <v>4460</v>
      </c>
      <c r="I1990" s="10" t="s">
        <v>27</v>
      </c>
      <c r="J1990" s="10" t="s">
        <v>42</v>
      </c>
      <c r="K1990" s="12">
        <v>46005</v>
      </c>
      <c r="L1990" s="28" t="s">
        <v>11</v>
      </c>
      <c r="M1990" s="14"/>
      <c r="N1990" s="10" t="s">
        <v>1028</v>
      </c>
    </row>
    <row r="1991" spans="1:14" ht="22.5" customHeight="1">
      <c r="A1991" s="8">
        <v>46005.006445868057</v>
      </c>
      <c r="B1991" s="9" t="s">
        <v>14</v>
      </c>
      <c r="C1991" s="9" t="s">
        <v>15</v>
      </c>
      <c r="D1991" s="10" t="s">
        <v>4461</v>
      </c>
      <c r="E1991" s="9" t="s">
        <v>17</v>
      </c>
      <c r="F1991" s="10">
        <v>35</v>
      </c>
      <c r="G1991" s="11">
        <v>8067501249</v>
      </c>
      <c r="H1991" s="10" t="s">
        <v>4462</v>
      </c>
      <c r="I1991" s="10" t="s">
        <v>27</v>
      </c>
      <c r="J1991" s="10" t="s">
        <v>2069</v>
      </c>
      <c r="K1991" s="12">
        <v>46005</v>
      </c>
      <c r="L1991" s="28" t="s">
        <v>11</v>
      </c>
      <c r="M1991" s="14"/>
      <c r="N1991" s="10" t="s">
        <v>1028</v>
      </c>
    </row>
    <row r="1992" spans="1:14" ht="22.5" customHeight="1">
      <c r="A1992" s="8">
        <v>46005.007971307874</v>
      </c>
      <c r="B1992" s="9" t="s">
        <v>14</v>
      </c>
      <c r="C1992" s="9" t="s">
        <v>15</v>
      </c>
      <c r="D1992" s="10" t="s">
        <v>4463</v>
      </c>
      <c r="E1992" s="9" t="s">
        <v>17</v>
      </c>
      <c r="F1992" s="10">
        <v>24</v>
      </c>
      <c r="G1992" s="11">
        <v>9131800357</v>
      </c>
      <c r="H1992" s="10" t="s">
        <v>4464</v>
      </c>
      <c r="I1992" s="10" t="s">
        <v>45</v>
      </c>
      <c r="J1992" s="10" t="s">
        <v>46</v>
      </c>
      <c r="K1992" s="12">
        <v>46005</v>
      </c>
      <c r="L1992" s="28" t="s">
        <v>11</v>
      </c>
      <c r="M1992" s="14"/>
      <c r="N1992" s="10" t="s">
        <v>1028</v>
      </c>
    </row>
    <row r="1993" spans="1:14" ht="22.5" customHeight="1">
      <c r="A1993" s="8">
        <v>46005.033619548616</v>
      </c>
      <c r="B1993" s="9" t="s">
        <v>14</v>
      </c>
      <c r="C1993" s="9" t="s">
        <v>15</v>
      </c>
      <c r="D1993" s="10" t="s">
        <v>4465</v>
      </c>
      <c r="E1993" s="9" t="s">
        <v>22</v>
      </c>
      <c r="F1993" s="10">
        <v>40</v>
      </c>
      <c r="G1993" s="11">
        <v>8035946818</v>
      </c>
      <c r="H1993" s="10" t="s">
        <v>4466</v>
      </c>
      <c r="I1993" s="10" t="s">
        <v>27</v>
      </c>
      <c r="J1993" s="10" t="s">
        <v>70</v>
      </c>
      <c r="K1993" s="12">
        <v>46005</v>
      </c>
      <c r="L1993" s="28" t="s">
        <v>11</v>
      </c>
      <c r="M1993" s="14"/>
      <c r="N1993" s="10" t="s">
        <v>1028</v>
      </c>
    </row>
    <row r="1994" spans="1:14" ht="22.5" customHeight="1">
      <c r="A1994" s="8">
        <v>46005.052719953703</v>
      </c>
      <c r="B1994" s="9" t="s">
        <v>14</v>
      </c>
      <c r="C1994" s="9" t="s">
        <v>15</v>
      </c>
      <c r="D1994" s="10" t="s">
        <v>4467</v>
      </c>
      <c r="E1994" s="9" t="s">
        <v>17</v>
      </c>
      <c r="F1994" s="10">
        <v>26</v>
      </c>
      <c r="G1994" s="11">
        <v>9065393384</v>
      </c>
      <c r="H1994" s="10" t="s">
        <v>4468</v>
      </c>
      <c r="I1994" s="10" t="s">
        <v>31</v>
      </c>
      <c r="J1994" s="10" t="s">
        <v>4469</v>
      </c>
      <c r="K1994" s="12">
        <v>46005</v>
      </c>
      <c r="L1994" s="28" t="s">
        <v>11</v>
      </c>
      <c r="M1994" s="14"/>
      <c r="N1994" s="10" t="s">
        <v>1028</v>
      </c>
    </row>
    <row r="1995" spans="1:14" ht="22.5" customHeight="1">
      <c r="A1995" s="8">
        <v>46005.062575706019</v>
      </c>
      <c r="B1995" s="9" t="s">
        <v>14</v>
      </c>
      <c r="C1995" s="9" t="s">
        <v>15</v>
      </c>
      <c r="D1995" s="10" t="s">
        <v>4470</v>
      </c>
      <c r="E1995" s="9" t="s">
        <v>22</v>
      </c>
      <c r="F1995" s="10">
        <v>24</v>
      </c>
      <c r="G1995" s="11">
        <v>9043835746</v>
      </c>
      <c r="H1995" s="10" t="s">
        <v>4471</v>
      </c>
      <c r="I1995" s="10" t="s">
        <v>27</v>
      </c>
      <c r="J1995" s="10" t="s">
        <v>372</v>
      </c>
      <c r="K1995" s="12">
        <v>46005</v>
      </c>
      <c r="L1995" s="28" t="s">
        <v>11</v>
      </c>
      <c r="M1995" s="14"/>
      <c r="N1995" s="10" t="s">
        <v>1028</v>
      </c>
    </row>
    <row r="1996" spans="1:14" ht="22.5" customHeight="1">
      <c r="A1996" s="8">
        <v>46005.133855057866</v>
      </c>
      <c r="B1996" s="9" t="s">
        <v>14</v>
      </c>
      <c r="C1996" s="9" t="s">
        <v>15</v>
      </c>
      <c r="D1996" s="10" t="s">
        <v>4472</v>
      </c>
      <c r="E1996" s="9" t="s">
        <v>17</v>
      </c>
      <c r="F1996" s="10">
        <v>33</v>
      </c>
      <c r="G1996" s="11">
        <v>8163307879</v>
      </c>
      <c r="H1996" s="10" t="s">
        <v>4473</v>
      </c>
      <c r="I1996" s="10" t="s">
        <v>49</v>
      </c>
      <c r="J1996" s="10" t="s">
        <v>157</v>
      </c>
      <c r="K1996" s="12">
        <v>46005</v>
      </c>
      <c r="L1996" s="28" t="s">
        <v>11</v>
      </c>
      <c r="M1996" s="14"/>
      <c r="N1996" s="10" t="s">
        <v>4474</v>
      </c>
    </row>
    <row r="1997" spans="1:14" ht="22.5" customHeight="1">
      <c r="A1997" s="8">
        <v>46005.139516990741</v>
      </c>
      <c r="B1997" s="9" t="s">
        <v>14</v>
      </c>
      <c r="C1997" s="9" t="s">
        <v>15</v>
      </c>
      <c r="D1997" s="10" t="s">
        <v>4475</v>
      </c>
      <c r="E1997" s="9" t="s">
        <v>17</v>
      </c>
      <c r="F1997" s="10">
        <v>25</v>
      </c>
      <c r="G1997" s="11">
        <v>7064889086</v>
      </c>
      <c r="H1997" s="10" t="s">
        <v>4476</v>
      </c>
      <c r="I1997" s="10" t="s">
        <v>27</v>
      </c>
      <c r="J1997" s="10" t="s">
        <v>4477</v>
      </c>
      <c r="K1997" s="12">
        <v>46005</v>
      </c>
      <c r="L1997" s="28" t="s">
        <v>11</v>
      </c>
      <c r="M1997" s="14"/>
      <c r="N1997" s="10" t="s">
        <v>4478</v>
      </c>
    </row>
    <row r="1998" spans="1:14" ht="22.5" customHeight="1">
      <c r="A1998" s="8">
        <v>46005.177460729166</v>
      </c>
      <c r="B1998" s="9" t="s">
        <v>14</v>
      </c>
      <c r="C1998" s="9" t="s">
        <v>15</v>
      </c>
      <c r="D1998" s="10" t="s">
        <v>4479</v>
      </c>
      <c r="E1998" s="9" t="s">
        <v>22</v>
      </c>
      <c r="F1998" s="10">
        <v>20</v>
      </c>
      <c r="G1998" s="11">
        <v>8133326834</v>
      </c>
      <c r="H1998" s="10" t="s">
        <v>4480</v>
      </c>
      <c r="I1998" s="10" t="s">
        <v>49</v>
      </c>
      <c r="J1998" s="10" t="s">
        <v>4481</v>
      </c>
      <c r="K1998" s="12">
        <v>46005</v>
      </c>
      <c r="L1998" s="28" t="s">
        <v>11</v>
      </c>
      <c r="M1998" s="14"/>
      <c r="N1998" s="10" t="s">
        <v>1028</v>
      </c>
    </row>
    <row r="1999" spans="1:14" ht="22.5" customHeight="1">
      <c r="A1999" s="8">
        <v>46005.202541377315</v>
      </c>
      <c r="B1999" s="9" t="s">
        <v>14</v>
      </c>
      <c r="C1999" s="9" t="s">
        <v>15</v>
      </c>
      <c r="D1999" s="10" t="s">
        <v>4482</v>
      </c>
      <c r="E1999" s="9" t="s">
        <v>17</v>
      </c>
      <c r="F1999" s="10">
        <v>22</v>
      </c>
      <c r="G1999" s="11">
        <v>9152334438</v>
      </c>
      <c r="H1999" s="10" t="s">
        <v>4483</v>
      </c>
      <c r="I1999" s="10" t="s">
        <v>45</v>
      </c>
      <c r="J1999" s="10" t="s">
        <v>46</v>
      </c>
      <c r="K1999" s="12">
        <v>46005</v>
      </c>
      <c r="L1999" s="28" t="s">
        <v>11</v>
      </c>
      <c r="M1999" s="14"/>
      <c r="N1999" s="10" t="s">
        <v>1096</v>
      </c>
    </row>
    <row r="2000" spans="1:14" ht="22.5" customHeight="1">
      <c r="A2000" s="8">
        <v>46005.244036770833</v>
      </c>
      <c r="B2000" s="9" t="s">
        <v>14</v>
      </c>
      <c r="C2000" s="9" t="s">
        <v>15</v>
      </c>
      <c r="D2000" s="10" t="s">
        <v>4484</v>
      </c>
      <c r="E2000" s="9" t="s">
        <v>22</v>
      </c>
      <c r="F2000" s="10">
        <v>53</v>
      </c>
      <c r="G2000" s="11">
        <v>7018211753</v>
      </c>
      <c r="H2000" s="10" t="s">
        <v>4485</v>
      </c>
      <c r="I2000" s="10" t="s">
        <v>31</v>
      </c>
      <c r="J2000" s="10" t="s">
        <v>32</v>
      </c>
      <c r="K2000" s="12">
        <v>46005</v>
      </c>
      <c r="L2000" s="28" t="s">
        <v>11</v>
      </c>
      <c r="M2000" s="14"/>
      <c r="N2000" s="10" t="s">
        <v>1028</v>
      </c>
    </row>
    <row r="2001" spans="1:14" ht="22.5" customHeight="1">
      <c r="A2001" s="8">
        <v>46005.254488067134</v>
      </c>
      <c r="B2001" s="9" t="s">
        <v>14</v>
      </c>
      <c r="C2001" s="9" t="s">
        <v>15</v>
      </c>
      <c r="D2001" s="10" t="s">
        <v>4486</v>
      </c>
      <c r="E2001" s="9" t="s">
        <v>17</v>
      </c>
      <c r="F2001" s="10">
        <v>27</v>
      </c>
      <c r="G2001" s="11">
        <f>254798893826</f>
        <v>254798893826</v>
      </c>
      <c r="H2001" s="10" t="s">
        <v>4487</v>
      </c>
      <c r="I2001" s="10" t="s">
        <v>202</v>
      </c>
      <c r="J2001" s="10" t="s">
        <v>2167</v>
      </c>
      <c r="K2001" s="12">
        <v>46005</v>
      </c>
      <c r="L2001" s="28" t="s">
        <v>11</v>
      </c>
      <c r="M2001" s="14"/>
      <c r="N2001" s="10" t="s">
        <v>1028</v>
      </c>
    </row>
    <row r="2002" spans="1:14" ht="22.5" customHeight="1">
      <c r="A2002" s="8">
        <v>46005.258445405096</v>
      </c>
      <c r="B2002" s="9" t="s">
        <v>14</v>
      </c>
      <c r="C2002" s="9" t="s">
        <v>15</v>
      </c>
      <c r="D2002" s="10" t="s">
        <v>4488</v>
      </c>
      <c r="E2002" s="9" t="s">
        <v>22</v>
      </c>
      <c r="F2002" s="10">
        <v>25</v>
      </c>
      <c r="G2002" s="11">
        <v>8163529479</v>
      </c>
      <c r="H2002" s="10" t="s">
        <v>4489</v>
      </c>
      <c r="I2002" s="10" t="s">
        <v>45</v>
      </c>
      <c r="J2002" s="10" t="s">
        <v>932</v>
      </c>
      <c r="K2002" s="12">
        <v>46005</v>
      </c>
      <c r="L2002" s="28" t="s">
        <v>11</v>
      </c>
      <c r="M2002" s="14"/>
      <c r="N2002" s="10" t="s">
        <v>1096</v>
      </c>
    </row>
    <row r="2003" spans="1:14" ht="22.5" customHeight="1">
      <c r="A2003" s="8">
        <v>46005.263962037032</v>
      </c>
      <c r="B2003" s="9" t="s">
        <v>14</v>
      </c>
      <c r="C2003" s="9" t="s">
        <v>15</v>
      </c>
      <c r="D2003" s="10" t="s">
        <v>4490</v>
      </c>
      <c r="E2003" s="9" t="s">
        <v>17</v>
      </c>
      <c r="F2003" s="19">
        <v>1</v>
      </c>
      <c r="G2003" s="11">
        <v>8063435661</v>
      </c>
      <c r="H2003" s="10" t="s">
        <v>4491</v>
      </c>
      <c r="I2003" s="10" t="s">
        <v>27</v>
      </c>
      <c r="J2003" s="10" t="s">
        <v>172</v>
      </c>
      <c r="K2003" s="12">
        <v>46005</v>
      </c>
      <c r="L2003" s="28" t="s">
        <v>11</v>
      </c>
      <c r="M2003" s="14"/>
      <c r="N2003" s="10" t="s">
        <v>1028</v>
      </c>
    </row>
    <row r="2004" spans="1:14" ht="22.5" customHeight="1">
      <c r="A2004" s="8">
        <v>46005.264072395832</v>
      </c>
      <c r="B2004" s="9" t="s">
        <v>14</v>
      </c>
      <c r="C2004" s="9" t="s">
        <v>15</v>
      </c>
      <c r="D2004" s="10" t="s">
        <v>4492</v>
      </c>
      <c r="E2004" s="9" t="s">
        <v>17</v>
      </c>
      <c r="F2004" s="18">
        <v>1</v>
      </c>
      <c r="G2004" s="11">
        <v>9011600457</v>
      </c>
      <c r="H2004" s="10" t="s">
        <v>4493</v>
      </c>
      <c r="I2004" s="10" t="s">
        <v>27</v>
      </c>
      <c r="J2004" s="10" t="s">
        <v>4494</v>
      </c>
      <c r="K2004" s="12">
        <v>46005</v>
      </c>
      <c r="L2004" s="28" t="s">
        <v>11</v>
      </c>
      <c r="M2004" s="14"/>
      <c r="N2004" s="10" t="s">
        <v>1028</v>
      </c>
    </row>
    <row r="2005" spans="1:14" ht="22.5" customHeight="1">
      <c r="A2005" s="8">
        <v>46005.264201087964</v>
      </c>
      <c r="B2005" s="9" t="s">
        <v>14</v>
      </c>
      <c r="C2005" s="9" t="s">
        <v>15</v>
      </c>
      <c r="D2005" s="10" t="s">
        <v>948</v>
      </c>
      <c r="E2005" s="9" t="s">
        <v>22</v>
      </c>
      <c r="F2005" s="10">
        <v>32</v>
      </c>
      <c r="G2005" s="11">
        <v>8135508910</v>
      </c>
      <c r="H2005" s="10" t="s">
        <v>4495</v>
      </c>
      <c r="I2005" s="10" t="s">
        <v>202</v>
      </c>
      <c r="J2005" s="10" t="s">
        <v>2105</v>
      </c>
      <c r="K2005" s="12">
        <v>46005</v>
      </c>
      <c r="L2005" s="28" t="s">
        <v>11</v>
      </c>
      <c r="M2005" s="14"/>
      <c r="N2005" s="10" t="s">
        <v>1209</v>
      </c>
    </row>
    <row r="2006" spans="1:14" ht="22.5" customHeight="1">
      <c r="A2006" s="8">
        <v>46005.272492233795</v>
      </c>
      <c r="B2006" s="9" t="s">
        <v>14</v>
      </c>
      <c r="C2006" s="9" t="s">
        <v>15</v>
      </c>
      <c r="D2006" s="10" t="s">
        <v>4496</v>
      </c>
      <c r="E2006" s="9" t="s">
        <v>17</v>
      </c>
      <c r="F2006" s="10">
        <v>25</v>
      </c>
      <c r="G2006" s="11">
        <f>2348100814949</f>
        <v>2348100814949</v>
      </c>
      <c r="H2006" s="10" t="s">
        <v>4497</v>
      </c>
      <c r="I2006" s="10" t="s">
        <v>45</v>
      </c>
      <c r="J2006" s="10" t="s">
        <v>4498</v>
      </c>
      <c r="K2006" s="12">
        <v>46005</v>
      </c>
      <c r="L2006" s="28" t="s">
        <v>11</v>
      </c>
      <c r="M2006" s="14"/>
      <c r="N2006" s="10" t="s">
        <v>1028</v>
      </c>
    </row>
    <row r="2007" spans="1:14" ht="22.5" customHeight="1">
      <c r="A2007" s="8">
        <v>46005.278090405089</v>
      </c>
      <c r="B2007" s="9" t="s">
        <v>14</v>
      </c>
      <c r="C2007" s="9" t="s">
        <v>15</v>
      </c>
      <c r="D2007" s="10" t="s">
        <v>4499</v>
      </c>
      <c r="E2007" s="9" t="s">
        <v>17</v>
      </c>
      <c r="F2007" s="10">
        <v>23</v>
      </c>
      <c r="G2007" s="11">
        <v>7068826619</v>
      </c>
      <c r="H2007" s="10" t="s">
        <v>4500</v>
      </c>
      <c r="I2007" s="10" t="s">
        <v>27</v>
      </c>
      <c r="J2007" s="10" t="s">
        <v>172</v>
      </c>
      <c r="K2007" s="12">
        <v>46005</v>
      </c>
      <c r="L2007" s="28" t="s">
        <v>11</v>
      </c>
      <c r="M2007" s="14"/>
      <c r="N2007" s="10" t="s">
        <v>1028</v>
      </c>
    </row>
    <row r="2008" spans="1:14" ht="22.5" customHeight="1">
      <c r="A2008" s="8">
        <v>46005.281652824073</v>
      </c>
      <c r="B2008" s="9" t="s">
        <v>14</v>
      </c>
      <c r="C2008" s="9" t="s">
        <v>15</v>
      </c>
      <c r="D2008" s="10" t="s">
        <v>4501</v>
      </c>
      <c r="E2008" s="9" t="s">
        <v>22</v>
      </c>
      <c r="F2008" s="10">
        <v>21</v>
      </c>
      <c r="G2008" s="11">
        <v>8032948772</v>
      </c>
      <c r="H2008" s="10" t="s">
        <v>4502</v>
      </c>
      <c r="I2008" s="10" t="s">
        <v>27</v>
      </c>
      <c r="J2008" s="10" t="s">
        <v>28</v>
      </c>
      <c r="K2008" s="12">
        <v>46005</v>
      </c>
      <c r="L2008" s="28" t="s">
        <v>11</v>
      </c>
      <c r="M2008" s="14"/>
      <c r="N2008" s="10" t="s">
        <v>1028</v>
      </c>
    </row>
    <row r="2009" spans="1:14" ht="22.5" customHeight="1">
      <c r="A2009" s="8">
        <v>46005.284059224534</v>
      </c>
      <c r="B2009" s="9" t="s">
        <v>14</v>
      </c>
      <c r="C2009" s="9" t="s">
        <v>15</v>
      </c>
      <c r="D2009" s="10" t="s">
        <v>4503</v>
      </c>
      <c r="E2009" s="9" t="s">
        <v>22</v>
      </c>
      <c r="F2009" s="10">
        <v>18</v>
      </c>
      <c r="G2009" s="11">
        <v>8165567368</v>
      </c>
      <c r="H2009" s="10" t="s">
        <v>4504</v>
      </c>
      <c r="I2009" s="10" t="s">
        <v>27</v>
      </c>
      <c r="J2009" s="10" t="s">
        <v>42</v>
      </c>
      <c r="K2009" s="12">
        <v>46005</v>
      </c>
      <c r="L2009" s="28" t="s">
        <v>11</v>
      </c>
      <c r="M2009" s="14"/>
      <c r="N2009" s="10" t="s">
        <v>1028</v>
      </c>
    </row>
    <row r="2010" spans="1:14" ht="22.5" customHeight="1">
      <c r="A2010" s="8">
        <v>46005.291071388885</v>
      </c>
      <c r="B2010" s="9" t="s">
        <v>14</v>
      </c>
      <c r="C2010" s="9" t="s">
        <v>15</v>
      </c>
      <c r="D2010" s="10" t="s">
        <v>4505</v>
      </c>
      <c r="E2010" s="9" t="s">
        <v>22</v>
      </c>
      <c r="F2010" s="10">
        <v>23</v>
      </c>
      <c r="G2010" s="11">
        <v>8144607153</v>
      </c>
      <c r="H2010" s="10" t="s">
        <v>4506</v>
      </c>
      <c r="I2010" s="10" t="s">
        <v>27</v>
      </c>
      <c r="J2010" s="10" t="s">
        <v>42</v>
      </c>
      <c r="K2010" s="12">
        <v>46005</v>
      </c>
      <c r="L2010" s="28" t="s">
        <v>11</v>
      </c>
      <c r="M2010" s="14"/>
      <c r="N2010" s="10" t="s">
        <v>1028</v>
      </c>
    </row>
    <row r="2011" spans="1:14" ht="22.5" customHeight="1">
      <c r="A2011" s="8">
        <v>46005.295207719908</v>
      </c>
      <c r="B2011" s="9" t="s">
        <v>14</v>
      </c>
      <c r="C2011" s="9" t="s">
        <v>15</v>
      </c>
      <c r="D2011" s="10" t="s">
        <v>2757</v>
      </c>
      <c r="E2011" s="9" t="s">
        <v>22</v>
      </c>
      <c r="F2011" s="10">
        <v>36</v>
      </c>
      <c r="G2011" s="11">
        <v>7066873943</v>
      </c>
      <c r="H2011" s="10" t="s">
        <v>3818</v>
      </c>
      <c r="I2011" s="10" t="s">
        <v>49</v>
      </c>
      <c r="J2011" s="10" t="s">
        <v>106</v>
      </c>
      <c r="K2011" s="12">
        <v>46005</v>
      </c>
      <c r="L2011" s="28" t="s">
        <v>11</v>
      </c>
      <c r="M2011" s="14"/>
      <c r="N2011" s="10" t="s">
        <v>1028</v>
      </c>
    </row>
    <row r="2012" spans="1:14" ht="22.5" customHeight="1">
      <c r="A2012" s="8">
        <v>46005.2987330787</v>
      </c>
      <c r="B2012" s="9" t="s">
        <v>14</v>
      </c>
      <c r="C2012" s="9" t="s">
        <v>15</v>
      </c>
      <c r="D2012" s="10" t="s">
        <v>4507</v>
      </c>
      <c r="E2012" s="9" t="s">
        <v>17</v>
      </c>
      <c r="F2012" s="19">
        <v>38</v>
      </c>
      <c r="G2012" s="11">
        <v>7031073792</v>
      </c>
      <c r="H2012" s="10" t="s">
        <v>4508</v>
      </c>
      <c r="I2012" s="10" t="s">
        <v>145</v>
      </c>
      <c r="J2012" s="10" t="s">
        <v>4509</v>
      </c>
      <c r="K2012" s="12">
        <v>46005</v>
      </c>
      <c r="L2012" s="28" t="s">
        <v>11</v>
      </c>
      <c r="M2012" s="14"/>
      <c r="N2012" s="10" t="s">
        <v>1028</v>
      </c>
    </row>
    <row r="2013" spans="1:14" ht="22.5" customHeight="1">
      <c r="A2013" s="8">
        <v>46005.300651620375</v>
      </c>
      <c r="B2013" s="9" t="s">
        <v>14</v>
      </c>
      <c r="C2013" s="9" t="s">
        <v>15</v>
      </c>
      <c r="D2013" s="10" t="s">
        <v>4510</v>
      </c>
      <c r="E2013" s="9" t="s">
        <v>22</v>
      </c>
      <c r="F2013" s="10">
        <v>23</v>
      </c>
      <c r="G2013" s="11">
        <v>9032583442</v>
      </c>
      <c r="H2013" s="10" t="s">
        <v>2865</v>
      </c>
      <c r="I2013" s="10" t="s">
        <v>27</v>
      </c>
      <c r="J2013" s="10" t="s">
        <v>4511</v>
      </c>
      <c r="K2013" s="12">
        <v>45912</v>
      </c>
      <c r="L2013" s="28" t="s">
        <v>11</v>
      </c>
      <c r="M2013" s="10"/>
      <c r="N2013" s="10" t="s">
        <v>1096</v>
      </c>
    </row>
    <row r="2014" spans="1:14" ht="22.5" hidden="1" customHeight="1">
      <c r="A2014" s="8">
        <v>46005.302473425923</v>
      </c>
      <c r="B2014" s="9" t="s">
        <v>14</v>
      </c>
      <c r="C2014" s="9" t="s">
        <v>15</v>
      </c>
      <c r="D2014" s="10" t="s">
        <v>4512</v>
      </c>
      <c r="E2014" s="9" t="s">
        <v>17</v>
      </c>
      <c r="F2014" s="10">
        <v>23</v>
      </c>
      <c r="G2014" s="11">
        <v>7044428001</v>
      </c>
      <c r="H2014" s="10" t="s">
        <v>4513</v>
      </c>
      <c r="I2014" s="10" t="s">
        <v>27</v>
      </c>
      <c r="J2014" s="10" t="s">
        <v>2855</v>
      </c>
      <c r="K2014" s="12">
        <v>46005</v>
      </c>
      <c r="L2014" s="10" t="s">
        <v>441</v>
      </c>
      <c r="M2014" s="10" t="s">
        <v>1361</v>
      </c>
      <c r="N2014" s="10" t="s">
        <v>1028</v>
      </c>
    </row>
    <row r="2015" spans="1:14" ht="22.5" customHeight="1">
      <c r="A2015" s="8">
        <v>46005.30321268519</v>
      </c>
      <c r="B2015" s="9" t="s">
        <v>14</v>
      </c>
      <c r="C2015" s="9" t="s">
        <v>15</v>
      </c>
      <c r="D2015" s="10" t="s">
        <v>4514</v>
      </c>
      <c r="E2015" s="9" t="s">
        <v>22</v>
      </c>
      <c r="F2015" s="10">
        <v>30</v>
      </c>
      <c r="G2015" s="11">
        <v>8038025492</v>
      </c>
      <c r="H2015" s="10" t="s">
        <v>4515</v>
      </c>
      <c r="I2015" s="10" t="s">
        <v>27</v>
      </c>
      <c r="J2015" s="10" t="s">
        <v>1514</v>
      </c>
      <c r="K2015" s="12">
        <v>46005</v>
      </c>
      <c r="L2015" s="28" t="s">
        <v>11</v>
      </c>
      <c r="M2015" s="14"/>
      <c r="N2015" s="10" t="s">
        <v>1028</v>
      </c>
    </row>
    <row r="2016" spans="1:14" ht="22.5" customHeight="1">
      <c r="A2016" s="8">
        <v>46005.304658969908</v>
      </c>
      <c r="B2016" s="9" t="s">
        <v>14</v>
      </c>
      <c r="C2016" s="9" t="s">
        <v>15</v>
      </c>
      <c r="D2016" s="10" t="s">
        <v>4516</v>
      </c>
      <c r="E2016" s="9" t="s">
        <v>22</v>
      </c>
      <c r="F2016" s="10">
        <v>45</v>
      </c>
      <c r="G2016" s="11">
        <v>8132516441</v>
      </c>
      <c r="H2016" s="10" t="s">
        <v>4517</v>
      </c>
      <c r="I2016" s="10" t="s">
        <v>27</v>
      </c>
      <c r="J2016" s="10" t="s">
        <v>1902</v>
      </c>
      <c r="K2016" s="12">
        <v>46005</v>
      </c>
      <c r="L2016" s="28" t="s">
        <v>11</v>
      </c>
      <c r="M2016" s="14"/>
      <c r="N2016" s="10" t="s">
        <v>1028</v>
      </c>
    </row>
    <row r="2017" spans="1:14" ht="22.5" customHeight="1">
      <c r="A2017" s="8">
        <v>46005.306758206018</v>
      </c>
      <c r="B2017" s="9" t="s">
        <v>14</v>
      </c>
      <c r="C2017" s="9" t="s">
        <v>15</v>
      </c>
      <c r="D2017" s="10" t="s">
        <v>4518</v>
      </c>
      <c r="E2017" s="9" t="s">
        <v>17</v>
      </c>
      <c r="F2017" s="10">
        <v>32</v>
      </c>
      <c r="G2017" s="11">
        <v>7036725748</v>
      </c>
      <c r="H2017" s="10" t="s">
        <v>4519</v>
      </c>
      <c r="I2017" s="10" t="s">
        <v>45</v>
      </c>
      <c r="J2017" s="10" t="s">
        <v>84</v>
      </c>
      <c r="K2017" s="12">
        <v>46005</v>
      </c>
      <c r="L2017" s="28" t="s">
        <v>11</v>
      </c>
      <c r="M2017" s="14"/>
      <c r="N2017" s="10" t="s">
        <v>1028</v>
      </c>
    </row>
    <row r="2018" spans="1:14" ht="22.5" customHeight="1">
      <c r="A2018" s="8">
        <v>46005.309626192131</v>
      </c>
      <c r="B2018" s="9" t="s">
        <v>14</v>
      </c>
      <c r="C2018" s="9" t="s">
        <v>15</v>
      </c>
      <c r="D2018" s="10" t="s">
        <v>4520</v>
      </c>
      <c r="E2018" s="9" t="s">
        <v>17</v>
      </c>
      <c r="F2018" s="10">
        <v>28</v>
      </c>
      <c r="G2018" s="11">
        <v>8134561177</v>
      </c>
      <c r="H2018" s="10" t="s">
        <v>4521</v>
      </c>
      <c r="I2018" s="10" t="s">
        <v>27</v>
      </c>
      <c r="J2018" s="10" t="s">
        <v>27</v>
      </c>
      <c r="K2018" s="12">
        <v>46005</v>
      </c>
      <c r="L2018" s="28" t="s">
        <v>11</v>
      </c>
      <c r="M2018" s="14"/>
      <c r="N2018" s="10" t="s">
        <v>1096</v>
      </c>
    </row>
    <row r="2019" spans="1:14" ht="22.5" customHeight="1">
      <c r="A2019" s="8">
        <v>46005.311645289352</v>
      </c>
      <c r="B2019" s="9" t="s">
        <v>14</v>
      </c>
      <c r="C2019" s="9" t="s">
        <v>15</v>
      </c>
      <c r="D2019" s="10" t="s">
        <v>4522</v>
      </c>
      <c r="E2019" s="9" t="s">
        <v>22</v>
      </c>
      <c r="F2019" s="10">
        <v>27</v>
      </c>
      <c r="G2019" s="11">
        <v>7068154537</v>
      </c>
      <c r="H2019" s="10" t="s">
        <v>4523</v>
      </c>
      <c r="I2019" s="10" t="s">
        <v>27</v>
      </c>
      <c r="J2019" s="10" t="s">
        <v>4524</v>
      </c>
      <c r="K2019" s="12">
        <v>46005</v>
      </c>
      <c r="L2019" s="28" t="s">
        <v>11</v>
      </c>
      <c r="M2019" s="14"/>
      <c r="N2019" s="10" t="s">
        <v>1028</v>
      </c>
    </row>
    <row r="2020" spans="1:14" ht="22.5" hidden="1" customHeight="1">
      <c r="A2020" s="8">
        <v>46005.312853287032</v>
      </c>
      <c r="B2020" s="9" t="s">
        <v>14</v>
      </c>
      <c r="C2020" s="9" t="s">
        <v>15</v>
      </c>
      <c r="D2020" s="10" t="s">
        <v>4525</v>
      </c>
      <c r="E2020" s="9" t="s">
        <v>22</v>
      </c>
      <c r="F2020" s="10">
        <v>25</v>
      </c>
      <c r="G2020" s="11">
        <v>7042493789</v>
      </c>
      <c r="H2020" s="10" t="s">
        <v>4526</v>
      </c>
      <c r="I2020" s="10" t="s">
        <v>27</v>
      </c>
      <c r="J2020" s="10" t="s">
        <v>28</v>
      </c>
      <c r="K2020" s="12">
        <v>46005</v>
      </c>
      <c r="L2020" s="10" t="s">
        <v>441</v>
      </c>
      <c r="M2020" s="10" t="s">
        <v>1361</v>
      </c>
      <c r="N2020" s="10" t="s">
        <v>1563</v>
      </c>
    </row>
    <row r="2021" spans="1:14" ht="22.5" customHeight="1">
      <c r="A2021" s="8">
        <v>46005.313462986116</v>
      </c>
      <c r="B2021" s="9" t="s">
        <v>14</v>
      </c>
      <c r="C2021" s="9" t="s">
        <v>15</v>
      </c>
      <c r="D2021" s="10" t="s">
        <v>4527</v>
      </c>
      <c r="E2021" s="9" t="s">
        <v>17</v>
      </c>
      <c r="F2021" s="10">
        <v>31</v>
      </c>
      <c r="G2021" s="11">
        <v>7062133867</v>
      </c>
      <c r="H2021" s="10" t="s">
        <v>4528</v>
      </c>
      <c r="I2021" s="10" t="s">
        <v>27</v>
      </c>
      <c r="J2021" s="10" t="s">
        <v>53</v>
      </c>
      <c r="K2021" s="12">
        <v>46005</v>
      </c>
      <c r="L2021" s="28" t="s">
        <v>11</v>
      </c>
      <c r="M2021" s="14"/>
      <c r="N2021" s="10" t="s">
        <v>1028</v>
      </c>
    </row>
    <row r="2022" spans="1:14" ht="22.5" customHeight="1">
      <c r="A2022" s="8">
        <v>46005.317611979168</v>
      </c>
      <c r="B2022" s="9" t="s">
        <v>14</v>
      </c>
      <c r="C2022" s="9" t="s">
        <v>15</v>
      </c>
      <c r="D2022" s="10" t="s">
        <v>4529</v>
      </c>
      <c r="E2022" s="9" t="s">
        <v>17</v>
      </c>
      <c r="F2022" s="10">
        <v>35</v>
      </c>
      <c r="G2022" s="11">
        <v>7060892495</v>
      </c>
      <c r="H2022" s="10" t="s">
        <v>4530</v>
      </c>
      <c r="I2022" s="10" t="s">
        <v>27</v>
      </c>
      <c r="J2022" s="10" t="s">
        <v>3992</v>
      </c>
      <c r="K2022" s="12">
        <v>46005</v>
      </c>
      <c r="L2022" s="28" t="s">
        <v>11</v>
      </c>
      <c r="M2022" s="14"/>
      <c r="N2022" s="10" t="s">
        <v>1028</v>
      </c>
    </row>
    <row r="2023" spans="1:14" ht="22.5" customHeight="1">
      <c r="A2023" s="8">
        <v>46005.323572905094</v>
      </c>
      <c r="B2023" s="9" t="s">
        <v>14</v>
      </c>
      <c r="C2023" s="9" t="s">
        <v>15</v>
      </c>
      <c r="D2023" s="10" t="s">
        <v>4531</v>
      </c>
      <c r="E2023" s="9" t="s">
        <v>17</v>
      </c>
      <c r="F2023" s="10">
        <v>31</v>
      </c>
      <c r="G2023" s="11">
        <v>8134294651</v>
      </c>
      <c r="H2023" s="10" t="s">
        <v>4532</v>
      </c>
      <c r="I2023" s="10" t="s">
        <v>27</v>
      </c>
      <c r="J2023" s="10" t="s">
        <v>4533</v>
      </c>
      <c r="K2023" s="12">
        <v>46005</v>
      </c>
      <c r="L2023" s="28" t="s">
        <v>11</v>
      </c>
      <c r="M2023" s="14"/>
      <c r="N2023" s="10" t="s">
        <v>1028</v>
      </c>
    </row>
    <row r="2024" spans="1:14" ht="22.5" customHeight="1">
      <c r="A2024" s="8">
        <v>46005.33236591435</v>
      </c>
      <c r="B2024" s="9" t="s">
        <v>14</v>
      </c>
      <c r="C2024" s="9" t="s">
        <v>15</v>
      </c>
      <c r="D2024" s="10" t="s">
        <v>4534</v>
      </c>
      <c r="E2024" s="9" t="s">
        <v>22</v>
      </c>
      <c r="F2024" s="10">
        <v>32</v>
      </c>
      <c r="G2024" s="11">
        <v>8109286231</v>
      </c>
      <c r="H2024" s="10" t="s">
        <v>4535</v>
      </c>
      <c r="I2024" s="10" t="s">
        <v>27</v>
      </c>
      <c r="J2024" s="10" t="s">
        <v>94</v>
      </c>
      <c r="K2024" s="12">
        <v>46005</v>
      </c>
      <c r="L2024" s="28" t="s">
        <v>11</v>
      </c>
      <c r="M2024" s="14"/>
      <c r="N2024" s="10" t="s">
        <v>1028</v>
      </c>
    </row>
    <row r="2025" spans="1:14" ht="22.5" customHeight="1">
      <c r="A2025" s="8">
        <v>46005.343029108801</v>
      </c>
      <c r="B2025" s="9" t="s">
        <v>14</v>
      </c>
      <c r="C2025" s="9" t="s">
        <v>15</v>
      </c>
      <c r="D2025" s="10" t="s">
        <v>4536</v>
      </c>
      <c r="E2025" s="9" t="s">
        <v>17</v>
      </c>
      <c r="F2025" s="10">
        <v>24</v>
      </c>
      <c r="G2025" s="11">
        <v>8135040638</v>
      </c>
      <c r="H2025" s="10" t="s">
        <v>4537</v>
      </c>
      <c r="I2025" s="10" t="s">
        <v>27</v>
      </c>
      <c r="J2025" s="10" t="s">
        <v>3101</v>
      </c>
      <c r="K2025" s="12">
        <v>46005</v>
      </c>
      <c r="L2025" s="28" t="s">
        <v>11</v>
      </c>
      <c r="M2025" s="14"/>
      <c r="N2025" s="10" t="s">
        <v>1028</v>
      </c>
    </row>
    <row r="2026" spans="1:14" ht="22.5" customHeight="1">
      <c r="A2026" s="8">
        <v>46005.350649120373</v>
      </c>
      <c r="B2026" s="9" t="s">
        <v>14</v>
      </c>
      <c r="C2026" s="9" t="s">
        <v>15</v>
      </c>
      <c r="D2026" s="10" t="s">
        <v>4538</v>
      </c>
      <c r="E2026" s="9" t="s">
        <v>22</v>
      </c>
      <c r="F2026" s="10">
        <v>26</v>
      </c>
      <c r="G2026" s="11">
        <v>9031262698</v>
      </c>
      <c r="H2026" s="10" t="s">
        <v>2500</v>
      </c>
      <c r="I2026" s="10" t="s">
        <v>27</v>
      </c>
      <c r="J2026" s="10" t="s">
        <v>2006</v>
      </c>
      <c r="K2026" s="12">
        <v>46005</v>
      </c>
      <c r="L2026" s="28" t="s">
        <v>11</v>
      </c>
      <c r="M2026" s="14"/>
      <c r="N2026" s="10" t="s">
        <v>1028</v>
      </c>
    </row>
    <row r="2027" spans="1:14" ht="22.5" customHeight="1">
      <c r="A2027" s="8">
        <v>46005.358528483797</v>
      </c>
      <c r="B2027" s="9" t="s">
        <v>14</v>
      </c>
      <c r="C2027" s="9" t="s">
        <v>15</v>
      </c>
      <c r="D2027" s="10" t="s">
        <v>4539</v>
      </c>
      <c r="E2027" s="9" t="s">
        <v>22</v>
      </c>
      <c r="F2027" s="10">
        <v>41</v>
      </c>
      <c r="G2027" s="11">
        <v>8031834008</v>
      </c>
      <c r="H2027" s="10" t="s">
        <v>4540</v>
      </c>
      <c r="I2027" s="10" t="s">
        <v>27</v>
      </c>
      <c r="J2027" s="10" t="s">
        <v>3118</v>
      </c>
      <c r="K2027" s="12">
        <v>46005</v>
      </c>
      <c r="L2027" s="28" t="s">
        <v>11</v>
      </c>
      <c r="M2027" s="14"/>
      <c r="N2027" s="10" t="s">
        <v>1028</v>
      </c>
    </row>
    <row r="2028" spans="1:14" ht="22.5" customHeight="1">
      <c r="A2028" s="8">
        <v>46005.366277129629</v>
      </c>
      <c r="B2028" s="9" t="s">
        <v>14</v>
      </c>
      <c r="C2028" s="9" t="s">
        <v>15</v>
      </c>
      <c r="D2028" s="10" t="s">
        <v>4541</v>
      </c>
      <c r="E2028" s="9" t="s">
        <v>22</v>
      </c>
      <c r="F2028" s="10">
        <v>18</v>
      </c>
      <c r="G2028" s="11">
        <v>8131284782</v>
      </c>
      <c r="H2028" s="10" t="s">
        <v>4542</v>
      </c>
      <c r="I2028" s="10" t="s">
        <v>27</v>
      </c>
      <c r="J2028" s="10" t="s">
        <v>3511</v>
      </c>
      <c r="K2028" s="12">
        <v>46005</v>
      </c>
      <c r="L2028" s="28" t="s">
        <v>11</v>
      </c>
      <c r="M2028" s="14"/>
      <c r="N2028" s="10" t="s">
        <v>1028</v>
      </c>
    </row>
    <row r="2029" spans="1:14" ht="22.5" customHeight="1">
      <c r="A2029" s="8">
        <v>46005.367437048611</v>
      </c>
      <c r="B2029" s="9" t="s">
        <v>14</v>
      </c>
      <c r="C2029" s="9" t="s">
        <v>15</v>
      </c>
      <c r="D2029" s="10" t="s">
        <v>4543</v>
      </c>
      <c r="E2029" s="9" t="s">
        <v>17</v>
      </c>
      <c r="F2029" s="10">
        <v>30</v>
      </c>
      <c r="G2029" s="11">
        <v>8136858939</v>
      </c>
      <c r="H2029" s="10" t="s">
        <v>4544</v>
      </c>
      <c r="I2029" s="10" t="s">
        <v>27</v>
      </c>
      <c r="J2029" s="10" t="s">
        <v>372</v>
      </c>
      <c r="K2029" s="12">
        <v>46005</v>
      </c>
      <c r="L2029" s="28" t="s">
        <v>11</v>
      </c>
      <c r="M2029" s="14"/>
      <c r="N2029" s="10" t="s">
        <v>1028</v>
      </c>
    </row>
    <row r="2030" spans="1:14" ht="22.5" customHeight="1">
      <c r="A2030" s="8">
        <v>46005.367641006946</v>
      </c>
      <c r="B2030" s="9" t="s">
        <v>14</v>
      </c>
      <c r="C2030" s="9" t="s">
        <v>15</v>
      </c>
      <c r="D2030" s="10" t="s">
        <v>4545</v>
      </c>
      <c r="E2030" s="9" t="s">
        <v>22</v>
      </c>
      <c r="F2030" s="10">
        <v>30</v>
      </c>
      <c r="G2030" s="11">
        <v>8033215698</v>
      </c>
      <c r="H2030" s="10" t="s">
        <v>4546</v>
      </c>
      <c r="I2030" s="10" t="s">
        <v>27</v>
      </c>
      <c r="J2030" s="10" t="s">
        <v>94</v>
      </c>
      <c r="K2030" s="12">
        <v>46005</v>
      </c>
      <c r="L2030" s="28" t="s">
        <v>11</v>
      </c>
      <c r="M2030" s="14"/>
      <c r="N2030" s="10" t="s">
        <v>1028</v>
      </c>
    </row>
    <row r="2031" spans="1:14" ht="22.5" hidden="1" customHeight="1">
      <c r="A2031" s="8">
        <v>46005.368914768522</v>
      </c>
      <c r="B2031" s="9" t="s">
        <v>14</v>
      </c>
      <c r="C2031" s="9" t="s">
        <v>15</v>
      </c>
      <c r="D2031" s="10" t="s">
        <v>4547</v>
      </c>
      <c r="E2031" s="9" t="s">
        <v>17</v>
      </c>
      <c r="F2031" s="10">
        <v>35</v>
      </c>
      <c r="G2031" s="11">
        <v>8038977231</v>
      </c>
      <c r="H2031" s="10" t="s">
        <v>4548</v>
      </c>
      <c r="I2031" s="10" t="s">
        <v>31</v>
      </c>
      <c r="J2031" s="10" t="s">
        <v>32</v>
      </c>
      <c r="K2031" s="12">
        <v>46005</v>
      </c>
      <c r="L2031" s="10" t="s">
        <v>441</v>
      </c>
      <c r="M2031" s="10" t="s">
        <v>1361</v>
      </c>
      <c r="N2031" s="10" t="s">
        <v>1028</v>
      </c>
    </row>
    <row r="2032" spans="1:14" ht="22.5" customHeight="1">
      <c r="A2032" s="8">
        <v>46005.382646840277</v>
      </c>
      <c r="B2032" s="9" t="s">
        <v>14</v>
      </c>
      <c r="C2032" s="9" t="s">
        <v>15</v>
      </c>
      <c r="D2032" s="10" t="s">
        <v>4549</v>
      </c>
      <c r="E2032" s="9" t="s">
        <v>22</v>
      </c>
      <c r="F2032" s="10">
        <v>22</v>
      </c>
      <c r="G2032" s="11">
        <v>8128351455</v>
      </c>
      <c r="H2032" s="10" t="s">
        <v>4550</v>
      </c>
      <c r="I2032" s="10" t="s">
        <v>27</v>
      </c>
      <c r="J2032" s="10" t="s">
        <v>4551</v>
      </c>
      <c r="K2032" s="12">
        <v>46005</v>
      </c>
      <c r="L2032" s="28" t="s">
        <v>11</v>
      </c>
      <c r="M2032" s="14"/>
      <c r="N2032" s="10" t="s">
        <v>1028</v>
      </c>
    </row>
    <row r="2033" spans="1:14" ht="22.5" customHeight="1">
      <c r="A2033" s="8">
        <v>46005.388293055556</v>
      </c>
      <c r="B2033" s="9" t="s">
        <v>14</v>
      </c>
      <c r="C2033" s="9" t="s">
        <v>15</v>
      </c>
      <c r="D2033" s="10" t="s">
        <v>2132</v>
      </c>
      <c r="E2033" s="9" t="s">
        <v>17</v>
      </c>
      <c r="F2033" s="10">
        <v>26</v>
      </c>
      <c r="G2033" s="11">
        <v>8060530801</v>
      </c>
      <c r="H2033" s="10" t="s">
        <v>2133</v>
      </c>
      <c r="I2033" s="10" t="s">
        <v>27</v>
      </c>
      <c r="J2033" s="10" t="s">
        <v>172</v>
      </c>
      <c r="K2033" s="12">
        <v>46005</v>
      </c>
      <c r="L2033" s="28" t="s">
        <v>11</v>
      </c>
      <c r="M2033" s="10"/>
      <c r="N2033" s="10" t="s">
        <v>1096</v>
      </c>
    </row>
    <row r="2034" spans="1:14" ht="22.5" customHeight="1">
      <c r="A2034" s="8">
        <v>46005.389691458331</v>
      </c>
      <c r="B2034" s="9" t="s">
        <v>14</v>
      </c>
      <c r="C2034" s="9" t="s">
        <v>15</v>
      </c>
      <c r="D2034" s="10" t="s">
        <v>4552</v>
      </c>
      <c r="E2034" s="9" t="s">
        <v>22</v>
      </c>
      <c r="F2034" s="10">
        <v>30</v>
      </c>
      <c r="G2034" s="11">
        <v>7035570815</v>
      </c>
      <c r="H2034" s="10" t="s">
        <v>4553</v>
      </c>
      <c r="I2034" s="10" t="s">
        <v>45</v>
      </c>
      <c r="J2034" s="10" t="s">
        <v>287</v>
      </c>
      <c r="K2034" s="12">
        <v>46005</v>
      </c>
      <c r="L2034" s="28" t="s">
        <v>11</v>
      </c>
      <c r="M2034" s="14"/>
      <c r="N2034" s="10" t="s">
        <v>1028</v>
      </c>
    </row>
    <row r="2035" spans="1:14" ht="22.5" customHeight="1">
      <c r="A2035" s="8">
        <v>46005.390057719909</v>
      </c>
      <c r="B2035" s="9" t="s">
        <v>14</v>
      </c>
      <c r="C2035" s="9" t="s">
        <v>15</v>
      </c>
      <c r="D2035" s="10" t="s">
        <v>4554</v>
      </c>
      <c r="E2035" s="9" t="s">
        <v>22</v>
      </c>
      <c r="F2035" s="10">
        <v>25</v>
      </c>
      <c r="G2035" s="11">
        <v>9064987828</v>
      </c>
      <c r="H2035" s="10" t="s">
        <v>4555</v>
      </c>
      <c r="I2035" s="10" t="s">
        <v>27</v>
      </c>
      <c r="J2035" s="10" t="s">
        <v>42</v>
      </c>
      <c r="K2035" s="12">
        <v>46005</v>
      </c>
      <c r="L2035" s="28" t="s">
        <v>11</v>
      </c>
      <c r="M2035" s="14"/>
      <c r="N2035" s="10" t="s">
        <v>1028</v>
      </c>
    </row>
    <row r="2036" spans="1:14" ht="22.5" customHeight="1">
      <c r="A2036" s="8">
        <v>46005.391279930554</v>
      </c>
      <c r="B2036" s="9" t="s">
        <v>14</v>
      </c>
      <c r="C2036" s="9" t="s">
        <v>15</v>
      </c>
      <c r="D2036" s="10" t="s">
        <v>4556</v>
      </c>
      <c r="E2036" s="9" t="s">
        <v>17</v>
      </c>
      <c r="F2036" s="10">
        <v>24</v>
      </c>
      <c r="G2036" s="11">
        <v>8036538827</v>
      </c>
      <c r="H2036" s="10" t="s">
        <v>4557</v>
      </c>
      <c r="I2036" s="10" t="s">
        <v>45</v>
      </c>
      <c r="J2036" s="10" t="s">
        <v>3654</v>
      </c>
      <c r="K2036" s="12">
        <v>46005</v>
      </c>
      <c r="L2036" s="28" t="s">
        <v>11</v>
      </c>
      <c r="M2036" s="14"/>
      <c r="N2036" s="10" t="s">
        <v>1096</v>
      </c>
    </row>
    <row r="2037" spans="1:14" ht="22.5" customHeight="1">
      <c r="A2037" s="8">
        <v>46005.391368587967</v>
      </c>
      <c r="B2037" s="9" t="s">
        <v>14</v>
      </c>
      <c r="C2037" s="9" t="s">
        <v>15</v>
      </c>
      <c r="D2037" s="10" t="s">
        <v>4558</v>
      </c>
      <c r="E2037" s="9" t="s">
        <v>22</v>
      </c>
      <c r="F2037" s="18">
        <v>26</v>
      </c>
      <c r="G2037" s="11">
        <v>8140707956</v>
      </c>
      <c r="H2037" s="10" t="s">
        <v>4559</v>
      </c>
      <c r="I2037" s="10" t="s">
        <v>27</v>
      </c>
      <c r="J2037" s="10" t="s">
        <v>4560</v>
      </c>
      <c r="K2037" s="12">
        <v>46005</v>
      </c>
      <c r="L2037" s="28" t="s">
        <v>11</v>
      </c>
      <c r="M2037" s="14"/>
      <c r="N2037" s="10" t="s">
        <v>1028</v>
      </c>
    </row>
    <row r="2038" spans="1:14" ht="22.5" customHeight="1">
      <c r="A2038" s="8">
        <v>46005.39688969907</v>
      </c>
      <c r="B2038" s="9" t="s">
        <v>14</v>
      </c>
      <c r="C2038" s="9" t="s">
        <v>15</v>
      </c>
      <c r="D2038" s="10" t="s">
        <v>4561</v>
      </c>
      <c r="E2038" s="9" t="s">
        <v>22</v>
      </c>
      <c r="F2038" s="10">
        <v>35</v>
      </c>
      <c r="G2038" s="11">
        <v>8060195764</v>
      </c>
      <c r="H2038" s="10" t="s">
        <v>4562</v>
      </c>
      <c r="I2038" s="10" t="s">
        <v>27</v>
      </c>
      <c r="J2038" s="10" t="s">
        <v>94</v>
      </c>
      <c r="K2038" s="12">
        <v>46005</v>
      </c>
      <c r="L2038" s="28" t="s">
        <v>11</v>
      </c>
      <c r="M2038" s="14"/>
      <c r="N2038" s="10" t="s">
        <v>1028</v>
      </c>
    </row>
    <row r="2039" spans="1:14" ht="22.5" customHeight="1">
      <c r="A2039" s="8">
        <v>46005.400535370369</v>
      </c>
      <c r="B2039" s="9" t="s">
        <v>14</v>
      </c>
      <c r="C2039" s="9" t="s">
        <v>15</v>
      </c>
      <c r="D2039" s="10" t="s">
        <v>4563</v>
      </c>
      <c r="E2039" s="9" t="s">
        <v>17</v>
      </c>
      <c r="F2039" s="19">
        <v>21</v>
      </c>
      <c r="G2039" s="11">
        <v>8164388602</v>
      </c>
      <c r="H2039" s="10" t="s">
        <v>4564</v>
      </c>
      <c r="I2039" s="10" t="s">
        <v>19</v>
      </c>
      <c r="J2039" s="10" t="s">
        <v>166</v>
      </c>
      <c r="K2039" s="12">
        <v>46005</v>
      </c>
      <c r="L2039" s="28" t="s">
        <v>11</v>
      </c>
      <c r="M2039" s="14"/>
      <c r="N2039" s="10" t="s">
        <v>1028</v>
      </c>
    </row>
    <row r="2040" spans="1:14" ht="22.5" customHeight="1">
      <c r="A2040" s="8">
        <v>46005.400798298608</v>
      </c>
      <c r="B2040" s="9" t="s">
        <v>14</v>
      </c>
      <c r="C2040" s="9" t="s">
        <v>15</v>
      </c>
      <c r="D2040" s="10" t="s">
        <v>4565</v>
      </c>
      <c r="E2040" s="9" t="s">
        <v>22</v>
      </c>
      <c r="F2040" s="10">
        <v>32</v>
      </c>
      <c r="G2040" s="11">
        <v>8169963012</v>
      </c>
      <c r="H2040" s="10" t="s">
        <v>4566</v>
      </c>
      <c r="I2040" s="10" t="s">
        <v>45</v>
      </c>
      <c r="J2040" s="10" t="s">
        <v>46</v>
      </c>
      <c r="K2040" s="12">
        <v>46005</v>
      </c>
      <c r="L2040" s="28" t="s">
        <v>11</v>
      </c>
      <c r="M2040" s="14"/>
      <c r="N2040" s="10" t="s">
        <v>1028</v>
      </c>
    </row>
    <row r="2041" spans="1:14" ht="22.5" customHeight="1">
      <c r="A2041" s="8">
        <v>46005.400942569446</v>
      </c>
      <c r="B2041" s="9" t="s">
        <v>14</v>
      </c>
      <c r="C2041" s="9" t="s">
        <v>15</v>
      </c>
      <c r="D2041" s="10" t="s">
        <v>4567</v>
      </c>
      <c r="E2041" s="9" t="s">
        <v>17</v>
      </c>
      <c r="F2041" s="10">
        <v>26</v>
      </c>
      <c r="G2041" s="11">
        <v>8103052961</v>
      </c>
      <c r="H2041" s="10" t="s">
        <v>4568</v>
      </c>
      <c r="I2041" s="10" t="s">
        <v>19</v>
      </c>
      <c r="J2041" s="10" t="s">
        <v>119</v>
      </c>
      <c r="K2041" s="12">
        <v>46005</v>
      </c>
      <c r="L2041" s="28" t="s">
        <v>11</v>
      </c>
      <c r="M2041" s="14"/>
      <c r="N2041" s="10" t="s">
        <v>1028</v>
      </c>
    </row>
    <row r="2042" spans="1:14" ht="22.5" customHeight="1">
      <c r="A2042" s="8">
        <v>46005.408011574073</v>
      </c>
      <c r="B2042" s="9" t="s">
        <v>14</v>
      </c>
      <c r="C2042" s="9" t="s">
        <v>15</v>
      </c>
      <c r="D2042" s="10" t="s">
        <v>4569</v>
      </c>
      <c r="E2042" s="9" t="s">
        <v>17</v>
      </c>
      <c r="F2042" s="10">
        <v>23</v>
      </c>
      <c r="G2042" s="11">
        <v>8103261516</v>
      </c>
      <c r="H2042" s="10" t="s">
        <v>4570</v>
      </c>
      <c r="I2042" s="10" t="s">
        <v>27</v>
      </c>
      <c r="J2042" s="10" t="s">
        <v>67</v>
      </c>
      <c r="K2042" s="12">
        <v>46005</v>
      </c>
      <c r="L2042" s="28" t="s">
        <v>11</v>
      </c>
      <c r="M2042" s="14"/>
      <c r="N2042" s="10" t="s">
        <v>1028</v>
      </c>
    </row>
    <row r="2043" spans="1:14" ht="22.5" customHeight="1">
      <c r="A2043" s="8">
        <v>46005.408163969907</v>
      </c>
      <c r="B2043" s="9" t="s">
        <v>14</v>
      </c>
      <c r="C2043" s="9" t="s">
        <v>15</v>
      </c>
      <c r="D2043" s="10" t="s">
        <v>4571</v>
      </c>
      <c r="E2043" s="9" t="s">
        <v>17</v>
      </c>
      <c r="F2043" s="10">
        <v>27</v>
      </c>
      <c r="G2043" s="11">
        <v>8061986357</v>
      </c>
      <c r="H2043" s="10" t="s">
        <v>4572</v>
      </c>
      <c r="I2043" s="10" t="s">
        <v>49</v>
      </c>
      <c r="J2043" s="10" t="s">
        <v>319</v>
      </c>
      <c r="K2043" s="12">
        <v>46005</v>
      </c>
      <c r="L2043" s="28" t="s">
        <v>11</v>
      </c>
      <c r="M2043" s="14"/>
      <c r="N2043" s="10" t="s">
        <v>1028</v>
      </c>
    </row>
    <row r="2044" spans="1:14" ht="22.5" customHeight="1">
      <c r="A2044" s="8">
        <v>46005.411842384259</v>
      </c>
      <c r="B2044" s="9" t="s">
        <v>14</v>
      </c>
      <c r="C2044" s="9" t="s">
        <v>15</v>
      </c>
      <c r="D2044" s="10" t="s">
        <v>4573</v>
      </c>
      <c r="E2044" s="9" t="s">
        <v>22</v>
      </c>
      <c r="F2044" s="10">
        <v>22</v>
      </c>
      <c r="G2044" s="11">
        <v>8064880331</v>
      </c>
      <c r="H2044" s="10" t="s">
        <v>4574</v>
      </c>
      <c r="I2044" s="10" t="s">
        <v>27</v>
      </c>
      <c r="J2044" s="10" t="s">
        <v>172</v>
      </c>
      <c r="K2044" s="12">
        <v>46005</v>
      </c>
      <c r="L2044" s="28" t="s">
        <v>11</v>
      </c>
      <c r="M2044" s="14"/>
      <c r="N2044" s="10" t="s">
        <v>1028</v>
      </c>
    </row>
    <row r="2045" spans="1:14" ht="22.5" customHeight="1">
      <c r="A2045" s="8">
        <v>46005.413513946754</v>
      </c>
      <c r="B2045" s="9" t="s">
        <v>14</v>
      </c>
      <c r="C2045" s="9" t="s">
        <v>15</v>
      </c>
      <c r="D2045" s="10" t="s">
        <v>4575</v>
      </c>
      <c r="E2045" s="9" t="s">
        <v>22</v>
      </c>
      <c r="F2045" s="10">
        <v>35</v>
      </c>
      <c r="G2045" s="11">
        <v>7038185042</v>
      </c>
      <c r="H2045" s="10" t="s">
        <v>4576</v>
      </c>
      <c r="I2045" s="10" t="s">
        <v>27</v>
      </c>
      <c r="J2045" s="10" t="s">
        <v>94</v>
      </c>
      <c r="K2045" s="12">
        <v>46005</v>
      </c>
      <c r="L2045" s="28" t="s">
        <v>11</v>
      </c>
      <c r="M2045" s="14"/>
      <c r="N2045" s="10" t="s">
        <v>1028</v>
      </c>
    </row>
    <row r="2046" spans="1:14" ht="22.5" customHeight="1">
      <c r="A2046" s="8">
        <v>46005.427702627319</v>
      </c>
      <c r="B2046" s="9" t="s">
        <v>14</v>
      </c>
      <c r="C2046" s="9" t="s">
        <v>15</v>
      </c>
      <c r="D2046" s="10" t="s">
        <v>4577</v>
      </c>
      <c r="E2046" s="9" t="s">
        <v>17</v>
      </c>
      <c r="F2046" s="10">
        <v>32</v>
      </c>
      <c r="G2046" s="11">
        <v>8060591402</v>
      </c>
      <c r="H2046" s="10" t="s">
        <v>4578</v>
      </c>
      <c r="I2046" s="10" t="s">
        <v>27</v>
      </c>
      <c r="J2046" s="10" t="s">
        <v>2426</v>
      </c>
      <c r="K2046" s="12">
        <v>33979</v>
      </c>
      <c r="L2046" s="28" t="s">
        <v>11</v>
      </c>
      <c r="M2046" s="14"/>
      <c r="N2046" s="10" t="s">
        <v>1028</v>
      </c>
    </row>
    <row r="2047" spans="1:14" ht="22.5" customHeight="1">
      <c r="A2047" s="8">
        <v>46005.429150648153</v>
      </c>
      <c r="B2047" s="9" t="s">
        <v>14</v>
      </c>
      <c r="C2047" s="9" t="s">
        <v>15</v>
      </c>
      <c r="D2047" s="10" t="s">
        <v>4579</v>
      </c>
      <c r="E2047" s="9" t="s">
        <v>17</v>
      </c>
      <c r="F2047" s="18">
        <v>20</v>
      </c>
      <c r="G2047" s="11">
        <v>8031328565</v>
      </c>
      <c r="H2047" s="10" t="s">
        <v>4580</v>
      </c>
      <c r="I2047" s="10" t="s">
        <v>27</v>
      </c>
      <c r="J2047" s="10" t="s">
        <v>94</v>
      </c>
      <c r="K2047" s="12">
        <v>46005</v>
      </c>
      <c r="L2047" s="28" t="s">
        <v>11</v>
      </c>
      <c r="M2047" s="14"/>
      <c r="N2047" s="10" t="s">
        <v>1028</v>
      </c>
    </row>
    <row r="2048" spans="1:14" ht="22.5" customHeight="1">
      <c r="A2048" s="8">
        <v>46005.429487314817</v>
      </c>
      <c r="B2048" s="9" t="s">
        <v>14</v>
      </c>
      <c r="C2048" s="9" t="s">
        <v>15</v>
      </c>
      <c r="D2048" s="10" t="s">
        <v>4581</v>
      </c>
      <c r="E2048" s="9" t="s">
        <v>17</v>
      </c>
      <c r="F2048" s="10">
        <v>46</v>
      </c>
      <c r="G2048" s="11">
        <v>7068234097</v>
      </c>
      <c r="H2048" s="10" t="s">
        <v>4582</v>
      </c>
      <c r="I2048" s="10" t="s">
        <v>49</v>
      </c>
      <c r="J2048" s="10" t="s">
        <v>599</v>
      </c>
      <c r="K2048" s="12">
        <v>46005</v>
      </c>
      <c r="L2048" s="28" t="s">
        <v>11</v>
      </c>
      <c r="M2048" s="14"/>
      <c r="N2048" s="10" t="s">
        <v>1028</v>
      </c>
    </row>
    <row r="2049" spans="1:14" ht="22.5" hidden="1" customHeight="1">
      <c r="A2049" s="8">
        <v>46005.430972164351</v>
      </c>
      <c r="B2049" s="9" t="s">
        <v>14</v>
      </c>
      <c r="C2049" s="9" t="s">
        <v>15</v>
      </c>
      <c r="D2049" s="10" t="s">
        <v>4583</v>
      </c>
      <c r="E2049" s="9" t="s">
        <v>17</v>
      </c>
      <c r="F2049" s="10">
        <v>59</v>
      </c>
      <c r="G2049" s="11">
        <v>8062419685</v>
      </c>
      <c r="H2049" s="10" t="s">
        <v>4584</v>
      </c>
      <c r="I2049" s="10" t="s">
        <v>49</v>
      </c>
      <c r="J2049" s="10" t="s">
        <v>157</v>
      </c>
      <c r="K2049" s="12">
        <v>46005</v>
      </c>
      <c r="L2049" s="10" t="s">
        <v>441</v>
      </c>
      <c r="M2049" s="10" t="s">
        <v>1361</v>
      </c>
      <c r="N2049" s="10" t="s">
        <v>1028</v>
      </c>
    </row>
    <row r="2050" spans="1:14" ht="22.5" hidden="1" customHeight="1">
      <c r="A2050" s="8">
        <v>46005.433934710643</v>
      </c>
      <c r="B2050" s="9" t="s">
        <v>14</v>
      </c>
      <c r="C2050" s="9" t="s">
        <v>15</v>
      </c>
      <c r="D2050" s="10" t="s">
        <v>4585</v>
      </c>
      <c r="E2050" s="9" t="s">
        <v>22</v>
      </c>
      <c r="F2050" s="10">
        <v>29</v>
      </c>
      <c r="G2050" s="11">
        <v>9025742054</v>
      </c>
      <c r="H2050" s="10" t="s">
        <v>4586</v>
      </c>
      <c r="I2050" s="10" t="s">
        <v>27</v>
      </c>
      <c r="J2050" s="10" t="s">
        <v>4587</v>
      </c>
      <c r="K2050" s="12">
        <v>46005</v>
      </c>
      <c r="L2050" s="10" t="s">
        <v>441</v>
      </c>
      <c r="M2050" s="10" t="s">
        <v>1361</v>
      </c>
      <c r="N2050" s="10" t="s">
        <v>1028</v>
      </c>
    </row>
    <row r="2051" spans="1:14" ht="22.5" hidden="1" customHeight="1">
      <c r="A2051" s="8">
        <v>46005.434651435186</v>
      </c>
      <c r="B2051" s="9" t="s">
        <v>14</v>
      </c>
      <c r="C2051" s="9" t="s">
        <v>15</v>
      </c>
      <c r="D2051" s="10" t="s">
        <v>4588</v>
      </c>
      <c r="E2051" s="9" t="s">
        <v>17</v>
      </c>
      <c r="F2051" s="10">
        <v>30</v>
      </c>
      <c r="G2051" s="11">
        <v>8072907738</v>
      </c>
      <c r="H2051" s="10" t="s">
        <v>4589</v>
      </c>
      <c r="I2051" s="10" t="s">
        <v>49</v>
      </c>
      <c r="J2051" s="10" t="s">
        <v>215</v>
      </c>
      <c r="K2051" s="12">
        <v>46005</v>
      </c>
      <c r="L2051" s="10" t="s">
        <v>441</v>
      </c>
      <c r="M2051" s="10" t="s">
        <v>1361</v>
      </c>
      <c r="N2051" s="10" t="s">
        <v>1028</v>
      </c>
    </row>
    <row r="2052" spans="1:14" ht="22.5" customHeight="1">
      <c r="A2052" s="8">
        <v>46005.435404409727</v>
      </c>
      <c r="B2052" s="9" t="s">
        <v>14</v>
      </c>
      <c r="C2052" s="9" t="s">
        <v>15</v>
      </c>
      <c r="D2052" s="10" t="s">
        <v>4590</v>
      </c>
      <c r="E2052" s="9" t="s">
        <v>17</v>
      </c>
      <c r="F2052" s="10">
        <v>33</v>
      </c>
      <c r="G2052" s="11">
        <v>8037398714</v>
      </c>
      <c r="H2052" s="10" t="s">
        <v>4591</v>
      </c>
      <c r="I2052" s="10" t="s">
        <v>27</v>
      </c>
      <c r="J2052" s="10" t="s">
        <v>4592</v>
      </c>
      <c r="K2052" s="12">
        <v>45994</v>
      </c>
      <c r="L2052" s="28" t="s">
        <v>11</v>
      </c>
      <c r="M2052" s="14"/>
      <c r="N2052" s="10" t="s">
        <v>1028</v>
      </c>
    </row>
    <row r="2053" spans="1:14" ht="22.5" customHeight="1">
      <c r="A2053" s="8">
        <v>46005.438529305553</v>
      </c>
      <c r="B2053" s="9" t="s">
        <v>14</v>
      </c>
      <c r="C2053" s="9" t="s">
        <v>15</v>
      </c>
      <c r="D2053" s="10" t="s">
        <v>4593</v>
      </c>
      <c r="E2053" s="9" t="s">
        <v>22</v>
      </c>
      <c r="F2053" s="19">
        <v>21</v>
      </c>
      <c r="G2053" s="11">
        <v>9136606099</v>
      </c>
      <c r="H2053" s="10" t="s">
        <v>4594</v>
      </c>
      <c r="I2053" s="10" t="s">
        <v>19</v>
      </c>
      <c r="J2053" s="10" t="s">
        <v>20</v>
      </c>
      <c r="K2053" s="12">
        <v>46005</v>
      </c>
      <c r="L2053" s="28" t="s">
        <v>11</v>
      </c>
      <c r="M2053" s="14"/>
      <c r="N2053" s="10" t="s">
        <v>1028</v>
      </c>
    </row>
    <row r="2054" spans="1:14" ht="22.5" customHeight="1">
      <c r="A2054" s="8">
        <v>46005.439305555556</v>
      </c>
      <c r="B2054" s="9" t="s">
        <v>14</v>
      </c>
      <c r="C2054" s="9" t="s">
        <v>15</v>
      </c>
      <c r="D2054" s="10" t="s">
        <v>4595</v>
      </c>
      <c r="E2054" s="9" t="s">
        <v>22</v>
      </c>
      <c r="F2054" s="10">
        <v>31</v>
      </c>
      <c r="G2054" s="11">
        <v>9044451803</v>
      </c>
      <c r="H2054" s="10" t="s">
        <v>4596</v>
      </c>
      <c r="I2054" s="10" t="s">
        <v>27</v>
      </c>
      <c r="J2054" s="10" t="s">
        <v>94</v>
      </c>
      <c r="K2054" s="12">
        <v>46005</v>
      </c>
      <c r="L2054" s="28" t="s">
        <v>11</v>
      </c>
      <c r="M2054" s="14"/>
      <c r="N2054" s="10" t="s">
        <v>1028</v>
      </c>
    </row>
    <row r="2055" spans="1:14" ht="22.5" customHeight="1">
      <c r="A2055" s="8">
        <v>46005.439993541666</v>
      </c>
      <c r="B2055" s="9" t="s">
        <v>14</v>
      </c>
      <c r="C2055" s="9" t="s">
        <v>15</v>
      </c>
      <c r="D2055" s="10" t="s">
        <v>4597</v>
      </c>
      <c r="E2055" s="9" t="s">
        <v>17</v>
      </c>
      <c r="F2055" s="10">
        <v>16</v>
      </c>
      <c r="G2055" s="11">
        <v>7079887368</v>
      </c>
      <c r="H2055" s="10" t="s">
        <v>4598</v>
      </c>
      <c r="I2055" s="10" t="s">
        <v>27</v>
      </c>
      <c r="J2055" s="10" t="s">
        <v>2228</v>
      </c>
      <c r="K2055" s="12">
        <v>39810</v>
      </c>
      <c r="L2055" s="28" t="s">
        <v>11</v>
      </c>
      <c r="M2055" s="14"/>
      <c r="N2055" s="10" t="s">
        <v>1028</v>
      </c>
    </row>
    <row r="2056" spans="1:14" ht="22.5" customHeight="1">
      <c r="A2056" s="8">
        <v>46005.443532754631</v>
      </c>
      <c r="B2056" s="9" t="s">
        <v>14</v>
      </c>
      <c r="C2056" s="9" t="s">
        <v>15</v>
      </c>
      <c r="D2056" s="10" t="s">
        <v>4599</v>
      </c>
      <c r="E2056" s="9" t="s">
        <v>17</v>
      </c>
      <c r="F2056" s="10">
        <v>35</v>
      </c>
      <c r="G2056" s="11">
        <v>8061561979</v>
      </c>
      <c r="H2056" s="10" t="s">
        <v>4600</v>
      </c>
      <c r="I2056" s="10" t="s">
        <v>27</v>
      </c>
      <c r="J2056" s="10" t="s">
        <v>28</v>
      </c>
      <c r="K2056" s="12">
        <v>46005</v>
      </c>
      <c r="L2056" s="28" t="s">
        <v>11</v>
      </c>
      <c r="M2056" s="14"/>
      <c r="N2056" s="10" t="s">
        <v>1028</v>
      </c>
    </row>
    <row r="2057" spans="1:14" ht="22.5" customHeight="1">
      <c r="A2057" s="8">
        <v>46005.448653761574</v>
      </c>
      <c r="B2057" s="9" t="s">
        <v>14</v>
      </c>
      <c r="C2057" s="9" t="s">
        <v>15</v>
      </c>
      <c r="D2057" s="10" t="s">
        <v>4601</v>
      </c>
      <c r="E2057" s="9" t="s">
        <v>17</v>
      </c>
      <c r="F2057" s="10">
        <v>35</v>
      </c>
      <c r="G2057" s="11">
        <v>8064023584</v>
      </c>
      <c r="H2057" s="10" t="s">
        <v>4602</v>
      </c>
      <c r="I2057" s="10" t="s">
        <v>19</v>
      </c>
      <c r="J2057" s="10" t="s">
        <v>4603</v>
      </c>
      <c r="K2057" s="12">
        <v>46005</v>
      </c>
      <c r="L2057" s="28" t="s">
        <v>11</v>
      </c>
      <c r="M2057" s="14"/>
      <c r="N2057" s="10" t="s">
        <v>1028</v>
      </c>
    </row>
    <row r="2058" spans="1:14" ht="22.5" customHeight="1">
      <c r="A2058" s="8">
        <v>46005.449284606482</v>
      </c>
      <c r="B2058" s="9" t="s">
        <v>14</v>
      </c>
      <c r="C2058" s="9" t="s">
        <v>15</v>
      </c>
      <c r="D2058" s="10" t="s">
        <v>4604</v>
      </c>
      <c r="E2058" s="9" t="s">
        <v>17</v>
      </c>
      <c r="F2058" s="10">
        <v>36</v>
      </c>
      <c r="G2058" s="11">
        <v>8060161119</v>
      </c>
      <c r="H2058" s="10" t="s">
        <v>4605</v>
      </c>
      <c r="I2058" s="10" t="s">
        <v>27</v>
      </c>
      <c r="J2058" s="10" t="s">
        <v>1559</v>
      </c>
      <c r="K2058" s="12">
        <v>46005</v>
      </c>
      <c r="L2058" s="28" t="s">
        <v>11</v>
      </c>
      <c r="M2058" s="14"/>
      <c r="N2058" s="10" t="s">
        <v>1035</v>
      </c>
    </row>
    <row r="2059" spans="1:14" ht="22.5" customHeight="1">
      <c r="A2059" s="8">
        <v>46005.449662395833</v>
      </c>
      <c r="B2059" s="9" t="s">
        <v>14</v>
      </c>
      <c r="C2059" s="9" t="s">
        <v>15</v>
      </c>
      <c r="D2059" s="10" t="s">
        <v>4606</v>
      </c>
      <c r="E2059" s="9" t="s">
        <v>17</v>
      </c>
      <c r="F2059" s="10">
        <v>34</v>
      </c>
      <c r="G2059" s="11">
        <f t="shared" ref="G2059" si="46">2348133424054</f>
        <v>2348133424054</v>
      </c>
      <c r="H2059" s="10" t="s">
        <v>4607</v>
      </c>
      <c r="I2059" s="10" t="s">
        <v>145</v>
      </c>
      <c r="J2059" s="10" t="s">
        <v>530</v>
      </c>
      <c r="K2059" s="12">
        <v>46005</v>
      </c>
      <c r="L2059" s="28" t="s">
        <v>11</v>
      </c>
      <c r="M2059" s="14"/>
      <c r="N2059" s="10" t="s">
        <v>1096</v>
      </c>
    </row>
    <row r="2060" spans="1:14" ht="22.5" customHeight="1">
      <c r="A2060" s="8">
        <v>46005.458480694448</v>
      </c>
      <c r="B2060" s="9" t="s">
        <v>14</v>
      </c>
      <c r="C2060" s="9" t="s">
        <v>15</v>
      </c>
      <c r="D2060" s="10" t="s">
        <v>4608</v>
      </c>
      <c r="E2060" s="9" t="s">
        <v>17</v>
      </c>
      <c r="F2060" s="10">
        <v>27</v>
      </c>
      <c r="G2060" s="11">
        <v>8068798073</v>
      </c>
      <c r="H2060" s="10" t="s">
        <v>4609</v>
      </c>
      <c r="I2060" s="10" t="s">
        <v>27</v>
      </c>
      <c r="J2060" s="10" t="s">
        <v>3118</v>
      </c>
      <c r="K2060" s="12">
        <v>46005</v>
      </c>
      <c r="L2060" s="28" t="s">
        <v>11</v>
      </c>
      <c r="M2060" s="14"/>
      <c r="N2060" s="10" t="s">
        <v>1028</v>
      </c>
    </row>
    <row r="2061" spans="1:14" ht="22.5" customHeight="1">
      <c r="A2061" s="8">
        <v>46005.464107418986</v>
      </c>
      <c r="B2061" s="9" t="s">
        <v>14</v>
      </c>
      <c r="C2061" s="9" t="s">
        <v>15</v>
      </c>
      <c r="D2061" s="10" t="s">
        <v>3593</v>
      </c>
      <c r="E2061" s="9" t="s">
        <v>22</v>
      </c>
      <c r="F2061" s="18">
        <v>1</v>
      </c>
      <c r="G2061" s="11">
        <v>7034297744</v>
      </c>
      <c r="H2061" s="10" t="s">
        <v>3594</v>
      </c>
      <c r="I2061" s="10" t="s">
        <v>27</v>
      </c>
      <c r="J2061" s="10" t="s">
        <v>703</v>
      </c>
      <c r="K2061" s="12">
        <v>46000</v>
      </c>
      <c r="L2061" s="28" t="s">
        <v>11</v>
      </c>
      <c r="M2061" s="14"/>
      <c r="N2061" s="10" t="s">
        <v>1028</v>
      </c>
    </row>
    <row r="2062" spans="1:14" ht="22.5" customHeight="1">
      <c r="A2062" s="8">
        <v>46005.469688495374</v>
      </c>
      <c r="B2062" s="9" t="s">
        <v>14</v>
      </c>
      <c r="C2062" s="9" t="s">
        <v>15</v>
      </c>
      <c r="D2062" s="10" t="s">
        <v>4610</v>
      </c>
      <c r="E2062" s="9" t="s">
        <v>22</v>
      </c>
      <c r="F2062" s="10">
        <v>27</v>
      </c>
      <c r="G2062" s="11">
        <v>8037361003</v>
      </c>
      <c r="H2062" s="10" t="s">
        <v>4611</v>
      </c>
      <c r="I2062" s="10" t="s">
        <v>27</v>
      </c>
      <c r="J2062" s="10" t="s">
        <v>4612</v>
      </c>
      <c r="K2062" s="12">
        <v>46005</v>
      </c>
      <c r="L2062" s="28" t="s">
        <v>11</v>
      </c>
      <c r="M2062" s="14"/>
      <c r="N2062" s="10" t="s">
        <v>1028</v>
      </c>
    </row>
    <row r="2063" spans="1:14" ht="22.5" customHeight="1">
      <c r="A2063" s="8">
        <v>46005.470042141205</v>
      </c>
      <c r="B2063" s="9" t="s">
        <v>14</v>
      </c>
      <c r="C2063" s="9" t="s">
        <v>15</v>
      </c>
      <c r="D2063" s="10" t="s">
        <v>4613</v>
      </c>
      <c r="E2063" s="9" t="s">
        <v>22</v>
      </c>
      <c r="F2063" s="10">
        <v>26</v>
      </c>
      <c r="G2063" s="11">
        <v>9025938643</v>
      </c>
      <c r="H2063" s="10" t="s">
        <v>4614</v>
      </c>
      <c r="I2063" s="10" t="s">
        <v>27</v>
      </c>
      <c r="J2063" s="10" t="s">
        <v>94</v>
      </c>
      <c r="K2063" s="12">
        <v>46005</v>
      </c>
      <c r="L2063" s="28" t="s">
        <v>11</v>
      </c>
      <c r="M2063" s="14"/>
      <c r="N2063" s="10" t="s">
        <v>1028</v>
      </c>
    </row>
    <row r="2064" spans="1:14" ht="22.5" customHeight="1">
      <c r="A2064" s="8">
        <v>46005.47097978009</v>
      </c>
      <c r="B2064" s="9" t="s">
        <v>14</v>
      </c>
      <c r="C2064" s="9" t="s">
        <v>15</v>
      </c>
      <c r="D2064" s="10" t="s">
        <v>4615</v>
      </c>
      <c r="E2064" s="9" t="s">
        <v>17</v>
      </c>
      <c r="F2064" s="10">
        <v>23</v>
      </c>
      <c r="G2064" s="11">
        <v>9033185355</v>
      </c>
      <c r="H2064" s="10" t="s">
        <v>4616</v>
      </c>
      <c r="I2064" s="10" t="s">
        <v>27</v>
      </c>
      <c r="J2064" s="10" t="s">
        <v>3992</v>
      </c>
      <c r="K2064" s="12">
        <v>46005</v>
      </c>
      <c r="L2064" s="28" t="s">
        <v>11</v>
      </c>
      <c r="M2064" s="14"/>
      <c r="N2064" s="10" t="s">
        <v>1028</v>
      </c>
    </row>
    <row r="2065" spans="1:14" ht="22.5" customHeight="1">
      <c r="A2065" s="8">
        <v>46005.471178935186</v>
      </c>
      <c r="B2065" s="9" t="s">
        <v>14</v>
      </c>
      <c r="C2065" s="9" t="s">
        <v>15</v>
      </c>
      <c r="D2065" s="10" t="s">
        <v>4617</v>
      </c>
      <c r="E2065" s="9" t="s">
        <v>17</v>
      </c>
      <c r="F2065" s="10">
        <v>33</v>
      </c>
      <c r="G2065" s="11">
        <v>7060853165</v>
      </c>
      <c r="H2065" s="10" t="s">
        <v>4618</v>
      </c>
      <c r="I2065" s="10" t="s">
        <v>27</v>
      </c>
      <c r="J2065" s="10" t="s">
        <v>2069</v>
      </c>
      <c r="K2065" s="12">
        <v>46005</v>
      </c>
      <c r="L2065" s="28" t="s">
        <v>11</v>
      </c>
      <c r="M2065" s="14"/>
      <c r="N2065" s="10" t="s">
        <v>1028</v>
      </c>
    </row>
    <row r="2066" spans="1:14" ht="22.5" customHeight="1">
      <c r="A2066" s="8">
        <v>46005.473226435184</v>
      </c>
      <c r="B2066" s="9" t="s">
        <v>14</v>
      </c>
      <c r="C2066" s="9" t="s">
        <v>15</v>
      </c>
      <c r="D2066" s="10" t="s">
        <v>4619</v>
      </c>
      <c r="E2066" s="9" t="s">
        <v>22</v>
      </c>
      <c r="F2066" s="10">
        <v>30</v>
      </c>
      <c r="G2066" s="11">
        <v>7061558091</v>
      </c>
      <c r="H2066" s="10" t="s">
        <v>4620</v>
      </c>
      <c r="I2066" s="10" t="s">
        <v>27</v>
      </c>
      <c r="J2066" s="10" t="s">
        <v>2611</v>
      </c>
      <c r="K2066" s="12">
        <v>46005</v>
      </c>
      <c r="L2066" s="28" t="s">
        <v>11</v>
      </c>
      <c r="M2066" s="14"/>
      <c r="N2066" s="10" t="s">
        <v>1028</v>
      </c>
    </row>
    <row r="2067" spans="1:14" ht="22.5" customHeight="1">
      <c r="A2067" s="8">
        <v>46005.473856307872</v>
      </c>
      <c r="B2067" s="9" t="s">
        <v>14</v>
      </c>
      <c r="C2067" s="9" t="s">
        <v>15</v>
      </c>
      <c r="D2067" s="10" t="s">
        <v>4621</v>
      </c>
      <c r="E2067" s="9" t="s">
        <v>22</v>
      </c>
      <c r="F2067" s="10">
        <v>23</v>
      </c>
      <c r="G2067" s="11">
        <v>8154611770</v>
      </c>
      <c r="H2067" s="10" t="s">
        <v>4622</v>
      </c>
      <c r="I2067" s="10" t="s">
        <v>19</v>
      </c>
      <c r="J2067" s="10" t="s">
        <v>166</v>
      </c>
      <c r="K2067" s="12">
        <v>46005</v>
      </c>
      <c r="L2067" s="28" t="s">
        <v>11</v>
      </c>
      <c r="M2067" s="14"/>
      <c r="N2067" s="10" t="s">
        <v>1096</v>
      </c>
    </row>
    <row r="2068" spans="1:14" ht="22.5" customHeight="1">
      <c r="A2068" s="8">
        <v>46005.477306006942</v>
      </c>
      <c r="B2068" s="9" t="s">
        <v>14</v>
      </c>
      <c r="C2068" s="9" t="s">
        <v>15</v>
      </c>
      <c r="D2068" s="10" t="s">
        <v>4623</v>
      </c>
      <c r="E2068" s="9" t="s">
        <v>22</v>
      </c>
      <c r="F2068" s="10">
        <v>26</v>
      </c>
      <c r="G2068" s="11">
        <v>9073941125</v>
      </c>
      <c r="H2068" s="10" t="s">
        <v>4624</v>
      </c>
      <c r="I2068" s="10" t="s">
        <v>27</v>
      </c>
      <c r="J2068" s="10" t="s">
        <v>372</v>
      </c>
      <c r="K2068" s="12">
        <v>46005</v>
      </c>
      <c r="L2068" s="28" t="s">
        <v>11</v>
      </c>
      <c r="M2068" s="10"/>
      <c r="N2068" s="10" t="s">
        <v>1028</v>
      </c>
    </row>
    <row r="2069" spans="1:14" ht="22.5" customHeight="1">
      <c r="A2069" s="8">
        <v>46005.480273217589</v>
      </c>
      <c r="B2069" s="9" t="s">
        <v>14</v>
      </c>
      <c r="C2069" s="9" t="s">
        <v>15</v>
      </c>
      <c r="D2069" s="10" t="s">
        <v>4625</v>
      </c>
      <c r="E2069" s="9" t="s">
        <v>17</v>
      </c>
      <c r="F2069" s="10">
        <v>24</v>
      </c>
      <c r="G2069" s="11">
        <v>9122368373</v>
      </c>
      <c r="H2069" s="10" t="s">
        <v>4626</v>
      </c>
      <c r="I2069" s="10" t="s">
        <v>202</v>
      </c>
      <c r="J2069" s="10" t="s">
        <v>4627</v>
      </c>
      <c r="K2069" s="12">
        <v>46005</v>
      </c>
      <c r="L2069" s="28" t="s">
        <v>11</v>
      </c>
      <c r="M2069" s="14"/>
      <c r="N2069" s="10" t="s">
        <v>1028</v>
      </c>
    </row>
    <row r="2070" spans="1:14" ht="22.5" customHeight="1">
      <c r="A2070" s="8">
        <v>46005.481002812499</v>
      </c>
      <c r="B2070" s="9" t="s">
        <v>14</v>
      </c>
      <c r="C2070" s="9" t="s">
        <v>15</v>
      </c>
      <c r="D2070" s="10" t="s">
        <v>4628</v>
      </c>
      <c r="E2070" s="9" t="s">
        <v>17</v>
      </c>
      <c r="F2070" s="10">
        <v>25</v>
      </c>
      <c r="G2070" s="11">
        <v>8145843801</v>
      </c>
      <c r="H2070" s="10" t="s">
        <v>4629</v>
      </c>
      <c r="I2070" s="10" t="s">
        <v>19</v>
      </c>
      <c r="J2070" s="10" t="s">
        <v>2150</v>
      </c>
      <c r="K2070" s="12">
        <v>46005</v>
      </c>
      <c r="L2070" s="28" t="s">
        <v>11</v>
      </c>
      <c r="M2070" s="14"/>
      <c r="N2070" s="10" t="s">
        <v>1028</v>
      </c>
    </row>
    <row r="2071" spans="1:14" ht="22.5" customHeight="1">
      <c r="A2071" s="8">
        <v>46005.486464571761</v>
      </c>
      <c r="B2071" s="9" t="s">
        <v>14</v>
      </c>
      <c r="C2071" s="9" t="s">
        <v>15</v>
      </c>
      <c r="D2071" s="10" t="s">
        <v>4630</v>
      </c>
      <c r="E2071" s="9" t="s">
        <v>22</v>
      </c>
      <c r="F2071" s="10">
        <v>22</v>
      </c>
      <c r="G2071" s="11">
        <v>8082047908</v>
      </c>
      <c r="H2071" s="10" t="s">
        <v>4631</v>
      </c>
      <c r="I2071" s="10" t="s">
        <v>202</v>
      </c>
      <c r="J2071" s="10" t="s">
        <v>4632</v>
      </c>
      <c r="K2071" s="12">
        <v>46005</v>
      </c>
      <c r="L2071" s="28" t="s">
        <v>11</v>
      </c>
      <c r="M2071" s="14"/>
      <c r="N2071" s="10" t="s">
        <v>1028</v>
      </c>
    </row>
    <row r="2072" spans="1:14" ht="22.5" hidden="1" customHeight="1">
      <c r="A2072" s="8">
        <v>46005.486843935185</v>
      </c>
      <c r="B2072" s="9" t="s">
        <v>14</v>
      </c>
      <c r="C2072" s="9" t="s">
        <v>15</v>
      </c>
      <c r="D2072" s="10" t="s">
        <v>4633</v>
      </c>
      <c r="E2072" s="9" t="s">
        <v>22</v>
      </c>
      <c r="F2072" s="10">
        <v>21</v>
      </c>
      <c r="G2072" s="11">
        <v>8167586539</v>
      </c>
      <c r="H2072" s="10" t="s">
        <v>4634</v>
      </c>
      <c r="I2072" s="10" t="s">
        <v>27</v>
      </c>
      <c r="J2072" s="10" t="s">
        <v>94</v>
      </c>
      <c r="K2072" s="12">
        <v>46005</v>
      </c>
      <c r="L2072" s="10" t="s">
        <v>441</v>
      </c>
      <c r="M2072" s="10" t="s">
        <v>1356</v>
      </c>
      <c r="N2072" s="10" t="s">
        <v>1028</v>
      </c>
    </row>
    <row r="2073" spans="1:14" ht="22.5" customHeight="1">
      <c r="A2073" s="8">
        <v>46005.489127025459</v>
      </c>
      <c r="B2073" s="9" t="s">
        <v>14</v>
      </c>
      <c r="C2073" s="9" t="s">
        <v>15</v>
      </c>
      <c r="D2073" s="10" t="s">
        <v>4635</v>
      </c>
      <c r="E2073" s="9" t="s">
        <v>22</v>
      </c>
      <c r="F2073" s="10">
        <v>27</v>
      </c>
      <c r="G2073" s="11">
        <v>8039590856</v>
      </c>
      <c r="H2073" s="10" t="s">
        <v>4636</v>
      </c>
      <c r="I2073" s="10" t="s">
        <v>27</v>
      </c>
      <c r="J2073" s="10" t="s">
        <v>372</v>
      </c>
      <c r="K2073" s="12">
        <v>46005</v>
      </c>
      <c r="L2073" s="28" t="s">
        <v>11</v>
      </c>
      <c r="M2073" s="14"/>
      <c r="N2073" s="10" t="s">
        <v>1096</v>
      </c>
    </row>
    <row r="2074" spans="1:14" ht="22.5" customHeight="1">
      <c r="A2074" s="8">
        <v>46005.489295787032</v>
      </c>
      <c r="B2074" s="9" t="s">
        <v>14</v>
      </c>
      <c r="C2074" s="9" t="s">
        <v>15</v>
      </c>
      <c r="D2074" s="10" t="s">
        <v>4637</v>
      </c>
      <c r="E2074" s="9" t="s">
        <v>22</v>
      </c>
      <c r="F2074" s="10">
        <v>36</v>
      </c>
      <c r="G2074" s="11">
        <v>8133953955</v>
      </c>
      <c r="H2074" s="10" t="s">
        <v>4638</v>
      </c>
      <c r="I2074" s="10" t="s">
        <v>27</v>
      </c>
      <c r="J2074" s="10" t="s">
        <v>1559</v>
      </c>
      <c r="K2074" s="12">
        <v>46005</v>
      </c>
      <c r="L2074" s="28" t="s">
        <v>11</v>
      </c>
      <c r="M2074" s="14"/>
      <c r="N2074" s="10" t="s">
        <v>1028</v>
      </c>
    </row>
    <row r="2075" spans="1:14" ht="22.5" hidden="1" customHeight="1">
      <c r="A2075" s="8">
        <v>46005.491328576391</v>
      </c>
      <c r="B2075" s="9" t="s">
        <v>14</v>
      </c>
      <c r="C2075" s="9" t="s">
        <v>15</v>
      </c>
      <c r="D2075" s="10" t="s">
        <v>4639</v>
      </c>
      <c r="E2075" s="9" t="s">
        <v>22</v>
      </c>
      <c r="F2075" s="10">
        <v>25</v>
      </c>
      <c r="G2075" s="11">
        <v>7037412610</v>
      </c>
      <c r="H2075" s="10" t="s">
        <v>4640</v>
      </c>
      <c r="I2075" s="10" t="s">
        <v>27</v>
      </c>
      <c r="J2075" s="10" t="s">
        <v>4641</v>
      </c>
      <c r="K2075" s="12">
        <v>45759</v>
      </c>
      <c r="L2075" s="10" t="s">
        <v>441</v>
      </c>
      <c r="M2075" s="10" t="s">
        <v>1361</v>
      </c>
      <c r="N2075" s="10" t="s">
        <v>1563</v>
      </c>
    </row>
    <row r="2076" spans="1:14" ht="22.5" customHeight="1">
      <c r="A2076" s="8">
        <v>46005.493201874997</v>
      </c>
      <c r="B2076" s="9" t="s">
        <v>14</v>
      </c>
      <c r="C2076" s="9" t="s">
        <v>15</v>
      </c>
      <c r="D2076" s="10" t="s">
        <v>4642</v>
      </c>
      <c r="E2076" s="9" t="s">
        <v>22</v>
      </c>
      <c r="F2076" s="10">
        <v>19</v>
      </c>
      <c r="G2076" s="11">
        <v>7088920498</v>
      </c>
      <c r="H2076" s="10" t="s">
        <v>4643</v>
      </c>
      <c r="I2076" s="10" t="s">
        <v>27</v>
      </c>
      <c r="J2076" s="10" t="s">
        <v>28</v>
      </c>
      <c r="K2076" s="12">
        <v>46005</v>
      </c>
      <c r="L2076" s="28" t="s">
        <v>11</v>
      </c>
      <c r="M2076" s="14"/>
      <c r="N2076" s="10" t="s">
        <v>1028</v>
      </c>
    </row>
    <row r="2077" spans="1:14" ht="22.5" customHeight="1">
      <c r="A2077" s="8">
        <v>46005.493237916671</v>
      </c>
      <c r="B2077" s="9" t="s">
        <v>14</v>
      </c>
      <c r="C2077" s="9" t="s">
        <v>15</v>
      </c>
      <c r="D2077" s="10" t="s">
        <v>4644</v>
      </c>
      <c r="E2077" s="9" t="s">
        <v>17</v>
      </c>
      <c r="F2077" s="10">
        <v>38</v>
      </c>
      <c r="G2077" s="11">
        <v>8068331243</v>
      </c>
      <c r="H2077" s="10" t="s">
        <v>4645</v>
      </c>
      <c r="I2077" s="10" t="s">
        <v>49</v>
      </c>
      <c r="J2077" s="10" t="s">
        <v>106</v>
      </c>
      <c r="K2077" s="12">
        <v>46005</v>
      </c>
      <c r="L2077" s="28" t="s">
        <v>11</v>
      </c>
      <c r="M2077" s="14"/>
      <c r="N2077" s="10" t="s">
        <v>1028</v>
      </c>
    </row>
    <row r="2078" spans="1:14" ht="22.5" hidden="1" customHeight="1">
      <c r="A2078" s="8">
        <v>46005.493500567129</v>
      </c>
      <c r="B2078" s="9" t="s">
        <v>14</v>
      </c>
      <c r="C2078" s="9" t="s">
        <v>15</v>
      </c>
      <c r="D2078" s="10" t="s">
        <v>4646</v>
      </c>
      <c r="E2078" s="9" t="s">
        <v>17</v>
      </c>
      <c r="F2078" s="10">
        <v>42</v>
      </c>
      <c r="G2078" s="11">
        <v>9035919191</v>
      </c>
      <c r="H2078" s="10" t="s">
        <v>4647</v>
      </c>
      <c r="I2078" s="10" t="s">
        <v>27</v>
      </c>
      <c r="J2078" s="10" t="s">
        <v>70</v>
      </c>
      <c r="K2078" s="12">
        <v>46005</v>
      </c>
      <c r="L2078" s="10" t="s">
        <v>441</v>
      </c>
      <c r="M2078" s="10" t="s">
        <v>4648</v>
      </c>
      <c r="N2078" s="10" t="s">
        <v>1028</v>
      </c>
    </row>
    <row r="2079" spans="1:14" ht="22.5" customHeight="1">
      <c r="A2079" s="8">
        <v>46005.494721192124</v>
      </c>
      <c r="B2079" s="9" t="s">
        <v>14</v>
      </c>
      <c r="C2079" s="9" t="s">
        <v>15</v>
      </c>
      <c r="D2079" s="10" t="s">
        <v>4649</v>
      </c>
      <c r="E2079" s="9" t="s">
        <v>17</v>
      </c>
      <c r="F2079" s="10">
        <v>30</v>
      </c>
      <c r="G2079" s="11">
        <v>8032912197</v>
      </c>
      <c r="H2079" s="10" t="s">
        <v>4650</v>
      </c>
      <c r="I2079" s="10" t="s">
        <v>202</v>
      </c>
      <c r="J2079" s="10" t="s">
        <v>4651</v>
      </c>
      <c r="K2079" s="12">
        <v>46005</v>
      </c>
      <c r="L2079" s="28" t="s">
        <v>11</v>
      </c>
      <c r="M2079" s="14"/>
      <c r="N2079" s="10" t="s">
        <v>1028</v>
      </c>
    </row>
    <row r="2080" spans="1:14" ht="22.5" customHeight="1">
      <c r="A2080" s="8">
        <v>46005.496466099532</v>
      </c>
      <c r="B2080" s="9" t="s">
        <v>14</v>
      </c>
      <c r="C2080" s="9" t="s">
        <v>15</v>
      </c>
      <c r="D2080" s="10" t="s">
        <v>4652</v>
      </c>
      <c r="E2080" s="9" t="s">
        <v>17</v>
      </c>
      <c r="F2080" s="10">
        <v>25</v>
      </c>
      <c r="G2080" s="11">
        <v>7047554661</v>
      </c>
      <c r="H2080" s="10" t="s">
        <v>4653</v>
      </c>
      <c r="I2080" s="10" t="s">
        <v>202</v>
      </c>
      <c r="J2080" s="10" t="s">
        <v>4632</v>
      </c>
      <c r="K2080" s="12">
        <v>46005</v>
      </c>
      <c r="L2080" s="28" t="s">
        <v>11</v>
      </c>
      <c r="M2080" s="14"/>
      <c r="N2080" s="10" t="s">
        <v>1028</v>
      </c>
    </row>
    <row r="2081" spans="1:20" ht="22.5" customHeight="1">
      <c r="A2081" s="8">
        <v>46005.49695075232</v>
      </c>
      <c r="B2081" s="9" t="s">
        <v>14</v>
      </c>
      <c r="C2081" s="9" t="s">
        <v>15</v>
      </c>
      <c r="D2081" s="10" t="s">
        <v>4654</v>
      </c>
      <c r="E2081" s="9" t="s">
        <v>17</v>
      </c>
      <c r="F2081" s="10">
        <v>40</v>
      </c>
      <c r="G2081" s="11">
        <v>7038864110</v>
      </c>
      <c r="H2081" s="10" t="s">
        <v>4655</v>
      </c>
      <c r="I2081" s="10" t="s">
        <v>202</v>
      </c>
      <c r="J2081" s="10" t="s">
        <v>4651</v>
      </c>
      <c r="K2081" s="12">
        <v>46005</v>
      </c>
      <c r="L2081" s="28" t="s">
        <v>11</v>
      </c>
      <c r="M2081" s="14"/>
      <c r="N2081" s="10" t="s">
        <v>1028</v>
      </c>
    </row>
    <row r="2082" spans="1:20" ht="22.5" customHeight="1">
      <c r="A2082" s="8">
        <v>46005.497369525459</v>
      </c>
      <c r="B2082" s="9" t="s">
        <v>14</v>
      </c>
      <c r="C2082" s="9" t="s">
        <v>15</v>
      </c>
      <c r="D2082" s="10" t="s">
        <v>4656</v>
      </c>
      <c r="E2082" s="9" t="s">
        <v>17</v>
      </c>
      <c r="F2082" s="10">
        <v>29</v>
      </c>
      <c r="G2082" s="11">
        <v>8134286277</v>
      </c>
      <c r="H2082" s="10" t="s">
        <v>4657</v>
      </c>
      <c r="I2082" s="10" t="s">
        <v>27</v>
      </c>
      <c r="J2082" s="10" t="s">
        <v>3797</v>
      </c>
      <c r="K2082" s="12">
        <v>46005</v>
      </c>
      <c r="L2082" s="28" t="s">
        <v>11</v>
      </c>
      <c r="M2082" s="14"/>
      <c r="N2082" s="10" t="s">
        <v>1028</v>
      </c>
    </row>
    <row r="2083" spans="1:20" ht="22.5" customHeight="1">
      <c r="A2083" s="8">
        <v>46005.498020127314</v>
      </c>
      <c r="B2083" s="9" t="s">
        <v>14</v>
      </c>
      <c r="C2083" s="9" t="s">
        <v>15</v>
      </c>
      <c r="D2083" s="10" t="s">
        <v>4658</v>
      </c>
      <c r="E2083" s="9" t="s">
        <v>17</v>
      </c>
      <c r="F2083" s="10">
        <v>27</v>
      </c>
      <c r="G2083" s="11">
        <f t="shared" ref="G2083" si="47">2347032053261</f>
        <v>2347032053261</v>
      </c>
      <c r="H2083" s="10" t="s">
        <v>4659</v>
      </c>
      <c r="I2083" s="10" t="s">
        <v>49</v>
      </c>
      <c r="J2083" s="10" t="s">
        <v>106</v>
      </c>
      <c r="K2083" s="12">
        <v>46005</v>
      </c>
      <c r="L2083" s="28" t="s">
        <v>11</v>
      </c>
      <c r="M2083" s="14"/>
      <c r="N2083" s="10" t="s">
        <v>1028</v>
      </c>
    </row>
    <row r="2084" spans="1:20" ht="22.5" customHeight="1">
      <c r="A2084" s="8">
        <v>46005.498312858792</v>
      </c>
      <c r="B2084" s="9" t="s">
        <v>14</v>
      </c>
      <c r="C2084" s="9" t="s">
        <v>15</v>
      </c>
      <c r="D2084" s="10" t="s">
        <v>4660</v>
      </c>
      <c r="E2084" s="9" t="s">
        <v>17</v>
      </c>
      <c r="F2084" s="10">
        <v>26</v>
      </c>
      <c r="G2084" s="11">
        <v>9163028649</v>
      </c>
      <c r="H2084" s="10" t="s">
        <v>4661</v>
      </c>
      <c r="I2084" s="10" t="s">
        <v>19</v>
      </c>
      <c r="J2084" s="10" t="s">
        <v>4357</v>
      </c>
      <c r="K2084" s="12">
        <v>46005</v>
      </c>
      <c r="L2084" s="28" t="s">
        <v>11</v>
      </c>
      <c r="M2084" s="14"/>
      <c r="N2084" s="10" t="s">
        <v>1028</v>
      </c>
    </row>
    <row r="2085" spans="1:20" ht="22.5" customHeight="1">
      <c r="A2085" s="8">
        <v>46005.498729467596</v>
      </c>
      <c r="B2085" s="9" t="s">
        <v>14</v>
      </c>
      <c r="C2085" s="9" t="s">
        <v>15</v>
      </c>
      <c r="D2085" s="10" t="s">
        <v>4662</v>
      </c>
      <c r="E2085" s="9" t="s">
        <v>17</v>
      </c>
      <c r="F2085" s="10">
        <v>39</v>
      </c>
      <c r="G2085" s="11">
        <v>8138466271</v>
      </c>
      <c r="H2085" s="10" t="s">
        <v>4663</v>
      </c>
      <c r="I2085" s="10" t="s">
        <v>49</v>
      </c>
      <c r="J2085" s="10" t="s">
        <v>4664</v>
      </c>
      <c r="K2085" s="12">
        <v>46004</v>
      </c>
      <c r="L2085" s="28" t="s">
        <v>11</v>
      </c>
      <c r="M2085" s="14"/>
      <c r="N2085" s="10" t="s">
        <v>1028</v>
      </c>
    </row>
    <row r="2086" spans="1:20" ht="22.5" customHeight="1">
      <c r="A2086" s="8">
        <v>46005.503652094907</v>
      </c>
      <c r="B2086" s="9" t="s">
        <v>14</v>
      </c>
      <c r="C2086" s="9" t="s">
        <v>15</v>
      </c>
      <c r="D2086" s="10" t="s">
        <v>4665</v>
      </c>
      <c r="E2086" s="9" t="s">
        <v>22</v>
      </c>
      <c r="F2086" s="10">
        <v>22</v>
      </c>
      <c r="G2086" s="11">
        <v>8053731568</v>
      </c>
      <c r="H2086" s="10" t="s">
        <v>4666</v>
      </c>
      <c r="I2086" s="10" t="s">
        <v>49</v>
      </c>
      <c r="J2086" s="10" t="s">
        <v>106</v>
      </c>
      <c r="K2086" s="12">
        <v>46005</v>
      </c>
      <c r="L2086" s="28" t="s">
        <v>11</v>
      </c>
      <c r="M2086" s="14"/>
      <c r="N2086" s="10" t="s">
        <v>1028</v>
      </c>
    </row>
    <row r="2087" spans="1:20" ht="22.5" customHeight="1">
      <c r="A2087" s="8">
        <v>46005.503805844906</v>
      </c>
      <c r="B2087" s="9" t="s">
        <v>14</v>
      </c>
      <c r="C2087" s="9" t="s">
        <v>15</v>
      </c>
      <c r="D2087" s="10" t="s">
        <v>4667</v>
      </c>
      <c r="E2087" s="9" t="s">
        <v>17</v>
      </c>
      <c r="F2087" s="10">
        <v>24</v>
      </c>
      <c r="G2087" s="11">
        <v>9066217962</v>
      </c>
      <c r="H2087" s="10" t="s">
        <v>4668</v>
      </c>
      <c r="I2087" s="10" t="s">
        <v>27</v>
      </c>
      <c r="J2087" s="10" t="s">
        <v>42</v>
      </c>
      <c r="K2087" s="12">
        <v>46005</v>
      </c>
      <c r="L2087" s="28" t="s">
        <v>11</v>
      </c>
      <c r="M2087" s="14"/>
      <c r="N2087" s="10" t="s">
        <v>1028</v>
      </c>
    </row>
    <row r="2088" spans="1:20" ht="22.5" customHeight="1">
      <c r="A2088" s="8">
        <v>46005.506440752317</v>
      </c>
      <c r="B2088" s="9" t="s">
        <v>14</v>
      </c>
      <c r="C2088" s="9" t="s">
        <v>15</v>
      </c>
      <c r="D2088" s="10" t="s">
        <v>4669</v>
      </c>
      <c r="E2088" s="9" t="s">
        <v>17</v>
      </c>
      <c r="F2088" s="10">
        <v>25</v>
      </c>
      <c r="G2088" s="11">
        <v>7064915322</v>
      </c>
      <c r="H2088" s="10" t="s">
        <v>4670</v>
      </c>
      <c r="I2088" s="10" t="s">
        <v>202</v>
      </c>
      <c r="J2088" s="10" t="s">
        <v>4651</v>
      </c>
      <c r="K2088" s="12">
        <v>46005</v>
      </c>
      <c r="L2088" s="28" t="s">
        <v>11</v>
      </c>
      <c r="M2088" s="14"/>
      <c r="N2088" s="10" t="s">
        <v>1028</v>
      </c>
    </row>
    <row r="2089" spans="1:20" ht="22.5" customHeight="1">
      <c r="A2089" s="8">
        <v>46005.506905405091</v>
      </c>
      <c r="B2089" s="9" t="s">
        <v>14</v>
      </c>
      <c r="C2089" s="9" t="s">
        <v>15</v>
      </c>
      <c r="D2089" s="10" t="s">
        <v>4671</v>
      </c>
      <c r="E2089" s="9" t="s">
        <v>17</v>
      </c>
      <c r="F2089" s="10">
        <v>36</v>
      </c>
      <c r="G2089" s="11">
        <v>8067462350</v>
      </c>
      <c r="H2089" s="10" t="s">
        <v>4672</v>
      </c>
      <c r="I2089" s="10" t="s">
        <v>49</v>
      </c>
      <c r="J2089" s="10" t="s">
        <v>109</v>
      </c>
      <c r="K2089" s="12">
        <v>46005</v>
      </c>
      <c r="L2089" s="28" t="s">
        <v>11</v>
      </c>
      <c r="M2089" s="14"/>
      <c r="N2089" s="10" t="s">
        <v>4673</v>
      </c>
    </row>
    <row r="2090" spans="1:20" ht="22.5" customHeight="1">
      <c r="A2090" s="8">
        <v>46005.508623113426</v>
      </c>
      <c r="B2090" s="9" t="s">
        <v>14</v>
      </c>
      <c r="C2090" s="9" t="s">
        <v>15</v>
      </c>
      <c r="D2090" s="10" t="s">
        <v>4674</v>
      </c>
      <c r="E2090" s="9" t="s">
        <v>17</v>
      </c>
      <c r="F2090" s="10">
        <v>30</v>
      </c>
      <c r="G2090" s="11">
        <v>7065324204</v>
      </c>
      <c r="H2090" s="10" t="s">
        <v>4675</v>
      </c>
      <c r="I2090" s="10" t="s">
        <v>27</v>
      </c>
      <c r="J2090" s="10" t="s">
        <v>3186</v>
      </c>
      <c r="K2090" s="12">
        <v>46005</v>
      </c>
      <c r="L2090" s="28" t="s">
        <v>11</v>
      </c>
      <c r="M2090" s="14"/>
      <c r="N2090" s="10" t="s">
        <v>1028</v>
      </c>
      <c r="O2090" s="16"/>
      <c r="P2090" s="17"/>
      <c r="Q2090" s="17"/>
      <c r="R2090" s="17"/>
      <c r="S2090" s="17"/>
      <c r="T2090" s="17"/>
    </row>
    <row r="2091" spans="1:20" ht="22.5" customHeight="1">
      <c r="A2091" s="8">
        <v>46005.511112708336</v>
      </c>
      <c r="B2091" s="9" t="s">
        <v>14</v>
      </c>
      <c r="C2091" s="9" t="s">
        <v>15</v>
      </c>
      <c r="D2091" s="10" t="s">
        <v>4676</v>
      </c>
      <c r="E2091" s="9" t="s">
        <v>17</v>
      </c>
      <c r="F2091" s="10">
        <v>44</v>
      </c>
      <c r="G2091" s="11">
        <v>8032839116</v>
      </c>
      <c r="H2091" s="10" t="s">
        <v>4677</v>
      </c>
      <c r="I2091" s="10" t="s">
        <v>202</v>
      </c>
      <c r="J2091" s="10" t="s">
        <v>4678</v>
      </c>
      <c r="K2091" s="12">
        <v>46005</v>
      </c>
      <c r="L2091" s="28" t="s">
        <v>11</v>
      </c>
      <c r="M2091" s="14"/>
      <c r="N2091" s="10" t="s">
        <v>1028</v>
      </c>
    </row>
    <row r="2092" spans="1:20" ht="22.5" customHeight="1">
      <c r="A2092" s="8">
        <v>46005.513437326386</v>
      </c>
      <c r="B2092" s="9" t="s">
        <v>14</v>
      </c>
      <c r="C2092" s="9" t="s">
        <v>15</v>
      </c>
      <c r="D2092" s="10" t="s">
        <v>4679</v>
      </c>
      <c r="E2092" s="9" t="s">
        <v>22</v>
      </c>
      <c r="F2092" s="19">
        <v>23</v>
      </c>
      <c r="G2092" s="11">
        <v>8109999420</v>
      </c>
      <c r="H2092" s="10" t="s">
        <v>4680</v>
      </c>
      <c r="I2092" s="10" t="s">
        <v>27</v>
      </c>
      <c r="J2092" s="10" t="s">
        <v>94</v>
      </c>
      <c r="K2092" s="12">
        <v>46005</v>
      </c>
      <c r="L2092" s="28" t="s">
        <v>11</v>
      </c>
      <c r="M2092" s="14"/>
      <c r="N2092" s="10" t="s">
        <v>1028</v>
      </c>
    </row>
    <row r="2093" spans="1:20" ht="22.5" customHeight="1">
      <c r="A2093" s="8">
        <v>46005.513510509263</v>
      </c>
      <c r="B2093" s="9" t="s">
        <v>14</v>
      </c>
      <c r="C2093" s="9" t="s">
        <v>15</v>
      </c>
      <c r="D2093" s="10" t="s">
        <v>4681</v>
      </c>
      <c r="E2093" s="9" t="s">
        <v>22</v>
      </c>
      <c r="F2093" s="10">
        <v>25</v>
      </c>
      <c r="G2093" s="11">
        <v>9070026067</v>
      </c>
      <c r="H2093" s="10" t="s">
        <v>4682</v>
      </c>
      <c r="I2093" s="10" t="s">
        <v>19</v>
      </c>
      <c r="J2093" s="10" t="s">
        <v>4683</v>
      </c>
      <c r="K2093" s="12">
        <v>46005</v>
      </c>
      <c r="L2093" s="28" t="s">
        <v>11</v>
      </c>
      <c r="M2093" s="14"/>
      <c r="N2093" s="10" t="s">
        <v>1028</v>
      </c>
    </row>
    <row r="2094" spans="1:20" ht="22.5" customHeight="1">
      <c r="A2094" s="8">
        <v>46005.516654374995</v>
      </c>
      <c r="B2094" s="9" t="s">
        <v>14</v>
      </c>
      <c r="C2094" s="9" t="s">
        <v>15</v>
      </c>
      <c r="D2094" s="10" t="s">
        <v>4684</v>
      </c>
      <c r="E2094" s="9" t="s">
        <v>17</v>
      </c>
      <c r="F2094" s="10">
        <v>19</v>
      </c>
      <c r="G2094" s="11">
        <v>8148364146</v>
      </c>
      <c r="H2094" s="10" t="s">
        <v>4685</v>
      </c>
      <c r="I2094" s="10" t="s">
        <v>19</v>
      </c>
      <c r="J2094" s="10" t="s">
        <v>166</v>
      </c>
      <c r="K2094" s="12">
        <v>46005</v>
      </c>
      <c r="L2094" s="28" t="s">
        <v>11</v>
      </c>
      <c r="M2094" s="14"/>
      <c r="N2094" s="10" t="s">
        <v>1035</v>
      </c>
    </row>
    <row r="2095" spans="1:20" ht="22.5" customHeight="1">
      <c r="A2095" s="8">
        <v>46005.51710611111</v>
      </c>
      <c r="B2095" s="9" t="s">
        <v>14</v>
      </c>
      <c r="C2095" s="9" t="s">
        <v>15</v>
      </c>
      <c r="D2095" s="10" t="s">
        <v>4686</v>
      </c>
      <c r="E2095" s="9" t="s">
        <v>22</v>
      </c>
      <c r="F2095" s="10">
        <v>25</v>
      </c>
      <c r="G2095" s="11">
        <f t="shared" ref="G2095" si="48">2349038698950</f>
        <v>2349038698950</v>
      </c>
      <c r="H2095" s="10" t="s">
        <v>4687</v>
      </c>
      <c r="I2095" s="10" t="s">
        <v>19</v>
      </c>
      <c r="J2095" s="10" t="s">
        <v>119</v>
      </c>
      <c r="K2095" s="12">
        <v>46005</v>
      </c>
      <c r="L2095" s="28" t="s">
        <v>11</v>
      </c>
      <c r="M2095" s="10"/>
      <c r="N2095" s="10" t="s">
        <v>1028</v>
      </c>
    </row>
    <row r="2096" spans="1:20" ht="22.5" customHeight="1">
      <c r="A2096" s="8">
        <v>46005.521218333335</v>
      </c>
      <c r="B2096" s="9" t="s">
        <v>14</v>
      </c>
      <c r="C2096" s="9" t="s">
        <v>15</v>
      </c>
      <c r="D2096" s="10" t="s">
        <v>4688</v>
      </c>
      <c r="E2096" s="9" t="s">
        <v>17</v>
      </c>
      <c r="F2096" s="10">
        <v>46</v>
      </c>
      <c r="G2096" s="11">
        <v>8064454145</v>
      </c>
      <c r="H2096" s="10" t="s">
        <v>4689</v>
      </c>
      <c r="I2096" s="10" t="s">
        <v>202</v>
      </c>
      <c r="J2096" s="10" t="s">
        <v>4651</v>
      </c>
      <c r="K2096" s="12">
        <v>46005</v>
      </c>
      <c r="L2096" s="28" t="s">
        <v>11</v>
      </c>
      <c r="M2096" s="14"/>
      <c r="N2096" s="10" t="s">
        <v>1028</v>
      </c>
    </row>
    <row r="2097" spans="1:20" ht="22.5" customHeight="1">
      <c r="A2097" s="8">
        <v>46005.522617060182</v>
      </c>
      <c r="B2097" s="9" t="s">
        <v>14</v>
      </c>
      <c r="C2097" s="9" t="s">
        <v>15</v>
      </c>
      <c r="D2097" s="10" t="s">
        <v>4690</v>
      </c>
      <c r="E2097" s="9" t="s">
        <v>22</v>
      </c>
      <c r="F2097" s="10">
        <v>21</v>
      </c>
      <c r="G2097" s="11">
        <v>8140953175</v>
      </c>
      <c r="H2097" s="10" t="s">
        <v>4691</v>
      </c>
      <c r="I2097" s="10" t="s">
        <v>19</v>
      </c>
      <c r="J2097" s="10" t="s">
        <v>166</v>
      </c>
      <c r="K2097" s="12">
        <v>46005</v>
      </c>
      <c r="L2097" s="28" t="s">
        <v>11</v>
      </c>
      <c r="M2097" s="14"/>
      <c r="N2097" s="10" t="s">
        <v>1028</v>
      </c>
    </row>
    <row r="2098" spans="1:20" ht="22.5" customHeight="1">
      <c r="A2098" s="8">
        <v>46005.523099351849</v>
      </c>
      <c r="B2098" s="9" t="s">
        <v>14</v>
      </c>
      <c r="C2098" s="9" t="s">
        <v>15</v>
      </c>
      <c r="D2098" s="10" t="s">
        <v>4692</v>
      </c>
      <c r="E2098" s="9" t="s">
        <v>22</v>
      </c>
      <c r="F2098" s="10">
        <v>20</v>
      </c>
      <c r="G2098" s="11">
        <v>9075641388</v>
      </c>
      <c r="H2098" s="10" t="s">
        <v>4693</v>
      </c>
      <c r="I2098" s="10" t="s">
        <v>19</v>
      </c>
      <c r="J2098" s="10" t="s">
        <v>4694</v>
      </c>
      <c r="K2098" s="12">
        <v>46005</v>
      </c>
      <c r="L2098" s="28" t="s">
        <v>11</v>
      </c>
      <c r="M2098" s="14"/>
      <c r="N2098" s="10" t="s">
        <v>1028</v>
      </c>
    </row>
    <row r="2099" spans="1:20" ht="22.5" customHeight="1">
      <c r="A2099" s="8">
        <v>46005.527233159723</v>
      </c>
      <c r="B2099" s="9" t="s">
        <v>14</v>
      </c>
      <c r="C2099" s="9" t="s">
        <v>15</v>
      </c>
      <c r="D2099" s="10" t="s">
        <v>4695</v>
      </c>
      <c r="E2099" s="9" t="s">
        <v>17</v>
      </c>
      <c r="F2099" s="10">
        <v>43</v>
      </c>
      <c r="G2099" s="11">
        <f>2347069209229</f>
        <v>2347069209229</v>
      </c>
      <c r="H2099" s="10" t="s">
        <v>4696</v>
      </c>
      <c r="I2099" s="10" t="s">
        <v>31</v>
      </c>
      <c r="J2099" s="10" t="s">
        <v>1952</v>
      </c>
      <c r="K2099" s="12">
        <v>46005</v>
      </c>
      <c r="L2099" s="28" t="s">
        <v>11</v>
      </c>
      <c r="M2099" s="14"/>
      <c r="N2099" s="10" t="s">
        <v>1028</v>
      </c>
    </row>
    <row r="2100" spans="1:20" ht="22.5" customHeight="1">
      <c r="A2100" s="8">
        <v>46005.528251041665</v>
      </c>
      <c r="B2100" s="9" t="s">
        <v>14</v>
      </c>
      <c r="C2100" s="9" t="s">
        <v>15</v>
      </c>
      <c r="D2100" s="10" t="s">
        <v>4697</v>
      </c>
      <c r="E2100" s="9" t="s">
        <v>22</v>
      </c>
      <c r="F2100" s="10">
        <v>22</v>
      </c>
      <c r="G2100" s="11">
        <v>7015541933</v>
      </c>
      <c r="H2100" s="10" t="s">
        <v>4698</v>
      </c>
      <c r="I2100" s="10" t="s">
        <v>27</v>
      </c>
      <c r="J2100" s="10" t="s">
        <v>1559</v>
      </c>
      <c r="K2100" s="12">
        <v>46005</v>
      </c>
      <c r="L2100" s="28" t="s">
        <v>11</v>
      </c>
      <c r="M2100" s="14"/>
      <c r="N2100" s="10" t="s">
        <v>1028</v>
      </c>
    </row>
    <row r="2101" spans="1:20" ht="22.5" customHeight="1">
      <c r="A2101" s="8">
        <v>46005.530145011573</v>
      </c>
      <c r="B2101" s="9" t="s">
        <v>14</v>
      </c>
      <c r="C2101" s="9" t="s">
        <v>15</v>
      </c>
      <c r="D2101" s="10" t="s">
        <v>4699</v>
      </c>
      <c r="E2101" s="9" t="s">
        <v>22</v>
      </c>
      <c r="F2101" s="10">
        <v>30</v>
      </c>
      <c r="G2101" s="11">
        <v>9162335230</v>
      </c>
      <c r="H2101" s="10" t="s">
        <v>4700</v>
      </c>
      <c r="I2101" s="10" t="s">
        <v>202</v>
      </c>
      <c r="J2101" s="10" t="s">
        <v>3904</v>
      </c>
      <c r="K2101" s="12">
        <v>46005</v>
      </c>
      <c r="L2101" s="28" t="s">
        <v>11</v>
      </c>
      <c r="M2101" s="14"/>
      <c r="N2101" s="10" t="s">
        <v>1028</v>
      </c>
    </row>
    <row r="2102" spans="1:20" ht="22.5" customHeight="1">
      <c r="A2102" s="8">
        <v>46005.531734687502</v>
      </c>
      <c r="B2102" s="9" t="s">
        <v>14</v>
      </c>
      <c r="C2102" s="9" t="s">
        <v>15</v>
      </c>
      <c r="D2102" s="10" t="s">
        <v>4701</v>
      </c>
      <c r="E2102" s="9" t="s">
        <v>17</v>
      </c>
      <c r="F2102" s="10">
        <v>19</v>
      </c>
      <c r="G2102" s="11">
        <v>8039106691</v>
      </c>
      <c r="H2102" s="10" t="s">
        <v>4702</v>
      </c>
      <c r="I2102" s="10" t="s">
        <v>19</v>
      </c>
      <c r="J2102" s="10" t="s">
        <v>4703</v>
      </c>
      <c r="K2102" s="12">
        <v>46005</v>
      </c>
      <c r="L2102" s="28" t="s">
        <v>11</v>
      </c>
      <c r="M2102" s="14"/>
      <c r="N2102" s="10" t="s">
        <v>1028</v>
      </c>
      <c r="O2102" s="31"/>
      <c r="P2102" s="32"/>
      <c r="Q2102" s="32"/>
      <c r="R2102" s="32"/>
      <c r="S2102" s="32"/>
      <c r="T2102" s="32"/>
    </row>
    <row r="2103" spans="1:20" ht="22.5" customHeight="1">
      <c r="A2103" s="8">
        <v>46005.534760335649</v>
      </c>
      <c r="B2103" s="9" t="s">
        <v>14</v>
      </c>
      <c r="C2103" s="9" t="s">
        <v>15</v>
      </c>
      <c r="D2103" s="10" t="s">
        <v>4704</v>
      </c>
      <c r="E2103" s="9" t="s">
        <v>22</v>
      </c>
      <c r="F2103" s="10">
        <v>27</v>
      </c>
      <c r="G2103" s="11">
        <v>7037941350</v>
      </c>
      <c r="H2103" s="10" t="s">
        <v>4705</v>
      </c>
      <c r="I2103" s="10" t="s">
        <v>19</v>
      </c>
      <c r="J2103" s="10" t="s">
        <v>3466</v>
      </c>
      <c r="K2103" s="12">
        <v>46005</v>
      </c>
      <c r="L2103" s="28" t="s">
        <v>11</v>
      </c>
      <c r="M2103" s="14"/>
      <c r="N2103" s="10" t="s">
        <v>1028</v>
      </c>
    </row>
    <row r="2104" spans="1:20" ht="22.5" customHeight="1">
      <c r="A2104" s="8">
        <v>46005.535305729165</v>
      </c>
      <c r="B2104" s="9" t="s">
        <v>14</v>
      </c>
      <c r="C2104" s="9" t="s">
        <v>15</v>
      </c>
      <c r="D2104" s="10" t="s">
        <v>4706</v>
      </c>
      <c r="E2104" s="9" t="s">
        <v>22</v>
      </c>
      <c r="F2104" s="10">
        <v>18</v>
      </c>
      <c r="G2104" s="11">
        <v>9041436751</v>
      </c>
      <c r="H2104" s="10" t="s">
        <v>4707</v>
      </c>
      <c r="I2104" s="10" t="s">
        <v>27</v>
      </c>
      <c r="J2104" s="10" t="s">
        <v>1559</v>
      </c>
      <c r="K2104" s="12">
        <v>46005</v>
      </c>
      <c r="L2104" s="28" t="s">
        <v>11</v>
      </c>
      <c r="M2104" s="14"/>
      <c r="N2104" s="10" t="s">
        <v>1028</v>
      </c>
    </row>
    <row r="2105" spans="1:20" ht="22.5" customHeight="1">
      <c r="A2105" s="8">
        <v>46005.535568541665</v>
      </c>
      <c r="B2105" s="9" t="s">
        <v>14</v>
      </c>
      <c r="C2105" s="9" t="s">
        <v>15</v>
      </c>
      <c r="D2105" s="10" t="s">
        <v>4708</v>
      </c>
      <c r="E2105" s="9" t="s">
        <v>17</v>
      </c>
      <c r="F2105" s="10">
        <v>31</v>
      </c>
      <c r="G2105" s="11">
        <v>8067774280</v>
      </c>
      <c r="H2105" s="10" t="s">
        <v>4709</v>
      </c>
      <c r="I2105" s="10" t="s">
        <v>27</v>
      </c>
      <c r="J2105" s="10" t="s">
        <v>1415</v>
      </c>
      <c r="K2105" s="12">
        <v>46005</v>
      </c>
      <c r="L2105" s="28" t="s">
        <v>11</v>
      </c>
      <c r="M2105" s="14"/>
      <c r="N2105" s="10" t="s">
        <v>1028</v>
      </c>
    </row>
    <row r="2106" spans="1:20" ht="22.5" customHeight="1">
      <c r="A2106" s="8">
        <v>46005.549629062501</v>
      </c>
      <c r="B2106" s="9" t="s">
        <v>14</v>
      </c>
      <c r="C2106" s="9" t="s">
        <v>15</v>
      </c>
      <c r="D2106" s="10" t="s">
        <v>4710</v>
      </c>
      <c r="E2106" s="9" t="s">
        <v>17</v>
      </c>
      <c r="F2106" s="10">
        <v>31</v>
      </c>
      <c r="G2106" s="11">
        <v>9034854615</v>
      </c>
      <c r="H2106" s="10" t="s">
        <v>4711</v>
      </c>
      <c r="I2106" s="10" t="s">
        <v>49</v>
      </c>
      <c r="J2106" s="10" t="s">
        <v>599</v>
      </c>
      <c r="K2106" s="12">
        <v>46005</v>
      </c>
      <c r="L2106" s="28" t="s">
        <v>11</v>
      </c>
      <c r="M2106" s="14"/>
      <c r="N2106" s="10" t="s">
        <v>1028</v>
      </c>
    </row>
    <row r="2107" spans="1:20" ht="22.5" customHeight="1">
      <c r="A2107" s="8">
        <v>46005.552612337968</v>
      </c>
      <c r="B2107" s="9" t="s">
        <v>14</v>
      </c>
      <c r="C2107" s="9" t="s">
        <v>15</v>
      </c>
      <c r="D2107" s="10" t="s">
        <v>4712</v>
      </c>
      <c r="E2107" s="9" t="s">
        <v>17</v>
      </c>
      <c r="F2107" s="10">
        <v>36</v>
      </c>
      <c r="G2107" s="11">
        <v>8124386523</v>
      </c>
      <c r="H2107" s="10" t="s">
        <v>4713</v>
      </c>
      <c r="I2107" s="10" t="s">
        <v>202</v>
      </c>
      <c r="J2107" s="10" t="s">
        <v>4651</v>
      </c>
      <c r="K2107" s="12">
        <v>46005</v>
      </c>
      <c r="L2107" s="28" t="s">
        <v>11</v>
      </c>
      <c r="M2107" s="14"/>
      <c r="N2107" s="10" t="s">
        <v>1028</v>
      </c>
    </row>
    <row r="2108" spans="1:20" ht="22.5" customHeight="1">
      <c r="A2108" s="8">
        <v>46005.554029988431</v>
      </c>
      <c r="B2108" s="9" t="s">
        <v>14</v>
      </c>
      <c r="C2108" s="9" t="s">
        <v>15</v>
      </c>
      <c r="D2108" s="10" t="s">
        <v>4714</v>
      </c>
      <c r="E2108" s="9" t="s">
        <v>17</v>
      </c>
      <c r="F2108" s="10">
        <v>29</v>
      </c>
      <c r="G2108" s="11">
        <v>8167799994</v>
      </c>
      <c r="H2108" s="10" t="s">
        <v>4715</v>
      </c>
      <c r="I2108" s="10" t="s">
        <v>45</v>
      </c>
      <c r="J2108" s="10" t="s">
        <v>901</v>
      </c>
      <c r="K2108" s="12">
        <v>46005</v>
      </c>
      <c r="L2108" s="28" t="s">
        <v>11</v>
      </c>
      <c r="M2108" s="14"/>
      <c r="N2108" s="10" t="s">
        <v>1028</v>
      </c>
    </row>
    <row r="2109" spans="1:20" ht="22.5" hidden="1" customHeight="1">
      <c r="A2109" s="8">
        <v>46005.555668576388</v>
      </c>
      <c r="B2109" s="9" t="s">
        <v>14</v>
      </c>
      <c r="C2109" s="9" t="s">
        <v>15</v>
      </c>
      <c r="D2109" s="10" t="s">
        <v>4716</v>
      </c>
      <c r="E2109" s="9" t="s">
        <v>22</v>
      </c>
      <c r="F2109" s="18">
        <v>21</v>
      </c>
      <c r="G2109" s="11">
        <v>9132606398</v>
      </c>
      <c r="H2109" s="10" t="s">
        <v>4717</v>
      </c>
      <c r="I2109" s="10" t="s">
        <v>27</v>
      </c>
      <c r="J2109" s="10" t="s">
        <v>94</v>
      </c>
      <c r="K2109" s="12">
        <v>38317</v>
      </c>
      <c r="L2109" s="10" t="s">
        <v>441</v>
      </c>
      <c r="M2109" s="10" t="s">
        <v>1361</v>
      </c>
      <c r="N2109" s="10" t="s">
        <v>1028</v>
      </c>
    </row>
    <row r="2110" spans="1:20" ht="22.5" customHeight="1">
      <c r="A2110" s="8">
        <v>46005.559025289353</v>
      </c>
      <c r="B2110" s="9" t="s">
        <v>14</v>
      </c>
      <c r="C2110" s="9" t="s">
        <v>15</v>
      </c>
      <c r="D2110" s="10" t="s">
        <v>4718</v>
      </c>
      <c r="E2110" s="9" t="s">
        <v>17</v>
      </c>
      <c r="F2110" s="10">
        <v>27</v>
      </c>
      <c r="G2110" s="11">
        <v>8108514866</v>
      </c>
      <c r="H2110" s="10" t="s">
        <v>4719</v>
      </c>
      <c r="I2110" s="10" t="s">
        <v>31</v>
      </c>
      <c r="J2110" s="10" t="s">
        <v>4720</v>
      </c>
      <c r="K2110" s="12">
        <v>46005</v>
      </c>
      <c r="L2110" s="28" t="s">
        <v>11</v>
      </c>
      <c r="M2110" s="14"/>
      <c r="N2110" s="10" t="s">
        <v>1028</v>
      </c>
    </row>
    <row r="2111" spans="1:20" ht="22.5" customHeight="1">
      <c r="A2111" s="8">
        <v>46005.562166793985</v>
      </c>
      <c r="B2111" s="9" t="s">
        <v>14</v>
      </c>
      <c r="C2111" s="9" t="s">
        <v>15</v>
      </c>
      <c r="D2111" s="10" t="s">
        <v>4721</v>
      </c>
      <c r="E2111" s="9" t="s">
        <v>22</v>
      </c>
      <c r="F2111" s="10">
        <v>28</v>
      </c>
      <c r="G2111" s="11">
        <v>8169122292</v>
      </c>
      <c r="H2111" s="10" t="s">
        <v>4722</v>
      </c>
      <c r="I2111" s="10" t="s">
        <v>27</v>
      </c>
      <c r="J2111" s="10" t="s">
        <v>70</v>
      </c>
      <c r="K2111" s="12">
        <v>46005</v>
      </c>
      <c r="L2111" s="28" t="s">
        <v>11</v>
      </c>
      <c r="M2111" s="14"/>
      <c r="N2111" s="10" t="s">
        <v>1028</v>
      </c>
    </row>
    <row r="2112" spans="1:20" ht="22.5" customHeight="1">
      <c r="A2112" s="8">
        <v>46005.562363773148</v>
      </c>
      <c r="B2112" s="9" t="s">
        <v>14</v>
      </c>
      <c r="C2112" s="9" t="s">
        <v>15</v>
      </c>
      <c r="D2112" s="10" t="s">
        <v>4723</v>
      </c>
      <c r="E2112" s="9" t="s">
        <v>22</v>
      </c>
      <c r="F2112" s="10">
        <v>38</v>
      </c>
      <c r="G2112" s="11">
        <v>7064743959</v>
      </c>
      <c r="H2112" s="10" t="s">
        <v>4724</v>
      </c>
      <c r="I2112" s="10" t="s">
        <v>202</v>
      </c>
      <c r="J2112" s="10" t="s">
        <v>203</v>
      </c>
      <c r="K2112" s="12">
        <v>46005</v>
      </c>
      <c r="L2112" s="28" t="s">
        <v>11</v>
      </c>
      <c r="M2112" s="14"/>
      <c r="N2112" s="10" t="s">
        <v>1028</v>
      </c>
    </row>
    <row r="2113" spans="1:14" ht="22.5" customHeight="1">
      <c r="A2113" s="8">
        <v>46005.568580104169</v>
      </c>
      <c r="B2113" s="9" t="s">
        <v>14</v>
      </c>
      <c r="C2113" s="9" t="s">
        <v>15</v>
      </c>
      <c r="D2113" s="10" t="s">
        <v>4725</v>
      </c>
      <c r="E2113" s="9" t="s">
        <v>22</v>
      </c>
      <c r="F2113" s="10">
        <v>19</v>
      </c>
      <c r="G2113" s="11">
        <v>7049863575</v>
      </c>
      <c r="H2113" s="10" t="s">
        <v>4726</v>
      </c>
      <c r="I2113" s="10" t="s">
        <v>202</v>
      </c>
      <c r="J2113" s="10" t="s">
        <v>4651</v>
      </c>
      <c r="K2113" s="12">
        <v>46005</v>
      </c>
      <c r="L2113" s="28" t="s">
        <v>11</v>
      </c>
      <c r="M2113" s="14"/>
      <c r="N2113" s="10" t="s">
        <v>1028</v>
      </c>
    </row>
    <row r="2114" spans="1:14" ht="22.5" customHeight="1">
      <c r="A2114" s="8">
        <v>46005.568698449075</v>
      </c>
      <c r="B2114" s="9" t="s">
        <v>14</v>
      </c>
      <c r="C2114" s="9" t="s">
        <v>15</v>
      </c>
      <c r="D2114" s="10" t="s">
        <v>4727</v>
      </c>
      <c r="E2114" s="9" t="s">
        <v>22</v>
      </c>
      <c r="F2114" s="10">
        <v>32</v>
      </c>
      <c r="G2114" s="11">
        <v>7032542532</v>
      </c>
      <c r="H2114" s="10" t="s">
        <v>4728</v>
      </c>
      <c r="I2114" s="10" t="s">
        <v>27</v>
      </c>
      <c r="J2114" s="10" t="s">
        <v>2836</v>
      </c>
      <c r="K2114" s="12">
        <v>46005</v>
      </c>
      <c r="L2114" s="28" t="s">
        <v>11</v>
      </c>
      <c r="M2114" s="14"/>
      <c r="N2114" s="10" t="s">
        <v>1096</v>
      </c>
    </row>
    <row r="2115" spans="1:14" ht="22.5" customHeight="1">
      <c r="A2115" s="8">
        <v>46005.570456250003</v>
      </c>
      <c r="B2115" s="9" t="s">
        <v>14</v>
      </c>
      <c r="C2115" s="9" t="s">
        <v>15</v>
      </c>
      <c r="D2115" s="10" t="s">
        <v>4729</v>
      </c>
      <c r="E2115" s="9" t="s">
        <v>17</v>
      </c>
      <c r="F2115" s="10">
        <v>27</v>
      </c>
      <c r="G2115" s="11">
        <v>9114046534</v>
      </c>
      <c r="H2115" s="10" t="s">
        <v>4730</v>
      </c>
      <c r="I2115" s="10" t="s">
        <v>31</v>
      </c>
      <c r="J2115" s="10" t="s">
        <v>4731</v>
      </c>
      <c r="K2115" s="12">
        <v>46005</v>
      </c>
      <c r="L2115" s="28" t="s">
        <v>11</v>
      </c>
      <c r="M2115" s="14"/>
      <c r="N2115" s="10" t="s">
        <v>1028</v>
      </c>
    </row>
    <row r="2116" spans="1:14" ht="22.5" customHeight="1">
      <c r="A2116" s="8">
        <v>46005.57528636574</v>
      </c>
      <c r="B2116" s="9" t="s">
        <v>14</v>
      </c>
      <c r="C2116" s="9" t="s">
        <v>15</v>
      </c>
      <c r="D2116" s="10" t="s">
        <v>4732</v>
      </c>
      <c r="E2116" s="9" t="s">
        <v>17</v>
      </c>
      <c r="F2116" s="10">
        <v>31</v>
      </c>
      <c r="G2116" s="11">
        <v>9066777416</v>
      </c>
      <c r="H2116" s="10" t="s">
        <v>4733</v>
      </c>
      <c r="I2116" s="10" t="s">
        <v>27</v>
      </c>
      <c r="J2116" s="10" t="s">
        <v>4734</v>
      </c>
      <c r="K2116" s="12">
        <v>46005</v>
      </c>
      <c r="L2116" s="28" t="s">
        <v>11</v>
      </c>
      <c r="M2116" s="14"/>
      <c r="N2116" s="10" t="s">
        <v>1028</v>
      </c>
    </row>
    <row r="2117" spans="1:14" ht="22.5" customHeight="1">
      <c r="A2117" s="8">
        <v>46005.576731701389</v>
      </c>
      <c r="B2117" s="9" t="s">
        <v>14</v>
      </c>
      <c r="C2117" s="9" t="s">
        <v>15</v>
      </c>
      <c r="D2117" s="10" t="s">
        <v>4735</v>
      </c>
      <c r="E2117" s="9" t="s">
        <v>22</v>
      </c>
      <c r="F2117" s="10">
        <v>19</v>
      </c>
      <c r="G2117" s="11">
        <v>8100119434</v>
      </c>
      <c r="H2117" s="10" t="s">
        <v>4736</v>
      </c>
      <c r="I2117" s="10" t="s">
        <v>202</v>
      </c>
      <c r="J2117" s="10" t="s">
        <v>3482</v>
      </c>
      <c r="K2117" s="12">
        <v>46005</v>
      </c>
      <c r="L2117" s="28" t="s">
        <v>11</v>
      </c>
      <c r="M2117" s="14"/>
      <c r="N2117" s="10" t="s">
        <v>1028</v>
      </c>
    </row>
    <row r="2118" spans="1:14" ht="22.5" customHeight="1">
      <c r="A2118" s="8">
        <v>46005.577869155095</v>
      </c>
      <c r="B2118" s="9" t="s">
        <v>14</v>
      </c>
      <c r="C2118" s="9" t="s">
        <v>15</v>
      </c>
      <c r="D2118" s="10" t="s">
        <v>4737</v>
      </c>
      <c r="E2118" s="9" t="s">
        <v>22</v>
      </c>
      <c r="F2118" s="10">
        <v>18</v>
      </c>
      <c r="G2118" s="11">
        <v>7036480547</v>
      </c>
      <c r="H2118" s="10" t="s">
        <v>4738</v>
      </c>
      <c r="I2118" s="10" t="s">
        <v>27</v>
      </c>
      <c r="J2118" s="10" t="s">
        <v>1514</v>
      </c>
      <c r="K2118" s="12">
        <v>46005</v>
      </c>
      <c r="L2118" s="28" t="s">
        <v>11</v>
      </c>
      <c r="M2118" s="14"/>
      <c r="N2118" s="10" t="s">
        <v>1028</v>
      </c>
    </row>
    <row r="2119" spans="1:14" ht="22.5" customHeight="1">
      <c r="A2119" s="8">
        <v>46005.580738171295</v>
      </c>
      <c r="B2119" s="9" t="s">
        <v>14</v>
      </c>
      <c r="C2119" s="9" t="s">
        <v>15</v>
      </c>
      <c r="D2119" s="10" t="s">
        <v>4739</v>
      </c>
      <c r="E2119" s="9" t="s">
        <v>17</v>
      </c>
      <c r="F2119" s="10">
        <v>18</v>
      </c>
      <c r="G2119" s="11">
        <v>9068470530</v>
      </c>
      <c r="H2119" s="10" t="s">
        <v>4740</v>
      </c>
      <c r="I2119" s="10" t="s">
        <v>27</v>
      </c>
      <c r="J2119" s="10" t="s">
        <v>94</v>
      </c>
      <c r="K2119" s="12">
        <v>46005</v>
      </c>
      <c r="L2119" s="28" t="s">
        <v>11</v>
      </c>
      <c r="M2119" s="14"/>
      <c r="N2119" s="10" t="s">
        <v>1028</v>
      </c>
    </row>
    <row r="2120" spans="1:14" ht="22.5" customHeight="1">
      <c r="A2120" s="8">
        <v>46005.582536886577</v>
      </c>
      <c r="B2120" s="9" t="s">
        <v>14</v>
      </c>
      <c r="C2120" s="9" t="s">
        <v>15</v>
      </c>
      <c r="D2120" s="10" t="s">
        <v>4741</v>
      </c>
      <c r="E2120" s="9" t="s">
        <v>17</v>
      </c>
      <c r="F2120" s="10">
        <v>32</v>
      </c>
      <c r="G2120" s="11">
        <v>8067577986</v>
      </c>
      <c r="H2120" s="10" t="s">
        <v>4742</v>
      </c>
      <c r="I2120" s="10" t="s">
        <v>27</v>
      </c>
      <c r="J2120" s="10" t="s">
        <v>172</v>
      </c>
      <c r="K2120" s="12">
        <v>46005</v>
      </c>
      <c r="L2120" s="28" t="s">
        <v>11</v>
      </c>
      <c r="M2120" s="14"/>
      <c r="N2120" s="10" t="s">
        <v>1028</v>
      </c>
    </row>
    <row r="2121" spans="1:14" ht="22.5" customHeight="1">
      <c r="A2121" s="8">
        <v>46005.583451620369</v>
      </c>
      <c r="B2121" s="9" t="s">
        <v>14</v>
      </c>
      <c r="C2121" s="9" t="s">
        <v>15</v>
      </c>
      <c r="D2121" s="10" t="s">
        <v>4743</v>
      </c>
      <c r="E2121" s="9" t="s">
        <v>22</v>
      </c>
      <c r="F2121" s="10">
        <v>42</v>
      </c>
      <c r="G2121" s="11">
        <v>8032225171</v>
      </c>
      <c r="H2121" s="10" t="s">
        <v>4744</v>
      </c>
      <c r="I2121" s="10" t="s">
        <v>202</v>
      </c>
      <c r="J2121" s="10" t="s">
        <v>1839</v>
      </c>
      <c r="K2121" s="12">
        <v>46005</v>
      </c>
      <c r="L2121" s="28" t="s">
        <v>11</v>
      </c>
      <c r="M2121" s="14"/>
      <c r="N2121" s="10" t="s">
        <v>1028</v>
      </c>
    </row>
    <row r="2122" spans="1:14" ht="22.5" customHeight="1">
      <c r="A2122" s="8">
        <v>46005.588465671295</v>
      </c>
      <c r="B2122" s="9" t="s">
        <v>14</v>
      </c>
      <c r="C2122" s="9" t="s">
        <v>15</v>
      </c>
      <c r="D2122" s="10" t="s">
        <v>4745</v>
      </c>
      <c r="E2122" s="9" t="s">
        <v>17</v>
      </c>
      <c r="F2122" s="10">
        <v>21</v>
      </c>
      <c r="G2122" s="11">
        <v>7043228089</v>
      </c>
      <c r="H2122" s="10" t="s">
        <v>4746</v>
      </c>
      <c r="I2122" s="10" t="s">
        <v>45</v>
      </c>
      <c r="J2122" s="10" t="s">
        <v>521</v>
      </c>
      <c r="K2122" s="12">
        <v>46005</v>
      </c>
      <c r="L2122" s="28" t="s">
        <v>11</v>
      </c>
      <c r="M2122" s="14"/>
      <c r="N2122" s="10" t="s">
        <v>1028</v>
      </c>
    </row>
    <row r="2123" spans="1:14" ht="22.5" customHeight="1">
      <c r="A2123" s="8">
        <v>46005.58895853009</v>
      </c>
      <c r="B2123" s="9" t="s">
        <v>14</v>
      </c>
      <c r="C2123" s="9" t="s">
        <v>15</v>
      </c>
      <c r="D2123" s="10" t="s">
        <v>4747</v>
      </c>
      <c r="E2123" s="9" t="s">
        <v>17</v>
      </c>
      <c r="F2123" s="10">
        <v>18</v>
      </c>
      <c r="G2123" s="11">
        <v>7049666284</v>
      </c>
      <c r="H2123" s="10" t="s">
        <v>4748</v>
      </c>
      <c r="I2123" s="10" t="s">
        <v>27</v>
      </c>
      <c r="J2123" s="10" t="s">
        <v>70</v>
      </c>
      <c r="K2123" s="12">
        <v>46005</v>
      </c>
      <c r="L2123" s="28" t="s">
        <v>11</v>
      </c>
      <c r="M2123" s="14"/>
      <c r="N2123" s="10" t="s">
        <v>1028</v>
      </c>
    </row>
    <row r="2124" spans="1:14" ht="22.5" customHeight="1">
      <c r="A2124" s="8">
        <v>46005.589290717588</v>
      </c>
      <c r="B2124" s="9" t="s">
        <v>14</v>
      </c>
      <c r="C2124" s="9" t="s">
        <v>15</v>
      </c>
      <c r="D2124" s="10" t="s">
        <v>4749</v>
      </c>
      <c r="E2124" s="9" t="s">
        <v>17</v>
      </c>
      <c r="F2124" s="10">
        <v>34</v>
      </c>
      <c r="G2124" s="11">
        <v>8039701004</v>
      </c>
      <c r="H2124" s="10" t="s">
        <v>4750</v>
      </c>
      <c r="I2124" s="10" t="s">
        <v>27</v>
      </c>
      <c r="J2124" s="10" t="s">
        <v>28</v>
      </c>
      <c r="K2124" s="12">
        <v>33332</v>
      </c>
      <c r="L2124" s="28" t="s">
        <v>11</v>
      </c>
      <c r="M2124" s="14"/>
      <c r="N2124" s="10" t="s">
        <v>1028</v>
      </c>
    </row>
    <row r="2125" spans="1:14" ht="22.5" customHeight="1">
      <c r="A2125" s="8">
        <v>46005.590786956018</v>
      </c>
      <c r="B2125" s="9" t="s">
        <v>14</v>
      </c>
      <c r="C2125" s="9" t="s">
        <v>15</v>
      </c>
      <c r="D2125" s="10" t="s">
        <v>4751</v>
      </c>
      <c r="E2125" s="9" t="s">
        <v>22</v>
      </c>
      <c r="F2125" s="10">
        <v>32</v>
      </c>
      <c r="G2125" s="11">
        <v>9035369259</v>
      </c>
      <c r="H2125" s="10" t="s">
        <v>4752</v>
      </c>
      <c r="I2125" s="10" t="s">
        <v>27</v>
      </c>
      <c r="J2125" s="10" t="s">
        <v>2105</v>
      </c>
      <c r="K2125" s="12">
        <v>46005</v>
      </c>
      <c r="L2125" s="28" t="s">
        <v>11</v>
      </c>
      <c r="M2125" s="14"/>
      <c r="N2125" s="10" t="s">
        <v>1028</v>
      </c>
    </row>
    <row r="2126" spans="1:14" ht="22.5" customHeight="1">
      <c r="A2126" s="8">
        <v>46005.591552199076</v>
      </c>
      <c r="B2126" s="9" t="s">
        <v>14</v>
      </c>
      <c r="C2126" s="9" t="s">
        <v>15</v>
      </c>
      <c r="D2126" s="10" t="s">
        <v>4753</v>
      </c>
      <c r="E2126" s="9" t="s">
        <v>17</v>
      </c>
      <c r="F2126" s="10">
        <v>31</v>
      </c>
      <c r="G2126" s="11">
        <v>7032390838</v>
      </c>
      <c r="H2126" s="10" t="s">
        <v>4754</v>
      </c>
      <c r="I2126" s="10" t="s">
        <v>49</v>
      </c>
      <c r="J2126" s="10" t="s">
        <v>599</v>
      </c>
      <c r="K2126" s="12">
        <v>46005</v>
      </c>
      <c r="L2126" s="28" t="s">
        <v>11</v>
      </c>
      <c r="M2126" s="14"/>
      <c r="N2126" s="10" t="s">
        <v>1028</v>
      </c>
    </row>
    <row r="2127" spans="1:14" ht="22.5" customHeight="1">
      <c r="A2127" s="8">
        <v>46005.592232129631</v>
      </c>
      <c r="B2127" s="9" t="s">
        <v>14</v>
      </c>
      <c r="C2127" s="9" t="s">
        <v>15</v>
      </c>
      <c r="D2127" s="10" t="s">
        <v>4755</v>
      </c>
      <c r="E2127" s="9" t="s">
        <v>22</v>
      </c>
      <c r="F2127" s="10">
        <v>32</v>
      </c>
      <c r="G2127" s="11">
        <v>9027448577</v>
      </c>
      <c r="H2127" s="10" t="s">
        <v>4756</v>
      </c>
      <c r="I2127" s="10" t="s">
        <v>27</v>
      </c>
      <c r="J2127" s="10" t="s">
        <v>2069</v>
      </c>
      <c r="K2127" s="12">
        <v>46005</v>
      </c>
      <c r="L2127" s="28" t="s">
        <v>11</v>
      </c>
      <c r="M2127" s="14"/>
      <c r="N2127" s="10" t="s">
        <v>1028</v>
      </c>
    </row>
    <row r="2128" spans="1:14" ht="22.5" customHeight="1">
      <c r="A2128" s="8">
        <v>46005.598798252315</v>
      </c>
      <c r="B2128" s="9" t="s">
        <v>14</v>
      </c>
      <c r="C2128" s="9" t="s">
        <v>15</v>
      </c>
      <c r="D2128" s="10" t="s">
        <v>4757</v>
      </c>
      <c r="E2128" s="9" t="s">
        <v>22</v>
      </c>
      <c r="F2128" s="10">
        <v>18</v>
      </c>
      <c r="G2128" s="11">
        <v>9060442554</v>
      </c>
      <c r="H2128" s="10" t="s">
        <v>4758</v>
      </c>
      <c r="I2128" s="10" t="s">
        <v>202</v>
      </c>
      <c r="J2128" s="10" t="s">
        <v>4759</v>
      </c>
      <c r="K2128" s="12">
        <v>46005</v>
      </c>
      <c r="L2128" s="28" t="s">
        <v>11</v>
      </c>
      <c r="M2128" s="10"/>
      <c r="N2128" s="10" t="s">
        <v>1096</v>
      </c>
    </row>
    <row r="2129" spans="1:14" ht="22.5" customHeight="1">
      <c r="A2129" s="8">
        <v>46005.605412453704</v>
      </c>
      <c r="B2129" s="9" t="s">
        <v>14</v>
      </c>
      <c r="C2129" s="9" t="s">
        <v>15</v>
      </c>
      <c r="D2129" s="10" t="s">
        <v>4760</v>
      </c>
      <c r="E2129" s="9" t="s">
        <v>17</v>
      </c>
      <c r="F2129" s="19">
        <v>35</v>
      </c>
      <c r="G2129" s="11">
        <v>8160424374</v>
      </c>
      <c r="H2129" s="10" t="s">
        <v>4761</v>
      </c>
      <c r="I2129" s="10" t="s">
        <v>27</v>
      </c>
      <c r="J2129" s="10" t="s">
        <v>1949</v>
      </c>
      <c r="K2129" s="12">
        <v>46005</v>
      </c>
      <c r="L2129" s="28" t="s">
        <v>11</v>
      </c>
      <c r="M2129" s="14"/>
      <c r="N2129" s="10" t="s">
        <v>1028</v>
      </c>
    </row>
    <row r="2130" spans="1:14" ht="22.5" customHeight="1">
      <c r="A2130" s="8">
        <v>46005.606055520839</v>
      </c>
      <c r="B2130" s="9" t="s">
        <v>14</v>
      </c>
      <c r="C2130" s="9" t="s">
        <v>15</v>
      </c>
      <c r="D2130" s="10" t="s">
        <v>4762</v>
      </c>
      <c r="E2130" s="9" t="s">
        <v>22</v>
      </c>
      <c r="F2130" s="10">
        <v>21</v>
      </c>
      <c r="G2130" s="11">
        <v>9138831105</v>
      </c>
      <c r="H2130" s="10" t="s">
        <v>4763</v>
      </c>
      <c r="I2130" s="10" t="s">
        <v>19</v>
      </c>
      <c r="J2130" s="10" t="s">
        <v>166</v>
      </c>
      <c r="K2130" s="12">
        <v>46005</v>
      </c>
      <c r="L2130" s="28" t="s">
        <v>11</v>
      </c>
      <c r="M2130" s="14"/>
      <c r="N2130" s="10" t="s">
        <v>1028</v>
      </c>
    </row>
    <row r="2131" spans="1:14" ht="22.5" hidden="1" customHeight="1">
      <c r="A2131" s="8">
        <v>46005.60747761574</v>
      </c>
      <c r="B2131" s="9" t="s">
        <v>14</v>
      </c>
      <c r="C2131" s="9" t="s">
        <v>15</v>
      </c>
      <c r="D2131" s="10" t="s">
        <v>4764</v>
      </c>
      <c r="E2131" s="9" t="s">
        <v>17</v>
      </c>
      <c r="F2131" s="18">
        <v>27</v>
      </c>
      <c r="G2131" s="11">
        <v>8064636928</v>
      </c>
      <c r="H2131" s="10" t="s">
        <v>4765</v>
      </c>
      <c r="I2131" s="10" t="s">
        <v>27</v>
      </c>
      <c r="J2131" s="10" t="s">
        <v>4766</v>
      </c>
      <c r="K2131" s="12">
        <v>46005</v>
      </c>
      <c r="L2131" s="10" t="s">
        <v>441</v>
      </c>
      <c r="M2131" s="10" t="s">
        <v>1361</v>
      </c>
      <c r="N2131" s="10" t="s">
        <v>1028</v>
      </c>
    </row>
    <row r="2132" spans="1:14" ht="22.5" hidden="1" customHeight="1">
      <c r="A2132" s="8">
        <v>46005.607629421298</v>
      </c>
      <c r="B2132" s="9" t="s">
        <v>14</v>
      </c>
      <c r="C2132" s="9" t="s">
        <v>15</v>
      </c>
      <c r="D2132" s="10" t="s">
        <v>4767</v>
      </c>
      <c r="E2132" s="9" t="s">
        <v>17</v>
      </c>
      <c r="F2132" s="10">
        <v>20</v>
      </c>
      <c r="G2132" s="11">
        <v>9131315565</v>
      </c>
      <c r="H2132" s="10" t="s">
        <v>4768</v>
      </c>
      <c r="I2132" s="10" t="s">
        <v>27</v>
      </c>
      <c r="J2132" s="10" t="s">
        <v>4769</v>
      </c>
      <c r="K2132" s="12">
        <v>46005</v>
      </c>
      <c r="L2132" s="10" t="s">
        <v>441</v>
      </c>
      <c r="M2132" s="10" t="s">
        <v>1361</v>
      </c>
      <c r="N2132" s="10" t="s">
        <v>1028</v>
      </c>
    </row>
    <row r="2133" spans="1:14" ht="22.5" customHeight="1">
      <c r="A2133" s="8">
        <v>46005.609633518514</v>
      </c>
      <c r="B2133" s="9" t="s">
        <v>14</v>
      </c>
      <c r="C2133" s="9" t="s">
        <v>15</v>
      </c>
      <c r="D2133" s="10" t="s">
        <v>4770</v>
      </c>
      <c r="E2133" s="9" t="s">
        <v>22</v>
      </c>
      <c r="F2133" s="10">
        <v>28</v>
      </c>
      <c r="G2133" s="11">
        <v>8059790511</v>
      </c>
      <c r="H2133" s="10" t="s">
        <v>4771</v>
      </c>
      <c r="I2133" s="10" t="s">
        <v>27</v>
      </c>
      <c r="J2133" s="10" t="s">
        <v>28</v>
      </c>
      <c r="K2133" s="12">
        <v>35524</v>
      </c>
      <c r="L2133" s="28" t="s">
        <v>11</v>
      </c>
      <c r="M2133" s="14"/>
      <c r="N2133" s="10" t="s">
        <v>1028</v>
      </c>
    </row>
    <row r="2134" spans="1:14" ht="22.5" customHeight="1">
      <c r="A2134" s="8">
        <v>46005.612422245365</v>
      </c>
      <c r="B2134" s="9" t="s">
        <v>14</v>
      </c>
      <c r="C2134" s="9" t="s">
        <v>15</v>
      </c>
      <c r="D2134" s="10" t="s">
        <v>4772</v>
      </c>
      <c r="E2134" s="9" t="s">
        <v>22</v>
      </c>
      <c r="F2134" s="10">
        <v>31</v>
      </c>
      <c r="G2134" s="11">
        <v>7033297947</v>
      </c>
      <c r="H2134" s="10" t="s">
        <v>4773</v>
      </c>
      <c r="I2134" s="10" t="s">
        <v>27</v>
      </c>
      <c r="J2134" s="10" t="s">
        <v>2196</v>
      </c>
      <c r="K2134" s="12">
        <v>46003</v>
      </c>
      <c r="L2134" s="28" t="s">
        <v>11</v>
      </c>
      <c r="M2134" s="14"/>
      <c r="N2134" s="10" t="s">
        <v>1028</v>
      </c>
    </row>
    <row r="2135" spans="1:14" ht="22.5" customHeight="1">
      <c r="A2135" s="8">
        <v>46005.613637372684</v>
      </c>
      <c r="B2135" s="9" t="s">
        <v>14</v>
      </c>
      <c r="C2135" s="9" t="s">
        <v>15</v>
      </c>
      <c r="D2135" s="10" t="s">
        <v>4774</v>
      </c>
      <c r="E2135" s="9" t="s">
        <v>17</v>
      </c>
      <c r="F2135" s="10">
        <v>28</v>
      </c>
      <c r="G2135" s="11">
        <v>8109899902</v>
      </c>
      <c r="H2135" s="10" t="s">
        <v>4775</v>
      </c>
      <c r="I2135" s="10" t="s">
        <v>202</v>
      </c>
      <c r="J2135" s="10" t="s">
        <v>4005</v>
      </c>
      <c r="K2135" s="12">
        <v>46005</v>
      </c>
      <c r="L2135" s="28" t="s">
        <v>11</v>
      </c>
      <c r="M2135" s="14"/>
      <c r="N2135" s="10" t="s">
        <v>1028</v>
      </c>
    </row>
    <row r="2136" spans="1:14" ht="22.5" customHeight="1">
      <c r="A2136" s="8">
        <v>46005.61839210648</v>
      </c>
      <c r="B2136" s="9" t="s">
        <v>14</v>
      </c>
      <c r="C2136" s="9" t="s">
        <v>15</v>
      </c>
      <c r="D2136" s="10" t="s">
        <v>4776</v>
      </c>
      <c r="E2136" s="9" t="s">
        <v>17</v>
      </c>
      <c r="F2136" s="10">
        <v>35</v>
      </c>
      <c r="G2136" s="11">
        <v>9019194375</v>
      </c>
      <c r="H2136" s="10" t="s">
        <v>4777</v>
      </c>
      <c r="I2136" s="10" t="s">
        <v>202</v>
      </c>
      <c r="J2136" s="10" t="s">
        <v>4651</v>
      </c>
      <c r="K2136" s="12">
        <v>46005</v>
      </c>
      <c r="L2136" s="28" t="s">
        <v>11</v>
      </c>
      <c r="M2136" s="14"/>
      <c r="N2136" s="10" t="s">
        <v>1028</v>
      </c>
    </row>
    <row r="2137" spans="1:14" ht="22.5" customHeight="1">
      <c r="A2137" s="8">
        <v>46005.622704398149</v>
      </c>
      <c r="B2137" s="9" t="s">
        <v>14</v>
      </c>
      <c r="C2137" s="9" t="s">
        <v>15</v>
      </c>
      <c r="D2137" s="10" t="s">
        <v>4778</v>
      </c>
      <c r="E2137" s="9" t="s">
        <v>17</v>
      </c>
      <c r="F2137" s="10">
        <v>35</v>
      </c>
      <c r="G2137" s="11">
        <v>8082985103</v>
      </c>
      <c r="H2137" s="10" t="s">
        <v>4779</v>
      </c>
      <c r="I2137" s="10" t="s">
        <v>202</v>
      </c>
      <c r="J2137" s="10" t="s">
        <v>4780</v>
      </c>
      <c r="K2137" s="12">
        <v>46005</v>
      </c>
      <c r="L2137" s="28" t="s">
        <v>11</v>
      </c>
      <c r="M2137" s="14"/>
      <c r="N2137" s="10" t="s">
        <v>1028</v>
      </c>
    </row>
    <row r="2138" spans="1:14" ht="22.5" customHeight="1">
      <c r="A2138" s="8">
        <v>46005.624196886572</v>
      </c>
      <c r="B2138" s="9" t="s">
        <v>14</v>
      </c>
      <c r="C2138" s="9" t="s">
        <v>15</v>
      </c>
      <c r="D2138" s="10" t="s">
        <v>3951</v>
      </c>
      <c r="E2138" s="9" t="s">
        <v>17</v>
      </c>
      <c r="F2138" s="10">
        <v>31</v>
      </c>
      <c r="G2138" s="11">
        <v>8168711989</v>
      </c>
      <c r="H2138" s="10" t="s">
        <v>3952</v>
      </c>
      <c r="I2138" s="10" t="s">
        <v>27</v>
      </c>
      <c r="J2138" s="10" t="s">
        <v>2479</v>
      </c>
      <c r="K2138" s="12">
        <v>46005</v>
      </c>
      <c r="L2138" s="28" t="s">
        <v>11</v>
      </c>
      <c r="M2138" s="14"/>
      <c r="N2138" s="10" t="s">
        <v>1028</v>
      </c>
    </row>
    <row r="2139" spans="1:14" ht="22.5" customHeight="1">
      <c r="A2139" s="8">
        <v>46005.631220358795</v>
      </c>
      <c r="B2139" s="9" t="s">
        <v>14</v>
      </c>
      <c r="C2139" s="9" t="s">
        <v>15</v>
      </c>
      <c r="D2139" s="10" t="s">
        <v>4781</v>
      </c>
      <c r="E2139" s="9" t="s">
        <v>22</v>
      </c>
      <c r="F2139" s="10">
        <v>20</v>
      </c>
      <c r="G2139" s="11">
        <v>7043130430</v>
      </c>
      <c r="H2139" s="10" t="s">
        <v>4782</v>
      </c>
      <c r="I2139" s="10" t="s">
        <v>27</v>
      </c>
      <c r="J2139" s="10" t="s">
        <v>1559</v>
      </c>
      <c r="K2139" s="12">
        <v>46005</v>
      </c>
      <c r="L2139" s="28" t="s">
        <v>11</v>
      </c>
      <c r="M2139" s="14"/>
      <c r="N2139" s="10" t="s">
        <v>1028</v>
      </c>
    </row>
    <row r="2140" spans="1:14" ht="22.5" customHeight="1">
      <c r="A2140" s="8">
        <v>46005.639083032409</v>
      </c>
      <c r="B2140" s="9" t="s">
        <v>14</v>
      </c>
      <c r="C2140" s="9" t="s">
        <v>15</v>
      </c>
      <c r="D2140" s="10" t="s">
        <v>4783</v>
      </c>
      <c r="E2140" s="9" t="s">
        <v>22</v>
      </c>
      <c r="F2140" s="10">
        <v>28</v>
      </c>
      <c r="G2140" s="11">
        <v>8100570598</v>
      </c>
      <c r="H2140" s="10" t="s">
        <v>4784</v>
      </c>
      <c r="I2140" s="10" t="s">
        <v>31</v>
      </c>
      <c r="J2140" s="10" t="s">
        <v>2410</v>
      </c>
      <c r="K2140" s="12">
        <v>46005</v>
      </c>
      <c r="L2140" s="28" t="s">
        <v>11</v>
      </c>
      <c r="M2140" s="14"/>
      <c r="N2140" s="10" t="s">
        <v>1028</v>
      </c>
    </row>
    <row r="2141" spans="1:14" ht="22.5" customHeight="1">
      <c r="A2141" s="8">
        <v>46005.639528981483</v>
      </c>
      <c r="B2141" s="9" t="s">
        <v>14</v>
      </c>
      <c r="C2141" s="9" t="s">
        <v>15</v>
      </c>
      <c r="D2141" s="10" t="s">
        <v>4785</v>
      </c>
      <c r="E2141" s="9" t="s">
        <v>17</v>
      </c>
      <c r="F2141" s="10">
        <v>29</v>
      </c>
      <c r="G2141" s="11">
        <v>9032129933</v>
      </c>
      <c r="H2141" s="10" t="s">
        <v>4786</v>
      </c>
      <c r="I2141" s="10" t="s">
        <v>202</v>
      </c>
      <c r="J2141" s="10" t="s">
        <v>4780</v>
      </c>
      <c r="K2141" s="12">
        <v>46005</v>
      </c>
      <c r="L2141" s="28" t="s">
        <v>11</v>
      </c>
      <c r="M2141" s="14"/>
      <c r="N2141" s="10" t="s">
        <v>1028</v>
      </c>
    </row>
    <row r="2142" spans="1:14" ht="22.5" customHeight="1">
      <c r="A2142" s="8">
        <v>46005.647163090282</v>
      </c>
      <c r="B2142" s="9" t="s">
        <v>14</v>
      </c>
      <c r="C2142" s="9" t="s">
        <v>15</v>
      </c>
      <c r="D2142" s="10" t="s">
        <v>4787</v>
      </c>
      <c r="E2142" s="9" t="s">
        <v>17</v>
      </c>
      <c r="F2142" s="10">
        <v>26</v>
      </c>
      <c r="G2142" s="11">
        <f t="shared" ref="G2142" si="49">265993288156</f>
        <v>265993288156</v>
      </c>
      <c r="H2142" s="10" t="s">
        <v>4788</v>
      </c>
      <c r="I2142" s="10" t="s">
        <v>202</v>
      </c>
      <c r="J2142" s="10" t="s">
        <v>4789</v>
      </c>
      <c r="K2142" s="12">
        <v>46005</v>
      </c>
      <c r="L2142" s="28" t="s">
        <v>11</v>
      </c>
      <c r="M2142" s="14"/>
      <c r="N2142" s="10" t="s">
        <v>1028</v>
      </c>
    </row>
    <row r="2143" spans="1:14" ht="22.5" customHeight="1">
      <c r="A2143" s="8">
        <v>46005.650101956024</v>
      </c>
      <c r="B2143" s="9" t="s">
        <v>14</v>
      </c>
      <c r="C2143" s="9" t="s">
        <v>15</v>
      </c>
      <c r="D2143" s="10" t="s">
        <v>4790</v>
      </c>
      <c r="E2143" s="9" t="s">
        <v>22</v>
      </c>
      <c r="F2143" s="10">
        <v>32</v>
      </c>
      <c r="G2143" s="11">
        <v>8035873812</v>
      </c>
      <c r="H2143" s="10" t="s">
        <v>4791</v>
      </c>
      <c r="I2143" s="10" t="s">
        <v>27</v>
      </c>
      <c r="J2143" s="10" t="s">
        <v>703</v>
      </c>
      <c r="K2143" s="12">
        <v>46005</v>
      </c>
      <c r="L2143" s="28" t="s">
        <v>11</v>
      </c>
      <c r="M2143" s="14"/>
      <c r="N2143" s="10" t="s">
        <v>1028</v>
      </c>
    </row>
    <row r="2144" spans="1:14" ht="22.5" customHeight="1">
      <c r="A2144" s="8">
        <v>46005.663904016204</v>
      </c>
      <c r="B2144" s="9" t="s">
        <v>14</v>
      </c>
      <c r="C2144" s="9" t="s">
        <v>15</v>
      </c>
      <c r="D2144" s="10" t="s">
        <v>4792</v>
      </c>
      <c r="E2144" s="9" t="s">
        <v>17</v>
      </c>
      <c r="F2144" s="10">
        <v>45</v>
      </c>
      <c r="G2144" s="11">
        <v>8083384938</v>
      </c>
      <c r="H2144" s="10" t="s">
        <v>4793</v>
      </c>
      <c r="I2144" s="10" t="s">
        <v>27</v>
      </c>
      <c r="J2144" s="10" t="s">
        <v>2105</v>
      </c>
      <c r="K2144" s="12">
        <v>46005</v>
      </c>
      <c r="L2144" s="28" t="s">
        <v>11</v>
      </c>
      <c r="M2144" s="14"/>
      <c r="N2144" s="10" t="s">
        <v>1028</v>
      </c>
    </row>
    <row r="2145" spans="1:20" ht="22.5" customHeight="1">
      <c r="A2145" s="8">
        <v>46005.668217905091</v>
      </c>
      <c r="B2145" s="9" t="s">
        <v>14</v>
      </c>
      <c r="C2145" s="9" t="s">
        <v>15</v>
      </c>
      <c r="D2145" s="10" t="s">
        <v>4794</v>
      </c>
      <c r="E2145" s="9" t="s">
        <v>17</v>
      </c>
      <c r="F2145" s="10">
        <v>35</v>
      </c>
      <c r="G2145" s="11">
        <v>8063150796</v>
      </c>
      <c r="H2145" s="10" t="s">
        <v>4795</v>
      </c>
      <c r="I2145" s="10" t="s">
        <v>202</v>
      </c>
      <c r="J2145" s="10" t="s">
        <v>3682</v>
      </c>
      <c r="K2145" s="12">
        <v>30597</v>
      </c>
      <c r="L2145" s="28" t="s">
        <v>11</v>
      </c>
      <c r="M2145" s="14"/>
      <c r="N2145" s="10" t="s">
        <v>1028</v>
      </c>
    </row>
    <row r="2146" spans="1:20" ht="22.5" customHeight="1">
      <c r="A2146" s="8">
        <v>46005.675527627318</v>
      </c>
      <c r="B2146" s="9" t="s">
        <v>14</v>
      </c>
      <c r="C2146" s="9" t="s">
        <v>15</v>
      </c>
      <c r="D2146" s="10" t="s">
        <v>4796</v>
      </c>
      <c r="E2146" s="9" t="s">
        <v>17</v>
      </c>
      <c r="F2146" s="10">
        <v>25</v>
      </c>
      <c r="G2146" s="11">
        <v>8132173903</v>
      </c>
      <c r="H2146" s="10" t="s">
        <v>4797</v>
      </c>
      <c r="I2146" s="10" t="s">
        <v>19</v>
      </c>
      <c r="J2146" s="10" t="s">
        <v>3495</v>
      </c>
      <c r="K2146" s="12">
        <v>46005</v>
      </c>
      <c r="L2146" s="28" t="s">
        <v>11</v>
      </c>
      <c r="M2146" s="14"/>
      <c r="N2146" s="10" t="s">
        <v>1028</v>
      </c>
    </row>
    <row r="2147" spans="1:20" ht="22.5" customHeight="1">
      <c r="A2147" s="8">
        <v>46005.682882442125</v>
      </c>
      <c r="B2147" s="9" t="s">
        <v>14</v>
      </c>
      <c r="C2147" s="9" t="s">
        <v>15</v>
      </c>
      <c r="D2147" s="10" t="s">
        <v>4798</v>
      </c>
      <c r="E2147" s="9" t="s">
        <v>17</v>
      </c>
      <c r="F2147" s="10">
        <v>26</v>
      </c>
      <c r="G2147" s="11">
        <v>8165404664</v>
      </c>
      <c r="H2147" s="10" t="s">
        <v>4799</v>
      </c>
      <c r="I2147" s="10" t="s">
        <v>19</v>
      </c>
      <c r="J2147" s="10" t="s">
        <v>3369</v>
      </c>
      <c r="K2147" s="12">
        <v>46005</v>
      </c>
      <c r="L2147" s="28" t="s">
        <v>11</v>
      </c>
      <c r="M2147" s="14"/>
      <c r="N2147" s="10" t="s">
        <v>1028</v>
      </c>
    </row>
    <row r="2148" spans="1:20" ht="22.5" customHeight="1">
      <c r="A2148" s="8">
        <v>46005.682885729169</v>
      </c>
      <c r="B2148" s="9" t="s">
        <v>14</v>
      </c>
      <c r="C2148" s="9" t="s">
        <v>15</v>
      </c>
      <c r="D2148" s="10" t="s">
        <v>4800</v>
      </c>
      <c r="E2148" s="9" t="s">
        <v>22</v>
      </c>
      <c r="F2148" s="10">
        <v>21</v>
      </c>
      <c r="G2148" s="11">
        <v>7032976067</v>
      </c>
      <c r="H2148" s="10" t="s">
        <v>4801</v>
      </c>
      <c r="I2148" s="10" t="s">
        <v>202</v>
      </c>
      <c r="J2148" s="10" t="s">
        <v>4802</v>
      </c>
      <c r="K2148" s="12">
        <v>46005</v>
      </c>
      <c r="L2148" s="28" t="s">
        <v>11</v>
      </c>
      <c r="M2148" s="14"/>
      <c r="N2148" s="10" t="s">
        <v>1028</v>
      </c>
      <c r="O2148" s="20"/>
      <c r="P2148" s="21"/>
      <c r="Q2148" s="21"/>
      <c r="R2148" s="21"/>
      <c r="S2148" s="21"/>
      <c r="T2148" s="21"/>
    </row>
    <row r="2149" spans="1:20" ht="22.5" customHeight="1">
      <c r="A2149" s="8">
        <v>46005.707046388889</v>
      </c>
      <c r="B2149" s="9" t="s">
        <v>14</v>
      </c>
      <c r="C2149" s="9" t="s">
        <v>15</v>
      </c>
      <c r="D2149" s="10" t="s">
        <v>4803</v>
      </c>
      <c r="E2149" s="9" t="s">
        <v>22</v>
      </c>
      <c r="F2149" s="10">
        <v>25</v>
      </c>
      <c r="G2149" s="11">
        <v>7075735556</v>
      </c>
      <c r="H2149" s="10" t="s">
        <v>4804</v>
      </c>
      <c r="I2149" s="10" t="s">
        <v>27</v>
      </c>
      <c r="J2149" s="10" t="s">
        <v>4805</v>
      </c>
      <c r="K2149" s="12">
        <v>46005</v>
      </c>
      <c r="L2149" s="28" t="s">
        <v>11</v>
      </c>
      <c r="M2149" s="10"/>
      <c r="N2149" s="10" t="s">
        <v>1028</v>
      </c>
    </row>
    <row r="2150" spans="1:20" ht="22.5" customHeight="1">
      <c r="A2150" s="8">
        <v>46005.710072141199</v>
      </c>
      <c r="B2150" s="9" t="s">
        <v>14</v>
      </c>
      <c r="C2150" s="9" t="s">
        <v>15</v>
      </c>
      <c r="D2150" s="10" t="s">
        <v>4806</v>
      </c>
      <c r="E2150" s="9" t="s">
        <v>17</v>
      </c>
      <c r="F2150" s="10">
        <v>36</v>
      </c>
      <c r="G2150" s="11">
        <v>8060735783</v>
      </c>
      <c r="H2150" s="10" t="s">
        <v>4807</v>
      </c>
      <c r="I2150" s="10" t="s">
        <v>27</v>
      </c>
      <c r="J2150" s="10" t="s">
        <v>2105</v>
      </c>
      <c r="K2150" s="12">
        <v>46005</v>
      </c>
      <c r="L2150" s="28" t="s">
        <v>11</v>
      </c>
      <c r="M2150" s="14"/>
      <c r="N2150" s="10" t="s">
        <v>1028</v>
      </c>
    </row>
    <row r="2151" spans="1:20" ht="22.5" hidden="1" customHeight="1">
      <c r="A2151" s="8">
        <v>46005.710660717596</v>
      </c>
      <c r="B2151" s="9" t="s">
        <v>14</v>
      </c>
      <c r="C2151" s="9" t="s">
        <v>15</v>
      </c>
      <c r="D2151" s="10" t="s">
        <v>4808</v>
      </c>
      <c r="E2151" s="9" t="s">
        <v>22</v>
      </c>
      <c r="F2151" s="19">
        <v>33</v>
      </c>
      <c r="G2151" s="11">
        <v>8060770308</v>
      </c>
      <c r="H2151" s="10" t="s">
        <v>4809</v>
      </c>
      <c r="I2151" s="10" t="s">
        <v>27</v>
      </c>
      <c r="J2151" s="10" t="s">
        <v>1514</v>
      </c>
      <c r="K2151" s="12">
        <v>46005</v>
      </c>
      <c r="L2151" s="10" t="s">
        <v>441</v>
      </c>
      <c r="M2151" s="10" t="s">
        <v>1562</v>
      </c>
      <c r="N2151" s="10" t="s">
        <v>1028</v>
      </c>
    </row>
    <row r="2152" spans="1:20" ht="22.5" customHeight="1">
      <c r="A2152" s="8">
        <v>46005.71120755787</v>
      </c>
      <c r="B2152" s="9" t="s">
        <v>14</v>
      </c>
      <c r="C2152" s="9" t="s">
        <v>15</v>
      </c>
      <c r="D2152" s="10" t="s">
        <v>4810</v>
      </c>
      <c r="E2152" s="9" t="s">
        <v>17</v>
      </c>
      <c r="F2152" s="10">
        <v>24</v>
      </c>
      <c r="G2152" s="11">
        <f t="shared" ref="G2152" si="50">595995657500</f>
        <v>595995657500</v>
      </c>
      <c r="H2152" s="10" t="s">
        <v>4811</v>
      </c>
      <c r="I2152" s="10" t="s">
        <v>31</v>
      </c>
      <c r="J2152" s="10" t="s">
        <v>32</v>
      </c>
      <c r="K2152" s="12">
        <v>46005</v>
      </c>
      <c r="L2152" s="28" t="s">
        <v>11</v>
      </c>
      <c r="M2152" s="14"/>
      <c r="N2152" s="10" t="s">
        <v>4812</v>
      </c>
    </row>
    <row r="2153" spans="1:20" ht="22.5" customHeight="1">
      <c r="A2153" s="8">
        <v>46005.712662905091</v>
      </c>
      <c r="B2153" s="9" t="s">
        <v>14</v>
      </c>
      <c r="C2153" s="9" t="s">
        <v>15</v>
      </c>
      <c r="D2153" s="10" t="s">
        <v>4813</v>
      </c>
      <c r="E2153" s="9" t="s">
        <v>17</v>
      </c>
      <c r="F2153" s="10">
        <v>29</v>
      </c>
      <c r="G2153" s="11">
        <v>7033415040</v>
      </c>
      <c r="H2153" s="10" t="s">
        <v>4814</v>
      </c>
      <c r="I2153" s="10" t="s">
        <v>27</v>
      </c>
      <c r="J2153" s="10" t="s">
        <v>2069</v>
      </c>
      <c r="K2153" s="12">
        <v>46005</v>
      </c>
      <c r="L2153" s="28" t="s">
        <v>11</v>
      </c>
      <c r="M2153" s="14"/>
      <c r="N2153" s="10" t="s">
        <v>1028</v>
      </c>
    </row>
    <row r="2154" spans="1:20" ht="22.5" hidden="1" customHeight="1">
      <c r="A2154" s="8">
        <v>46005.716719976852</v>
      </c>
      <c r="B2154" s="9" t="s">
        <v>14</v>
      </c>
      <c r="C2154" s="9" t="s">
        <v>15</v>
      </c>
      <c r="D2154" s="10" t="s">
        <v>4815</v>
      </c>
      <c r="E2154" s="9" t="s">
        <v>17</v>
      </c>
      <c r="F2154" s="10">
        <v>56</v>
      </c>
      <c r="G2154" s="11">
        <v>8034424370</v>
      </c>
      <c r="H2154" s="10" t="s">
        <v>4816</v>
      </c>
      <c r="I2154" s="10" t="s">
        <v>27</v>
      </c>
      <c r="J2154" s="10" t="s">
        <v>4805</v>
      </c>
      <c r="K2154" s="12">
        <v>46005</v>
      </c>
      <c r="L2154" s="10" t="s">
        <v>441</v>
      </c>
      <c r="M2154" s="10" t="s">
        <v>1361</v>
      </c>
      <c r="N2154" s="10" t="s">
        <v>1028</v>
      </c>
    </row>
    <row r="2155" spans="1:20" ht="22.5" customHeight="1">
      <c r="A2155" s="8">
        <v>46005.720713495371</v>
      </c>
      <c r="B2155" s="9" t="s">
        <v>14</v>
      </c>
      <c r="C2155" s="9" t="s">
        <v>15</v>
      </c>
      <c r="D2155" s="10" t="s">
        <v>4817</v>
      </c>
      <c r="E2155" s="9" t="s">
        <v>17</v>
      </c>
      <c r="F2155" s="10">
        <v>33</v>
      </c>
      <c r="G2155" s="11">
        <v>8034595388</v>
      </c>
      <c r="H2155" s="10" t="s">
        <v>4818</v>
      </c>
      <c r="I2155" s="10" t="s">
        <v>27</v>
      </c>
      <c r="J2155" s="10" t="s">
        <v>4560</v>
      </c>
      <c r="K2155" s="12">
        <v>46005</v>
      </c>
      <c r="L2155" s="28" t="s">
        <v>11</v>
      </c>
      <c r="M2155" s="14"/>
      <c r="N2155" s="10" t="s">
        <v>1028</v>
      </c>
    </row>
    <row r="2156" spans="1:20" ht="22.5" hidden="1" customHeight="1">
      <c r="A2156" s="8">
        <v>46005.723345555554</v>
      </c>
      <c r="B2156" s="9" t="s">
        <v>14</v>
      </c>
      <c r="C2156" s="9" t="s">
        <v>15</v>
      </c>
      <c r="D2156" s="10" t="s">
        <v>4819</v>
      </c>
      <c r="E2156" s="9" t="s">
        <v>22</v>
      </c>
      <c r="F2156" s="10">
        <v>18</v>
      </c>
      <c r="G2156" s="11">
        <v>7077074891</v>
      </c>
      <c r="H2156" s="10" t="s">
        <v>4820</v>
      </c>
      <c r="I2156" s="10" t="s">
        <v>27</v>
      </c>
      <c r="J2156" s="10" t="s">
        <v>4805</v>
      </c>
      <c r="K2156" s="12">
        <v>46005</v>
      </c>
      <c r="L2156" s="10" t="s">
        <v>441</v>
      </c>
      <c r="M2156" s="10" t="s">
        <v>1361</v>
      </c>
      <c r="N2156" s="10" t="s">
        <v>1028</v>
      </c>
    </row>
    <row r="2157" spans="1:20" ht="22.5" customHeight="1">
      <c r="A2157" s="8">
        <v>46005.723794201389</v>
      </c>
      <c r="B2157" s="9" t="s">
        <v>14</v>
      </c>
      <c r="C2157" s="9" t="s">
        <v>15</v>
      </c>
      <c r="D2157" s="10" t="s">
        <v>4821</v>
      </c>
      <c r="E2157" s="9" t="s">
        <v>17</v>
      </c>
      <c r="F2157" s="10">
        <v>29</v>
      </c>
      <c r="G2157" s="11">
        <f t="shared" ref="G2157" si="51">2348069622711</f>
        <v>2348069622711</v>
      </c>
      <c r="H2157" s="10" t="s">
        <v>4822</v>
      </c>
      <c r="I2157" s="10" t="s">
        <v>27</v>
      </c>
      <c r="J2157" s="10" t="s">
        <v>70</v>
      </c>
      <c r="K2157" s="12">
        <v>46005</v>
      </c>
      <c r="L2157" s="28" t="s">
        <v>11</v>
      </c>
      <c r="M2157" s="14"/>
      <c r="N2157" s="10" t="s">
        <v>1028</v>
      </c>
    </row>
    <row r="2158" spans="1:20" ht="22.5" customHeight="1">
      <c r="A2158" s="8">
        <v>46005.726531307868</v>
      </c>
      <c r="B2158" s="9" t="s">
        <v>14</v>
      </c>
      <c r="C2158" s="9" t="s">
        <v>15</v>
      </c>
      <c r="D2158" s="10" t="s">
        <v>4823</v>
      </c>
      <c r="E2158" s="9" t="s">
        <v>22</v>
      </c>
      <c r="F2158" s="10">
        <v>25</v>
      </c>
      <c r="G2158" s="11">
        <v>9062049147</v>
      </c>
      <c r="H2158" s="10" t="s">
        <v>4824</v>
      </c>
      <c r="I2158" s="10" t="s">
        <v>27</v>
      </c>
      <c r="J2158" s="10" t="s">
        <v>1559</v>
      </c>
      <c r="K2158" s="12">
        <v>46005</v>
      </c>
      <c r="L2158" s="28" t="s">
        <v>11</v>
      </c>
      <c r="M2158" s="14"/>
      <c r="N2158" s="10" t="s">
        <v>1028</v>
      </c>
    </row>
    <row r="2159" spans="1:20" ht="22.5" customHeight="1">
      <c r="A2159" s="8">
        <v>46005.735500312498</v>
      </c>
      <c r="B2159" s="9" t="s">
        <v>14</v>
      </c>
      <c r="C2159" s="9" t="s">
        <v>15</v>
      </c>
      <c r="D2159" s="10" t="s">
        <v>4825</v>
      </c>
      <c r="E2159" s="9" t="s">
        <v>22</v>
      </c>
      <c r="F2159" s="10">
        <v>29</v>
      </c>
      <c r="G2159" s="11">
        <v>29</v>
      </c>
      <c r="H2159" s="10" t="s">
        <v>4826</v>
      </c>
      <c r="I2159" s="10" t="s">
        <v>27</v>
      </c>
      <c r="J2159" s="10" t="s">
        <v>2069</v>
      </c>
      <c r="K2159" s="12">
        <v>46005</v>
      </c>
      <c r="L2159" s="28" t="s">
        <v>11</v>
      </c>
      <c r="M2159" s="14"/>
      <c r="N2159" s="10" t="s">
        <v>1028</v>
      </c>
    </row>
    <row r="2160" spans="1:20" ht="22.5" customHeight="1">
      <c r="A2160" s="8">
        <v>46005.740817905091</v>
      </c>
      <c r="B2160" s="9" t="s">
        <v>14</v>
      </c>
      <c r="C2160" s="9" t="s">
        <v>15</v>
      </c>
      <c r="D2160" s="10" t="s">
        <v>4827</v>
      </c>
      <c r="E2160" s="9" t="s">
        <v>17</v>
      </c>
      <c r="F2160" s="10">
        <v>30</v>
      </c>
      <c r="G2160" s="11">
        <v>799020788</v>
      </c>
      <c r="H2160" s="10" t="s">
        <v>4828</v>
      </c>
      <c r="I2160" s="10" t="s">
        <v>19</v>
      </c>
      <c r="J2160" s="10" t="s">
        <v>4829</v>
      </c>
      <c r="K2160" s="12">
        <v>46005</v>
      </c>
      <c r="L2160" s="28" t="s">
        <v>11</v>
      </c>
      <c r="M2160" s="14"/>
      <c r="N2160" s="10" t="s">
        <v>1028</v>
      </c>
    </row>
    <row r="2161" spans="1:14" ht="22.5" hidden="1" customHeight="1">
      <c r="A2161" s="8">
        <v>46005.74238924768</v>
      </c>
      <c r="B2161" s="9" t="s">
        <v>14</v>
      </c>
      <c r="C2161" s="9" t="s">
        <v>15</v>
      </c>
      <c r="D2161" s="10" t="s">
        <v>4808</v>
      </c>
      <c r="E2161" s="9" t="s">
        <v>22</v>
      </c>
      <c r="F2161" s="18">
        <v>33</v>
      </c>
      <c r="G2161" s="11">
        <v>8060770308</v>
      </c>
      <c r="H2161" s="10" t="s">
        <v>4809</v>
      </c>
      <c r="I2161" s="10" t="s">
        <v>27</v>
      </c>
      <c r="J2161" s="10" t="s">
        <v>1514</v>
      </c>
      <c r="K2161" s="12">
        <v>46005</v>
      </c>
      <c r="L2161" s="10" t="s">
        <v>441</v>
      </c>
      <c r="M2161" s="10" t="s">
        <v>1562</v>
      </c>
      <c r="N2161" s="10" t="s">
        <v>1028</v>
      </c>
    </row>
    <row r="2162" spans="1:14" ht="22.5" customHeight="1">
      <c r="A2162" s="8">
        <v>46005.749809016204</v>
      </c>
      <c r="B2162" s="9" t="s">
        <v>14</v>
      </c>
      <c r="C2162" s="9" t="s">
        <v>15</v>
      </c>
      <c r="D2162" s="10" t="s">
        <v>4830</v>
      </c>
      <c r="E2162" s="9" t="s">
        <v>22</v>
      </c>
      <c r="F2162" s="19">
        <v>35</v>
      </c>
      <c r="G2162" s="11">
        <v>9072903072</v>
      </c>
      <c r="H2162" s="10" t="s">
        <v>4831</v>
      </c>
      <c r="I2162" s="10" t="s">
        <v>31</v>
      </c>
      <c r="J2162" s="10" t="s">
        <v>4832</v>
      </c>
      <c r="K2162" s="12">
        <v>46005</v>
      </c>
      <c r="L2162" s="28" t="s">
        <v>11</v>
      </c>
      <c r="M2162" s="10"/>
      <c r="N2162" s="10" t="s">
        <v>1028</v>
      </c>
    </row>
    <row r="2163" spans="1:14" ht="22.5" customHeight="1">
      <c r="A2163" s="8">
        <v>46005.754987129629</v>
      </c>
      <c r="B2163" s="9" t="s">
        <v>14</v>
      </c>
      <c r="C2163" s="9" t="s">
        <v>15</v>
      </c>
      <c r="D2163" s="10" t="s">
        <v>4833</v>
      </c>
      <c r="E2163" s="9" t="s">
        <v>17</v>
      </c>
      <c r="F2163" s="10">
        <v>47</v>
      </c>
      <c r="G2163" s="11">
        <v>8062772517</v>
      </c>
      <c r="H2163" s="10" t="s">
        <v>4834</v>
      </c>
      <c r="I2163" s="10" t="s">
        <v>27</v>
      </c>
      <c r="J2163" s="10" t="s">
        <v>1288</v>
      </c>
      <c r="K2163" s="12">
        <v>46005</v>
      </c>
      <c r="L2163" s="28" t="s">
        <v>11</v>
      </c>
      <c r="M2163" s="14"/>
      <c r="N2163" s="10" t="s">
        <v>1028</v>
      </c>
    </row>
    <row r="2164" spans="1:14" ht="22.5" customHeight="1">
      <c r="A2164" s="8">
        <v>46005.756240821764</v>
      </c>
      <c r="B2164" s="9" t="s">
        <v>14</v>
      </c>
      <c r="C2164" s="9" t="s">
        <v>15</v>
      </c>
      <c r="D2164" s="10" t="s">
        <v>4835</v>
      </c>
      <c r="E2164" s="9" t="s">
        <v>17</v>
      </c>
      <c r="F2164" s="10">
        <v>42</v>
      </c>
      <c r="G2164" s="11">
        <f>2348063810960</f>
        <v>2348063810960</v>
      </c>
      <c r="H2164" s="10" t="s">
        <v>4836</v>
      </c>
      <c r="I2164" s="10" t="s">
        <v>202</v>
      </c>
      <c r="J2164" s="10" t="s">
        <v>4651</v>
      </c>
      <c r="K2164" s="12">
        <v>46005</v>
      </c>
      <c r="L2164" s="28" t="s">
        <v>11</v>
      </c>
      <c r="M2164" s="14"/>
      <c r="N2164" s="10" t="s">
        <v>1028</v>
      </c>
    </row>
    <row r="2165" spans="1:14" ht="22.5" customHeight="1">
      <c r="A2165" s="8">
        <v>46005.76574732639</v>
      </c>
      <c r="B2165" s="9" t="s">
        <v>14</v>
      </c>
      <c r="C2165" s="9" t="s">
        <v>15</v>
      </c>
      <c r="D2165" s="10" t="s">
        <v>4837</v>
      </c>
      <c r="E2165" s="9" t="s">
        <v>22</v>
      </c>
      <c r="F2165" s="10">
        <v>33</v>
      </c>
      <c r="G2165" s="11">
        <v>8063265555</v>
      </c>
      <c r="H2165" s="10" t="s">
        <v>4838</v>
      </c>
      <c r="I2165" s="10" t="s">
        <v>27</v>
      </c>
      <c r="J2165" s="10" t="s">
        <v>703</v>
      </c>
      <c r="K2165" s="12">
        <v>46005</v>
      </c>
      <c r="L2165" s="28" t="s">
        <v>11</v>
      </c>
      <c r="M2165" s="14"/>
      <c r="N2165" s="10" t="s">
        <v>1028</v>
      </c>
    </row>
    <row r="2166" spans="1:14" ht="22.5" customHeight="1">
      <c r="A2166" s="8">
        <v>46005.789093599538</v>
      </c>
      <c r="B2166" s="9" t="s">
        <v>14</v>
      </c>
      <c r="C2166" s="9" t="s">
        <v>15</v>
      </c>
      <c r="D2166" s="10" t="s">
        <v>4839</v>
      </c>
      <c r="E2166" s="9" t="s">
        <v>17</v>
      </c>
      <c r="F2166" s="10">
        <v>28</v>
      </c>
      <c r="G2166" s="11">
        <v>8082912403</v>
      </c>
      <c r="H2166" s="10" t="s">
        <v>4840</v>
      </c>
      <c r="I2166" s="10" t="s">
        <v>19</v>
      </c>
      <c r="J2166" s="10" t="s">
        <v>2314</v>
      </c>
      <c r="K2166" s="12">
        <v>46005</v>
      </c>
      <c r="L2166" s="28" t="s">
        <v>11</v>
      </c>
      <c r="M2166" s="14"/>
      <c r="N2166" s="10" t="s">
        <v>1028</v>
      </c>
    </row>
    <row r="2167" spans="1:14" ht="22.5" customHeight="1">
      <c r="A2167" s="8">
        <v>46005.792202430559</v>
      </c>
      <c r="B2167" s="9" t="s">
        <v>14</v>
      </c>
      <c r="C2167" s="9" t="s">
        <v>15</v>
      </c>
      <c r="D2167" s="10" t="s">
        <v>4841</v>
      </c>
      <c r="E2167" s="9" t="s">
        <v>22</v>
      </c>
      <c r="F2167" s="10">
        <v>28</v>
      </c>
      <c r="G2167" s="11">
        <v>8109165175</v>
      </c>
      <c r="H2167" s="10" t="s">
        <v>4842</v>
      </c>
      <c r="I2167" s="10" t="s">
        <v>27</v>
      </c>
      <c r="J2167" s="10" t="s">
        <v>172</v>
      </c>
      <c r="K2167" s="12">
        <v>46005</v>
      </c>
      <c r="L2167" s="28" t="s">
        <v>11</v>
      </c>
      <c r="M2167" s="14"/>
      <c r="N2167" s="10" t="s">
        <v>1028</v>
      </c>
    </row>
    <row r="2168" spans="1:14" ht="22.5" hidden="1" customHeight="1">
      <c r="A2168" s="8">
        <v>46005.799450648148</v>
      </c>
      <c r="B2168" s="9" t="s">
        <v>14</v>
      </c>
      <c r="C2168" s="9" t="s">
        <v>15</v>
      </c>
      <c r="D2168" s="10" t="s">
        <v>4843</v>
      </c>
      <c r="E2168" s="9" t="s">
        <v>22</v>
      </c>
      <c r="F2168" s="10">
        <v>20</v>
      </c>
      <c r="G2168" s="11">
        <v>9129460022</v>
      </c>
      <c r="H2168" s="10" t="s">
        <v>4844</v>
      </c>
      <c r="I2168" s="10" t="s">
        <v>27</v>
      </c>
      <c r="J2168" s="10" t="s">
        <v>42</v>
      </c>
      <c r="K2168" s="12">
        <v>46005</v>
      </c>
      <c r="L2168" s="10" t="s">
        <v>441</v>
      </c>
      <c r="M2168" s="10" t="s">
        <v>1361</v>
      </c>
      <c r="N2168" s="10" t="s">
        <v>2186</v>
      </c>
    </row>
    <row r="2169" spans="1:14" ht="22.5" customHeight="1">
      <c r="A2169" s="8">
        <v>46005.799852129625</v>
      </c>
      <c r="B2169" s="9" t="s">
        <v>14</v>
      </c>
      <c r="C2169" s="9" t="s">
        <v>15</v>
      </c>
      <c r="D2169" s="10" t="s">
        <v>4845</v>
      </c>
      <c r="E2169" s="9" t="s">
        <v>17</v>
      </c>
      <c r="F2169" s="10">
        <v>28</v>
      </c>
      <c r="G2169" s="11">
        <v>8162329880</v>
      </c>
      <c r="H2169" s="10" t="s">
        <v>4846</v>
      </c>
      <c r="I2169" s="10" t="s">
        <v>202</v>
      </c>
      <c r="J2169" s="10" t="s">
        <v>4847</v>
      </c>
      <c r="K2169" s="12">
        <v>46005</v>
      </c>
      <c r="L2169" s="28" t="s">
        <v>11</v>
      </c>
      <c r="M2169" s="14"/>
      <c r="N2169" s="10" t="s">
        <v>1028</v>
      </c>
    </row>
    <row r="2170" spans="1:14" ht="22.5" customHeight="1">
      <c r="A2170" s="8">
        <v>46005.814713055559</v>
      </c>
      <c r="B2170" s="9" t="s">
        <v>14</v>
      </c>
      <c r="C2170" s="9" t="s">
        <v>15</v>
      </c>
      <c r="D2170" s="10" t="s">
        <v>4848</v>
      </c>
      <c r="E2170" s="9" t="s">
        <v>17</v>
      </c>
      <c r="F2170" s="10">
        <v>33</v>
      </c>
      <c r="G2170" s="11">
        <v>8067137982</v>
      </c>
      <c r="H2170" s="10" t="s">
        <v>4849</v>
      </c>
      <c r="I2170" s="10" t="s">
        <v>202</v>
      </c>
      <c r="J2170" s="10" t="s">
        <v>4020</v>
      </c>
      <c r="K2170" s="12">
        <v>46005</v>
      </c>
      <c r="L2170" s="28" t="s">
        <v>11</v>
      </c>
      <c r="M2170" s="14"/>
      <c r="N2170" s="10" t="s">
        <v>1028</v>
      </c>
    </row>
    <row r="2171" spans="1:14" ht="22.5" customHeight="1">
      <c r="A2171" s="8">
        <v>46005.815267465281</v>
      </c>
      <c r="B2171" s="9" t="s">
        <v>14</v>
      </c>
      <c r="C2171" s="9" t="s">
        <v>15</v>
      </c>
      <c r="D2171" s="10" t="s">
        <v>4850</v>
      </c>
      <c r="E2171" s="9" t="s">
        <v>22</v>
      </c>
      <c r="F2171" s="10">
        <v>20</v>
      </c>
      <c r="G2171" s="11">
        <v>9122496261</v>
      </c>
      <c r="H2171" s="10" t="s">
        <v>4851</v>
      </c>
      <c r="I2171" s="10" t="s">
        <v>19</v>
      </c>
      <c r="J2171" s="10" t="s">
        <v>166</v>
      </c>
      <c r="K2171" s="12">
        <v>46005</v>
      </c>
      <c r="L2171" s="28" t="s">
        <v>11</v>
      </c>
      <c r="M2171" s="14"/>
      <c r="N2171" s="10" t="s">
        <v>1028</v>
      </c>
    </row>
    <row r="2172" spans="1:14" ht="22.5" customHeight="1">
      <c r="A2172" s="8">
        <v>46005.8213687963</v>
      </c>
      <c r="B2172" s="9" t="s">
        <v>14</v>
      </c>
      <c r="C2172" s="9" t="s">
        <v>15</v>
      </c>
      <c r="D2172" s="10" t="s">
        <v>4852</v>
      </c>
      <c r="E2172" s="9" t="s">
        <v>22</v>
      </c>
      <c r="F2172" s="10">
        <v>21</v>
      </c>
      <c r="G2172" s="11">
        <v>9138575640</v>
      </c>
      <c r="H2172" s="10" t="s">
        <v>4853</v>
      </c>
      <c r="I2172" s="10" t="s">
        <v>27</v>
      </c>
      <c r="J2172" s="10" t="s">
        <v>172</v>
      </c>
      <c r="K2172" s="12">
        <v>46005</v>
      </c>
      <c r="L2172" s="28" t="s">
        <v>11</v>
      </c>
      <c r="M2172" s="14"/>
      <c r="N2172" s="10" t="s">
        <v>1028</v>
      </c>
    </row>
    <row r="2173" spans="1:14" ht="22.5" customHeight="1">
      <c r="A2173" s="8">
        <v>46005.831091828702</v>
      </c>
      <c r="B2173" s="9" t="s">
        <v>14</v>
      </c>
      <c r="C2173" s="9" t="s">
        <v>15</v>
      </c>
      <c r="D2173" s="10" t="s">
        <v>4854</v>
      </c>
      <c r="E2173" s="9" t="s">
        <v>17</v>
      </c>
      <c r="F2173" s="10">
        <v>30</v>
      </c>
      <c r="G2173" s="11">
        <f t="shared" ref="G2173" si="52">212654557002</f>
        <v>212654557002</v>
      </c>
      <c r="H2173" s="10" t="s">
        <v>4855</v>
      </c>
      <c r="I2173" s="10" t="s">
        <v>202</v>
      </c>
      <c r="J2173" s="10" t="s">
        <v>4856</v>
      </c>
      <c r="K2173" s="12">
        <v>46005</v>
      </c>
      <c r="L2173" s="28" t="s">
        <v>11</v>
      </c>
      <c r="M2173" s="14"/>
      <c r="N2173" s="10" t="s">
        <v>1140</v>
      </c>
    </row>
    <row r="2174" spans="1:14" ht="22.5" customHeight="1">
      <c r="A2174" s="8">
        <v>46005.831197314816</v>
      </c>
      <c r="B2174" s="9" t="s">
        <v>14</v>
      </c>
      <c r="C2174" s="9" t="s">
        <v>15</v>
      </c>
      <c r="D2174" s="10" t="s">
        <v>4857</v>
      </c>
      <c r="E2174" s="9" t="s">
        <v>22</v>
      </c>
      <c r="F2174" s="10">
        <v>36</v>
      </c>
      <c r="G2174" s="11">
        <v>9043420509</v>
      </c>
      <c r="H2174" s="10" t="s">
        <v>4858</v>
      </c>
      <c r="I2174" s="10" t="s">
        <v>31</v>
      </c>
      <c r="J2174" s="10" t="s">
        <v>32</v>
      </c>
      <c r="K2174" s="12">
        <v>46005</v>
      </c>
      <c r="L2174" s="28" t="s">
        <v>11</v>
      </c>
      <c r="M2174" s="14"/>
      <c r="N2174" s="10" t="s">
        <v>1028</v>
      </c>
    </row>
    <row r="2175" spans="1:14" ht="22.5" customHeight="1">
      <c r="A2175" s="8">
        <v>46005.835160266201</v>
      </c>
      <c r="B2175" s="9" t="s">
        <v>14</v>
      </c>
      <c r="C2175" s="9" t="s">
        <v>15</v>
      </c>
      <c r="D2175" s="10" t="s">
        <v>4859</v>
      </c>
      <c r="E2175" s="9" t="s">
        <v>17</v>
      </c>
      <c r="F2175" s="10">
        <v>27</v>
      </c>
      <c r="G2175" s="11">
        <v>8138354289</v>
      </c>
      <c r="H2175" s="10" t="s">
        <v>4860</v>
      </c>
      <c r="I2175" s="10" t="s">
        <v>49</v>
      </c>
      <c r="J2175" s="10" t="s">
        <v>50</v>
      </c>
      <c r="K2175" s="12">
        <v>46005</v>
      </c>
      <c r="L2175" s="28" t="s">
        <v>11</v>
      </c>
      <c r="M2175" s="14"/>
      <c r="N2175" s="10" t="s">
        <v>1028</v>
      </c>
    </row>
    <row r="2176" spans="1:14" ht="22.5" customHeight="1">
      <c r="A2176" s="8">
        <v>46005.841562974536</v>
      </c>
      <c r="B2176" s="9" t="s">
        <v>14</v>
      </c>
      <c r="C2176" s="9" t="s">
        <v>15</v>
      </c>
      <c r="D2176" s="10" t="s">
        <v>4861</v>
      </c>
      <c r="E2176" s="9" t="s">
        <v>22</v>
      </c>
      <c r="F2176" s="10">
        <v>24</v>
      </c>
      <c r="G2176" s="11">
        <v>9060464499</v>
      </c>
      <c r="H2176" s="10" t="s">
        <v>4862</v>
      </c>
      <c r="I2176" s="10" t="s">
        <v>49</v>
      </c>
      <c r="J2176" s="10" t="s">
        <v>106</v>
      </c>
      <c r="K2176" s="12">
        <v>46005</v>
      </c>
      <c r="L2176" s="28" t="s">
        <v>11</v>
      </c>
      <c r="M2176" s="14"/>
      <c r="N2176" s="10" t="s">
        <v>1028</v>
      </c>
    </row>
    <row r="2177" spans="1:14" ht="22.5" customHeight="1">
      <c r="A2177" s="8">
        <v>46005.845791134256</v>
      </c>
      <c r="B2177" s="9" t="s">
        <v>14</v>
      </c>
      <c r="C2177" s="9" t="s">
        <v>15</v>
      </c>
      <c r="D2177" s="10" t="s">
        <v>4863</v>
      </c>
      <c r="E2177" s="9" t="s">
        <v>17</v>
      </c>
      <c r="F2177" s="10">
        <v>39</v>
      </c>
      <c r="G2177" s="11">
        <v>7064744242</v>
      </c>
      <c r="H2177" s="10" t="s">
        <v>4864</v>
      </c>
      <c r="I2177" s="10" t="s">
        <v>45</v>
      </c>
      <c r="J2177" s="10" t="s">
        <v>279</v>
      </c>
      <c r="K2177" s="12">
        <v>31712</v>
      </c>
      <c r="L2177" s="28" t="s">
        <v>11</v>
      </c>
      <c r="M2177" s="14"/>
      <c r="N2177" s="10" t="s">
        <v>1028</v>
      </c>
    </row>
    <row r="2178" spans="1:14" ht="22.5" customHeight="1">
      <c r="A2178" s="8">
        <v>46005.846844120373</v>
      </c>
      <c r="B2178" s="9" t="s">
        <v>14</v>
      </c>
      <c r="C2178" s="9" t="s">
        <v>15</v>
      </c>
      <c r="D2178" s="10" t="s">
        <v>4865</v>
      </c>
      <c r="E2178" s="9" t="s">
        <v>17</v>
      </c>
      <c r="F2178" s="10">
        <v>25</v>
      </c>
      <c r="G2178" s="11">
        <v>8052702878</v>
      </c>
      <c r="H2178" s="10" t="s">
        <v>4866</v>
      </c>
      <c r="I2178" s="10" t="s">
        <v>19</v>
      </c>
      <c r="J2178" s="10" t="s">
        <v>4867</v>
      </c>
      <c r="K2178" s="12">
        <v>36714</v>
      </c>
      <c r="L2178" s="28" t="s">
        <v>11</v>
      </c>
      <c r="M2178" s="14"/>
      <c r="N2178" s="10" t="s">
        <v>1028</v>
      </c>
    </row>
    <row r="2179" spans="1:14" ht="22.5" customHeight="1">
      <c r="A2179" s="8">
        <v>46005.847007407407</v>
      </c>
      <c r="B2179" s="9" t="s">
        <v>14</v>
      </c>
      <c r="C2179" s="9" t="s">
        <v>15</v>
      </c>
      <c r="D2179" s="10" t="s">
        <v>4868</v>
      </c>
      <c r="E2179" s="9" t="s">
        <v>17</v>
      </c>
      <c r="F2179" s="10">
        <v>24</v>
      </c>
      <c r="G2179" s="11">
        <v>8105903893</v>
      </c>
      <c r="H2179" s="10" t="s">
        <v>4869</v>
      </c>
      <c r="I2179" s="10" t="s">
        <v>19</v>
      </c>
      <c r="J2179" s="10" t="s">
        <v>4870</v>
      </c>
      <c r="K2179" s="12">
        <v>46005</v>
      </c>
      <c r="L2179" s="28" t="s">
        <v>11</v>
      </c>
      <c r="M2179" s="14"/>
      <c r="N2179" s="10" t="s">
        <v>1028</v>
      </c>
    </row>
    <row r="2180" spans="1:14" ht="22.5" customHeight="1">
      <c r="A2180" s="8">
        <v>46005.847439849538</v>
      </c>
      <c r="B2180" s="9" t="s">
        <v>14</v>
      </c>
      <c r="C2180" s="9" t="s">
        <v>15</v>
      </c>
      <c r="D2180" s="10" t="s">
        <v>4871</v>
      </c>
      <c r="E2180" s="9" t="s">
        <v>17</v>
      </c>
      <c r="F2180" s="10">
        <v>23</v>
      </c>
      <c r="G2180" s="11">
        <v>5118044864</v>
      </c>
      <c r="H2180" s="10" t="s">
        <v>4872</v>
      </c>
      <c r="I2180" s="10" t="s">
        <v>145</v>
      </c>
      <c r="J2180" s="10" t="s">
        <v>4873</v>
      </c>
      <c r="K2180" s="12">
        <v>46005</v>
      </c>
      <c r="L2180" s="28" t="s">
        <v>11</v>
      </c>
      <c r="M2180" s="14"/>
      <c r="N2180" s="10" t="s">
        <v>1028</v>
      </c>
    </row>
    <row r="2181" spans="1:14" ht="22.5" customHeight="1">
      <c r="A2181" s="8">
        <v>46005.853189027781</v>
      </c>
      <c r="B2181" s="9" t="s">
        <v>14</v>
      </c>
      <c r="C2181" s="9" t="s">
        <v>15</v>
      </c>
      <c r="D2181" s="10" t="s">
        <v>4874</v>
      </c>
      <c r="E2181" s="9" t="s">
        <v>22</v>
      </c>
      <c r="F2181" s="10">
        <v>48</v>
      </c>
      <c r="G2181" s="11">
        <v>8101522008</v>
      </c>
      <c r="H2181" s="10" t="s">
        <v>4875</v>
      </c>
      <c r="I2181" s="10" t="s">
        <v>31</v>
      </c>
      <c r="J2181" s="10" t="s">
        <v>32</v>
      </c>
      <c r="K2181" s="12">
        <v>46005</v>
      </c>
      <c r="L2181" s="28" t="s">
        <v>11</v>
      </c>
      <c r="M2181" s="10"/>
      <c r="N2181" s="10" t="s">
        <v>1028</v>
      </c>
    </row>
    <row r="2182" spans="1:14" ht="22.5" customHeight="1">
      <c r="A2182" s="8">
        <v>46005.858040752311</v>
      </c>
      <c r="B2182" s="9" t="s">
        <v>14</v>
      </c>
      <c r="C2182" s="9" t="s">
        <v>15</v>
      </c>
      <c r="D2182" s="10" t="s">
        <v>1705</v>
      </c>
      <c r="E2182" s="9" t="s">
        <v>17</v>
      </c>
      <c r="F2182" s="10">
        <v>35</v>
      </c>
      <c r="G2182" s="11">
        <v>7038698131</v>
      </c>
      <c r="H2182" s="10" t="s">
        <v>4876</v>
      </c>
      <c r="I2182" s="10" t="s">
        <v>49</v>
      </c>
      <c r="J2182" s="10" t="s">
        <v>50</v>
      </c>
      <c r="K2182" s="12">
        <v>46005</v>
      </c>
      <c r="L2182" s="28" t="s">
        <v>11</v>
      </c>
      <c r="M2182" s="14"/>
      <c r="N2182" s="10" t="s">
        <v>1028</v>
      </c>
    </row>
    <row r="2183" spans="1:14" ht="22.5" customHeight="1">
      <c r="A2183" s="8">
        <v>46005.858722974532</v>
      </c>
      <c r="B2183" s="9" t="s">
        <v>14</v>
      </c>
      <c r="C2183" s="9" t="s">
        <v>15</v>
      </c>
      <c r="D2183" s="10" t="s">
        <v>4877</v>
      </c>
      <c r="E2183" s="9" t="s">
        <v>22</v>
      </c>
      <c r="F2183" s="10">
        <v>21</v>
      </c>
      <c r="G2183" s="11">
        <v>9038558319</v>
      </c>
      <c r="H2183" s="10" t="s">
        <v>4878</v>
      </c>
      <c r="I2183" s="10" t="s">
        <v>19</v>
      </c>
      <c r="J2183" s="10" t="s">
        <v>166</v>
      </c>
      <c r="K2183" s="12">
        <v>46005</v>
      </c>
      <c r="L2183" s="28" t="s">
        <v>11</v>
      </c>
      <c r="M2183" s="14"/>
      <c r="N2183" s="10" t="s">
        <v>1028</v>
      </c>
    </row>
    <row r="2184" spans="1:14" ht="22.5" customHeight="1">
      <c r="A2184" s="8">
        <v>46005.859568576387</v>
      </c>
      <c r="B2184" s="9" t="s">
        <v>14</v>
      </c>
      <c r="C2184" s="9" t="s">
        <v>15</v>
      </c>
      <c r="D2184" s="10" t="s">
        <v>4879</v>
      </c>
      <c r="E2184" s="9" t="s">
        <v>17</v>
      </c>
      <c r="F2184" s="10">
        <v>22</v>
      </c>
      <c r="G2184" s="11">
        <v>8032540428</v>
      </c>
      <c r="H2184" s="10" t="s">
        <v>4880</v>
      </c>
      <c r="I2184" s="10" t="s">
        <v>49</v>
      </c>
      <c r="J2184" s="10" t="s">
        <v>50</v>
      </c>
      <c r="K2184" s="12">
        <v>46005</v>
      </c>
      <c r="L2184" s="28" t="s">
        <v>11</v>
      </c>
      <c r="M2184" s="14"/>
      <c r="N2184" s="10" t="s">
        <v>1028</v>
      </c>
    </row>
    <row r="2185" spans="1:14" ht="22.5" customHeight="1">
      <c r="A2185" s="8">
        <v>46005.859860243057</v>
      </c>
      <c r="B2185" s="9" t="s">
        <v>14</v>
      </c>
      <c r="C2185" s="9" t="s">
        <v>15</v>
      </c>
      <c r="D2185" s="10" t="s">
        <v>4881</v>
      </c>
      <c r="E2185" s="9" t="s">
        <v>22</v>
      </c>
      <c r="F2185" s="10">
        <v>22</v>
      </c>
      <c r="G2185" s="11">
        <v>8123034511</v>
      </c>
      <c r="H2185" s="10" t="s">
        <v>4882</v>
      </c>
      <c r="I2185" s="10" t="s">
        <v>19</v>
      </c>
      <c r="J2185" s="10" t="s">
        <v>3495</v>
      </c>
      <c r="K2185" s="12">
        <v>46005</v>
      </c>
      <c r="L2185" s="28" t="s">
        <v>11</v>
      </c>
      <c r="M2185" s="14"/>
      <c r="N2185" s="10" t="s">
        <v>1028</v>
      </c>
    </row>
    <row r="2186" spans="1:14" ht="22.5" customHeight="1">
      <c r="A2186" s="8">
        <v>46005.861113506944</v>
      </c>
      <c r="B2186" s="9" t="s">
        <v>14</v>
      </c>
      <c r="C2186" s="9" t="s">
        <v>15</v>
      </c>
      <c r="D2186" s="10" t="s">
        <v>4883</v>
      </c>
      <c r="E2186" s="9" t="s">
        <v>22</v>
      </c>
      <c r="F2186" s="10">
        <v>27</v>
      </c>
      <c r="G2186" s="11">
        <v>8038945321</v>
      </c>
      <c r="H2186" s="10" t="s">
        <v>4884</v>
      </c>
      <c r="I2186" s="10" t="s">
        <v>27</v>
      </c>
      <c r="J2186" s="10" t="s">
        <v>2069</v>
      </c>
      <c r="K2186" s="12">
        <v>46005</v>
      </c>
      <c r="L2186" s="28" t="s">
        <v>11</v>
      </c>
      <c r="M2186" s="14"/>
      <c r="N2186" s="10" t="s">
        <v>1028</v>
      </c>
    </row>
    <row r="2187" spans="1:14" ht="22.5" customHeight="1">
      <c r="A2187" s="8">
        <v>46005.864486469909</v>
      </c>
      <c r="B2187" s="9" t="s">
        <v>14</v>
      </c>
      <c r="C2187" s="9" t="s">
        <v>15</v>
      </c>
      <c r="D2187" s="10" t="s">
        <v>4885</v>
      </c>
      <c r="E2187" s="9" t="s">
        <v>17</v>
      </c>
      <c r="F2187" s="10">
        <v>48</v>
      </c>
      <c r="G2187" s="11">
        <v>8032907785</v>
      </c>
      <c r="H2187" s="10" t="s">
        <v>4886</v>
      </c>
      <c r="I2187" s="10" t="s">
        <v>49</v>
      </c>
      <c r="J2187" s="10" t="s">
        <v>50</v>
      </c>
      <c r="K2187" s="12">
        <v>46005</v>
      </c>
      <c r="L2187" s="28" t="s">
        <v>11</v>
      </c>
      <c r="M2187" s="14"/>
      <c r="N2187" s="10" t="s">
        <v>1028</v>
      </c>
    </row>
    <row r="2188" spans="1:14" ht="22.5" customHeight="1">
      <c r="A2188" s="8">
        <v>46005.868036701388</v>
      </c>
      <c r="B2188" s="9" t="s">
        <v>14</v>
      </c>
      <c r="C2188" s="9" t="s">
        <v>15</v>
      </c>
      <c r="D2188" s="10" t="s">
        <v>4887</v>
      </c>
      <c r="E2188" s="9" t="s">
        <v>22</v>
      </c>
      <c r="F2188" s="10">
        <v>42</v>
      </c>
      <c r="G2188" s="11">
        <v>8163295564</v>
      </c>
      <c r="H2188" s="10" t="s">
        <v>4888</v>
      </c>
      <c r="I2188" s="10" t="s">
        <v>31</v>
      </c>
      <c r="J2188" s="10" t="s">
        <v>32</v>
      </c>
      <c r="K2188" s="12">
        <v>46005</v>
      </c>
      <c r="L2188" s="28" t="s">
        <v>11</v>
      </c>
      <c r="M2188" s="14"/>
      <c r="N2188" s="10" t="s">
        <v>1028</v>
      </c>
    </row>
    <row r="2189" spans="1:14" ht="22.5" hidden="1" customHeight="1">
      <c r="A2189" s="8">
        <v>46005.868454988427</v>
      </c>
      <c r="B2189" s="9" t="s">
        <v>14</v>
      </c>
      <c r="C2189" s="9" t="s">
        <v>15</v>
      </c>
      <c r="D2189" s="10" t="s">
        <v>4889</v>
      </c>
      <c r="E2189" s="9" t="s">
        <v>22</v>
      </c>
      <c r="F2189" s="10">
        <v>20</v>
      </c>
      <c r="G2189" s="11">
        <v>9064832829</v>
      </c>
      <c r="H2189" s="10" t="s">
        <v>4890</v>
      </c>
      <c r="I2189" s="10" t="s">
        <v>27</v>
      </c>
      <c r="J2189" s="10" t="s">
        <v>4891</v>
      </c>
      <c r="K2189" s="12">
        <v>46005</v>
      </c>
      <c r="L2189" s="10" t="s">
        <v>441</v>
      </c>
      <c r="M2189" s="10" t="s">
        <v>1361</v>
      </c>
      <c r="N2189" s="10" t="s">
        <v>1028</v>
      </c>
    </row>
    <row r="2190" spans="1:14" ht="22.5" customHeight="1">
      <c r="A2190" s="8">
        <v>46005.870237546296</v>
      </c>
      <c r="B2190" s="9" t="s">
        <v>14</v>
      </c>
      <c r="C2190" s="9" t="s">
        <v>15</v>
      </c>
      <c r="D2190" s="10" t="s">
        <v>4892</v>
      </c>
      <c r="E2190" s="9" t="s">
        <v>22</v>
      </c>
      <c r="F2190" s="10">
        <v>22</v>
      </c>
      <c r="G2190" s="11">
        <v>8105373781</v>
      </c>
      <c r="H2190" s="10" t="s">
        <v>4893</v>
      </c>
      <c r="I2190" s="10" t="s">
        <v>27</v>
      </c>
      <c r="J2190" s="10" t="s">
        <v>2069</v>
      </c>
      <c r="K2190" s="12">
        <v>46005</v>
      </c>
      <c r="L2190" s="28" t="s">
        <v>11</v>
      </c>
      <c r="M2190" s="14"/>
      <c r="N2190" s="10" t="s">
        <v>1028</v>
      </c>
    </row>
    <row r="2191" spans="1:14" ht="22.5" customHeight="1">
      <c r="A2191" s="8">
        <v>46005.873647962959</v>
      </c>
      <c r="B2191" s="9" t="s">
        <v>14</v>
      </c>
      <c r="C2191" s="9" t="s">
        <v>15</v>
      </c>
      <c r="D2191" s="10" t="s">
        <v>4894</v>
      </c>
      <c r="E2191" s="9" t="s">
        <v>17</v>
      </c>
      <c r="F2191" s="10">
        <v>30</v>
      </c>
      <c r="G2191" s="11">
        <v>7063505232</v>
      </c>
      <c r="H2191" s="10" t="s">
        <v>4895</v>
      </c>
      <c r="I2191" s="10" t="s">
        <v>27</v>
      </c>
      <c r="J2191" s="10" t="s">
        <v>2069</v>
      </c>
      <c r="K2191" s="12">
        <v>34885</v>
      </c>
      <c r="L2191" s="28" t="s">
        <v>11</v>
      </c>
      <c r="M2191" s="14"/>
      <c r="N2191" s="10" t="s">
        <v>1028</v>
      </c>
    </row>
    <row r="2192" spans="1:14" ht="22.5" hidden="1" customHeight="1">
      <c r="A2192" s="8">
        <v>46005.873825578703</v>
      </c>
      <c r="B2192" s="9" t="s">
        <v>14</v>
      </c>
      <c r="C2192" s="9" t="s">
        <v>15</v>
      </c>
      <c r="D2192" s="10" t="s">
        <v>4896</v>
      </c>
      <c r="E2192" s="9" t="s">
        <v>17</v>
      </c>
      <c r="F2192" s="10">
        <v>46</v>
      </c>
      <c r="G2192" s="11">
        <v>8038502188</v>
      </c>
      <c r="H2192" s="10" t="s">
        <v>4897</v>
      </c>
      <c r="I2192" s="10" t="s">
        <v>27</v>
      </c>
      <c r="J2192" s="10" t="s">
        <v>172</v>
      </c>
      <c r="K2192" s="12">
        <v>46005</v>
      </c>
      <c r="L2192" s="10" t="s">
        <v>441</v>
      </c>
      <c r="M2192" s="14"/>
      <c r="N2192" s="10" t="s">
        <v>1028</v>
      </c>
    </row>
    <row r="2193" spans="1:14" ht="22.5" customHeight="1">
      <c r="A2193" s="8">
        <v>46005.875483946758</v>
      </c>
      <c r="B2193" s="9" t="s">
        <v>14</v>
      </c>
      <c r="C2193" s="9" t="s">
        <v>15</v>
      </c>
      <c r="D2193" s="10" t="s">
        <v>4898</v>
      </c>
      <c r="E2193" s="9" t="s">
        <v>17</v>
      </c>
      <c r="F2193" s="10">
        <v>18</v>
      </c>
      <c r="G2193" s="11">
        <v>8032900446</v>
      </c>
      <c r="H2193" s="10" t="s">
        <v>4899</v>
      </c>
      <c r="I2193" s="10" t="s">
        <v>49</v>
      </c>
      <c r="J2193" s="10" t="s">
        <v>50</v>
      </c>
      <c r="K2193" s="12">
        <v>46005</v>
      </c>
      <c r="L2193" s="28" t="s">
        <v>11</v>
      </c>
      <c r="M2193" s="14"/>
      <c r="N2193" s="10" t="s">
        <v>1028</v>
      </c>
    </row>
    <row r="2194" spans="1:14" ht="22.5" hidden="1" customHeight="1">
      <c r="A2194" s="8">
        <v>46005.875820324072</v>
      </c>
      <c r="B2194" s="9" t="s">
        <v>14</v>
      </c>
      <c r="C2194" s="9" t="s">
        <v>15</v>
      </c>
      <c r="D2194" s="10" t="s">
        <v>4900</v>
      </c>
      <c r="E2194" s="9" t="s">
        <v>17</v>
      </c>
      <c r="F2194" s="10">
        <v>25</v>
      </c>
      <c r="G2194" s="11">
        <v>8065000311</v>
      </c>
      <c r="H2194" s="10" t="s">
        <v>4901</v>
      </c>
      <c r="I2194" s="10" t="s">
        <v>27</v>
      </c>
      <c r="J2194" s="10" t="s">
        <v>172</v>
      </c>
      <c r="K2194" s="12">
        <v>46005</v>
      </c>
      <c r="L2194" s="10" t="s">
        <v>441</v>
      </c>
      <c r="M2194" s="10" t="s">
        <v>1361</v>
      </c>
      <c r="N2194" s="10" t="s">
        <v>1140</v>
      </c>
    </row>
    <row r="2195" spans="1:14" ht="22.5" customHeight="1">
      <c r="A2195" s="8">
        <v>46005.877826180556</v>
      </c>
      <c r="B2195" s="9" t="s">
        <v>14</v>
      </c>
      <c r="C2195" s="9" t="s">
        <v>15</v>
      </c>
      <c r="D2195" s="10" t="s">
        <v>4902</v>
      </c>
      <c r="E2195" s="9" t="s">
        <v>22</v>
      </c>
      <c r="F2195" s="10">
        <v>19</v>
      </c>
      <c r="G2195" s="11">
        <v>9112787056</v>
      </c>
      <c r="H2195" s="10" t="s">
        <v>4903</v>
      </c>
      <c r="I2195" s="10" t="s">
        <v>45</v>
      </c>
      <c r="J2195" s="10" t="s">
        <v>287</v>
      </c>
      <c r="K2195" s="12">
        <v>46005</v>
      </c>
      <c r="L2195" s="28" t="s">
        <v>11</v>
      </c>
      <c r="M2195" s="14"/>
      <c r="N2195" s="10" t="s">
        <v>1028</v>
      </c>
    </row>
    <row r="2196" spans="1:14" ht="22.5" customHeight="1">
      <c r="A2196" s="8">
        <v>46005.881202187498</v>
      </c>
      <c r="B2196" s="9" t="s">
        <v>14</v>
      </c>
      <c r="C2196" s="9" t="s">
        <v>15</v>
      </c>
      <c r="D2196" s="10" t="s">
        <v>4904</v>
      </c>
      <c r="E2196" s="9" t="s">
        <v>22</v>
      </c>
      <c r="F2196" s="10">
        <v>48</v>
      </c>
      <c r="G2196" s="11">
        <v>8058994329</v>
      </c>
      <c r="H2196" s="10" t="s">
        <v>4905</v>
      </c>
      <c r="I2196" s="10" t="s">
        <v>27</v>
      </c>
      <c r="J2196" s="10" t="s">
        <v>1456</v>
      </c>
      <c r="K2196" s="12">
        <v>46005</v>
      </c>
      <c r="L2196" s="28" t="s">
        <v>11</v>
      </c>
      <c r="M2196" s="14"/>
      <c r="N2196" s="10" t="s">
        <v>1028</v>
      </c>
    </row>
    <row r="2197" spans="1:14" ht="22.5" customHeight="1">
      <c r="A2197" s="8">
        <v>46005.883621157409</v>
      </c>
      <c r="B2197" s="9" t="s">
        <v>14</v>
      </c>
      <c r="C2197" s="9" t="s">
        <v>15</v>
      </c>
      <c r="D2197" s="10" t="s">
        <v>4906</v>
      </c>
      <c r="E2197" s="9" t="s">
        <v>17</v>
      </c>
      <c r="F2197" s="10">
        <v>24</v>
      </c>
      <c r="G2197" s="11">
        <v>9341447113</v>
      </c>
      <c r="H2197" s="10" t="s">
        <v>4907</v>
      </c>
      <c r="I2197" s="10" t="s">
        <v>202</v>
      </c>
      <c r="J2197" s="10" t="s">
        <v>845</v>
      </c>
      <c r="K2197" s="12">
        <v>46006</v>
      </c>
      <c r="L2197" s="28" t="s">
        <v>11</v>
      </c>
      <c r="M2197" s="10"/>
      <c r="N2197" s="10" t="s">
        <v>1028</v>
      </c>
    </row>
    <row r="2198" spans="1:14" ht="22.5" customHeight="1">
      <c r="A2198" s="8">
        <v>46005.897327233797</v>
      </c>
      <c r="B2198" s="9" t="s">
        <v>14</v>
      </c>
      <c r="C2198" s="9" t="s">
        <v>15</v>
      </c>
      <c r="D2198" s="10" t="s">
        <v>4908</v>
      </c>
      <c r="E2198" s="9" t="s">
        <v>22</v>
      </c>
      <c r="F2198" s="18">
        <v>28</v>
      </c>
      <c r="G2198" s="11">
        <v>8160866291</v>
      </c>
      <c r="H2198" s="10" t="s">
        <v>4909</v>
      </c>
      <c r="I2198" s="10" t="s">
        <v>27</v>
      </c>
      <c r="J2198" s="10" t="s">
        <v>3143</v>
      </c>
      <c r="K2198" s="12">
        <v>46003</v>
      </c>
      <c r="L2198" s="28" t="s">
        <v>11</v>
      </c>
      <c r="M2198" s="14"/>
      <c r="N2198" s="10" t="s">
        <v>1028</v>
      </c>
    </row>
    <row r="2199" spans="1:14" ht="22.5" customHeight="1">
      <c r="A2199" s="8">
        <v>46005.898212997687</v>
      </c>
      <c r="B2199" s="9" t="s">
        <v>14</v>
      </c>
      <c r="C2199" s="9" t="s">
        <v>15</v>
      </c>
      <c r="D2199" s="10" t="s">
        <v>4910</v>
      </c>
      <c r="E2199" s="9" t="s">
        <v>17</v>
      </c>
      <c r="F2199" s="10">
        <v>15</v>
      </c>
      <c r="G2199" s="11">
        <v>7067473422</v>
      </c>
      <c r="H2199" s="10" t="s">
        <v>4911</v>
      </c>
      <c r="I2199" s="10" t="s">
        <v>27</v>
      </c>
      <c r="J2199" s="10" t="s">
        <v>1288</v>
      </c>
      <c r="K2199" s="12">
        <v>46005</v>
      </c>
      <c r="L2199" s="28" t="s">
        <v>11</v>
      </c>
      <c r="M2199" s="14"/>
      <c r="N2199" s="10" t="s">
        <v>1028</v>
      </c>
    </row>
    <row r="2200" spans="1:14" ht="22.5" customHeight="1">
      <c r="A2200" s="8">
        <v>46005.900686354165</v>
      </c>
      <c r="B2200" s="9" t="s">
        <v>14</v>
      </c>
      <c r="C2200" s="9" t="s">
        <v>15</v>
      </c>
      <c r="D2200" s="10" t="s">
        <v>4912</v>
      </c>
      <c r="E2200" s="9" t="s">
        <v>17</v>
      </c>
      <c r="F2200" s="10">
        <v>29</v>
      </c>
      <c r="G2200" s="11">
        <v>8134462148</v>
      </c>
      <c r="H2200" s="10" t="s">
        <v>4913</v>
      </c>
      <c r="I2200" s="10" t="s">
        <v>202</v>
      </c>
      <c r="J2200" s="10" t="s">
        <v>4651</v>
      </c>
      <c r="K2200" s="12">
        <v>46005</v>
      </c>
      <c r="L2200" s="28" t="s">
        <v>11</v>
      </c>
      <c r="M2200" s="14"/>
      <c r="N2200" s="10" t="s">
        <v>1028</v>
      </c>
    </row>
    <row r="2201" spans="1:14" ht="22.5" hidden="1" customHeight="1">
      <c r="A2201" s="8">
        <v>46005.909509409721</v>
      </c>
      <c r="B2201" s="9" t="s">
        <v>14</v>
      </c>
      <c r="C2201" s="9" t="s">
        <v>15</v>
      </c>
      <c r="D2201" s="10" t="s">
        <v>4914</v>
      </c>
      <c r="E2201" s="9" t="s">
        <v>22</v>
      </c>
      <c r="F2201" s="10">
        <v>20</v>
      </c>
      <c r="G2201" s="11">
        <v>8115655240</v>
      </c>
      <c r="H2201" s="10" t="s">
        <v>4915</v>
      </c>
      <c r="I2201" s="10" t="s">
        <v>45</v>
      </c>
      <c r="J2201" s="10" t="s">
        <v>46</v>
      </c>
      <c r="K2201" s="12">
        <v>46005</v>
      </c>
      <c r="L2201" s="10" t="s">
        <v>441</v>
      </c>
      <c r="M2201" s="10" t="s">
        <v>1827</v>
      </c>
      <c r="N2201" s="10" t="s">
        <v>1096</v>
      </c>
    </row>
    <row r="2202" spans="1:14" ht="22.5" customHeight="1">
      <c r="A2202" s="8">
        <v>46005.912749282405</v>
      </c>
      <c r="B2202" s="9" t="s">
        <v>14</v>
      </c>
      <c r="C2202" s="9" t="s">
        <v>15</v>
      </c>
      <c r="D2202" s="10" t="s">
        <v>4916</v>
      </c>
      <c r="E2202" s="9" t="s">
        <v>17</v>
      </c>
      <c r="F2202" s="10">
        <v>21</v>
      </c>
      <c r="G2202" s="11">
        <v>760830942</v>
      </c>
      <c r="H2202" s="10" t="s">
        <v>4917</v>
      </c>
      <c r="I2202" s="10" t="s">
        <v>145</v>
      </c>
      <c r="J2202" s="10" t="s">
        <v>4918</v>
      </c>
      <c r="K2202" s="12">
        <v>46005</v>
      </c>
      <c r="L2202" s="28" t="s">
        <v>11</v>
      </c>
      <c r="M2202" s="14"/>
      <c r="N2202" s="10" t="s">
        <v>2186</v>
      </c>
    </row>
    <row r="2203" spans="1:14" ht="22.5" customHeight="1">
      <c r="A2203" s="8">
        <v>46005.913339259263</v>
      </c>
      <c r="B2203" s="9" t="s">
        <v>14</v>
      </c>
      <c r="C2203" s="9" t="s">
        <v>15</v>
      </c>
      <c r="D2203" s="10" t="s">
        <v>4919</v>
      </c>
      <c r="E2203" s="9" t="s">
        <v>22</v>
      </c>
      <c r="F2203" s="10">
        <v>23</v>
      </c>
      <c r="G2203" s="11">
        <v>7016260628</v>
      </c>
      <c r="H2203" s="10" t="s">
        <v>4920</v>
      </c>
      <c r="I2203" s="10" t="s">
        <v>27</v>
      </c>
      <c r="J2203" s="10" t="s">
        <v>94</v>
      </c>
      <c r="K2203" s="12">
        <v>46005</v>
      </c>
      <c r="L2203" s="28" t="s">
        <v>11</v>
      </c>
      <c r="M2203" s="14"/>
      <c r="N2203" s="10" t="s">
        <v>1028</v>
      </c>
    </row>
    <row r="2204" spans="1:14" ht="22.5" customHeight="1">
      <c r="A2204" s="8">
        <v>46005.921880289352</v>
      </c>
      <c r="B2204" s="9" t="s">
        <v>14</v>
      </c>
      <c r="C2204" s="9" t="s">
        <v>15</v>
      </c>
      <c r="D2204" s="10" t="s">
        <v>4921</v>
      </c>
      <c r="E2204" s="9" t="s">
        <v>17</v>
      </c>
      <c r="F2204" s="10">
        <v>32</v>
      </c>
      <c r="G2204" s="11">
        <v>8072720352</v>
      </c>
      <c r="H2204" s="10" t="s">
        <v>4922</v>
      </c>
      <c r="I2204" s="10" t="s">
        <v>202</v>
      </c>
      <c r="J2204" s="10" t="s">
        <v>4632</v>
      </c>
      <c r="K2204" s="12">
        <v>46005</v>
      </c>
      <c r="L2204" s="28" t="s">
        <v>11</v>
      </c>
      <c r="M2204" s="14"/>
      <c r="N2204" s="10" t="s">
        <v>1028</v>
      </c>
    </row>
    <row r="2205" spans="1:14" ht="22.5" customHeight="1">
      <c r="A2205" s="8">
        <v>46005.928015937505</v>
      </c>
      <c r="B2205" s="9" t="s">
        <v>14</v>
      </c>
      <c r="C2205" s="9" t="s">
        <v>15</v>
      </c>
      <c r="D2205" s="10" t="s">
        <v>4923</v>
      </c>
      <c r="E2205" s="9" t="s">
        <v>17</v>
      </c>
      <c r="F2205" s="10">
        <v>34</v>
      </c>
      <c r="G2205" s="11">
        <v>8067746260</v>
      </c>
      <c r="H2205" s="10" t="s">
        <v>4924</v>
      </c>
      <c r="I2205" s="10" t="s">
        <v>27</v>
      </c>
      <c r="J2205" s="10" t="s">
        <v>42</v>
      </c>
      <c r="K2205" s="12">
        <v>46005</v>
      </c>
      <c r="L2205" s="28" t="s">
        <v>11</v>
      </c>
      <c r="M2205" s="14"/>
      <c r="N2205" s="10" t="s">
        <v>1028</v>
      </c>
    </row>
    <row r="2206" spans="1:14" ht="22.5" hidden="1" customHeight="1">
      <c r="A2206" s="8">
        <v>46005.933865405095</v>
      </c>
      <c r="B2206" s="9" t="s">
        <v>14</v>
      </c>
      <c r="C2206" s="9" t="s">
        <v>15</v>
      </c>
      <c r="D2206" s="10" t="s">
        <v>4925</v>
      </c>
      <c r="E2206" s="9" t="s">
        <v>17</v>
      </c>
      <c r="F2206" s="10">
        <v>23</v>
      </c>
      <c r="G2206" s="11">
        <v>9028287478</v>
      </c>
      <c r="H2206" s="10" t="s">
        <v>4926</v>
      </c>
      <c r="I2206" s="10" t="s">
        <v>27</v>
      </c>
      <c r="J2206" s="10" t="s">
        <v>28</v>
      </c>
      <c r="K2206" s="12">
        <v>37380</v>
      </c>
      <c r="L2206" s="10" t="s">
        <v>441</v>
      </c>
      <c r="M2206" s="10" t="s">
        <v>1361</v>
      </c>
      <c r="N2206" s="10" t="s">
        <v>1096</v>
      </c>
    </row>
    <row r="2207" spans="1:14" ht="22.5" customHeight="1">
      <c r="A2207" s="8">
        <v>46005.937774583334</v>
      </c>
      <c r="B2207" s="9" t="s">
        <v>14</v>
      </c>
      <c r="C2207" s="9" t="s">
        <v>15</v>
      </c>
      <c r="D2207" s="10" t="s">
        <v>4927</v>
      </c>
      <c r="E2207" s="9" t="s">
        <v>22</v>
      </c>
      <c r="F2207" s="10">
        <v>21</v>
      </c>
      <c r="G2207" s="11">
        <v>9033664309</v>
      </c>
      <c r="H2207" s="10" t="s">
        <v>4928</v>
      </c>
      <c r="I2207" s="10" t="s">
        <v>27</v>
      </c>
      <c r="J2207" s="10" t="s">
        <v>4929</v>
      </c>
      <c r="K2207" s="12">
        <v>46005</v>
      </c>
      <c r="L2207" s="28" t="s">
        <v>11</v>
      </c>
      <c r="M2207" s="14"/>
      <c r="N2207" s="10" t="s">
        <v>1028</v>
      </c>
    </row>
    <row r="2208" spans="1:14" ht="22.5" customHeight="1">
      <c r="A2208" s="8">
        <v>46005.939222141205</v>
      </c>
      <c r="B2208" s="9" t="s">
        <v>14</v>
      </c>
      <c r="C2208" s="9" t="s">
        <v>15</v>
      </c>
      <c r="D2208" s="10" t="s">
        <v>4930</v>
      </c>
      <c r="E2208" s="9" t="s">
        <v>17</v>
      </c>
      <c r="F2208" s="10">
        <v>21</v>
      </c>
      <c r="G2208" s="11">
        <v>9016895557</v>
      </c>
      <c r="H2208" s="10" t="s">
        <v>4931</v>
      </c>
      <c r="I2208" s="10" t="s">
        <v>19</v>
      </c>
      <c r="J2208" s="10" t="s">
        <v>4932</v>
      </c>
      <c r="K2208" s="12">
        <v>46005</v>
      </c>
      <c r="L2208" s="28" t="s">
        <v>11</v>
      </c>
      <c r="M2208" s="14"/>
      <c r="N2208" s="10" t="s">
        <v>1028</v>
      </c>
    </row>
    <row r="2209" spans="1:14" ht="22.5" customHeight="1">
      <c r="A2209" s="8">
        <v>46005.940823368059</v>
      </c>
      <c r="B2209" s="9" t="s">
        <v>14</v>
      </c>
      <c r="C2209" s="9" t="s">
        <v>15</v>
      </c>
      <c r="D2209" s="10" t="s">
        <v>4933</v>
      </c>
      <c r="E2209" s="9" t="s">
        <v>17</v>
      </c>
      <c r="F2209" s="10">
        <v>33</v>
      </c>
      <c r="G2209" s="11">
        <v>7061389141</v>
      </c>
      <c r="H2209" s="10" t="s">
        <v>4934</v>
      </c>
      <c r="I2209" s="10" t="s">
        <v>27</v>
      </c>
      <c r="J2209" s="10" t="s">
        <v>42</v>
      </c>
      <c r="K2209" s="12">
        <v>46005</v>
      </c>
      <c r="L2209" s="28" t="s">
        <v>11</v>
      </c>
      <c r="M2209" s="14"/>
      <c r="N2209" s="10" t="s">
        <v>1028</v>
      </c>
    </row>
    <row r="2210" spans="1:14" ht="22.5" customHeight="1">
      <c r="A2210" s="8">
        <v>46005.944923090283</v>
      </c>
      <c r="B2210" s="9" t="s">
        <v>14</v>
      </c>
      <c r="C2210" s="9" t="s">
        <v>15</v>
      </c>
      <c r="D2210" s="10" t="s">
        <v>4935</v>
      </c>
      <c r="E2210" s="9" t="s">
        <v>17</v>
      </c>
      <c r="F2210" s="10">
        <v>25</v>
      </c>
      <c r="G2210" s="11">
        <v>8111337399</v>
      </c>
      <c r="H2210" s="10" t="s">
        <v>4936</v>
      </c>
      <c r="I2210" s="10" t="s">
        <v>19</v>
      </c>
      <c r="J2210" s="10" t="s">
        <v>3369</v>
      </c>
      <c r="K2210" s="12">
        <v>46005</v>
      </c>
      <c r="L2210" s="28" t="s">
        <v>11</v>
      </c>
      <c r="M2210" s="14"/>
      <c r="N2210" s="10" t="s">
        <v>1028</v>
      </c>
    </row>
    <row r="2211" spans="1:14" ht="22.5" customHeight="1">
      <c r="A2211" s="8">
        <v>46005.947455393514</v>
      </c>
      <c r="B2211" s="9" t="s">
        <v>14</v>
      </c>
      <c r="C2211" s="9" t="s">
        <v>15</v>
      </c>
      <c r="D2211" s="10" t="s">
        <v>4937</v>
      </c>
      <c r="E2211" s="9" t="s">
        <v>22</v>
      </c>
      <c r="F2211" s="10">
        <v>21</v>
      </c>
      <c r="G2211" s="11">
        <v>9033664309</v>
      </c>
      <c r="H2211" s="10" t="s">
        <v>4928</v>
      </c>
      <c r="I2211" s="10" t="s">
        <v>27</v>
      </c>
      <c r="J2211" s="10" t="s">
        <v>67</v>
      </c>
      <c r="K2211" s="12">
        <v>46005</v>
      </c>
      <c r="L2211" s="28" t="s">
        <v>11</v>
      </c>
      <c r="M2211" s="14"/>
      <c r="N2211" s="10" t="s">
        <v>1028</v>
      </c>
    </row>
    <row r="2212" spans="1:14" ht="22.5" customHeight="1">
      <c r="A2212" s="8">
        <v>46005.973321030091</v>
      </c>
      <c r="B2212" s="9" t="s">
        <v>14</v>
      </c>
      <c r="C2212" s="9" t="s">
        <v>15</v>
      </c>
      <c r="D2212" s="10" t="s">
        <v>4938</v>
      </c>
      <c r="E2212" s="9" t="s">
        <v>17</v>
      </c>
      <c r="F2212" s="10">
        <v>29</v>
      </c>
      <c r="G2212" s="11">
        <v>7064997122</v>
      </c>
      <c r="H2212" s="10" t="s">
        <v>4939</v>
      </c>
      <c r="I2212" s="10" t="s">
        <v>19</v>
      </c>
      <c r="J2212" s="10" t="s">
        <v>4632</v>
      </c>
      <c r="K2212" s="12">
        <v>46005</v>
      </c>
      <c r="L2212" s="28" t="s">
        <v>11</v>
      </c>
      <c r="M2212" s="14"/>
      <c r="N2212" s="10" t="s">
        <v>1028</v>
      </c>
    </row>
    <row r="2213" spans="1:14" ht="22.5" customHeight="1">
      <c r="A2213" s="8">
        <v>46005.979596550926</v>
      </c>
      <c r="B2213" s="9" t="s">
        <v>14</v>
      </c>
      <c r="C2213" s="9" t="s">
        <v>15</v>
      </c>
      <c r="D2213" s="10" t="s">
        <v>4940</v>
      </c>
      <c r="E2213" s="9" t="s">
        <v>22</v>
      </c>
      <c r="F2213" s="10">
        <v>30</v>
      </c>
      <c r="G2213" s="11">
        <v>8103676810</v>
      </c>
      <c r="H2213" s="10" t="s">
        <v>4941</v>
      </c>
      <c r="I2213" s="10" t="s">
        <v>45</v>
      </c>
      <c r="J2213" s="10" t="s">
        <v>688</v>
      </c>
      <c r="K2213" s="12">
        <v>46005</v>
      </c>
      <c r="L2213" s="28" t="s">
        <v>11</v>
      </c>
      <c r="M2213" s="14"/>
      <c r="N2213" s="10" t="s">
        <v>1096</v>
      </c>
    </row>
    <row r="2214" spans="1:14" ht="22.5" customHeight="1">
      <c r="A2214" s="8">
        <v>46005.983620833329</v>
      </c>
      <c r="B2214" s="9" t="s">
        <v>14</v>
      </c>
      <c r="C2214" s="9" t="s">
        <v>15</v>
      </c>
      <c r="D2214" s="10" t="s">
        <v>4942</v>
      </c>
      <c r="E2214" s="9" t="s">
        <v>17</v>
      </c>
      <c r="F2214" s="10">
        <v>32</v>
      </c>
      <c r="G2214" s="11">
        <v>7066417461</v>
      </c>
      <c r="H2214" s="10" t="s">
        <v>4943</v>
      </c>
      <c r="I2214" s="10" t="s">
        <v>45</v>
      </c>
      <c r="J2214" s="10" t="s">
        <v>688</v>
      </c>
      <c r="K2214" s="12">
        <v>46005</v>
      </c>
      <c r="L2214" s="28" t="s">
        <v>11</v>
      </c>
      <c r="M2214" s="14"/>
      <c r="N2214" s="10" t="s">
        <v>1028</v>
      </c>
    </row>
    <row r="2215" spans="1:14" ht="22.5" customHeight="1">
      <c r="A2215" s="8">
        <v>46005.997570729167</v>
      </c>
      <c r="B2215" s="9" t="s">
        <v>14</v>
      </c>
      <c r="C2215" s="9" t="s">
        <v>15</v>
      </c>
      <c r="D2215" s="10" t="s">
        <v>4944</v>
      </c>
      <c r="E2215" s="9" t="s">
        <v>22</v>
      </c>
      <c r="F2215" s="10">
        <v>28</v>
      </c>
      <c r="G2215" s="11">
        <v>8169654478</v>
      </c>
      <c r="H2215" s="10" t="s">
        <v>4945</v>
      </c>
      <c r="I2215" s="10" t="s">
        <v>27</v>
      </c>
      <c r="J2215" s="10" t="s">
        <v>1514</v>
      </c>
      <c r="K2215" s="12">
        <v>45999</v>
      </c>
      <c r="L2215" s="28" t="s">
        <v>11</v>
      </c>
      <c r="M2215" s="14"/>
      <c r="N2215" s="10" t="s">
        <v>1028</v>
      </c>
    </row>
    <row r="2216" spans="1:14" ht="22.5" customHeight="1">
      <c r="A2216" s="8">
        <v>46006.007097731483</v>
      </c>
      <c r="B2216" s="9" t="s">
        <v>14</v>
      </c>
      <c r="C2216" s="9" t="s">
        <v>15</v>
      </c>
      <c r="D2216" s="10" t="s">
        <v>4946</v>
      </c>
      <c r="E2216" s="9" t="s">
        <v>17</v>
      </c>
      <c r="F2216" s="10">
        <v>32</v>
      </c>
      <c r="G2216" s="11">
        <v>8161114595</v>
      </c>
      <c r="H2216" s="10" t="s">
        <v>4947</v>
      </c>
      <c r="I2216" s="10" t="s">
        <v>202</v>
      </c>
      <c r="J2216" s="10" t="s">
        <v>1619</v>
      </c>
      <c r="K2216" s="12">
        <v>46006</v>
      </c>
      <c r="L2216" s="28" t="s">
        <v>11</v>
      </c>
      <c r="M2216" s="14"/>
      <c r="N2216" s="10" t="s">
        <v>1028</v>
      </c>
    </row>
    <row r="2217" spans="1:14" ht="22.5" customHeight="1">
      <c r="A2217" s="8">
        <v>46006.044423831016</v>
      </c>
      <c r="B2217" s="9" t="s">
        <v>14</v>
      </c>
      <c r="C2217" s="9" t="s">
        <v>15</v>
      </c>
      <c r="D2217" s="10" t="s">
        <v>4948</v>
      </c>
      <c r="E2217" s="9" t="s">
        <v>17</v>
      </c>
      <c r="F2217" s="10">
        <v>20</v>
      </c>
      <c r="G2217" s="11">
        <v>8026443918</v>
      </c>
      <c r="H2217" s="10" t="s">
        <v>4949</v>
      </c>
      <c r="I2217" s="10" t="s">
        <v>27</v>
      </c>
      <c r="J2217" s="10" t="s">
        <v>4950</v>
      </c>
      <c r="K2217" s="12">
        <v>46006</v>
      </c>
      <c r="L2217" s="28" t="s">
        <v>11</v>
      </c>
      <c r="M2217" s="10"/>
      <c r="N2217" s="10" t="s">
        <v>1028</v>
      </c>
    </row>
    <row r="2218" spans="1:14" ht="22.5" customHeight="1">
      <c r="A2218" s="8">
        <v>46006.061895682869</v>
      </c>
      <c r="B2218" s="9" t="s">
        <v>14</v>
      </c>
      <c r="C2218" s="9" t="s">
        <v>15</v>
      </c>
      <c r="D2218" s="10" t="s">
        <v>4951</v>
      </c>
      <c r="E2218" s="9" t="s">
        <v>22</v>
      </c>
      <c r="F2218" s="10">
        <v>20</v>
      </c>
      <c r="G2218" s="11">
        <v>9024790205</v>
      </c>
      <c r="H2218" s="10" t="s">
        <v>4952</v>
      </c>
      <c r="I2218" s="10" t="s">
        <v>27</v>
      </c>
      <c r="J2218" s="10" t="s">
        <v>4953</v>
      </c>
      <c r="K2218" s="12">
        <v>46006</v>
      </c>
      <c r="L2218" s="28" t="s">
        <v>11</v>
      </c>
      <c r="M2218" s="14"/>
      <c r="N2218" s="10" t="s">
        <v>1028</v>
      </c>
    </row>
    <row r="2219" spans="1:14" ht="22.5" customHeight="1">
      <c r="A2219" s="8">
        <v>46006.067158680555</v>
      </c>
      <c r="B2219" s="9" t="s">
        <v>14</v>
      </c>
      <c r="C2219" s="9" t="s">
        <v>15</v>
      </c>
      <c r="D2219" s="10" t="s">
        <v>4954</v>
      </c>
      <c r="E2219" s="9" t="s">
        <v>22</v>
      </c>
      <c r="F2219" s="10">
        <v>27</v>
      </c>
      <c r="G2219" s="11">
        <v>9142537010</v>
      </c>
      <c r="H2219" s="10" t="s">
        <v>4955</v>
      </c>
      <c r="I2219" s="10" t="s">
        <v>27</v>
      </c>
      <c r="J2219" s="10" t="s">
        <v>4956</v>
      </c>
      <c r="K2219" s="12">
        <v>46006</v>
      </c>
      <c r="L2219" s="28" t="s">
        <v>11</v>
      </c>
      <c r="M2219" s="14"/>
      <c r="N2219" s="10" t="s">
        <v>1028</v>
      </c>
    </row>
    <row r="2220" spans="1:14" ht="22.5" customHeight="1">
      <c r="A2220" s="8">
        <v>46006.086696909726</v>
      </c>
      <c r="B2220" s="9" t="s">
        <v>14</v>
      </c>
      <c r="C2220" s="9" t="s">
        <v>15</v>
      </c>
      <c r="D2220" s="10" t="s">
        <v>4957</v>
      </c>
      <c r="E2220" s="9" t="s">
        <v>22</v>
      </c>
      <c r="F2220" s="10">
        <v>34</v>
      </c>
      <c r="G2220" s="11">
        <v>8062500429</v>
      </c>
      <c r="H2220" s="10" t="s">
        <v>4958</v>
      </c>
      <c r="I2220" s="10" t="s">
        <v>27</v>
      </c>
      <c r="J2220" s="10" t="s">
        <v>70</v>
      </c>
      <c r="K2220" s="12">
        <v>46006</v>
      </c>
      <c r="L2220" s="28" t="s">
        <v>11</v>
      </c>
      <c r="M2220" s="14"/>
      <c r="N2220" s="10" t="s">
        <v>4959</v>
      </c>
    </row>
    <row r="2221" spans="1:14" ht="22.5" customHeight="1">
      <c r="A2221" s="8">
        <v>46006.088101296293</v>
      </c>
      <c r="B2221" s="9" t="s">
        <v>14</v>
      </c>
      <c r="C2221" s="9" t="s">
        <v>15</v>
      </c>
      <c r="D2221" s="10" t="s">
        <v>4960</v>
      </c>
      <c r="E2221" s="9" t="s">
        <v>22</v>
      </c>
      <c r="F2221" s="10">
        <v>34</v>
      </c>
      <c r="G2221" s="11">
        <v>7032920097</v>
      </c>
      <c r="H2221" s="10" t="s">
        <v>4961</v>
      </c>
      <c r="I2221" s="10" t="s">
        <v>49</v>
      </c>
      <c r="J2221" s="10" t="s">
        <v>106</v>
      </c>
      <c r="K2221" s="12">
        <v>46006</v>
      </c>
      <c r="L2221" s="28" t="s">
        <v>11</v>
      </c>
      <c r="M2221" s="14"/>
      <c r="N2221" s="10" t="s">
        <v>1096</v>
      </c>
    </row>
    <row r="2222" spans="1:14" ht="22.5" customHeight="1">
      <c r="A2222" s="8">
        <v>46006.104274710648</v>
      </c>
      <c r="B2222" s="9" t="s">
        <v>14</v>
      </c>
      <c r="C2222" s="9" t="s">
        <v>15</v>
      </c>
      <c r="D2222" s="10" t="s">
        <v>4962</v>
      </c>
      <c r="E2222" s="9" t="s">
        <v>17</v>
      </c>
      <c r="F2222" s="10">
        <v>27</v>
      </c>
      <c r="G2222" s="11">
        <v>8131018902</v>
      </c>
      <c r="H2222" s="10" t="s">
        <v>1106</v>
      </c>
      <c r="I2222" s="10" t="s">
        <v>49</v>
      </c>
      <c r="J2222" s="10" t="s">
        <v>106</v>
      </c>
      <c r="K2222" s="12">
        <v>46006</v>
      </c>
      <c r="L2222" s="28" t="s">
        <v>11</v>
      </c>
      <c r="M2222" s="14"/>
      <c r="N2222" s="10" t="s">
        <v>1028</v>
      </c>
    </row>
    <row r="2223" spans="1:14" ht="22.5" customHeight="1">
      <c r="A2223" s="8">
        <v>46006.10772915509</v>
      </c>
      <c r="B2223" s="9" t="s">
        <v>14</v>
      </c>
      <c r="C2223" s="9" t="s">
        <v>15</v>
      </c>
      <c r="D2223" s="10" t="s">
        <v>4963</v>
      </c>
      <c r="E2223" s="9" t="s">
        <v>17</v>
      </c>
      <c r="F2223" s="19">
        <v>42</v>
      </c>
      <c r="G2223" s="11">
        <f t="shared" ref="G2223" si="53">251910186535</f>
        <v>251910186535</v>
      </c>
      <c r="H2223" s="10" t="s">
        <v>4964</v>
      </c>
      <c r="I2223" s="10" t="s">
        <v>45</v>
      </c>
      <c r="J2223" s="10" t="s">
        <v>4965</v>
      </c>
      <c r="K2223" s="12">
        <v>46006</v>
      </c>
      <c r="L2223" s="28" t="s">
        <v>11</v>
      </c>
      <c r="M2223" s="14"/>
      <c r="N2223" s="10" t="s">
        <v>1028</v>
      </c>
    </row>
    <row r="2224" spans="1:14" ht="22.5" customHeight="1">
      <c r="A2224" s="8">
        <v>46006.107991400466</v>
      </c>
      <c r="B2224" s="9" t="s">
        <v>14</v>
      </c>
      <c r="C2224" s="9" t="s">
        <v>15</v>
      </c>
      <c r="D2224" s="10" t="s">
        <v>4966</v>
      </c>
      <c r="E2224" s="9" t="s">
        <v>22</v>
      </c>
      <c r="F2224" s="10">
        <v>25</v>
      </c>
      <c r="G2224" s="11">
        <v>7036146650</v>
      </c>
      <c r="H2224" s="10" t="s">
        <v>4967</v>
      </c>
      <c r="I2224" s="10" t="s">
        <v>49</v>
      </c>
      <c r="J2224" s="10" t="s">
        <v>106</v>
      </c>
      <c r="K2224" s="12">
        <v>46006</v>
      </c>
      <c r="L2224" s="28" t="s">
        <v>11</v>
      </c>
      <c r="M2224" s="14"/>
      <c r="N2224" s="10" t="s">
        <v>1028</v>
      </c>
    </row>
    <row r="2225" spans="1:20" ht="22.5" customHeight="1">
      <c r="A2225" s="8">
        <v>46006.109103182869</v>
      </c>
      <c r="B2225" s="9" t="s">
        <v>14</v>
      </c>
      <c r="C2225" s="9" t="s">
        <v>15</v>
      </c>
      <c r="D2225" s="10" t="s">
        <v>4968</v>
      </c>
      <c r="E2225" s="9" t="s">
        <v>22</v>
      </c>
      <c r="F2225" s="10">
        <v>35</v>
      </c>
      <c r="G2225" s="11">
        <v>8076989899</v>
      </c>
      <c r="H2225" s="10" t="s">
        <v>4969</v>
      </c>
      <c r="I2225" s="10" t="s">
        <v>45</v>
      </c>
      <c r="J2225" s="10" t="s">
        <v>125</v>
      </c>
      <c r="K2225" s="12">
        <v>46006</v>
      </c>
      <c r="L2225" s="28" t="s">
        <v>11</v>
      </c>
      <c r="M2225" s="14"/>
      <c r="N2225" s="10" t="s">
        <v>1028</v>
      </c>
    </row>
    <row r="2226" spans="1:20" ht="22.5" customHeight="1">
      <c r="A2226" s="8">
        <v>46006.130188344905</v>
      </c>
      <c r="B2226" s="9" t="s">
        <v>14</v>
      </c>
      <c r="C2226" s="9" t="s">
        <v>15</v>
      </c>
      <c r="D2226" s="10" t="s">
        <v>4970</v>
      </c>
      <c r="E2226" s="9" t="s">
        <v>17</v>
      </c>
      <c r="F2226" s="10">
        <v>25</v>
      </c>
      <c r="G2226" s="11">
        <v>8151545028</v>
      </c>
      <c r="H2226" s="10" t="s">
        <v>4971</v>
      </c>
      <c r="I2226" s="10" t="s">
        <v>202</v>
      </c>
      <c r="J2226" s="10" t="s">
        <v>4020</v>
      </c>
      <c r="K2226" s="12">
        <v>46006</v>
      </c>
      <c r="L2226" s="28" t="s">
        <v>11</v>
      </c>
      <c r="M2226" s="14"/>
      <c r="N2226" s="10" t="s">
        <v>1028</v>
      </c>
    </row>
    <row r="2227" spans="1:20" ht="22.5" customHeight="1">
      <c r="A2227" s="8">
        <v>46006.178437569441</v>
      </c>
      <c r="B2227" s="9" t="s">
        <v>14</v>
      </c>
      <c r="C2227" s="9" t="s">
        <v>15</v>
      </c>
      <c r="D2227" s="10" t="s">
        <v>4972</v>
      </c>
      <c r="E2227" s="9" t="s">
        <v>22</v>
      </c>
      <c r="F2227" s="10">
        <v>26</v>
      </c>
      <c r="G2227" s="11">
        <v>7010470201</v>
      </c>
      <c r="H2227" s="10" t="s">
        <v>4973</v>
      </c>
      <c r="I2227" s="10" t="s">
        <v>31</v>
      </c>
      <c r="J2227" s="10" t="s">
        <v>4974</v>
      </c>
      <c r="K2227" s="12">
        <v>46006</v>
      </c>
      <c r="L2227" s="28" t="s">
        <v>11</v>
      </c>
      <c r="M2227" s="14"/>
      <c r="N2227" s="10" t="s">
        <v>1028</v>
      </c>
    </row>
    <row r="2228" spans="1:20" ht="22.5" hidden="1" customHeight="1">
      <c r="A2228" s="8">
        <v>46006.186221111115</v>
      </c>
      <c r="B2228" s="9" t="s">
        <v>14</v>
      </c>
      <c r="C2228" s="9" t="s">
        <v>15</v>
      </c>
      <c r="D2228" s="10" t="s">
        <v>4975</v>
      </c>
      <c r="E2228" s="9" t="s">
        <v>17</v>
      </c>
      <c r="F2228" s="10">
        <v>27</v>
      </c>
      <c r="G2228" s="11">
        <f>256772123703</f>
        <v>256772123703</v>
      </c>
      <c r="H2228" s="10" t="s">
        <v>4976</v>
      </c>
      <c r="I2228" s="10" t="s">
        <v>27</v>
      </c>
      <c r="J2228" s="10" t="s">
        <v>27</v>
      </c>
      <c r="K2228" s="12">
        <v>46006</v>
      </c>
      <c r="L2228" s="10" t="s">
        <v>441</v>
      </c>
      <c r="M2228" s="10" t="s">
        <v>1361</v>
      </c>
      <c r="N2228" s="10" t="s">
        <v>1028</v>
      </c>
    </row>
    <row r="2229" spans="1:20" ht="22.5" customHeight="1">
      <c r="A2229" s="8">
        <v>46006.189199768516</v>
      </c>
      <c r="B2229" s="9" t="s">
        <v>14</v>
      </c>
      <c r="C2229" s="9" t="s">
        <v>15</v>
      </c>
      <c r="D2229" s="10" t="s">
        <v>4977</v>
      </c>
      <c r="E2229" s="9" t="s">
        <v>17</v>
      </c>
      <c r="F2229" s="10">
        <v>24</v>
      </c>
      <c r="G2229" s="11">
        <v>9137872441</v>
      </c>
      <c r="H2229" s="10" t="s">
        <v>4978</v>
      </c>
      <c r="I2229" s="10" t="s">
        <v>19</v>
      </c>
      <c r="J2229" s="10" t="s">
        <v>24</v>
      </c>
      <c r="K2229" s="12">
        <v>46006</v>
      </c>
      <c r="L2229" s="28" t="s">
        <v>11</v>
      </c>
      <c r="M2229" s="14"/>
      <c r="N2229" s="10" t="s">
        <v>4979</v>
      </c>
    </row>
    <row r="2230" spans="1:20" ht="22.5" customHeight="1">
      <c r="A2230" s="8">
        <v>46006.195176053239</v>
      </c>
      <c r="B2230" s="9" t="s">
        <v>14</v>
      </c>
      <c r="C2230" s="9" t="s">
        <v>15</v>
      </c>
      <c r="D2230" s="10" t="s">
        <v>4980</v>
      </c>
      <c r="E2230" s="9" t="s">
        <v>17</v>
      </c>
      <c r="F2230" s="10">
        <v>31</v>
      </c>
      <c r="G2230" s="11">
        <v>7050393859</v>
      </c>
      <c r="H2230" s="10" t="s">
        <v>4981</v>
      </c>
      <c r="I2230" s="10" t="s">
        <v>27</v>
      </c>
      <c r="J2230" s="10" t="s">
        <v>70</v>
      </c>
      <c r="K2230" s="12">
        <v>46006</v>
      </c>
      <c r="L2230" s="28" t="s">
        <v>11</v>
      </c>
      <c r="M2230" s="10"/>
      <c r="N2230" s="10" t="s">
        <v>4982</v>
      </c>
    </row>
    <row r="2231" spans="1:20" ht="22.5" customHeight="1">
      <c r="A2231" s="8">
        <v>46006.220467118052</v>
      </c>
      <c r="B2231" s="9" t="s">
        <v>14</v>
      </c>
      <c r="C2231" s="9" t="s">
        <v>15</v>
      </c>
      <c r="D2231" s="10" t="s">
        <v>4983</v>
      </c>
      <c r="E2231" s="9" t="s">
        <v>17</v>
      </c>
      <c r="F2231" s="10">
        <v>29</v>
      </c>
      <c r="G2231" s="11">
        <v>8146561662</v>
      </c>
      <c r="H2231" s="10" t="s">
        <v>4984</v>
      </c>
      <c r="I2231" s="10" t="s">
        <v>27</v>
      </c>
      <c r="J2231" s="10" t="s">
        <v>372</v>
      </c>
      <c r="K2231" s="12">
        <v>46006</v>
      </c>
      <c r="L2231" s="28" t="s">
        <v>11</v>
      </c>
      <c r="M2231" s="14"/>
      <c r="N2231" s="10" t="s">
        <v>1028</v>
      </c>
    </row>
    <row r="2232" spans="1:20" ht="22.5" customHeight="1">
      <c r="A2232" s="8">
        <v>46006.233239791662</v>
      </c>
      <c r="B2232" s="9" t="s">
        <v>14</v>
      </c>
      <c r="C2232" s="9" t="s">
        <v>15</v>
      </c>
      <c r="D2232" s="10" t="s">
        <v>4985</v>
      </c>
      <c r="E2232" s="9" t="s">
        <v>17</v>
      </c>
      <c r="F2232" s="10">
        <v>43</v>
      </c>
      <c r="G2232" s="11">
        <v>8024289944</v>
      </c>
      <c r="H2232" s="10" t="s">
        <v>4986</v>
      </c>
      <c r="I2232" s="10" t="s">
        <v>45</v>
      </c>
      <c r="J2232" s="10" t="s">
        <v>4987</v>
      </c>
      <c r="K2232" s="12">
        <v>46006</v>
      </c>
      <c r="L2232" s="28" t="s">
        <v>11</v>
      </c>
      <c r="M2232" s="14"/>
      <c r="N2232" s="10" t="s">
        <v>1028</v>
      </c>
    </row>
    <row r="2233" spans="1:20" ht="22.5" customHeight="1">
      <c r="A2233" s="8">
        <v>46006.246496782405</v>
      </c>
      <c r="B2233" s="9" t="s">
        <v>14</v>
      </c>
      <c r="C2233" s="9" t="s">
        <v>15</v>
      </c>
      <c r="D2233" s="10" t="s">
        <v>4988</v>
      </c>
      <c r="E2233" s="9" t="s">
        <v>22</v>
      </c>
      <c r="F2233" s="10">
        <v>40</v>
      </c>
      <c r="G2233" s="11">
        <v>9059241807</v>
      </c>
      <c r="H2233" s="10" t="s">
        <v>4989</v>
      </c>
      <c r="I2233" s="10" t="s">
        <v>45</v>
      </c>
      <c r="J2233" s="10" t="s">
        <v>932</v>
      </c>
      <c r="K2233" s="12">
        <v>46006</v>
      </c>
      <c r="L2233" s="28" t="s">
        <v>11</v>
      </c>
      <c r="M2233" s="14"/>
      <c r="N2233" s="10" t="s">
        <v>1028</v>
      </c>
    </row>
    <row r="2234" spans="1:20" ht="22.5" customHeight="1">
      <c r="A2234" s="8">
        <v>46006.250679699078</v>
      </c>
      <c r="B2234" s="9" t="s">
        <v>14</v>
      </c>
      <c r="C2234" s="9" t="s">
        <v>15</v>
      </c>
      <c r="D2234" s="10" t="s">
        <v>4990</v>
      </c>
      <c r="E2234" s="9" t="s">
        <v>17</v>
      </c>
      <c r="F2234" s="10">
        <v>29</v>
      </c>
      <c r="G2234" s="11">
        <v>9020440061</v>
      </c>
      <c r="H2234" s="10" t="s">
        <v>4991</v>
      </c>
      <c r="I2234" s="10" t="s">
        <v>202</v>
      </c>
      <c r="J2234" s="10" t="s">
        <v>4632</v>
      </c>
      <c r="K2234" s="12">
        <v>46006</v>
      </c>
      <c r="L2234" s="28" t="s">
        <v>11</v>
      </c>
      <c r="M2234" s="14"/>
      <c r="N2234" s="10" t="s">
        <v>1028</v>
      </c>
      <c r="O2234" s="16"/>
      <c r="P2234" s="17"/>
      <c r="Q2234" s="17"/>
      <c r="R2234" s="17"/>
      <c r="S2234" s="17"/>
      <c r="T2234" s="17"/>
    </row>
    <row r="2235" spans="1:20" ht="22.5" customHeight="1">
      <c r="A2235" s="8">
        <v>46006.261049444445</v>
      </c>
      <c r="B2235" s="9" t="s">
        <v>14</v>
      </c>
      <c r="C2235" s="9" t="s">
        <v>15</v>
      </c>
      <c r="D2235" s="10" t="s">
        <v>4992</v>
      </c>
      <c r="E2235" s="9" t="s">
        <v>22</v>
      </c>
      <c r="F2235" s="10">
        <v>27</v>
      </c>
      <c r="G2235" s="11">
        <v>7083753324</v>
      </c>
      <c r="H2235" s="10" t="s">
        <v>4993</v>
      </c>
      <c r="I2235" s="10" t="s">
        <v>202</v>
      </c>
      <c r="J2235" s="10" t="s">
        <v>4651</v>
      </c>
      <c r="K2235" s="12">
        <v>46006</v>
      </c>
      <c r="L2235" s="28" t="s">
        <v>11</v>
      </c>
      <c r="M2235" s="14"/>
      <c r="N2235" s="10" t="s">
        <v>1028</v>
      </c>
    </row>
    <row r="2236" spans="1:20" ht="22.5" customHeight="1">
      <c r="A2236" s="8">
        <v>46006.269386273147</v>
      </c>
      <c r="B2236" s="9" t="s">
        <v>14</v>
      </c>
      <c r="C2236" s="9" t="s">
        <v>15</v>
      </c>
      <c r="D2236" s="10" t="s">
        <v>4994</v>
      </c>
      <c r="E2236" s="9" t="s">
        <v>17</v>
      </c>
      <c r="F2236" s="10">
        <v>30</v>
      </c>
      <c r="G2236" s="11">
        <v>8088884884</v>
      </c>
      <c r="H2236" s="10" t="s">
        <v>4995</v>
      </c>
      <c r="I2236" s="10" t="s">
        <v>49</v>
      </c>
      <c r="J2236" s="10" t="s">
        <v>50</v>
      </c>
      <c r="K2236" s="12">
        <v>46006</v>
      </c>
      <c r="L2236" s="28" t="s">
        <v>11</v>
      </c>
      <c r="M2236" s="14"/>
      <c r="N2236" s="10" t="s">
        <v>1028</v>
      </c>
    </row>
    <row r="2237" spans="1:20" ht="22.5" customHeight="1">
      <c r="A2237" s="8">
        <v>46006.285291481487</v>
      </c>
      <c r="B2237" s="9" t="s">
        <v>14</v>
      </c>
      <c r="C2237" s="9" t="s">
        <v>15</v>
      </c>
      <c r="D2237" s="10" t="s">
        <v>4996</v>
      </c>
      <c r="E2237" s="9" t="s">
        <v>22</v>
      </c>
      <c r="F2237" s="10">
        <v>27</v>
      </c>
      <c r="G2237" s="11">
        <v>8165975337</v>
      </c>
      <c r="H2237" s="10" t="s">
        <v>4997</v>
      </c>
      <c r="I2237" s="10" t="s">
        <v>45</v>
      </c>
      <c r="J2237" s="10" t="s">
        <v>4998</v>
      </c>
      <c r="K2237" s="12">
        <v>46006</v>
      </c>
      <c r="L2237" s="28" t="s">
        <v>11</v>
      </c>
      <c r="M2237" s="14"/>
      <c r="N2237" s="10" t="s">
        <v>1028</v>
      </c>
    </row>
    <row r="2238" spans="1:20" ht="22.5" customHeight="1">
      <c r="A2238" s="8">
        <v>46006.291461157409</v>
      </c>
      <c r="B2238" s="9" t="s">
        <v>14</v>
      </c>
      <c r="C2238" s="9" t="s">
        <v>15</v>
      </c>
      <c r="D2238" s="10" t="s">
        <v>4999</v>
      </c>
      <c r="E2238" s="9" t="s">
        <v>22</v>
      </c>
      <c r="F2238" s="10">
        <v>35</v>
      </c>
      <c r="G2238" s="11">
        <v>7037447441</v>
      </c>
      <c r="H2238" s="10" t="s">
        <v>4031</v>
      </c>
      <c r="I2238" s="10" t="s">
        <v>27</v>
      </c>
      <c r="J2238" s="10" t="s">
        <v>2348</v>
      </c>
      <c r="K2238" s="12">
        <v>46006</v>
      </c>
      <c r="L2238" s="28" t="s">
        <v>11</v>
      </c>
      <c r="M2238" s="14"/>
      <c r="N2238" s="10" t="s">
        <v>1028</v>
      </c>
    </row>
    <row r="2239" spans="1:20" ht="22.5" customHeight="1">
      <c r="A2239" s="8">
        <v>46006.299093275462</v>
      </c>
      <c r="B2239" s="9" t="s">
        <v>14</v>
      </c>
      <c r="C2239" s="9" t="s">
        <v>15</v>
      </c>
      <c r="D2239" s="10" t="s">
        <v>5000</v>
      </c>
      <c r="E2239" s="9" t="s">
        <v>17</v>
      </c>
      <c r="F2239" s="10">
        <v>35</v>
      </c>
      <c r="G2239" s="11">
        <v>8067933984</v>
      </c>
      <c r="H2239" s="10" t="s">
        <v>5001</v>
      </c>
      <c r="I2239" s="10" t="s">
        <v>145</v>
      </c>
      <c r="J2239" s="10" t="s">
        <v>5002</v>
      </c>
      <c r="K2239" s="12">
        <v>46006</v>
      </c>
      <c r="L2239" s="28" t="s">
        <v>11</v>
      </c>
      <c r="M2239" s="14"/>
      <c r="N2239" s="10" t="s">
        <v>1028</v>
      </c>
    </row>
    <row r="2240" spans="1:20" ht="22.5" customHeight="1">
      <c r="A2240" s="8">
        <v>46006.30551554398</v>
      </c>
      <c r="B2240" s="9" t="s">
        <v>14</v>
      </c>
      <c r="C2240" s="9" t="s">
        <v>15</v>
      </c>
      <c r="D2240" s="10" t="s">
        <v>5003</v>
      </c>
      <c r="E2240" s="9" t="s">
        <v>17</v>
      </c>
      <c r="F2240" s="10">
        <v>25</v>
      </c>
      <c r="G2240" s="11">
        <v>8101285413</v>
      </c>
      <c r="H2240" s="10" t="s">
        <v>5004</v>
      </c>
      <c r="I2240" s="10" t="s">
        <v>27</v>
      </c>
      <c r="J2240" s="10" t="s">
        <v>1456</v>
      </c>
      <c r="K2240" s="12">
        <v>46006</v>
      </c>
      <c r="L2240" s="28" t="s">
        <v>11</v>
      </c>
      <c r="M2240" s="14"/>
      <c r="N2240" s="10" t="s">
        <v>1028</v>
      </c>
    </row>
    <row r="2241" spans="1:14" ht="22.5" customHeight="1">
      <c r="A2241" s="8">
        <v>46006.308425543983</v>
      </c>
      <c r="B2241" s="9" t="s">
        <v>14</v>
      </c>
      <c r="C2241" s="9" t="s">
        <v>15</v>
      </c>
      <c r="D2241" s="10" t="s">
        <v>5005</v>
      </c>
      <c r="E2241" s="9" t="s">
        <v>17</v>
      </c>
      <c r="F2241" s="10">
        <v>32</v>
      </c>
      <c r="G2241" s="11">
        <v>7034860000</v>
      </c>
      <c r="H2241" s="10" t="s">
        <v>5006</v>
      </c>
      <c r="I2241" s="10" t="s">
        <v>27</v>
      </c>
      <c r="J2241" s="10" t="s">
        <v>1895</v>
      </c>
      <c r="K2241" s="12">
        <v>46006</v>
      </c>
      <c r="L2241" s="28" t="s">
        <v>11</v>
      </c>
      <c r="M2241" s="14"/>
      <c r="N2241" s="10" t="s">
        <v>1028</v>
      </c>
    </row>
    <row r="2242" spans="1:14" ht="22.5" hidden="1" customHeight="1">
      <c r="A2242" s="8">
        <v>46006.314947615741</v>
      </c>
      <c r="B2242" s="9" t="s">
        <v>14</v>
      </c>
      <c r="C2242" s="9" t="s">
        <v>15</v>
      </c>
      <c r="D2242" s="10" t="s">
        <v>5007</v>
      </c>
      <c r="E2242" s="9" t="s">
        <v>17</v>
      </c>
      <c r="F2242" s="10">
        <v>28</v>
      </c>
      <c r="G2242" s="11">
        <v>8147077298</v>
      </c>
      <c r="H2242" s="10" t="s">
        <v>5008</v>
      </c>
      <c r="I2242" s="10" t="s">
        <v>27</v>
      </c>
      <c r="J2242" s="10" t="s">
        <v>1924</v>
      </c>
      <c r="K2242" s="12">
        <v>35582</v>
      </c>
      <c r="L2242" s="10" t="s">
        <v>441</v>
      </c>
      <c r="M2242" s="10" t="s">
        <v>1361</v>
      </c>
      <c r="N2242" s="10" t="s">
        <v>1140</v>
      </c>
    </row>
    <row r="2243" spans="1:14" ht="22.5" hidden="1" customHeight="1">
      <c r="A2243" s="8">
        <v>46006.323341388888</v>
      </c>
      <c r="B2243" s="9" t="s">
        <v>14</v>
      </c>
      <c r="C2243" s="9" t="s">
        <v>15</v>
      </c>
      <c r="D2243" s="10" t="s">
        <v>5009</v>
      </c>
      <c r="E2243" s="9" t="s">
        <v>17</v>
      </c>
      <c r="F2243" s="10">
        <v>29</v>
      </c>
      <c r="G2243" s="11">
        <v>9035290600</v>
      </c>
      <c r="H2243" s="10" t="s">
        <v>5010</v>
      </c>
      <c r="I2243" s="10" t="s">
        <v>27</v>
      </c>
      <c r="J2243" s="10" t="s">
        <v>5011</v>
      </c>
      <c r="K2243" s="12">
        <v>46006</v>
      </c>
      <c r="L2243" s="10" t="s">
        <v>441</v>
      </c>
      <c r="M2243" s="10" t="s">
        <v>1361</v>
      </c>
      <c r="N2243" s="10" t="s">
        <v>1563</v>
      </c>
    </row>
    <row r="2244" spans="1:14" ht="22.5" customHeight="1">
      <c r="A2244" s="8">
        <v>46006.325388981481</v>
      </c>
      <c r="B2244" s="9" t="s">
        <v>14</v>
      </c>
      <c r="C2244" s="9" t="s">
        <v>15</v>
      </c>
      <c r="D2244" s="10" t="s">
        <v>5012</v>
      </c>
      <c r="E2244" s="9" t="s">
        <v>22</v>
      </c>
      <c r="F2244" s="10">
        <v>28</v>
      </c>
      <c r="G2244" s="11">
        <v>8140380341</v>
      </c>
      <c r="H2244" s="10" t="s">
        <v>5013</v>
      </c>
      <c r="I2244" s="10" t="s">
        <v>27</v>
      </c>
      <c r="J2244" s="10" t="s">
        <v>94</v>
      </c>
      <c r="K2244" s="12">
        <v>35498</v>
      </c>
      <c r="L2244" s="28" t="s">
        <v>11</v>
      </c>
      <c r="M2244" s="14"/>
      <c r="N2244" s="10" t="s">
        <v>1028</v>
      </c>
    </row>
    <row r="2245" spans="1:14" ht="22.5" customHeight="1">
      <c r="A2245" s="8">
        <v>46006.326687233799</v>
      </c>
      <c r="B2245" s="9" t="s">
        <v>14</v>
      </c>
      <c r="C2245" s="9" t="s">
        <v>15</v>
      </c>
      <c r="D2245" s="10" t="s">
        <v>5014</v>
      </c>
      <c r="E2245" s="9" t="s">
        <v>22</v>
      </c>
      <c r="F2245" s="10">
        <v>29</v>
      </c>
      <c r="G2245" s="11">
        <v>7039629303</v>
      </c>
      <c r="H2245" s="10" t="s">
        <v>5015</v>
      </c>
      <c r="I2245" s="10" t="s">
        <v>49</v>
      </c>
      <c r="J2245" s="10" t="s">
        <v>50</v>
      </c>
      <c r="K2245" s="12">
        <v>46006</v>
      </c>
      <c r="L2245" s="28" t="s">
        <v>11</v>
      </c>
      <c r="M2245" s="14"/>
      <c r="N2245" s="10" t="s">
        <v>1028</v>
      </c>
    </row>
    <row r="2246" spans="1:14" ht="22.5" hidden="1" customHeight="1">
      <c r="A2246" s="8">
        <v>46006.328949780094</v>
      </c>
      <c r="B2246" s="9" t="s">
        <v>14</v>
      </c>
      <c r="C2246" s="9" t="s">
        <v>15</v>
      </c>
      <c r="D2246" s="10" t="s">
        <v>5016</v>
      </c>
      <c r="E2246" s="9" t="s">
        <v>22</v>
      </c>
      <c r="F2246" s="18">
        <v>25</v>
      </c>
      <c r="G2246" s="11">
        <v>8130505967</v>
      </c>
      <c r="H2246" s="10" t="s">
        <v>5017</v>
      </c>
      <c r="I2246" s="10" t="s">
        <v>27</v>
      </c>
      <c r="J2246" s="10" t="s">
        <v>372</v>
      </c>
      <c r="K2246" s="12">
        <v>46006</v>
      </c>
      <c r="L2246" s="10" t="s">
        <v>441</v>
      </c>
      <c r="M2246" s="10" t="s">
        <v>1361</v>
      </c>
      <c r="N2246" s="10" t="s">
        <v>1028</v>
      </c>
    </row>
    <row r="2247" spans="1:14" ht="22.5" customHeight="1">
      <c r="A2247" s="8">
        <v>46006.329813009259</v>
      </c>
      <c r="B2247" s="9" t="s">
        <v>14</v>
      </c>
      <c r="C2247" s="9" t="s">
        <v>15</v>
      </c>
      <c r="D2247" s="10" t="s">
        <v>5018</v>
      </c>
      <c r="E2247" s="9" t="s">
        <v>22</v>
      </c>
      <c r="F2247" s="10">
        <v>35</v>
      </c>
      <c r="G2247" s="11">
        <v>7039336567</v>
      </c>
      <c r="H2247" s="10" t="s">
        <v>5019</v>
      </c>
      <c r="I2247" s="10" t="s">
        <v>27</v>
      </c>
      <c r="J2247" s="10" t="s">
        <v>94</v>
      </c>
      <c r="K2247" s="12">
        <v>46006</v>
      </c>
      <c r="L2247" s="28" t="s">
        <v>11</v>
      </c>
      <c r="M2247" s="14"/>
      <c r="N2247" s="10" t="s">
        <v>1028</v>
      </c>
    </row>
    <row r="2248" spans="1:14" ht="22.5" customHeight="1">
      <c r="A2248" s="8">
        <v>46006.339254826387</v>
      </c>
      <c r="B2248" s="9" t="s">
        <v>14</v>
      </c>
      <c r="C2248" s="9" t="s">
        <v>15</v>
      </c>
      <c r="D2248" s="10" t="s">
        <v>5020</v>
      </c>
      <c r="E2248" s="9" t="s">
        <v>17</v>
      </c>
      <c r="F2248" s="10">
        <v>39</v>
      </c>
      <c r="G2248" s="11">
        <f t="shared" ref="G2248" si="54">2347062077562</f>
        <v>2347062077562</v>
      </c>
      <c r="H2248" s="10" t="s">
        <v>5021</v>
      </c>
      <c r="I2248" s="10" t="s">
        <v>202</v>
      </c>
      <c r="J2248" s="10" t="s">
        <v>3682</v>
      </c>
      <c r="K2248" s="12">
        <v>46006</v>
      </c>
      <c r="L2248" s="28" t="s">
        <v>11</v>
      </c>
      <c r="M2248" s="14"/>
      <c r="N2248" s="10" t="s">
        <v>1028</v>
      </c>
    </row>
    <row r="2249" spans="1:14" ht="22.5" customHeight="1">
      <c r="A2249" s="8">
        <v>46006.342994166669</v>
      </c>
      <c r="B2249" s="9" t="s">
        <v>14</v>
      </c>
      <c r="C2249" s="9" t="s">
        <v>15</v>
      </c>
      <c r="D2249" s="10" t="s">
        <v>5022</v>
      </c>
      <c r="E2249" s="9" t="s">
        <v>22</v>
      </c>
      <c r="F2249" s="10">
        <v>33</v>
      </c>
      <c r="G2249" s="11">
        <f t="shared" ref="G2249" si="55">2348035194779</f>
        <v>2348035194779</v>
      </c>
      <c r="H2249" s="10" t="s">
        <v>5023</v>
      </c>
      <c r="I2249" s="10" t="s">
        <v>202</v>
      </c>
      <c r="J2249" s="10" t="s">
        <v>5024</v>
      </c>
      <c r="K2249" s="12">
        <v>46006</v>
      </c>
      <c r="L2249" s="28" t="s">
        <v>11</v>
      </c>
      <c r="M2249" s="14"/>
      <c r="N2249" s="10" t="s">
        <v>1028</v>
      </c>
    </row>
    <row r="2250" spans="1:14" ht="22.5" customHeight="1">
      <c r="A2250" s="8">
        <v>46006.347207384257</v>
      </c>
      <c r="B2250" s="9" t="s">
        <v>14</v>
      </c>
      <c r="C2250" s="9" t="s">
        <v>15</v>
      </c>
      <c r="D2250" s="10" t="s">
        <v>5025</v>
      </c>
      <c r="E2250" s="9" t="s">
        <v>22</v>
      </c>
      <c r="F2250" s="10">
        <v>25</v>
      </c>
      <c r="G2250" s="11">
        <v>7060614140</v>
      </c>
      <c r="H2250" s="10" t="s">
        <v>5026</v>
      </c>
      <c r="I2250" s="10" t="s">
        <v>27</v>
      </c>
      <c r="J2250" s="10" t="s">
        <v>1456</v>
      </c>
      <c r="K2250" s="12">
        <v>46006</v>
      </c>
      <c r="L2250" s="28" t="s">
        <v>11</v>
      </c>
      <c r="M2250" s="14"/>
      <c r="N2250" s="10" t="s">
        <v>1028</v>
      </c>
    </row>
    <row r="2251" spans="1:14" ht="22.5" customHeight="1">
      <c r="A2251" s="8">
        <v>46006.349756805561</v>
      </c>
      <c r="B2251" s="9" t="s">
        <v>14</v>
      </c>
      <c r="C2251" s="9" t="s">
        <v>15</v>
      </c>
      <c r="D2251" s="10" t="s">
        <v>5027</v>
      </c>
      <c r="E2251" s="9" t="s">
        <v>22</v>
      </c>
      <c r="F2251" s="10">
        <v>29</v>
      </c>
      <c r="G2251" s="11">
        <v>8024197343</v>
      </c>
      <c r="H2251" s="10" t="s">
        <v>5028</v>
      </c>
      <c r="I2251" s="10" t="s">
        <v>27</v>
      </c>
      <c r="J2251" s="10" t="s">
        <v>1559</v>
      </c>
      <c r="K2251" s="12">
        <v>46006</v>
      </c>
      <c r="L2251" s="28" t="s">
        <v>11</v>
      </c>
      <c r="M2251" s="14"/>
      <c r="N2251" s="10" t="s">
        <v>1096</v>
      </c>
    </row>
    <row r="2252" spans="1:14" ht="22.5" customHeight="1">
      <c r="A2252" s="8">
        <v>46006.3506184375</v>
      </c>
      <c r="B2252" s="9" t="s">
        <v>14</v>
      </c>
      <c r="C2252" s="9" t="s">
        <v>15</v>
      </c>
      <c r="D2252" s="10" t="s">
        <v>5029</v>
      </c>
      <c r="E2252" s="9" t="s">
        <v>17</v>
      </c>
      <c r="F2252" s="10">
        <v>31</v>
      </c>
      <c r="G2252" s="11">
        <v>8108585462</v>
      </c>
      <c r="H2252" s="10" t="s">
        <v>5030</v>
      </c>
      <c r="I2252" s="10" t="s">
        <v>202</v>
      </c>
      <c r="J2252" s="10" t="s">
        <v>4780</v>
      </c>
      <c r="K2252" s="12">
        <v>46006</v>
      </c>
      <c r="L2252" s="28" t="s">
        <v>11</v>
      </c>
      <c r="M2252" s="14"/>
      <c r="N2252" s="10" t="s">
        <v>1028</v>
      </c>
    </row>
    <row r="2253" spans="1:14" ht="22.5" customHeight="1">
      <c r="A2253" s="8">
        <v>46006.350632222224</v>
      </c>
      <c r="B2253" s="9" t="s">
        <v>14</v>
      </c>
      <c r="C2253" s="9" t="s">
        <v>15</v>
      </c>
      <c r="D2253" s="10" t="s">
        <v>5031</v>
      </c>
      <c r="E2253" s="9" t="s">
        <v>22</v>
      </c>
      <c r="F2253" s="10">
        <v>19</v>
      </c>
      <c r="G2253" s="11">
        <v>8164396450</v>
      </c>
      <c r="H2253" s="10" t="s">
        <v>5032</v>
      </c>
      <c r="I2253" s="10" t="s">
        <v>45</v>
      </c>
      <c r="J2253" s="10" t="s">
        <v>5033</v>
      </c>
      <c r="K2253" s="12">
        <v>46006</v>
      </c>
      <c r="L2253" s="28" t="s">
        <v>11</v>
      </c>
      <c r="M2253" s="14"/>
      <c r="N2253" s="10" t="s">
        <v>1028</v>
      </c>
    </row>
    <row r="2254" spans="1:14" ht="22.5" customHeight="1">
      <c r="A2254" s="8">
        <v>46006.352632557871</v>
      </c>
      <c r="B2254" s="9" t="s">
        <v>14</v>
      </c>
      <c r="C2254" s="9" t="s">
        <v>15</v>
      </c>
      <c r="D2254" s="10" t="s">
        <v>5034</v>
      </c>
      <c r="E2254" s="9" t="s">
        <v>22</v>
      </c>
      <c r="F2254" s="10">
        <v>23</v>
      </c>
      <c r="G2254" s="11">
        <v>7019091852</v>
      </c>
      <c r="H2254" s="10" t="s">
        <v>5035</v>
      </c>
      <c r="I2254" s="10" t="s">
        <v>27</v>
      </c>
      <c r="J2254" s="10" t="s">
        <v>2105</v>
      </c>
      <c r="K2254" s="12">
        <v>46006</v>
      </c>
      <c r="L2254" s="28" t="s">
        <v>11</v>
      </c>
      <c r="M2254" s="14"/>
      <c r="N2254" s="10" t="s">
        <v>1028</v>
      </c>
    </row>
    <row r="2255" spans="1:14" ht="22.5" customHeight="1">
      <c r="A2255" s="8">
        <v>46006.354814560182</v>
      </c>
      <c r="B2255" s="9" t="s">
        <v>14</v>
      </c>
      <c r="C2255" s="9" t="s">
        <v>15</v>
      </c>
      <c r="D2255" s="10" t="s">
        <v>5036</v>
      </c>
      <c r="E2255" s="9" t="s">
        <v>22</v>
      </c>
      <c r="F2255" s="10">
        <v>25</v>
      </c>
      <c r="G2255" s="11">
        <v>8107102884</v>
      </c>
      <c r="H2255" s="10" t="s">
        <v>5037</v>
      </c>
      <c r="I2255" s="10" t="s">
        <v>145</v>
      </c>
      <c r="J2255" s="10" t="s">
        <v>5038</v>
      </c>
      <c r="K2255" s="12">
        <v>46006</v>
      </c>
      <c r="L2255" s="28" t="s">
        <v>11</v>
      </c>
      <c r="M2255" s="14"/>
      <c r="N2255" s="10" t="s">
        <v>1028</v>
      </c>
    </row>
    <row r="2256" spans="1:14" ht="22.5" customHeight="1">
      <c r="A2256" s="8">
        <v>46006.355713634257</v>
      </c>
      <c r="B2256" s="9" t="s">
        <v>14</v>
      </c>
      <c r="C2256" s="9" t="s">
        <v>15</v>
      </c>
      <c r="D2256" s="10" t="s">
        <v>5039</v>
      </c>
      <c r="E2256" s="9" t="s">
        <v>22</v>
      </c>
      <c r="F2256" s="10">
        <v>28</v>
      </c>
      <c r="G2256" s="11">
        <v>9112085183</v>
      </c>
      <c r="H2256" s="10" t="s">
        <v>5040</v>
      </c>
      <c r="I2256" s="10" t="s">
        <v>27</v>
      </c>
      <c r="J2256" s="10" t="s">
        <v>2069</v>
      </c>
      <c r="K2256" s="12">
        <v>37635</v>
      </c>
      <c r="L2256" s="28" t="s">
        <v>11</v>
      </c>
      <c r="M2256" s="10"/>
      <c r="N2256" s="10" t="s">
        <v>1209</v>
      </c>
    </row>
    <row r="2257" spans="1:14" ht="22.5" customHeight="1">
      <c r="A2257" s="8">
        <v>46006.35740695602</v>
      </c>
      <c r="B2257" s="9" t="s">
        <v>14</v>
      </c>
      <c r="C2257" s="9" t="s">
        <v>15</v>
      </c>
      <c r="D2257" s="10" t="s">
        <v>4590</v>
      </c>
      <c r="E2257" s="9" t="s">
        <v>17</v>
      </c>
      <c r="F2257" s="10">
        <v>32</v>
      </c>
      <c r="G2257" s="11">
        <v>7032168859</v>
      </c>
      <c r="H2257" s="10" t="s">
        <v>4591</v>
      </c>
      <c r="I2257" s="10" t="s">
        <v>27</v>
      </c>
      <c r="J2257" s="10" t="s">
        <v>5041</v>
      </c>
      <c r="K2257" s="12">
        <v>46001</v>
      </c>
      <c r="L2257" s="28" t="s">
        <v>11</v>
      </c>
      <c r="M2257" s="14"/>
      <c r="N2257" s="10" t="s">
        <v>1028</v>
      </c>
    </row>
    <row r="2258" spans="1:14" ht="22.5" customHeight="1">
      <c r="A2258" s="8">
        <v>46006.364652245371</v>
      </c>
      <c r="B2258" s="9" t="s">
        <v>14</v>
      </c>
      <c r="C2258" s="9" t="s">
        <v>15</v>
      </c>
      <c r="D2258" s="10" t="s">
        <v>5042</v>
      </c>
      <c r="E2258" s="9" t="s">
        <v>22</v>
      </c>
      <c r="F2258" s="10">
        <v>34</v>
      </c>
      <c r="G2258" s="11">
        <v>7079664598</v>
      </c>
      <c r="H2258" s="10" t="s">
        <v>5043</v>
      </c>
      <c r="I2258" s="10" t="s">
        <v>27</v>
      </c>
      <c r="J2258" s="10" t="s">
        <v>703</v>
      </c>
      <c r="K2258" s="12">
        <v>46006</v>
      </c>
      <c r="L2258" s="28" t="s">
        <v>11</v>
      </c>
      <c r="M2258" s="14"/>
      <c r="N2258" s="10" t="s">
        <v>1028</v>
      </c>
    </row>
    <row r="2259" spans="1:14" ht="22.5" hidden="1" customHeight="1">
      <c r="A2259" s="8">
        <v>46006.365835578705</v>
      </c>
      <c r="B2259" s="9" t="s">
        <v>14</v>
      </c>
      <c r="C2259" s="9" t="s">
        <v>15</v>
      </c>
      <c r="D2259" s="10" t="s">
        <v>5044</v>
      </c>
      <c r="E2259" s="9" t="s">
        <v>17</v>
      </c>
      <c r="F2259" s="10">
        <v>28</v>
      </c>
      <c r="G2259" s="11">
        <v>9036666534</v>
      </c>
      <c r="H2259" s="10" t="s">
        <v>5045</v>
      </c>
      <c r="I2259" s="10" t="s">
        <v>27</v>
      </c>
      <c r="J2259" s="10" t="s">
        <v>1559</v>
      </c>
      <c r="K2259" s="12">
        <v>35463</v>
      </c>
      <c r="L2259" s="10" t="s">
        <v>441</v>
      </c>
      <c r="M2259" s="10" t="s">
        <v>1361</v>
      </c>
      <c r="N2259" s="10" t="s">
        <v>1209</v>
      </c>
    </row>
    <row r="2260" spans="1:14" ht="22.5" customHeight="1">
      <c r="A2260" s="8">
        <v>46006.367074340276</v>
      </c>
      <c r="B2260" s="9" t="s">
        <v>14</v>
      </c>
      <c r="C2260" s="9" t="s">
        <v>15</v>
      </c>
      <c r="D2260" s="10" t="s">
        <v>5046</v>
      </c>
      <c r="E2260" s="9" t="s">
        <v>22</v>
      </c>
      <c r="F2260" s="10">
        <v>28</v>
      </c>
      <c r="G2260" s="11">
        <v>7071353350</v>
      </c>
      <c r="H2260" s="10" t="s">
        <v>5047</v>
      </c>
      <c r="I2260" s="10" t="s">
        <v>27</v>
      </c>
      <c r="J2260" s="10" t="s">
        <v>1456</v>
      </c>
      <c r="K2260" s="12">
        <v>46006</v>
      </c>
      <c r="L2260" s="28" t="s">
        <v>11</v>
      </c>
      <c r="M2260" s="14"/>
      <c r="N2260" s="10" t="s">
        <v>1028</v>
      </c>
    </row>
    <row r="2261" spans="1:14" ht="22.5" customHeight="1">
      <c r="A2261" s="8">
        <v>46006.36789966435</v>
      </c>
      <c r="B2261" s="9" t="s">
        <v>14</v>
      </c>
      <c r="C2261" s="9" t="s">
        <v>15</v>
      </c>
      <c r="D2261" s="10" t="s">
        <v>5048</v>
      </c>
      <c r="E2261" s="9" t="s">
        <v>17</v>
      </c>
      <c r="F2261" s="10">
        <v>24</v>
      </c>
      <c r="G2261" s="11">
        <v>7036925887</v>
      </c>
      <c r="H2261" s="10" t="s">
        <v>5049</v>
      </c>
      <c r="I2261" s="10" t="s">
        <v>145</v>
      </c>
      <c r="J2261" s="10" t="s">
        <v>530</v>
      </c>
      <c r="K2261" s="12">
        <v>46006</v>
      </c>
      <c r="L2261" s="28" t="s">
        <v>11</v>
      </c>
      <c r="M2261" s="14"/>
      <c r="N2261" s="10" t="s">
        <v>1028</v>
      </c>
    </row>
    <row r="2262" spans="1:14" ht="22.5" customHeight="1">
      <c r="A2262" s="8">
        <v>46006.368497511576</v>
      </c>
      <c r="B2262" s="9" t="s">
        <v>14</v>
      </c>
      <c r="C2262" s="9" t="s">
        <v>15</v>
      </c>
      <c r="D2262" s="10" t="s">
        <v>5050</v>
      </c>
      <c r="E2262" s="9" t="s">
        <v>22</v>
      </c>
      <c r="F2262" s="10">
        <v>21</v>
      </c>
      <c r="G2262" s="11">
        <v>9112085183</v>
      </c>
      <c r="H2262" s="10" t="s">
        <v>5040</v>
      </c>
      <c r="I2262" s="10" t="s">
        <v>27</v>
      </c>
      <c r="J2262" s="10" t="s">
        <v>2069</v>
      </c>
      <c r="K2262" s="12">
        <v>46006</v>
      </c>
      <c r="L2262" s="28" t="s">
        <v>11</v>
      </c>
      <c r="M2262" s="10"/>
      <c r="N2262" s="10" t="s">
        <v>1028</v>
      </c>
    </row>
    <row r="2263" spans="1:14" ht="22.5" customHeight="1">
      <c r="A2263" s="8">
        <v>46006.369707662037</v>
      </c>
      <c r="B2263" s="9" t="s">
        <v>14</v>
      </c>
      <c r="C2263" s="9" t="s">
        <v>15</v>
      </c>
      <c r="D2263" s="10" t="s">
        <v>5051</v>
      </c>
      <c r="E2263" s="9" t="s">
        <v>22</v>
      </c>
      <c r="F2263" s="10">
        <v>21</v>
      </c>
      <c r="G2263" s="11">
        <v>943728981</v>
      </c>
      <c r="H2263" s="10" t="s">
        <v>5052</v>
      </c>
      <c r="I2263" s="10" t="s">
        <v>27</v>
      </c>
      <c r="J2263" s="10" t="s">
        <v>5053</v>
      </c>
      <c r="K2263" s="12">
        <v>46006</v>
      </c>
      <c r="L2263" s="28" t="s">
        <v>11</v>
      </c>
      <c r="M2263" s="14"/>
      <c r="N2263" s="10" t="s">
        <v>1028</v>
      </c>
    </row>
    <row r="2264" spans="1:14" ht="22.5" customHeight="1">
      <c r="A2264" s="8">
        <v>46006.374902418982</v>
      </c>
      <c r="B2264" s="9" t="s">
        <v>14</v>
      </c>
      <c r="C2264" s="9" t="s">
        <v>15</v>
      </c>
      <c r="D2264" s="10" t="s">
        <v>5054</v>
      </c>
      <c r="E2264" s="9" t="s">
        <v>22</v>
      </c>
      <c r="F2264" s="10">
        <v>20</v>
      </c>
      <c r="G2264" s="11">
        <v>9160129034</v>
      </c>
      <c r="H2264" s="10" t="s">
        <v>5055</v>
      </c>
      <c r="I2264" s="10" t="s">
        <v>49</v>
      </c>
      <c r="J2264" s="10" t="s">
        <v>5056</v>
      </c>
      <c r="K2264" s="12">
        <v>46006</v>
      </c>
      <c r="L2264" s="28" t="s">
        <v>11</v>
      </c>
      <c r="M2264" s="14"/>
      <c r="N2264" s="10" t="s">
        <v>1028</v>
      </c>
    </row>
    <row r="2265" spans="1:14" ht="22.5" customHeight="1">
      <c r="A2265" s="8">
        <v>46006.378340648153</v>
      </c>
      <c r="B2265" s="9" t="s">
        <v>14</v>
      </c>
      <c r="C2265" s="9" t="s">
        <v>15</v>
      </c>
      <c r="D2265" s="10" t="s">
        <v>5057</v>
      </c>
      <c r="E2265" s="9" t="s">
        <v>17</v>
      </c>
      <c r="F2265" s="10">
        <v>36</v>
      </c>
      <c r="G2265" s="11">
        <v>7034223695</v>
      </c>
      <c r="H2265" s="10" t="s">
        <v>5058</v>
      </c>
      <c r="I2265" s="10" t="s">
        <v>27</v>
      </c>
      <c r="J2265" s="10" t="s">
        <v>94</v>
      </c>
      <c r="K2265" s="12">
        <v>46006</v>
      </c>
      <c r="L2265" s="28" t="s">
        <v>11</v>
      </c>
      <c r="M2265" s="14"/>
      <c r="N2265" s="10" t="s">
        <v>1028</v>
      </c>
    </row>
    <row r="2266" spans="1:14" ht="22.5" customHeight="1">
      <c r="A2266" s="8">
        <v>46006.379060219908</v>
      </c>
      <c r="B2266" s="9" t="s">
        <v>14</v>
      </c>
      <c r="C2266" s="9" t="s">
        <v>15</v>
      </c>
      <c r="D2266" s="10" t="s">
        <v>5059</v>
      </c>
      <c r="E2266" s="9" t="s">
        <v>22</v>
      </c>
      <c r="F2266" s="10">
        <v>28</v>
      </c>
      <c r="G2266" s="11">
        <v>7037388966</v>
      </c>
      <c r="H2266" s="10" t="s">
        <v>5060</v>
      </c>
      <c r="I2266" s="10" t="s">
        <v>27</v>
      </c>
      <c r="J2266" s="10" t="s">
        <v>172</v>
      </c>
      <c r="K2266" s="12">
        <v>46006</v>
      </c>
      <c r="L2266" s="28" t="s">
        <v>11</v>
      </c>
      <c r="M2266" s="10"/>
      <c r="N2266" s="10" t="s">
        <v>5061</v>
      </c>
    </row>
    <row r="2267" spans="1:14" ht="22.5" customHeight="1">
      <c r="A2267" s="8">
        <v>46006.381650983792</v>
      </c>
      <c r="B2267" s="9" t="s">
        <v>14</v>
      </c>
      <c r="C2267" s="9" t="s">
        <v>15</v>
      </c>
      <c r="D2267" s="10" t="s">
        <v>5062</v>
      </c>
      <c r="E2267" s="9" t="s">
        <v>22</v>
      </c>
      <c r="F2267" s="10">
        <v>22</v>
      </c>
      <c r="G2267" s="11">
        <v>7041817479</v>
      </c>
      <c r="H2267" s="10" t="s">
        <v>5063</v>
      </c>
      <c r="I2267" s="10" t="s">
        <v>19</v>
      </c>
      <c r="J2267" s="10" t="s">
        <v>5064</v>
      </c>
      <c r="K2267" s="12">
        <v>46006</v>
      </c>
      <c r="L2267" s="28" t="s">
        <v>11</v>
      </c>
      <c r="M2267" s="14"/>
      <c r="N2267" s="10" t="s">
        <v>1028</v>
      </c>
    </row>
    <row r="2268" spans="1:14" ht="22.5" customHeight="1">
      <c r="A2268" s="8">
        <v>46006.387000162038</v>
      </c>
      <c r="B2268" s="9" t="s">
        <v>14</v>
      </c>
      <c r="C2268" s="9" t="s">
        <v>15</v>
      </c>
      <c r="D2268" s="10" t="s">
        <v>3379</v>
      </c>
      <c r="E2268" s="9" t="s">
        <v>22</v>
      </c>
      <c r="F2268" s="10">
        <v>32</v>
      </c>
      <c r="G2268" s="11">
        <v>7035625870</v>
      </c>
      <c r="H2268" s="10" t="s">
        <v>3380</v>
      </c>
      <c r="I2268" s="10" t="s">
        <v>27</v>
      </c>
      <c r="J2268" s="10" t="s">
        <v>94</v>
      </c>
      <c r="K2268" s="12">
        <v>46006</v>
      </c>
      <c r="L2268" s="28" t="s">
        <v>11</v>
      </c>
      <c r="M2268" s="14"/>
      <c r="N2268" s="10" t="s">
        <v>1028</v>
      </c>
    </row>
    <row r="2269" spans="1:14" ht="22.5" customHeight="1">
      <c r="A2269" s="8">
        <v>46006.387454606476</v>
      </c>
      <c r="B2269" s="9" t="s">
        <v>14</v>
      </c>
      <c r="C2269" s="9" t="s">
        <v>15</v>
      </c>
      <c r="D2269" s="10" t="s">
        <v>5065</v>
      </c>
      <c r="E2269" s="9" t="s">
        <v>22</v>
      </c>
      <c r="F2269" s="10">
        <v>24</v>
      </c>
      <c r="G2269" s="11">
        <v>8146455443</v>
      </c>
      <c r="H2269" s="10" t="s">
        <v>5066</v>
      </c>
      <c r="I2269" s="10" t="s">
        <v>27</v>
      </c>
      <c r="J2269" s="10" t="s">
        <v>28</v>
      </c>
      <c r="K2269" s="12">
        <v>46006</v>
      </c>
      <c r="L2269" s="28" t="s">
        <v>11</v>
      </c>
      <c r="M2269" s="14"/>
      <c r="N2269" s="10" t="s">
        <v>1028</v>
      </c>
    </row>
    <row r="2270" spans="1:14" ht="22.5" customHeight="1">
      <c r="A2270" s="8">
        <v>46006.389945810181</v>
      </c>
      <c r="B2270" s="9" t="s">
        <v>14</v>
      </c>
      <c r="C2270" s="9" t="s">
        <v>15</v>
      </c>
      <c r="D2270" s="10" t="s">
        <v>5067</v>
      </c>
      <c r="E2270" s="9" t="s">
        <v>17</v>
      </c>
      <c r="F2270" s="10">
        <v>29</v>
      </c>
      <c r="G2270" s="11">
        <v>8138472762</v>
      </c>
      <c r="H2270" s="10" t="s">
        <v>5068</v>
      </c>
      <c r="I2270" s="10" t="s">
        <v>27</v>
      </c>
      <c r="J2270" s="10" t="s">
        <v>70</v>
      </c>
      <c r="K2270" s="12">
        <v>46006</v>
      </c>
      <c r="L2270" s="28" t="s">
        <v>11</v>
      </c>
      <c r="M2270" s="14"/>
      <c r="N2270" s="10" t="s">
        <v>1028</v>
      </c>
    </row>
    <row r="2271" spans="1:14" ht="22.5" customHeight="1">
      <c r="A2271" s="8">
        <v>46006.390050243055</v>
      </c>
      <c r="B2271" s="9" t="s">
        <v>14</v>
      </c>
      <c r="C2271" s="9" t="s">
        <v>15</v>
      </c>
      <c r="D2271" s="10" t="s">
        <v>5069</v>
      </c>
      <c r="E2271" s="9" t="s">
        <v>22</v>
      </c>
      <c r="F2271" s="10">
        <v>27</v>
      </c>
      <c r="G2271" s="11">
        <v>7041589393</v>
      </c>
      <c r="H2271" s="10" t="s">
        <v>5070</v>
      </c>
      <c r="I2271" s="10" t="s">
        <v>27</v>
      </c>
      <c r="J2271" s="10" t="s">
        <v>2196</v>
      </c>
      <c r="K2271" s="12">
        <v>46006</v>
      </c>
      <c r="L2271" s="28" t="s">
        <v>11</v>
      </c>
      <c r="M2271" s="14"/>
      <c r="N2271" s="10" t="s">
        <v>1028</v>
      </c>
    </row>
    <row r="2272" spans="1:14" ht="22.5" customHeight="1">
      <c r="A2272" s="8">
        <v>46006.394306689814</v>
      </c>
      <c r="B2272" s="9" t="s">
        <v>14</v>
      </c>
      <c r="C2272" s="9" t="s">
        <v>15</v>
      </c>
      <c r="D2272" s="10" t="s">
        <v>5071</v>
      </c>
      <c r="E2272" s="9" t="s">
        <v>17</v>
      </c>
      <c r="F2272" s="10">
        <v>31</v>
      </c>
      <c r="G2272" s="11">
        <v>8037816928</v>
      </c>
      <c r="H2272" s="10" t="s">
        <v>5072</v>
      </c>
      <c r="I2272" s="10" t="s">
        <v>27</v>
      </c>
      <c r="J2272" s="10" t="s">
        <v>2069</v>
      </c>
      <c r="K2272" s="12">
        <v>46006</v>
      </c>
      <c r="L2272" s="28" t="s">
        <v>11</v>
      </c>
      <c r="M2272" s="14"/>
      <c r="N2272" s="10" t="s">
        <v>1028</v>
      </c>
    </row>
    <row r="2273" spans="1:14" ht="22.5" customHeight="1">
      <c r="A2273" s="8">
        <v>46006.394962847218</v>
      </c>
      <c r="B2273" s="9" t="s">
        <v>14</v>
      </c>
      <c r="C2273" s="9" t="s">
        <v>15</v>
      </c>
      <c r="D2273" s="10" t="s">
        <v>5073</v>
      </c>
      <c r="E2273" s="9" t="s">
        <v>22</v>
      </c>
      <c r="F2273" s="10">
        <v>22</v>
      </c>
      <c r="G2273" s="11">
        <v>885980751</v>
      </c>
      <c r="H2273" s="10" t="s">
        <v>5074</v>
      </c>
      <c r="I2273" s="10" t="s">
        <v>202</v>
      </c>
      <c r="J2273" s="10" t="s">
        <v>5075</v>
      </c>
      <c r="K2273" s="12">
        <v>46006</v>
      </c>
      <c r="L2273" s="28" t="s">
        <v>11</v>
      </c>
      <c r="M2273" s="14"/>
      <c r="N2273" s="10" t="s">
        <v>1028</v>
      </c>
    </row>
    <row r="2274" spans="1:14" ht="22.5" customHeight="1">
      <c r="A2274" s="8">
        <v>46006.405748634264</v>
      </c>
      <c r="B2274" s="9" t="s">
        <v>14</v>
      </c>
      <c r="C2274" s="9" t="s">
        <v>15</v>
      </c>
      <c r="D2274" s="10" t="s">
        <v>5076</v>
      </c>
      <c r="E2274" s="9" t="s">
        <v>17</v>
      </c>
      <c r="F2274" s="10">
        <v>33</v>
      </c>
      <c r="G2274" s="11">
        <v>8064373709</v>
      </c>
      <c r="H2274" s="10" t="s">
        <v>5077</v>
      </c>
      <c r="I2274" s="10" t="s">
        <v>27</v>
      </c>
      <c r="J2274" s="10" t="s">
        <v>2328</v>
      </c>
      <c r="K2274" s="12">
        <v>46006</v>
      </c>
      <c r="L2274" s="28" t="s">
        <v>11</v>
      </c>
      <c r="M2274" s="14"/>
      <c r="N2274" s="10" t="s">
        <v>1028</v>
      </c>
    </row>
    <row r="2275" spans="1:14" ht="22.5" customHeight="1">
      <c r="A2275" s="8">
        <v>46006.410270115739</v>
      </c>
      <c r="B2275" s="9" t="s">
        <v>14</v>
      </c>
      <c r="C2275" s="9" t="s">
        <v>15</v>
      </c>
      <c r="D2275" s="10" t="s">
        <v>5078</v>
      </c>
      <c r="E2275" s="9" t="s">
        <v>22</v>
      </c>
      <c r="F2275" s="10">
        <v>23</v>
      </c>
      <c r="G2275" s="11">
        <v>9026585721</v>
      </c>
      <c r="H2275" s="10" t="s">
        <v>5079</v>
      </c>
      <c r="I2275" s="10" t="s">
        <v>145</v>
      </c>
      <c r="J2275" s="10" t="s">
        <v>530</v>
      </c>
      <c r="K2275" s="12">
        <v>46006</v>
      </c>
      <c r="L2275" s="28" t="s">
        <v>11</v>
      </c>
      <c r="M2275" s="14"/>
      <c r="N2275" s="10" t="s">
        <v>1028</v>
      </c>
    </row>
    <row r="2276" spans="1:14" ht="22.5" customHeight="1">
      <c r="A2276" s="8">
        <v>46006.412675532411</v>
      </c>
      <c r="B2276" s="9" t="s">
        <v>14</v>
      </c>
      <c r="C2276" s="9" t="s">
        <v>15</v>
      </c>
      <c r="D2276" s="10" t="s">
        <v>5080</v>
      </c>
      <c r="E2276" s="9" t="s">
        <v>17</v>
      </c>
      <c r="F2276" s="19">
        <v>26</v>
      </c>
      <c r="G2276" s="11">
        <v>8169609242</v>
      </c>
      <c r="H2276" s="10" t="s">
        <v>5081</v>
      </c>
      <c r="I2276" s="10" t="s">
        <v>202</v>
      </c>
      <c r="J2276" s="10" t="s">
        <v>5082</v>
      </c>
      <c r="K2276" s="12">
        <v>46006</v>
      </c>
      <c r="L2276" s="28" t="s">
        <v>11</v>
      </c>
      <c r="M2276" s="14"/>
      <c r="N2276" s="10" t="s">
        <v>1028</v>
      </c>
    </row>
    <row r="2277" spans="1:14" ht="22.5" customHeight="1">
      <c r="A2277" s="8">
        <v>46006.413967222223</v>
      </c>
      <c r="B2277" s="9" t="s">
        <v>14</v>
      </c>
      <c r="C2277" s="9" t="s">
        <v>15</v>
      </c>
      <c r="D2277" s="10" t="s">
        <v>5083</v>
      </c>
      <c r="E2277" s="9" t="s">
        <v>22</v>
      </c>
      <c r="F2277" s="10">
        <v>27</v>
      </c>
      <c r="G2277" s="11">
        <v>8060605138</v>
      </c>
      <c r="H2277" s="10" t="s">
        <v>5084</v>
      </c>
      <c r="I2277" s="10" t="s">
        <v>27</v>
      </c>
      <c r="J2277" s="10" t="s">
        <v>94</v>
      </c>
      <c r="K2277" s="12">
        <v>35851</v>
      </c>
      <c r="L2277" s="28" t="s">
        <v>11</v>
      </c>
      <c r="M2277" s="14"/>
      <c r="N2277" s="10" t="s">
        <v>1028</v>
      </c>
    </row>
    <row r="2278" spans="1:14" ht="22.5" customHeight="1">
      <c r="A2278" s="8">
        <v>46006.414978414352</v>
      </c>
      <c r="B2278" s="9" t="s">
        <v>14</v>
      </c>
      <c r="C2278" s="9" t="s">
        <v>15</v>
      </c>
      <c r="D2278" s="10" t="s">
        <v>5085</v>
      </c>
      <c r="E2278" s="9" t="s">
        <v>17</v>
      </c>
      <c r="F2278" s="10">
        <v>26</v>
      </c>
      <c r="G2278" s="11">
        <v>7069078285</v>
      </c>
      <c r="H2278" s="10" t="s">
        <v>5086</v>
      </c>
      <c r="I2278" s="10" t="s">
        <v>27</v>
      </c>
      <c r="J2278" s="10" t="s">
        <v>1317</v>
      </c>
      <c r="K2278" s="12">
        <v>46006</v>
      </c>
      <c r="L2278" s="28" t="s">
        <v>11</v>
      </c>
      <c r="M2278" s="14"/>
      <c r="N2278" s="10" t="s">
        <v>1028</v>
      </c>
    </row>
    <row r="2279" spans="1:14" ht="22.5" customHeight="1">
      <c r="A2279" s="8">
        <v>46006.416140162037</v>
      </c>
      <c r="B2279" s="9" t="s">
        <v>14</v>
      </c>
      <c r="C2279" s="9" t="s">
        <v>15</v>
      </c>
      <c r="D2279" s="10" t="s">
        <v>5087</v>
      </c>
      <c r="E2279" s="9" t="s">
        <v>17</v>
      </c>
      <c r="F2279" s="10">
        <v>26</v>
      </c>
      <c r="G2279" s="11">
        <v>8108856323</v>
      </c>
      <c r="H2279" s="10" t="s">
        <v>5088</v>
      </c>
      <c r="I2279" s="10" t="s">
        <v>19</v>
      </c>
      <c r="J2279" s="10" t="s">
        <v>166</v>
      </c>
      <c r="K2279" s="12">
        <v>46006</v>
      </c>
      <c r="L2279" s="28" t="s">
        <v>11</v>
      </c>
      <c r="M2279" s="14"/>
      <c r="N2279" s="10" t="s">
        <v>1096</v>
      </c>
    </row>
    <row r="2280" spans="1:14" ht="22.5" customHeight="1">
      <c r="A2280" s="8">
        <v>46006.417429664347</v>
      </c>
      <c r="B2280" s="9" t="s">
        <v>14</v>
      </c>
      <c r="C2280" s="9" t="s">
        <v>15</v>
      </c>
      <c r="D2280" s="10" t="s">
        <v>5089</v>
      </c>
      <c r="E2280" s="9" t="s">
        <v>22</v>
      </c>
      <c r="F2280" s="18">
        <v>22</v>
      </c>
      <c r="G2280" s="11">
        <v>8135943170</v>
      </c>
      <c r="H2280" s="10" t="s">
        <v>5090</v>
      </c>
      <c r="I2280" s="10" t="s">
        <v>27</v>
      </c>
      <c r="J2280" s="10" t="s">
        <v>3186</v>
      </c>
      <c r="K2280" s="12">
        <v>46006</v>
      </c>
      <c r="L2280" s="28" t="s">
        <v>11</v>
      </c>
      <c r="M2280" s="10"/>
      <c r="N2280" s="10" t="s">
        <v>2186</v>
      </c>
    </row>
    <row r="2281" spans="1:14" ht="22.5" customHeight="1">
      <c r="A2281" s="8">
        <v>46006.419760370365</v>
      </c>
      <c r="B2281" s="9" t="s">
        <v>14</v>
      </c>
      <c r="C2281" s="9" t="s">
        <v>15</v>
      </c>
      <c r="D2281" s="10" t="s">
        <v>5091</v>
      </c>
      <c r="E2281" s="9" t="s">
        <v>22</v>
      </c>
      <c r="F2281" s="10">
        <v>37</v>
      </c>
      <c r="G2281" s="11">
        <v>8086486788</v>
      </c>
      <c r="H2281" s="10" t="s">
        <v>5092</v>
      </c>
      <c r="I2281" s="10" t="s">
        <v>145</v>
      </c>
      <c r="J2281" s="10" t="s">
        <v>5093</v>
      </c>
      <c r="K2281" s="12">
        <v>46006</v>
      </c>
      <c r="L2281" s="28" t="s">
        <v>11</v>
      </c>
      <c r="M2281" s="14"/>
      <c r="N2281" s="10" t="s">
        <v>1028</v>
      </c>
    </row>
    <row r="2282" spans="1:14" ht="22.5" customHeight="1">
      <c r="A2282" s="8">
        <v>46006.42313195602</v>
      </c>
      <c r="B2282" s="9" t="s">
        <v>14</v>
      </c>
      <c r="C2282" s="9" t="s">
        <v>15</v>
      </c>
      <c r="D2282" s="10" t="s">
        <v>5094</v>
      </c>
      <c r="E2282" s="9" t="s">
        <v>17</v>
      </c>
      <c r="F2282" s="10">
        <v>21</v>
      </c>
      <c r="G2282" s="11">
        <v>9132436642</v>
      </c>
      <c r="H2282" s="10" t="s">
        <v>5095</v>
      </c>
      <c r="I2282" s="10" t="s">
        <v>49</v>
      </c>
      <c r="J2282" s="10" t="s">
        <v>5096</v>
      </c>
      <c r="K2282" s="12">
        <v>46006</v>
      </c>
      <c r="L2282" s="28" t="s">
        <v>11</v>
      </c>
      <c r="M2282" s="14"/>
      <c r="N2282" s="10" t="s">
        <v>1096</v>
      </c>
    </row>
    <row r="2283" spans="1:14" ht="22.5" customHeight="1">
      <c r="A2283" s="8">
        <v>46006.426543773152</v>
      </c>
      <c r="B2283" s="9" t="s">
        <v>14</v>
      </c>
      <c r="C2283" s="9" t="s">
        <v>15</v>
      </c>
      <c r="D2283" s="10" t="s">
        <v>5097</v>
      </c>
      <c r="E2283" s="9" t="s">
        <v>17</v>
      </c>
      <c r="F2283" s="10">
        <v>33</v>
      </c>
      <c r="G2283" s="11">
        <v>8084066870</v>
      </c>
      <c r="H2283" s="10" t="s">
        <v>5098</v>
      </c>
      <c r="I2283" s="10" t="s">
        <v>27</v>
      </c>
      <c r="J2283" s="10" t="s">
        <v>2196</v>
      </c>
      <c r="K2283" s="12">
        <v>46006</v>
      </c>
      <c r="L2283" s="28" t="s">
        <v>11</v>
      </c>
      <c r="M2283" s="14"/>
      <c r="N2283" s="10" t="s">
        <v>1028</v>
      </c>
    </row>
    <row r="2284" spans="1:14" ht="22.5" customHeight="1">
      <c r="A2284" s="8">
        <v>46006.429523020837</v>
      </c>
      <c r="B2284" s="9" t="s">
        <v>14</v>
      </c>
      <c r="C2284" s="9" t="s">
        <v>15</v>
      </c>
      <c r="D2284" s="10" t="s">
        <v>5099</v>
      </c>
      <c r="E2284" s="9" t="s">
        <v>17</v>
      </c>
      <c r="F2284" s="10">
        <v>31</v>
      </c>
      <c r="G2284" s="11">
        <v>7026566278</v>
      </c>
      <c r="H2284" s="10" t="s">
        <v>5100</v>
      </c>
      <c r="I2284" s="10" t="s">
        <v>49</v>
      </c>
      <c r="J2284" s="10" t="s">
        <v>109</v>
      </c>
      <c r="K2284" s="12">
        <v>46006</v>
      </c>
      <c r="L2284" s="28" t="s">
        <v>11</v>
      </c>
      <c r="M2284" s="14"/>
      <c r="N2284" s="10" t="s">
        <v>1028</v>
      </c>
    </row>
    <row r="2285" spans="1:14" ht="22.5" hidden="1" customHeight="1">
      <c r="A2285" s="8">
        <v>46006.430179768518</v>
      </c>
      <c r="B2285" s="9" t="s">
        <v>14</v>
      </c>
      <c r="C2285" s="9" t="s">
        <v>15</v>
      </c>
      <c r="D2285" s="10" t="s">
        <v>5101</v>
      </c>
      <c r="E2285" s="9" t="s">
        <v>22</v>
      </c>
      <c r="F2285" s="10">
        <v>26</v>
      </c>
      <c r="G2285" s="11">
        <v>786897592</v>
      </c>
      <c r="H2285" s="10" t="s">
        <v>5102</v>
      </c>
      <c r="I2285" s="10" t="s">
        <v>202</v>
      </c>
      <c r="J2285" s="10" t="s">
        <v>2307</v>
      </c>
      <c r="K2285" s="12">
        <v>46006</v>
      </c>
      <c r="L2285" s="10" t="s">
        <v>441</v>
      </c>
      <c r="M2285" s="14"/>
      <c r="N2285" s="10" t="s">
        <v>1028</v>
      </c>
    </row>
    <row r="2286" spans="1:14" ht="22.5" customHeight="1">
      <c r="A2286" s="8">
        <v>46006.432297511579</v>
      </c>
      <c r="B2286" s="9" t="s">
        <v>14</v>
      </c>
      <c r="C2286" s="9" t="s">
        <v>15</v>
      </c>
      <c r="D2286" s="10" t="s">
        <v>5103</v>
      </c>
      <c r="E2286" s="9" t="s">
        <v>17</v>
      </c>
      <c r="F2286" s="10">
        <v>24</v>
      </c>
      <c r="G2286" s="11">
        <v>8067349046</v>
      </c>
      <c r="H2286" s="10" t="s">
        <v>5104</v>
      </c>
      <c r="I2286" s="10" t="s">
        <v>27</v>
      </c>
      <c r="J2286" s="10" t="s">
        <v>3186</v>
      </c>
      <c r="K2286" s="12">
        <v>46006</v>
      </c>
      <c r="L2286" s="28" t="s">
        <v>11</v>
      </c>
      <c r="M2286" s="10"/>
      <c r="N2286" s="10" t="s">
        <v>1028</v>
      </c>
    </row>
    <row r="2287" spans="1:14" ht="22.5" customHeight="1">
      <c r="A2287" s="8">
        <v>46006.432888055555</v>
      </c>
      <c r="B2287" s="9" t="s">
        <v>14</v>
      </c>
      <c r="C2287" s="9" t="s">
        <v>15</v>
      </c>
      <c r="D2287" s="10" t="s">
        <v>5105</v>
      </c>
      <c r="E2287" s="9" t="s">
        <v>22</v>
      </c>
      <c r="F2287" s="10">
        <v>25</v>
      </c>
      <c r="G2287" s="11">
        <v>9060538677</v>
      </c>
      <c r="H2287" s="10" t="s">
        <v>5106</v>
      </c>
      <c r="I2287" s="10" t="s">
        <v>45</v>
      </c>
      <c r="J2287" s="10" t="s">
        <v>901</v>
      </c>
      <c r="K2287" s="12">
        <v>46006</v>
      </c>
      <c r="L2287" s="28" t="s">
        <v>11</v>
      </c>
      <c r="M2287" s="14"/>
      <c r="N2287" s="10" t="s">
        <v>1028</v>
      </c>
    </row>
    <row r="2288" spans="1:14" ht="22.5" customHeight="1">
      <c r="A2288" s="8">
        <v>46006.436124305561</v>
      </c>
      <c r="B2288" s="9" t="s">
        <v>14</v>
      </c>
      <c r="C2288" s="9" t="s">
        <v>15</v>
      </c>
      <c r="D2288" s="10" t="s">
        <v>5107</v>
      </c>
      <c r="E2288" s="9" t="s">
        <v>22</v>
      </c>
      <c r="F2288" s="10">
        <v>26</v>
      </c>
      <c r="G2288" s="11">
        <f>2348083188823</f>
        <v>2348083188823</v>
      </c>
      <c r="H2288" s="10" t="s">
        <v>5108</v>
      </c>
      <c r="I2288" s="10" t="s">
        <v>27</v>
      </c>
      <c r="J2288" s="10" t="s">
        <v>70</v>
      </c>
      <c r="K2288" s="12">
        <v>46006</v>
      </c>
      <c r="L2288" s="28" t="s">
        <v>11</v>
      </c>
      <c r="M2288" s="14"/>
      <c r="N2288" s="10" t="s">
        <v>1028</v>
      </c>
    </row>
    <row r="2289" spans="1:14" ht="22.5" customHeight="1">
      <c r="A2289" s="8">
        <v>46006.436668055554</v>
      </c>
      <c r="B2289" s="9" t="s">
        <v>14</v>
      </c>
      <c r="C2289" s="9" t="s">
        <v>15</v>
      </c>
      <c r="D2289" s="10" t="s">
        <v>5109</v>
      </c>
      <c r="E2289" s="9" t="s">
        <v>22</v>
      </c>
      <c r="F2289" s="10">
        <v>25</v>
      </c>
      <c r="G2289" s="11">
        <v>7045374853</v>
      </c>
      <c r="H2289" s="10" t="s">
        <v>4154</v>
      </c>
      <c r="I2289" s="10" t="s">
        <v>27</v>
      </c>
      <c r="J2289" s="10" t="s">
        <v>2105</v>
      </c>
      <c r="K2289" s="12">
        <v>46006</v>
      </c>
      <c r="L2289" s="28" t="s">
        <v>11</v>
      </c>
      <c r="M2289" s="14"/>
      <c r="N2289" s="10" t="s">
        <v>1028</v>
      </c>
    </row>
    <row r="2290" spans="1:14" ht="22.5" hidden="1" customHeight="1">
      <c r="A2290" s="8">
        <v>46006.439536469908</v>
      </c>
      <c r="B2290" s="9" t="s">
        <v>14</v>
      </c>
      <c r="C2290" s="9" t="s">
        <v>15</v>
      </c>
      <c r="D2290" s="10" t="s">
        <v>5110</v>
      </c>
      <c r="E2290" s="9" t="s">
        <v>17</v>
      </c>
      <c r="F2290" s="10">
        <v>18</v>
      </c>
      <c r="G2290" s="11">
        <v>7084136306</v>
      </c>
      <c r="H2290" s="10" t="s">
        <v>5111</v>
      </c>
      <c r="I2290" s="10" t="s">
        <v>27</v>
      </c>
      <c r="J2290" s="10" t="s">
        <v>42</v>
      </c>
      <c r="K2290" s="12">
        <v>46006</v>
      </c>
      <c r="L2290" s="10" t="s">
        <v>441</v>
      </c>
      <c r="M2290" s="10" t="s">
        <v>1361</v>
      </c>
      <c r="N2290" s="10" t="s">
        <v>1028</v>
      </c>
    </row>
    <row r="2291" spans="1:14" ht="22.5" customHeight="1">
      <c r="A2291" s="8">
        <v>46006.442189085647</v>
      </c>
      <c r="B2291" s="9" t="s">
        <v>14</v>
      </c>
      <c r="C2291" s="9" t="s">
        <v>15</v>
      </c>
      <c r="D2291" s="10" t="s">
        <v>5112</v>
      </c>
      <c r="E2291" s="9" t="s">
        <v>17</v>
      </c>
      <c r="F2291" s="10">
        <v>29</v>
      </c>
      <c r="G2291" s="11">
        <v>8169984812</v>
      </c>
      <c r="H2291" s="10" t="s">
        <v>5113</v>
      </c>
      <c r="I2291" s="10" t="s">
        <v>45</v>
      </c>
      <c r="J2291" s="10" t="s">
        <v>5114</v>
      </c>
      <c r="K2291" s="12">
        <v>46006</v>
      </c>
      <c r="L2291" s="28" t="s">
        <v>11</v>
      </c>
      <c r="M2291" s="14"/>
      <c r="N2291" s="10" t="s">
        <v>1028</v>
      </c>
    </row>
    <row r="2292" spans="1:14" ht="22.5" customHeight="1">
      <c r="A2292" s="8">
        <v>46006.444359004628</v>
      </c>
      <c r="B2292" s="9" t="s">
        <v>14</v>
      </c>
      <c r="C2292" s="9" t="s">
        <v>15</v>
      </c>
      <c r="D2292" s="10" t="s">
        <v>5115</v>
      </c>
      <c r="E2292" s="9" t="s">
        <v>22</v>
      </c>
      <c r="F2292" s="10">
        <v>32</v>
      </c>
      <c r="G2292" s="11">
        <v>8160378199</v>
      </c>
      <c r="H2292" s="10" t="s">
        <v>5116</v>
      </c>
      <c r="I2292" s="10" t="s">
        <v>27</v>
      </c>
      <c r="J2292" s="10" t="s">
        <v>1194</v>
      </c>
      <c r="K2292" s="12">
        <v>46006</v>
      </c>
      <c r="L2292" s="28" t="s">
        <v>11</v>
      </c>
      <c r="M2292" s="14"/>
      <c r="N2292" s="10" t="s">
        <v>1028</v>
      </c>
    </row>
    <row r="2293" spans="1:14" ht="22.5" customHeight="1">
      <c r="A2293" s="8">
        <v>46006.445437418981</v>
      </c>
      <c r="B2293" s="9" t="s">
        <v>14</v>
      </c>
      <c r="C2293" s="9" t="s">
        <v>15</v>
      </c>
      <c r="D2293" s="10" t="s">
        <v>5117</v>
      </c>
      <c r="E2293" s="9" t="s">
        <v>17</v>
      </c>
      <c r="F2293" s="10">
        <v>23</v>
      </c>
      <c r="G2293" s="11">
        <v>8065411635</v>
      </c>
      <c r="H2293" s="10" t="s">
        <v>5118</v>
      </c>
      <c r="I2293" s="10" t="s">
        <v>27</v>
      </c>
      <c r="J2293" s="10" t="s">
        <v>94</v>
      </c>
      <c r="K2293" s="12">
        <v>46006</v>
      </c>
      <c r="L2293" s="28" t="s">
        <v>11</v>
      </c>
      <c r="M2293" s="14"/>
      <c r="N2293" s="10" t="s">
        <v>845</v>
      </c>
    </row>
    <row r="2294" spans="1:14" ht="22.5" customHeight="1">
      <c r="A2294" s="8">
        <v>46006.448857372685</v>
      </c>
      <c r="B2294" s="9" t="s">
        <v>14</v>
      </c>
      <c r="C2294" s="9" t="s">
        <v>15</v>
      </c>
      <c r="D2294" s="10" t="s">
        <v>5119</v>
      </c>
      <c r="E2294" s="9" t="s">
        <v>17</v>
      </c>
      <c r="F2294" s="10">
        <v>31</v>
      </c>
      <c r="G2294" s="11">
        <v>7062256472</v>
      </c>
      <c r="H2294" s="10" t="s">
        <v>5120</v>
      </c>
      <c r="I2294" s="10" t="s">
        <v>27</v>
      </c>
      <c r="J2294" s="10" t="s">
        <v>2328</v>
      </c>
      <c r="K2294" s="12">
        <v>46006</v>
      </c>
      <c r="L2294" s="28" t="s">
        <v>11</v>
      </c>
      <c r="M2294" s="14"/>
      <c r="N2294" s="10" t="s">
        <v>1028</v>
      </c>
    </row>
    <row r="2295" spans="1:14" ht="22.5" customHeight="1">
      <c r="A2295" s="8">
        <v>46006.448971284721</v>
      </c>
      <c r="B2295" s="9" t="s">
        <v>14</v>
      </c>
      <c r="C2295" s="9" t="s">
        <v>15</v>
      </c>
      <c r="D2295" s="10" t="s">
        <v>2522</v>
      </c>
      <c r="E2295" s="9" t="s">
        <v>17</v>
      </c>
      <c r="F2295" s="10">
        <v>25</v>
      </c>
      <c r="G2295" s="11">
        <v>8144937750</v>
      </c>
      <c r="H2295" s="10" t="s">
        <v>2523</v>
      </c>
      <c r="I2295" s="10" t="s">
        <v>27</v>
      </c>
      <c r="J2295" s="10" t="s">
        <v>2006</v>
      </c>
      <c r="K2295" s="12">
        <v>46006</v>
      </c>
      <c r="L2295" s="28" t="s">
        <v>11</v>
      </c>
      <c r="M2295" s="14"/>
      <c r="N2295" s="10" t="s">
        <v>1028</v>
      </c>
    </row>
    <row r="2296" spans="1:14" ht="22.5" customHeight="1">
      <c r="A2296" s="8">
        <v>46006.449252303239</v>
      </c>
      <c r="B2296" s="9" t="s">
        <v>14</v>
      </c>
      <c r="C2296" s="9" t="s">
        <v>15</v>
      </c>
      <c r="D2296" s="10" t="s">
        <v>5121</v>
      </c>
      <c r="E2296" s="9" t="s">
        <v>22</v>
      </c>
      <c r="F2296" s="10">
        <v>31</v>
      </c>
      <c r="G2296" s="11">
        <v>8026600802</v>
      </c>
      <c r="H2296" s="10" t="s">
        <v>5122</v>
      </c>
      <c r="I2296" s="10" t="s">
        <v>27</v>
      </c>
      <c r="J2296" s="10" t="s">
        <v>1559</v>
      </c>
      <c r="K2296" s="12">
        <v>46006</v>
      </c>
      <c r="L2296" s="28" t="s">
        <v>11</v>
      </c>
      <c r="M2296" s="14"/>
      <c r="N2296" s="10" t="s">
        <v>1028</v>
      </c>
    </row>
    <row r="2297" spans="1:14" ht="22.5" customHeight="1">
      <c r="A2297" s="8">
        <v>46006.452811620373</v>
      </c>
      <c r="B2297" s="9" t="s">
        <v>14</v>
      </c>
      <c r="C2297" s="9" t="s">
        <v>15</v>
      </c>
      <c r="D2297" s="10" t="s">
        <v>5123</v>
      </c>
      <c r="E2297" s="9" t="s">
        <v>22</v>
      </c>
      <c r="F2297" s="10">
        <v>32</v>
      </c>
      <c r="G2297" s="11">
        <v>8060906451</v>
      </c>
      <c r="H2297" s="10" t="s">
        <v>5124</v>
      </c>
      <c r="I2297" s="10" t="s">
        <v>27</v>
      </c>
      <c r="J2297" s="10" t="s">
        <v>2031</v>
      </c>
      <c r="K2297" s="12">
        <v>46006</v>
      </c>
      <c r="L2297" s="28" t="s">
        <v>11</v>
      </c>
      <c r="M2297" s="14"/>
      <c r="N2297" s="10" t="s">
        <v>1028</v>
      </c>
    </row>
    <row r="2298" spans="1:14" ht="22.5" customHeight="1">
      <c r="A2298" s="8">
        <v>46006.453539756942</v>
      </c>
      <c r="B2298" s="9" t="s">
        <v>14</v>
      </c>
      <c r="C2298" s="9" t="s">
        <v>15</v>
      </c>
      <c r="D2298" s="10" t="s">
        <v>5125</v>
      </c>
      <c r="E2298" s="9" t="s">
        <v>22</v>
      </c>
      <c r="F2298" s="10">
        <v>29</v>
      </c>
      <c r="G2298" s="11">
        <v>8064872480</v>
      </c>
      <c r="H2298" s="10" t="s">
        <v>5126</v>
      </c>
      <c r="I2298" s="10" t="s">
        <v>19</v>
      </c>
      <c r="J2298" s="10" t="s">
        <v>4139</v>
      </c>
      <c r="K2298" s="12">
        <v>46006</v>
      </c>
      <c r="L2298" s="28" t="s">
        <v>11</v>
      </c>
      <c r="M2298" s="14"/>
      <c r="N2298" s="10" t="s">
        <v>1028</v>
      </c>
    </row>
    <row r="2299" spans="1:14" ht="22.5" customHeight="1">
      <c r="A2299" s="8">
        <v>46006.464516643522</v>
      </c>
      <c r="B2299" s="9" t="s">
        <v>14</v>
      </c>
      <c r="C2299" s="9" t="s">
        <v>15</v>
      </c>
      <c r="D2299" s="10" t="s">
        <v>5127</v>
      </c>
      <c r="E2299" s="9" t="s">
        <v>17</v>
      </c>
      <c r="F2299" s="10">
        <v>31</v>
      </c>
      <c r="G2299" s="11">
        <v>8160829475</v>
      </c>
      <c r="H2299" s="10" t="s">
        <v>5128</v>
      </c>
      <c r="I2299" s="10" t="s">
        <v>27</v>
      </c>
      <c r="J2299" s="10" t="s">
        <v>172</v>
      </c>
      <c r="K2299" s="12">
        <v>46006</v>
      </c>
      <c r="L2299" s="28" t="s">
        <v>11</v>
      </c>
      <c r="M2299" s="14"/>
      <c r="N2299" s="10" t="s">
        <v>1028</v>
      </c>
    </row>
    <row r="2300" spans="1:14" ht="22.5" customHeight="1">
      <c r="A2300" s="8">
        <v>46006.467820057871</v>
      </c>
      <c r="B2300" s="9" t="s">
        <v>14</v>
      </c>
      <c r="C2300" s="9" t="s">
        <v>15</v>
      </c>
      <c r="D2300" s="10" t="s">
        <v>5129</v>
      </c>
      <c r="E2300" s="9" t="s">
        <v>22</v>
      </c>
      <c r="F2300" s="10">
        <v>28</v>
      </c>
      <c r="G2300" s="11">
        <v>8149755150</v>
      </c>
      <c r="H2300" s="10" t="s">
        <v>5130</v>
      </c>
      <c r="I2300" s="10" t="s">
        <v>27</v>
      </c>
      <c r="J2300" s="10" t="s">
        <v>703</v>
      </c>
      <c r="K2300" s="12">
        <v>46006</v>
      </c>
      <c r="L2300" s="28" t="s">
        <v>11</v>
      </c>
      <c r="M2300" s="14"/>
      <c r="N2300" s="10" t="s">
        <v>1028</v>
      </c>
    </row>
    <row r="2301" spans="1:14" ht="22.5" customHeight="1">
      <c r="A2301" s="8">
        <v>46006.47004482639</v>
      </c>
      <c r="B2301" s="9" t="s">
        <v>14</v>
      </c>
      <c r="C2301" s="9" t="s">
        <v>15</v>
      </c>
      <c r="D2301" s="10" t="s">
        <v>5131</v>
      </c>
      <c r="E2301" s="9" t="s">
        <v>17</v>
      </c>
      <c r="F2301" s="10">
        <v>26</v>
      </c>
      <c r="G2301" s="11">
        <v>8020508740</v>
      </c>
      <c r="H2301" s="10" t="s">
        <v>5132</v>
      </c>
      <c r="I2301" s="10" t="s">
        <v>202</v>
      </c>
      <c r="J2301" s="10" t="s">
        <v>4651</v>
      </c>
      <c r="K2301" s="12">
        <v>46006</v>
      </c>
      <c r="L2301" s="28" t="s">
        <v>11</v>
      </c>
      <c r="M2301" s="14"/>
      <c r="N2301" s="10" t="s">
        <v>1028</v>
      </c>
    </row>
    <row r="2302" spans="1:14" ht="22.5" customHeight="1">
      <c r="A2302" s="8">
        <v>46006.473637037037</v>
      </c>
      <c r="B2302" s="9" t="s">
        <v>14</v>
      </c>
      <c r="C2302" s="9" t="s">
        <v>15</v>
      </c>
      <c r="D2302" s="10" t="s">
        <v>5133</v>
      </c>
      <c r="E2302" s="9" t="s">
        <v>17</v>
      </c>
      <c r="F2302" s="10">
        <v>30</v>
      </c>
      <c r="G2302" s="11">
        <v>9126165506</v>
      </c>
      <c r="H2302" s="10" t="s">
        <v>5134</v>
      </c>
      <c r="I2302" s="10" t="s">
        <v>202</v>
      </c>
      <c r="J2302" s="10" t="s">
        <v>4651</v>
      </c>
      <c r="K2302" s="12">
        <v>34806</v>
      </c>
      <c r="L2302" s="28" t="s">
        <v>11</v>
      </c>
      <c r="M2302" s="10"/>
      <c r="N2302" s="10" t="s">
        <v>1028</v>
      </c>
    </row>
    <row r="2303" spans="1:14" ht="22.5" customHeight="1">
      <c r="A2303" s="8">
        <v>46006.475791331017</v>
      </c>
      <c r="B2303" s="9" t="s">
        <v>14</v>
      </c>
      <c r="C2303" s="9" t="s">
        <v>15</v>
      </c>
      <c r="D2303" s="10" t="s">
        <v>5135</v>
      </c>
      <c r="E2303" s="9" t="s">
        <v>17</v>
      </c>
      <c r="F2303" s="10">
        <v>32</v>
      </c>
      <c r="G2303" s="11">
        <v>8068236649</v>
      </c>
      <c r="H2303" s="10" t="s">
        <v>5136</v>
      </c>
      <c r="I2303" s="10" t="s">
        <v>27</v>
      </c>
      <c r="J2303" s="10" t="s">
        <v>5137</v>
      </c>
      <c r="K2303" s="12">
        <v>46006</v>
      </c>
      <c r="L2303" s="28" t="s">
        <v>11</v>
      </c>
      <c r="M2303" s="14"/>
      <c r="N2303" s="10" t="s">
        <v>1028</v>
      </c>
    </row>
    <row r="2304" spans="1:14" ht="22.5" customHeight="1">
      <c r="A2304" s="8">
        <v>46006.480519131946</v>
      </c>
      <c r="B2304" s="9" t="s">
        <v>14</v>
      </c>
      <c r="C2304" s="9" t="s">
        <v>15</v>
      </c>
      <c r="D2304" s="10" t="s">
        <v>5138</v>
      </c>
      <c r="E2304" s="9" t="s">
        <v>22</v>
      </c>
      <c r="F2304" s="10">
        <v>35</v>
      </c>
      <c r="G2304" s="11">
        <v>9066654776</v>
      </c>
      <c r="H2304" s="10" t="s">
        <v>5139</v>
      </c>
      <c r="I2304" s="10" t="s">
        <v>27</v>
      </c>
      <c r="J2304" s="10" t="s">
        <v>2734</v>
      </c>
      <c r="K2304" s="12">
        <v>46006</v>
      </c>
      <c r="L2304" s="28" t="s">
        <v>11</v>
      </c>
      <c r="M2304" s="14"/>
      <c r="N2304" s="10" t="s">
        <v>1096</v>
      </c>
    </row>
    <row r="2305" spans="1:14" ht="22.5" customHeight="1">
      <c r="A2305" s="8">
        <v>46006.489615798608</v>
      </c>
      <c r="B2305" s="9" t="s">
        <v>14</v>
      </c>
      <c r="C2305" s="9" t="s">
        <v>15</v>
      </c>
      <c r="D2305" s="10" t="s">
        <v>5140</v>
      </c>
      <c r="E2305" s="9" t="s">
        <v>17</v>
      </c>
      <c r="F2305" s="10">
        <v>30</v>
      </c>
      <c r="G2305" s="11">
        <v>8134076408</v>
      </c>
      <c r="H2305" s="10" t="s">
        <v>5141</v>
      </c>
      <c r="I2305" s="10" t="s">
        <v>45</v>
      </c>
      <c r="J2305" s="10" t="s">
        <v>5142</v>
      </c>
      <c r="K2305" s="12">
        <v>46006</v>
      </c>
      <c r="L2305" s="28" t="s">
        <v>11</v>
      </c>
      <c r="M2305" s="14"/>
      <c r="N2305" s="10" t="s">
        <v>1096</v>
      </c>
    </row>
    <row r="2306" spans="1:14" ht="22.5" customHeight="1">
      <c r="A2306" s="8">
        <v>46006.495722129628</v>
      </c>
      <c r="B2306" s="9" t="s">
        <v>14</v>
      </c>
      <c r="C2306" s="9" t="s">
        <v>15</v>
      </c>
      <c r="D2306" s="10" t="s">
        <v>5143</v>
      </c>
      <c r="E2306" s="9" t="s">
        <v>17</v>
      </c>
      <c r="F2306" s="10">
        <v>25</v>
      </c>
      <c r="G2306" s="11">
        <v>9030309830</v>
      </c>
      <c r="H2306" s="10" t="s">
        <v>5144</v>
      </c>
      <c r="I2306" s="10" t="s">
        <v>27</v>
      </c>
      <c r="J2306" s="10" t="s">
        <v>67</v>
      </c>
      <c r="K2306" s="12">
        <v>46006</v>
      </c>
      <c r="L2306" s="28" t="s">
        <v>11</v>
      </c>
      <c r="M2306" s="14"/>
      <c r="N2306" s="10" t="s">
        <v>1028</v>
      </c>
    </row>
    <row r="2307" spans="1:14" ht="22.5" customHeight="1">
      <c r="A2307" s="8">
        <v>46006.496501932867</v>
      </c>
      <c r="B2307" s="9" t="s">
        <v>14</v>
      </c>
      <c r="C2307" s="9" t="s">
        <v>15</v>
      </c>
      <c r="D2307" s="10" t="s">
        <v>5145</v>
      </c>
      <c r="E2307" s="9" t="s">
        <v>22</v>
      </c>
      <c r="F2307" s="19">
        <v>31</v>
      </c>
      <c r="G2307" s="11">
        <v>9036655357</v>
      </c>
      <c r="H2307" s="10" t="s">
        <v>5146</v>
      </c>
      <c r="I2307" s="10" t="s">
        <v>27</v>
      </c>
      <c r="J2307" s="10" t="s">
        <v>1514</v>
      </c>
      <c r="K2307" s="12">
        <v>46006</v>
      </c>
      <c r="L2307" s="28" t="s">
        <v>11</v>
      </c>
      <c r="M2307" s="14"/>
      <c r="N2307" s="10" t="s">
        <v>1028</v>
      </c>
    </row>
    <row r="2308" spans="1:14" ht="22.5" customHeight="1">
      <c r="A2308" s="8">
        <v>46006.498499768517</v>
      </c>
      <c r="B2308" s="9" t="s">
        <v>14</v>
      </c>
      <c r="C2308" s="9" t="s">
        <v>15</v>
      </c>
      <c r="D2308" s="10" t="s">
        <v>5147</v>
      </c>
      <c r="E2308" s="9" t="s">
        <v>17</v>
      </c>
      <c r="F2308" s="10">
        <v>30</v>
      </c>
      <c r="G2308" s="11">
        <v>8030802890</v>
      </c>
      <c r="H2308" s="10" t="s">
        <v>5148</v>
      </c>
      <c r="I2308" s="10" t="s">
        <v>49</v>
      </c>
      <c r="J2308" s="10" t="s">
        <v>2179</v>
      </c>
      <c r="K2308" s="12">
        <v>46006</v>
      </c>
      <c r="L2308" s="28" t="s">
        <v>11</v>
      </c>
      <c r="M2308" s="14"/>
      <c r="N2308" s="10" t="s">
        <v>1028</v>
      </c>
    </row>
    <row r="2309" spans="1:14" ht="22.5" customHeight="1">
      <c r="A2309" s="8">
        <v>46006.498728506944</v>
      </c>
      <c r="B2309" s="9" t="s">
        <v>14</v>
      </c>
      <c r="C2309" s="9" t="s">
        <v>15</v>
      </c>
      <c r="D2309" s="10" t="s">
        <v>5149</v>
      </c>
      <c r="E2309" s="9" t="s">
        <v>17</v>
      </c>
      <c r="F2309" s="10">
        <v>26</v>
      </c>
      <c r="G2309" s="11">
        <v>8068487951</v>
      </c>
      <c r="H2309" s="10" t="s">
        <v>5150</v>
      </c>
      <c r="I2309" s="10" t="s">
        <v>27</v>
      </c>
      <c r="J2309" s="10" t="s">
        <v>3626</v>
      </c>
      <c r="K2309" s="12">
        <v>46006</v>
      </c>
      <c r="L2309" s="28" t="s">
        <v>11</v>
      </c>
      <c r="M2309" s="14"/>
      <c r="N2309" s="10" t="s">
        <v>1028</v>
      </c>
    </row>
    <row r="2310" spans="1:14" ht="22.5" customHeight="1">
      <c r="A2310" s="8">
        <v>46006.499999699074</v>
      </c>
      <c r="B2310" s="9" t="s">
        <v>14</v>
      </c>
      <c r="C2310" s="9" t="s">
        <v>15</v>
      </c>
      <c r="D2310" s="10" t="s">
        <v>5151</v>
      </c>
      <c r="E2310" s="9" t="s">
        <v>22</v>
      </c>
      <c r="F2310" s="10">
        <v>31</v>
      </c>
      <c r="G2310" s="11">
        <v>7046216399</v>
      </c>
      <c r="H2310" s="10" t="s">
        <v>5152</v>
      </c>
      <c r="I2310" s="10" t="s">
        <v>27</v>
      </c>
      <c r="J2310" s="10" t="s">
        <v>70</v>
      </c>
      <c r="K2310" s="12">
        <v>34367</v>
      </c>
      <c r="L2310" s="28" t="s">
        <v>11</v>
      </c>
      <c r="M2310" s="14"/>
      <c r="N2310" s="10" t="s">
        <v>1028</v>
      </c>
    </row>
    <row r="2311" spans="1:14" ht="22.5" customHeight="1">
      <c r="A2311" s="8">
        <v>46006.500864351852</v>
      </c>
      <c r="B2311" s="9" t="s">
        <v>14</v>
      </c>
      <c r="C2311" s="9" t="s">
        <v>15</v>
      </c>
      <c r="D2311" s="10" t="s">
        <v>5153</v>
      </c>
      <c r="E2311" s="9" t="s">
        <v>17</v>
      </c>
      <c r="F2311" s="10">
        <v>27</v>
      </c>
      <c r="G2311" s="11">
        <v>9078069831</v>
      </c>
      <c r="H2311" s="10" t="s">
        <v>5154</v>
      </c>
      <c r="I2311" s="10" t="s">
        <v>27</v>
      </c>
      <c r="J2311" s="10" t="s">
        <v>1456</v>
      </c>
      <c r="K2311" s="12">
        <v>46006</v>
      </c>
      <c r="L2311" s="28" t="s">
        <v>11</v>
      </c>
      <c r="M2311" s="14"/>
      <c r="N2311" s="10" t="s">
        <v>1028</v>
      </c>
    </row>
    <row r="2312" spans="1:14" ht="22.5" hidden="1" customHeight="1">
      <c r="A2312" s="8">
        <v>46006.504909479168</v>
      </c>
      <c r="B2312" s="9" t="s">
        <v>14</v>
      </c>
      <c r="C2312" s="9" t="s">
        <v>15</v>
      </c>
      <c r="D2312" s="10" t="s">
        <v>5155</v>
      </c>
      <c r="E2312" s="9" t="s">
        <v>17</v>
      </c>
      <c r="F2312" s="10">
        <v>35</v>
      </c>
      <c r="G2312" s="11">
        <v>7039029366</v>
      </c>
      <c r="H2312" s="10" t="s">
        <v>5156</v>
      </c>
      <c r="I2312" s="10" t="s">
        <v>27</v>
      </c>
      <c r="J2312" s="10" t="s">
        <v>172</v>
      </c>
      <c r="K2312" s="12">
        <v>46006</v>
      </c>
      <c r="L2312" s="10" t="s">
        <v>441</v>
      </c>
      <c r="M2312" s="10" t="s">
        <v>1356</v>
      </c>
      <c r="N2312" s="10" t="s">
        <v>1028</v>
      </c>
    </row>
    <row r="2313" spans="1:14" ht="22.5" customHeight="1">
      <c r="A2313" s="8">
        <v>46006.510531724532</v>
      </c>
      <c r="B2313" s="9" t="s">
        <v>14</v>
      </c>
      <c r="C2313" s="9" t="s">
        <v>15</v>
      </c>
      <c r="D2313" s="10" t="s">
        <v>1995</v>
      </c>
      <c r="E2313" s="9" t="s">
        <v>22</v>
      </c>
      <c r="F2313" s="10">
        <v>33</v>
      </c>
      <c r="G2313" s="11">
        <v>8130056900</v>
      </c>
      <c r="H2313" s="10" t="s">
        <v>1996</v>
      </c>
      <c r="I2313" s="10" t="s">
        <v>27</v>
      </c>
      <c r="J2313" s="10" t="s">
        <v>1514</v>
      </c>
      <c r="K2313" s="12">
        <v>46006</v>
      </c>
      <c r="L2313" s="28" t="s">
        <v>11</v>
      </c>
      <c r="M2313" s="14"/>
      <c r="N2313" s="10" t="s">
        <v>1028</v>
      </c>
    </row>
    <row r="2314" spans="1:14" ht="22.5" customHeight="1">
      <c r="A2314" s="8">
        <v>46006.512081412038</v>
      </c>
      <c r="B2314" s="9" t="s">
        <v>14</v>
      </c>
      <c r="C2314" s="9" t="s">
        <v>15</v>
      </c>
      <c r="D2314" s="10" t="s">
        <v>5157</v>
      </c>
      <c r="E2314" s="9" t="s">
        <v>17</v>
      </c>
      <c r="F2314" s="10">
        <v>25</v>
      </c>
      <c r="G2314" s="11">
        <v>9042421943</v>
      </c>
      <c r="H2314" s="10" t="s">
        <v>5158</v>
      </c>
      <c r="I2314" s="10" t="s">
        <v>202</v>
      </c>
      <c r="J2314" s="10" t="s">
        <v>4651</v>
      </c>
      <c r="K2314" s="12">
        <v>36875</v>
      </c>
      <c r="L2314" s="28" t="s">
        <v>11</v>
      </c>
      <c r="M2314" s="14"/>
      <c r="N2314" s="10" t="s">
        <v>1028</v>
      </c>
    </row>
    <row r="2315" spans="1:14" ht="22.5" customHeight="1">
      <c r="A2315" s="8">
        <v>46006.514980011576</v>
      </c>
      <c r="B2315" s="9" t="s">
        <v>14</v>
      </c>
      <c r="C2315" s="9" t="s">
        <v>15</v>
      </c>
      <c r="D2315" s="10" t="s">
        <v>5159</v>
      </c>
      <c r="E2315" s="9" t="s">
        <v>17</v>
      </c>
      <c r="F2315" s="10">
        <v>29</v>
      </c>
      <c r="G2315" s="11">
        <v>7031957426</v>
      </c>
      <c r="H2315" s="10" t="s">
        <v>5160</v>
      </c>
      <c r="I2315" s="10" t="s">
        <v>27</v>
      </c>
      <c r="J2315" s="10" t="s">
        <v>5161</v>
      </c>
      <c r="K2315" s="12">
        <v>46006</v>
      </c>
      <c r="L2315" s="28" t="s">
        <v>11</v>
      </c>
      <c r="M2315" s="14"/>
      <c r="N2315" s="10" t="s">
        <v>1028</v>
      </c>
    </row>
    <row r="2316" spans="1:14" ht="22.5" customHeight="1">
      <c r="A2316" s="8">
        <v>46006.516745972222</v>
      </c>
      <c r="B2316" s="9" t="s">
        <v>14</v>
      </c>
      <c r="C2316" s="9" t="s">
        <v>15</v>
      </c>
      <c r="D2316" s="10" t="s">
        <v>5162</v>
      </c>
      <c r="E2316" s="9" t="s">
        <v>22</v>
      </c>
      <c r="F2316" s="10">
        <v>23</v>
      </c>
      <c r="G2316" s="11">
        <v>9128771249</v>
      </c>
      <c r="H2316" s="10" t="s">
        <v>5163</v>
      </c>
      <c r="I2316" s="10" t="s">
        <v>202</v>
      </c>
      <c r="J2316" s="10" t="s">
        <v>5164</v>
      </c>
      <c r="K2316" s="12">
        <v>46006</v>
      </c>
      <c r="L2316" s="28" t="s">
        <v>11</v>
      </c>
      <c r="M2316" s="14"/>
      <c r="N2316" s="10" t="s">
        <v>1028</v>
      </c>
    </row>
    <row r="2317" spans="1:14" ht="22.5" customHeight="1">
      <c r="A2317" s="8">
        <v>46006.517529745368</v>
      </c>
      <c r="B2317" s="9" t="s">
        <v>14</v>
      </c>
      <c r="C2317" s="9" t="s">
        <v>15</v>
      </c>
      <c r="D2317" s="10" t="s">
        <v>5165</v>
      </c>
      <c r="E2317" s="9" t="s">
        <v>22</v>
      </c>
      <c r="F2317" s="18">
        <v>27</v>
      </c>
      <c r="G2317" s="11">
        <v>7036169328</v>
      </c>
      <c r="H2317" s="10" t="s">
        <v>5166</v>
      </c>
      <c r="I2317" s="10" t="s">
        <v>31</v>
      </c>
      <c r="J2317" s="10" t="s">
        <v>32</v>
      </c>
      <c r="K2317" s="12">
        <v>45973</v>
      </c>
      <c r="L2317" s="28" t="s">
        <v>11</v>
      </c>
      <c r="M2317" s="14"/>
      <c r="N2317" s="10" t="s">
        <v>1028</v>
      </c>
    </row>
    <row r="2318" spans="1:14" ht="22.5" customHeight="1">
      <c r="A2318" s="8">
        <v>46006.519667939814</v>
      </c>
      <c r="B2318" s="9" t="s">
        <v>14</v>
      </c>
      <c r="C2318" s="9" t="s">
        <v>15</v>
      </c>
      <c r="D2318" s="10" t="s">
        <v>5167</v>
      </c>
      <c r="E2318" s="9" t="s">
        <v>22</v>
      </c>
      <c r="F2318" s="10">
        <v>24</v>
      </c>
      <c r="G2318" s="11">
        <v>8104491559</v>
      </c>
      <c r="H2318" s="10" t="s">
        <v>5168</v>
      </c>
      <c r="I2318" s="10" t="s">
        <v>27</v>
      </c>
      <c r="J2318" s="10" t="s">
        <v>94</v>
      </c>
      <c r="K2318" s="12">
        <v>46006</v>
      </c>
      <c r="L2318" s="28" t="s">
        <v>11</v>
      </c>
      <c r="M2318" s="14"/>
      <c r="N2318" s="10" t="s">
        <v>1028</v>
      </c>
    </row>
    <row r="2319" spans="1:14" ht="22.5" customHeight="1">
      <c r="A2319" s="8">
        <v>46006.522769270829</v>
      </c>
      <c r="B2319" s="9" t="s">
        <v>14</v>
      </c>
      <c r="C2319" s="9" t="s">
        <v>15</v>
      </c>
      <c r="D2319" s="10" t="s">
        <v>5169</v>
      </c>
      <c r="E2319" s="9" t="s">
        <v>22</v>
      </c>
      <c r="F2319" s="10">
        <v>31</v>
      </c>
      <c r="G2319" s="11">
        <v>8060103427</v>
      </c>
      <c r="H2319" s="10" t="s">
        <v>5170</v>
      </c>
      <c r="I2319" s="10" t="s">
        <v>27</v>
      </c>
      <c r="J2319" s="10" t="s">
        <v>372</v>
      </c>
      <c r="K2319" s="12">
        <v>46006</v>
      </c>
      <c r="L2319" s="28" t="s">
        <v>11</v>
      </c>
      <c r="M2319" s="14"/>
      <c r="N2319" s="10" t="s">
        <v>1028</v>
      </c>
    </row>
    <row r="2320" spans="1:14" ht="22.5" customHeight="1">
      <c r="A2320" s="8">
        <v>46006.527244953701</v>
      </c>
      <c r="B2320" s="9" t="s">
        <v>14</v>
      </c>
      <c r="C2320" s="9" t="s">
        <v>15</v>
      </c>
      <c r="D2320" s="10" t="s">
        <v>5171</v>
      </c>
      <c r="E2320" s="9" t="s">
        <v>22</v>
      </c>
      <c r="F2320" s="10">
        <v>21</v>
      </c>
      <c r="G2320" s="11">
        <v>9125236871</v>
      </c>
      <c r="H2320" s="10" t="s">
        <v>5172</v>
      </c>
      <c r="I2320" s="10" t="s">
        <v>202</v>
      </c>
      <c r="J2320" s="10" t="s">
        <v>4632</v>
      </c>
      <c r="K2320" s="12">
        <v>46006</v>
      </c>
      <c r="L2320" s="28" t="s">
        <v>11</v>
      </c>
      <c r="M2320" s="14"/>
      <c r="N2320" s="10" t="s">
        <v>1140</v>
      </c>
    </row>
    <row r="2321" spans="1:20" ht="22.5" customHeight="1">
      <c r="A2321" s="8">
        <v>46006.528339351848</v>
      </c>
      <c r="B2321" s="9" t="s">
        <v>14</v>
      </c>
      <c r="C2321" s="9" t="s">
        <v>15</v>
      </c>
      <c r="D2321" s="10" t="s">
        <v>5173</v>
      </c>
      <c r="E2321" s="9" t="s">
        <v>22</v>
      </c>
      <c r="F2321" s="10">
        <v>26</v>
      </c>
      <c r="G2321" s="11">
        <v>8135533825</v>
      </c>
      <c r="H2321" s="10" t="s">
        <v>5174</v>
      </c>
      <c r="I2321" s="10" t="s">
        <v>27</v>
      </c>
      <c r="J2321" s="10" t="s">
        <v>94</v>
      </c>
      <c r="K2321" s="12">
        <v>46006</v>
      </c>
      <c r="L2321" s="28" t="s">
        <v>11</v>
      </c>
      <c r="M2321" s="14"/>
      <c r="N2321" s="10" t="s">
        <v>1028</v>
      </c>
    </row>
    <row r="2322" spans="1:20" ht="22.5" customHeight="1">
      <c r="A2322" s="8">
        <v>46006.530429444443</v>
      </c>
      <c r="B2322" s="9" t="s">
        <v>14</v>
      </c>
      <c r="C2322" s="9" t="s">
        <v>15</v>
      </c>
      <c r="D2322" s="10" t="s">
        <v>5175</v>
      </c>
      <c r="E2322" s="9" t="s">
        <v>22</v>
      </c>
      <c r="F2322" s="10">
        <v>20</v>
      </c>
      <c r="G2322" s="11">
        <v>9121433545</v>
      </c>
      <c r="H2322" s="10" t="s">
        <v>5176</v>
      </c>
      <c r="I2322" s="10" t="s">
        <v>27</v>
      </c>
      <c r="J2322" s="10" t="s">
        <v>1585</v>
      </c>
      <c r="K2322" s="12">
        <v>46006</v>
      </c>
      <c r="L2322" s="28" t="s">
        <v>11</v>
      </c>
      <c r="M2322" s="14"/>
      <c r="N2322" s="10" t="s">
        <v>1028</v>
      </c>
    </row>
    <row r="2323" spans="1:20" ht="22.5" customHeight="1">
      <c r="A2323" s="8">
        <v>46006.534592083335</v>
      </c>
      <c r="B2323" s="9" t="s">
        <v>14</v>
      </c>
      <c r="C2323" s="9" t="s">
        <v>15</v>
      </c>
      <c r="D2323" s="10" t="s">
        <v>5177</v>
      </c>
      <c r="E2323" s="9" t="s">
        <v>17</v>
      </c>
      <c r="F2323" s="10">
        <v>25</v>
      </c>
      <c r="G2323" s="11">
        <v>7026681264</v>
      </c>
      <c r="H2323" s="10" t="s">
        <v>5178</v>
      </c>
      <c r="I2323" s="10" t="s">
        <v>27</v>
      </c>
      <c r="J2323" s="10" t="s">
        <v>1288</v>
      </c>
      <c r="K2323" s="12">
        <v>46006</v>
      </c>
      <c r="L2323" s="28" t="s">
        <v>11</v>
      </c>
      <c r="M2323" s="14"/>
      <c r="N2323" s="10" t="s">
        <v>1028</v>
      </c>
    </row>
    <row r="2324" spans="1:20" ht="22.5" hidden="1" customHeight="1">
      <c r="A2324" s="8">
        <v>46006.535245706022</v>
      </c>
      <c r="B2324" s="9" t="s">
        <v>14</v>
      </c>
      <c r="C2324" s="9" t="s">
        <v>15</v>
      </c>
      <c r="D2324" s="10" t="s">
        <v>5179</v>
      </c>
      <c r="E2324" s="9" t="s">
        <v>17</v>
      </c>
      <c r="F2324" s="10">
        <v>41</v>
      </c>
      <c r="G2324" s="11">
        <v>9036244774</v>
      </c>
      <c r="H2324" s="10" t="s">
        <v>5180</v>
      </c>
      <c r="I2324" s="10" t="s">
        <v>27</v>
      </c>
      <c r="J2324" s="10" t="s">
        <v>172</v>
      </c>
      <c r="K2324" s="12">
        <v>46006</v>
      </c>
      <c r="L2324" s="10" t="s">
        <v>441</v>
      </c>
      <c r="M2324" s="14"/>
      <c r="N2324" s="10" t="s">
        <v>1563</v>
      </c>
    </row>
    <row r="2325" spans="1:20" ht="22.5" customHeight="1">
      <c r="A2325" s="8">
        <v>46006.538003032409</v>
      </c>
      <c r="B2325" s="9" t="s">
        <v>14</v>
      </c>
      <c r="C2325" s="9" t="s">
        <v>15</v>
      </c>
      <c r="D2325" s="10" t="s">
        <v>5181</v>
      </c>
      <c r="E2325" s="9" t="s">
        <v>17</v>
      </c>
      <c r="F2325" s="10">
        <v>23</v>
      </c>
      <c r="G2325" s="11">
        <v>9060704156</v>
      </c>
      <c r="H2325" s="10" t="s">
        <v>5182</v>
      </c>
      <c r="I2325" s="10" t="s">
        <v>27</v>
      </c>
      <c r="J2325" s="10" t="s">
        <v>1456</v>
      </c>
      <c r="K2325" s="12">
        <v>46006</v>
      </c>
      <c r="L2325" s="28" t="s">
        <v>11</v>
      </c>
      <c r="M2325" s="14"/>
      <c r="N2325" s="10" t="s">
        <v>1028</v>
      </c>
    </row>
    <row r="2326" spans="1:20" ht="22.5" customHeight="1">
      <c r="A2326" s="8">
        <v>46006.545337488424</v>
      </c>
      <c r="B2326" s="9" t="s">
        <v>14</v>
      </c>
      <c r="C2326" s="9" t="s">
        <v>15</v>
      </c>
      <c r="D2326" s="10" t="s">
        <v>5183</v>
      </c>
      <c r="E2326" s="9" t="s">
        <v>22</v>
      </c>
      <c r="F2326" s="10">
        <v>22</v>
      </c>
      <c r="G2326" s="11">
        <v>8102593196</v>
      </c>
      <c r="H2326" s="10" t="s">
        <v>5184</v>
      </c>
      <c r="I2326" s="10" t="s">
        <v>45</v>
      </c>
      <c r="J2326" s="10" t="s">
        <v>1919</v>
      </c>
      <c r="K2326" s="12">
        <v>46006</v>
      </c>
      <c r="L2326" s="28" t="s">
        <v>11</v>
      </c>
      <c r="M2326" s="14"/>
      <c r="N2326" s="10" t="s">
        <v>1028</v>
      </c>
    </row>
    <row r="2327" spans="1:20" ht="22.5" customHeight="1">
      <c r="A2327" s="8">
        <v>46006.552196446763</v>
      </c>
      <c r="B2327" s="9" t="s">
        <v>14</v>
      </c>
      <c r="C2327" s="9" t="s">
        <v>15</v>
      </c>
      <c r="D2327" s="10" t="s">
        <v>5185</v>
      </c>
      <c r="E2327" s="9" t="s">
        <v>17</v>
      </c>
      <c r="F2327" s="10">
        <v>34</v>
      </c>
      <c r="G2327" s="11">
        <v>7060712541</v>
      </c>
      <c r="H2327" s="10" t="s">
        <v>5186</v>
      </c>
      <c r="I2327" s="10" t="s">
        <v>202</v>
      </c>
      <c r="J2327" s="10" t="s">
        <v>3482</v>
      </c>
      <c r="K2327" s="12">
        <v>46006</v>
      </c>
      <c r="L2327" s="28" t="s">
        <v>11</v>
      </c>
      <c r="M2327" s="14"/>
      <c r="N2327" s="10" t="s">
        <v>1028</v>
      </c>
    </row>
    <row r="2328" spans="1:20" ht="22.5" customHeight="1">
      <c r="A2328" s="8">
        <v>46006.553875694444</v>
      </c>
      <c r="B2328" s="9" t="s">
        <v>14</v>
      </c>
      <c r="C2328" s="9" t="s">
        <v>15</v>
      </c>
      <c r="D2328" s="10" t="s">
        <v>5187</v>
      </c>
      <c r="E2328" s="9" t="s">
        <v>22</v>
      </c>
      <c r="F2328" s="10">
        <v>23</v>
      </c>
      <c r="G2328" s="11">
        <v>7062737123</v>
      </c>
      <c r="H2328" s="10" t="s">
        <v>5188</v>
      </c>
      <c r="I2328" s="10" t="s">
        <v>27</v>
      </c>
      <c r="J2328" s="10" t="s">
        <v>5189</v>
      </c>
      <c r="K2328" s="12">
        <v>46006</v>
      </c>
      <c r="L2328" s="28" t="s">
        <v>11</v>
      </c>
      <c r="M2328" s="14"/>
      <c r="N2328" s="10" t="s">
        <v>1028</v>
      </c>
    </row>
    <row r="2329" spans="1:20" ht="22.5" customHeight="1">
      <c r="A2329" s="8">
        <v>46006.555464328703</v>
      </c>
      <c r="B2329" s="9" t="s">
        <v>14</v>
      </c>
      <c r="C2329" s="9" t="s">
        <v>15</v>
      </c>
      <c r="D2329" s="10" t="s">
        <v>5190</v>
      </c>
      <c r="E2329" s="9" t="s">
        <v>22</v>
      </c>
      <c r="F2329" s="10">
        <v>32</v>
      </c>
      <c r="G2329" s="11">
        <v>7036269809</v>
      </c>
      <c r="H2329" s="10" t="s">
        <v>5191</v>
      </c>
      <c r="I2329" s="10" t="s">
        <v>27</v>
      </c>
      <c r="J2329" s="10" t="s">
        <v>70</v>
      </c>
      <c r="K2329" s="12">
        <v>46006</v>
      </c>
      <c r="L2329" s="28" t="s">
        <v>11</v>
      </c>
      <c r="M2329" s="14"/>
      <c r="N2329" s="10" t="s">
        <v>1028</v>
      </c>
    </row>
    <row r="2330" spans="1:20" ht="22.5" hidden="1" customHeight="1">
      <c r="A2330" s="8">
        <v>46006.555810972219</v>
      </c>
      <c r="B2330" s="9" t="s">
        <v>14</v>
      </c>
      <c r="C2330" s="9" t="s">
        <v>15</v>
      </c>
      <c r="D2330" s="10" t="s">
        <v>5192</v>
      </c>
      <c r="E2330" s="9" t="s">
        <v>22</v>
      </c>
      <c r="F2330" s="10">
        <v>28</v>
      </c>
      <c r="G2330" s="11">
        <v>7046968257</v>
      </c>
      <c r="H2330" s="10" t="s">
        <v>5193</v>
      </c>
      <c r="I2330" s="10" t="s">
        <v>27</v>
      </c>
      <c r="J2330" s="10" t="s">
        <v>1194</v>
      </c>
      <c r="K2330" s="12">
        <v>46006</v>
      </c>
      <c r="L2330" s="10" t="s">
        <v>441</v>
      </c>
      <c r="M2330" s="10" t="s">
        <v>1356</v>
      </c>
      <c r="N2330" s="10" t="s">
        <v>1028</v>
      </c>
    </row>
    <row r="2331" spans="1:20" ht="22.5" customHeight="1">
      <c r="A2331" s="8">
        <v>46006.556566678242</v>
      </c>
      <c r="B2331" s="9" t="s">
        <v>14</v>
      </c>
      <c r="C2331" s="9" t="s">
        <v>15</v>
      </c>
      <c r="D2331" s="10" t="s">
        <v>5194</v>
      </c>
      <c r="E2331" s="9" t="s">
        <v>22</v>
      </c>
      <c r="F2331" s="10">
        <v>21</v>
      </c>
      <c r="G2331" s="11">
        <v>7026221915</v>
      </c>
      <c r="H2331" s="10" t="s">
        <v>5195</v>
      </c>
      <c r="I2331" s="10" t="s">
        <v>202</v>
      </c>
      <c r="J2331" s="10" t="s">
        <v>1619</v>
      </c>
      <c r="K2331" s="12">
        <v>46006</v>
      </c>
      <c r="L2331" s="28" t="s">
        <v>11</v>
      </c>
      <c r="M2331" s="14"/>
      <c r="N2331" s="10" t="s">
        <v>1028</v>
      </c>
    </row>
    <row r="2332" spans="1:20" ht="22.5" customHeight="1">
      <c r="A2332" s="8">
        <v>46006.557406782405</v>
      </c>
      <c r="B2332" s="9" t="s">
        <v>14</v>
      </c>
      <c r="C2332" s="9" t="s">
        <v>15</v>
      </c>
      <c r="D2332" s="10" t="s">
        <v>5196</v>
      </c>
      <c r="E2332" s="9" t="s">
        <v>22</v>
      </c>
      <c r="F2332" s="10">
        <v>44</v>
      </c>
      <c r="G2332" s="11">
        <v>8052038404</v>
      </c>
      <c r="H2332" s="10" t="s">
        <v>5197</v>
      </c>
      <c r="I2332" s="10" t="s">
        <v>202</v>
      </c>
      <c r="J2332" s="10" t="s">
        <v>4651</v>
      </c>
      <c r="K2332" s="12">
        <v>46006</v>
      </c>
      <c r="L2332" s="28" t="s">
        <v>11</v>
      </c>
      <c r="M2332" s="14"/>
      <c r="N2332" s="10" t="s">
        <v>1028</v>
      </c>
    </row>
    <row r="2333" spans="1:20" ht="22.5" customHeight="1">
      <c r="A2333" s="8">
        <v>46006.567031655097</v>
      </c>
      <c r="B2333" s="9" t="s">
        <v>14</v>
      </c>
      <c r="C2333" s="9" t="s">
        <v>15</v>
      </c>
      <c r="D2333" s="10" t="s">
        <v>5198</v>
      </c>
      <c r="E2333" s="9" t="s">
        <v>17</v>
      </c>
      <c r="F2333" s="19">
        <v>30</v>
      </c>
      <c r="G2333" s="11">
        <v>8143567365</v>
      </c>
      <c r="H2333" s="10" t="s">
        <v>5199</v>
      </c>
      <c r="I2333" s="10" t="s">
        <v>31</v>
      </c>
      <c r="J2333" s="10" t="s">
        <v>2410</v>
      </c>
      <c r="K2333" s="12">
        <v>46006</v>
      </c>
      <c r="L2333" s="28" t="s">
        <v>11</v>
      </c>
      <c r="M2333" s="14"/>
      <c r="N2333" s="10" t="s">
        <v>1028</v>
      </c>
    </row>
    <row r="2334" spans="1:20" ht="22.5" customHeight="1">
      <c r="A2334" s="8">
        <v>46006.571346747689</v>
      </c>
      <c r="B2334" s="9" t="s">
        <v>14</v>
      </c>
      <c r="C2334" s="9" t="s">
        <v>15</v>
      </c>
      <c r="D2334" s="10" t="s">
        <v>5200</v>
      </c>
      <c r="E2334" s="9" t="s">
        <v>17</v>
      </c>
      <c r="F2334" s="10">
        <v>30</v>
      </c>
      <c r="G2334" s="11">
        <v>7031647337</v>
      </c>
      <c r="H2334" s="10" t="s">
        <v>5201</v>
      </c>
      <c r="I2334" s="10" t="s">
        <v>49</v>
      </c>
      <c r="J2334" s="10" t="s">
        <v>106</v>
      </c>
      <c r="K2334" s="12">
        <v>46006</v>
      </c>
      <c r="L2334" s="28" t="s">
        <v>11</v>
      </c>
      <c r="M2334" s="14"/>
      <c r="N2334" s="10" t="s">
        <v>1028</v>
      </c>
      <c r="O2334" s="16"/>
      <c r="P2334" s="17"/>
      <c r="Q2334" s="17"/>
      <c r="R2334" s="17"/>
      <c r="S2334" s="17"/>
      <c r="T2334" s="17"/>
    </row>
    <row r="2335" spans="1:20" ht="22.5" customHeight="1">
      <c r="A2335" s="8">
        <v>46006.573914780092</v>
      </c>
      <c r="B2335" s="9" t="s">
        <v>14</v>
      </c>
      <c r="C2335" s="9" t="s">
        <v>15</v>
      </c>
      <c r="D2335" s="10" t="s">
        <v>5202</v>
      </c>
      <c r="E2335" s="9" t="s">
        <v>22</v>
      </c>
      <c r="F2335" s="10">
        <v>28</v>
      </c>
      <c r="G2335" s="11">
        <v>9134371021</v>
      </c>
      <c r="H2335" s="10" t="s">
        <v>5203</v>
      </c>
      <c r="I2335" s="10" t="s">
        <v>27</v>
      </c>
      <c r="J2335" s="10" t="s">
        <v>372</v>
      </c>
      <c r="K2335" s="12">
        <v>46006</v>
      </c>
      <c r="L2335" s="28" t="s">
        <v>11</v>
      </c>
      <c r="M2335" s="10"/>
      <c r="N2335" s="10" t="s">
        <v>1028</v>
      </c>
    </row>
    <row r="2336" spans="1:20" ht="22.5" customHeight="1">
      <c r="A2336" s="8">
        <v>46006.57510332176</v>
      </c>
      <c r="B2336" s="9" t="s">
        <v>14</v>
      </c>
      <c r="C2336" s="9" t="s">
        <v>15</v>
      </c>
      <c r="D2336" s="10" t="s">
        <v>5204</v>
      </c>
      <c r="E2336" s="9" t="s">
        <v>17</v>
      </c>
      <c r="F2336" s="10">
        <v>28</v>
      </c>
      <c r="G2336" s="11">
        <v>8137693848</v>
      </c>
      <c r="H2336" s="10" t="s">
        <v>5205</v>
      </c>
      <c r="I2336" s="10" t="s">
        <v>49</v>
      </c>
      <c r="J2336" s="10" t="s">
        <v>73</v>
      </c>
      <c r="K2336" s="12">
        <v>46006</v>
      </c>
      <c r="L2336" s="28" t="s">
        <v>11</v>
      </c>
      <c r="M2336" s="14"/>
      <c r="N2336" s="10" t="s">
        <v>1028</v>
      </c>
    </row>
    <row r="2337" spans="1:14" ht="22.5" customHeight="1">
      <c r="A2337" s="8">
        <v>46006.576078981481</v>
      </c>
      <c r="B2337" s="9" t="s">
        <v>14</v>
      </c>
      <c r="C2337" s="9" t="s">
        <v>15</v>
      </c>
      <c r="D2337" s="10" t="s">
        <v>5206</v>
      </c>
      <c r="E2337" s="9" t="s">
        <v>22</v>
      </c>
      <c r="F2337" s="10">
        <v>31</v>
      </c>
      <c r="G2337" s="11">
        <v>8038756399</v>
      </c>
      <c r="H2337" s="10" t="s">
        <v>5207</v>
      </c>
      <c r="I2337" s="10" t="s">
        <v>27</v>
      </c>
      <c r="J2337" s="10" t="s">
        <v>1890</v>
      </c>
      <c r="K2337" s="12">
        <v>46006</v>
      </c>
      <c r="L2337" s="28" t="s">
        <v>11</v>
      </c>
      <c r="M2337" s="14"/>
      <c r="N2337" s="10" t="s">
        <v>1028</v>
      </c>
    </row>
    <row r="2338" spans="1:14" ht="22.5" customHeight="1">
      <c r="A2338" s="8">
        <v>46006.578268645833</v>
      </c>
      <c r="B2338" s="9" t="s">
        <v>14</v>
      </c>
      <c r="C2338" s="9" t="s">
        <v>15</v>
      </c>
      <c r="D2338" s="10" t="s">
        <v>5208</v>
      </c>
      <c r="E2338" s="9" t="s">
        <v>17</v>
      </c>
      <c r="F2338" s="10">
        <v>30</v>
      </c>
      <c r="G2338" s="11">
        <v>9031214878</v>
      </c>
      <c r="H2338" s="10" t="s">
        <v>5209</v>
      </c>
      <c r="I2338" s="10" t="s">
        <v>49</v>
      </c>
      <c r="J2338" s="10" t="s">
        <v>503</v>
      </c>
      <c r="K2338" s="12">
        <v>46006</v>
      </c>
      <c r="L2338" s="28" t="s">
        <v>11</v>
      </c>
      <c r="M2338" s="14"/>
      <c r="N2338" s="10" t="s">
        <v>1028</v>
      </c>
    </row>
    <row r="2339" spans="1:14" ht="22.5" customHeight="1">
      <c r="A2339" s="8">
        <v>46006.578339502317</v>
      </c>
      <c r="B2339" s="9" t="s">
        <v>14</v>
      </c>
      <c r="C2339" s="9" t="s">
        <v>15</v>
      </c>
      <c r="D2339" s="10" t="s">
        <v>5210</v>
      </c>
      <c r="E2339" s="9" t="s">
        <v>17</v>
      </c>
      <c r="F2339" s="10">
        <v>26</v>
      </c>
      <c r="G2339" s="11">
        <v>8105292127</v>
      </c>
      <c r="H2339" s="10" t="s">
        <v>5211</v>
      </c>
      <c r="I2339" s="10" t="s">
        <v>49</v>
      </c>
      <c r="J2339" s="10" t="s">
        <v>109</v>
      </c>
      <c r="K2339" s="12">
        <v>46006</v>
      </c>
      <c r="L2339" s="28" t="s">
        <v>11</v>
      </c>
      <c r="M2339" s="14"/>
      <c r="N2339" s="10" t="s">
        <v>1028</v>
      </c>
    </row>
    <row r="2340" spans="1:14" ht="22.5" customHeight="1">
      <c r="A2340" s="8">
        <v>46006.578466481486</v>
      </c>
      <c r="B2340" s="9" t="s">
        <v>14</v>
      </c>
      <c r="C2340" s="9" t="s">
        <v>15</v>
      </c>
      <c r="D2340" s="10" t="s">
        <v>5212</v>
      </c>
      <c r="E2340" s="9" t="s">
        <v>22</v>
      </c>
      <c r="F2340" s="10">
        <v>35</v>
      </c>
      <c r="G2340" s="11">
        <v>7031105615</v>
      </c>
      <c r="H2340" s="10" t="s">
        <v>5213</v>
      </c>
      <c r="I2340" s="10" t="s">
        <v>19</v>
      </c>
      <c r="J2340" s="10" t="s">
        <v>5214</v>
      </c>
      <c r="K2340" s="12">
        <v>46006</v>
      </c>
      <c r="L2340" s="28" t="s">
        <v>11</v>
      </c>
      <c r="M2340" s="14"/>
      <c r="N2340" s="10" t="s">
        <v>1028</v>
      </c>
    </row>
    <row r="2341" spans="1:14" ht="22.5" customHeight="1">
      <c r="A2341" s="8">
        <v>46006.582298483801</v>
      </c>
      <c r="B2341" s="9" t="s">
        <v>14</v>
      </c>
      <c r="C2341" s="9" t="s">
        <v>15</v>
      </c>
      <c r="D2341" s="10" t="s">
        <v>5215</v>
      </c>
      <c r="E2341" s="9" t="s">
        <v>22</v>
      </c>
      <c r="F2341" s="10">
        <v>32</v>
      </c>
      <c r="G2341" s="11">
        <v>8164588262</v>
      </c>
      <c r="H2341" s="10" t="s">
        <v>5216</v>
      </c>
      <c r="I2341" s="10" t="s">
        <v>27</v>
      </c>
      <c r="J2341" s="10" t="s">
        <v>372</v>
      </c>
      <c r="K2341" s="12">
        <v>46006</v>
      </c>
      <c r="L2341" s="28" t="s">
        <v>11</v>
      </c>
      <c r="M2341" s="10"/>
      <c r="N2341" s="10" t="s">
        <v>1028</v>
      </c>
    </row>
    <row r="2342" spans="1:14" ht="22.5" customHeight="1">
      <c r="A2342" s="8">
        <v>46006.585884398148</v>
      </c>
      <c r="B2342" s="9" t="s">
        <v>14</v>
      </c>
      <c r="C2342" s="9" t="s">
        <v>15</v>
      </c>
      <c r="D2342" s="10" t="s">
        <v>5217</v>
      </c>
      <c r="E2342" s="9" t="s">
        <v>22</v>
      </c>
      <c r="F2342" s="10">
        <v>24</v>
      </c>
      <c r="G2342" s="11">
        <v>8169107128</v>
      </c>
      <c r="H2342" s="10" t="s">
        <v>5218</v>
      </c>
      <c r="I2342" s="10" t="s">
        <v>27</v>
      </c>
      <c r="J2342" s="10" t="s">
        <v>94</v>
      </c>
      <c r="K2342" s="12">
        <v>46006</v>
      </c>
      <c r="L2342" s="28" t="s">
        <v>11</v>
      </c>
      <c r="M2342" s="14"/>
      <c r="N2342" s="10" t="s">
        <v>1028</v>
      </c>
    </row>
    <row r="2343" spans="1:14" ht="22.5" customHeight="1">
      <c r="A2343" s="8">
        <v>46006.586652546292</v>
      </c>
      <c r="B2343" s="9" t="s">
        <v>14</v>
      </c>
      <c r="C2343" s="9" t="s">
        <v>15</v>
      </c>
      <c r="D2343" s="10" t="s">
        <v>5219</v>
      </c>
      <c r="E2343" s="9" t="s">
        <v>22</v>
      </c>
      <c r="F2343" s="10">
        <v>21</v>
      </c>
      <c r="G2343" s="11">
        <v>8139107282</v>
      </c>
      <c r="H2343" s="10" t="s">
        <v>5220</v>
      </c>
      <c r="I2343" s="10" t="s">
        <v>49</v>
      </c>
      <c r="J2343" s="10" t="s">
        <v>246</v>
      </c>
      <c r="K2343" s="12">
        <v>46006</v>
      </c>
      <c r="L2343" s="28" t="s">
        <v>11</v>
      </c>
      <c r="M2343" s="14"/>
      <c r="N2343" s="10" t="s">
        <v>1028</v>
      </c>
    </row>
    <row r="2344" spans="1:14" ht="22.5" customHeight="1">
      <c r="A2344" s="8">
        <v>46006.588038865739</v>
      </c>
      <c r="B2344" s="9" t="s">
        <v>14</v>
      </c>
      <c r="C2344" s="9" t="s">
        <v>15</v>
      </c>
      <c r="D2344" s="10" t="s">
        <v>5221</v>
      </c>
      <c r="E2344" s="9" t="s">
        <v>22</v>
      </c>
      <c r="F2344" s="10">
        <v>35</v>
      </c>
      <c r="G2344" s="11">
        <v>8163500515</v>
      </c>
      <c r="H2344" s="10" t="s">
        <v>5222</v>
      </c>
      <c r="I2344" s="10" t="s">
        <v>19</v>
      </c>
      <c r="J2344" s="10" t="s">
        <v>5223</v>
      </c>
      <c r="K2344" s="12">
        <v>46006</v>
      </c>
      <c r="L2344" s="28" t="s">
        <v>11</v>
      </c>
      <c r="M2344" s="10"/>
      <c r="N2344" s="10" t="s">
        <v>5224</v>
      </c>
    </row>
    <row r="2345" spans="1:14" ht="22.5" customHeight="1">
      <c r="A2345" s="8">
        <v>46006.588690150464</v>
      </c>
      <c r="B2345" s="9" t="s">
        <v>14</v>
      </c>
      <c r="C2345" s="9" t="s">
        <v>15</v>
      </c>
      <c r="D2345" s="10" t="s">
        <v>5225</v>
      </c>
      <c r="E2345" s="9" t="s">
        <v>22</v>
      </c>
      <c r="F2345" s="10">
        <v>27</v>
      </c>
      <c r="G2345" s="11">
        <v>7066633491</v>
      </c>
      <c r="H2345" s="10" t="s">
        <v>5226</v>
      </c>
      <c r="I2345" s="10" t="s">
        <v>19</v>
      </c>
      <c r="J2345" s="10" t="s">
        <v>5227</v>
      </c>
      <c r="K2345" s="12">
        <v>46006</v>
      </c>
      <c r="L2345" s="28" t="s">
        <v>11</v>
      </c>
      <c r="M2345" s="14"/>
      <c r="N2345" s="10" t="s">
        <v>1028</v>
      </c>
    </row>
    <row r="2346" spans="1:14" ht="22.5" customHeight="1">
      <c r="A2346" s="8">
        <v>46006.591681469909</v>
      </c>
      <c r="B2346" s="9" t="s">
        <v>14</v>
      </c>
      <c r="C2346" s="9" t="s">
        <v>15</v>
      </c>
      <c r="D2346" s="10" t="s">
        <v>5228</v>
      </c>
      <c r="E2346" s="9" t="s">
        <v>22</v>
      </c>
      <c r="F2346" s="10">
        <v>23</v>
      </c>
      <c r="G2346" s="11">
        <v>9035932193</v>
      </c>
      <c r="H2346" s="10" t="s">
        <v>5229</v>
      </c>
      <c r="I2346" s="10" t="s">
        <v>49</v>
      </c>
      <c r="J2346" s="10" t="s">
        <v>157</v>
      </c>
      <c r="K2346" s="12">
        <v>46006</v>
      </c>
      <c r="L2346" s="28" t="s">
        <v>11</v>
      </c>
      <c r="M2346" s="14"/>
      <c r="N2346" s="10" t="s">
        <v>1028</v>
      </c>
    </row>
    <row r="2347" spans="1:14" ht="22.5" customHeight="1">
      <c r="A2347" s="8">
        <v>46006.599843472221</v>
      </c>
      <c r="B2347" s="9" t="s">
        <v>14</v>
      </c>
      <c r="C2347" s="9" t="s">
        <v>15</v>
      </c>
      <c r="D2347" s="10" t="s">
        <v>5230</v>
      </c>
      <c r="E2347" s="9" t="s">
        <v>22</v>
      </c>
      <c r="F2347" s="10">
        <v>28</v>
      </c>
      <c r="G2347" s="11">
        <v>7089997229</v>
      </c>
      <c r="H2347" s="10" t="s">
        <v>5231</v>
      </c>
      <c r="I2347" s="10" t="s">
        <v>19</v>
      </c>
      <c r="J2347" s="10" t="s">
        <v>5232</v>
      </c>
      <c r="K2347" s="12">
        <v>46006</v>
      </c>
      <c r="L2347" s="28" t="s">
        <v>11</v>
      </c>
      <c r="M2347" s="14"/>
      <c r="N2347" s="10" t="s">
        <v>1028</v>
      </c>
    </row>
    <row r="2348" spans="1:14" ht="22.5" customHeight="1">
      <c r="A2348" s="8">
        <v>46006.600342361111</v>
      </c>
      <c r="B2348" s="9" t="s">
        <v>14</v>
      </c>
      <c r="C2348" s="9" t="s">
        <v>15</v>
      </c>
      <c r="D2348" s="10" t="s">
        <v>5233</v>
      </c>
      <c r="E2348" s="9" t="s">
        <v>22</v>
      </c>
      <c r="F2348" s="10">
        <v>33</v>
      </c>
      <c r="G2348" s="11">
        <v>8032400270</v>
      </c>
      <c r="H2348" s="10" t="s">
        <v>5234</v>
      </c>
      <c r="I2348" s="10" t="s">
        <v>27</v>
      </c>
      <c r="J2348" s="10" t="s">
        <v>70</v>
      </c>
      <c r="K2348" s="12">
        <v>46006</v>
      </c>
      <c r="L2348" s="28" t="s">
        <v>11</v>
      </c>
      <c r="M2348" s="14"/>
      <c r="N2348" s="10" t="s">
        <v>1028</v>
      </c>
    </row>
    <row r="2349" spans="1:14" ht="22.5" customHeight="1">
      <c r="A2349" s="8">
        <v>46006.603854062501</v>
      </c>
      <c r="B2349" s="9" t="s">
        <v>14</v>
      </c>
      <c r="C2349" s="9" t="s">
        <v>15</v>
      </c>
      <c r="D2349" s="10" t="s">
        <v>5235</v>
      </c>
      <c r="E2349" s="9" t="s">
        <v>22</v>
      </c>
      <c r="F2349" s="10">
        <v>27</v>
      </c>
      <c r="G2349" s="11">
        <v>7067730933</v>
      </c>
      <c r="H2349" s="10" t="s">
        <v>5236</v>
      </c>
      <c r="I2349" s="10" t="s">
        <v>27</v>
      </c>
      <c r="J2349" s="10" t="s">
        <v>94</v>
      </c>
      <c r="K2349" s="12">
        <v>46006</v>
      </c>
      <c r="L2349" s="28" t="s">
        <v>11</v>
      </c>
      <c r="M2349" s="14"/>
      <c r="N2349" s="10" t="s">
        <v>1028</v>
      </c>
    </row>
    <row r="2350" spans="1:14" ht="22.5" customHeight="1">
      <c r="A2350" s="8">
        <v>46006.606065671294</v>
      </c>
      <c r="B2350" s="9" t="s">
        <v>14</v>
      </c>
      <c r="C2350" s="9" t="s">
        <v>15</v>
      </c>
      <c r="D2350" s="10" t="s">
        <v>5237</v>
      </c>
      <c r="E2350" s="9" t="s">
        <v>22</v>
      </c>
      <c r="F2350" s="10">
        <v>28</v>
      </c>
      <c r="G2350" s="11">
        <v>7032183927</v>
      </c>
      <c r="H2350" s="10" t="s">
        <v>5238</v>
      </c>
      <c r="I2350" s="10" t="s">
        <v>27</v>
      </c>
      <c r="J2350" s="10" t="s">
        <v>5239</v>
      </c>
      <c r="K2350" s="12">
        <v>46006</v>
      </c>
      <c r="L2350" s="28" t="s">
        <v>11</v>
      </c>
      <c r="M2350" s="14"/>
      <c r="N2350" s="10" t="s">
        <v>1028</v>
      </c>
    </row>
    <row r="2351" spans="1:14" ht="22.5" customHeight="1">
      <c r="A2351" s="8">
        <v>46006.609277222218</v>
      </c>
      <c r="B2351" s="9" t="s">
        <v>14</v>
      </c>
      <c r="C2351" s="9" t="s">
        <v>15</v>
      </c>
      <c r="D2351" s="10" t="s">
        <v>5240</v>
      </c>
      <c r="E2351" s="9" t="s">
        <v>17</v>
      </c>
      <c r="F2351" s="10">
        <v>30</v>
      </c>
      <c r="G2351" s="11">
        <v>8137260795</v>
      </c>
      <c r="H2351" s="10" t="s">
        <v>5241</v>
      </c>
      <c r="I2351" s="10" t="s">
        <v>202</v>
      </c>
      <c r="J2351" s="10" t="s">
        <v>2059</v>
      </c>
      <c r="K2351" s="12">
        <v>46006</v>
      </c>
      <c r="L2351" s="28" t="s">
        <v>11</v>
      </c>
      <c r="M2351" s="14"/>
      <c r="N2351" s="10" t="s">
        <v>1028</v>
      </c>
    </row>
    <row r="2352" spans="1:14" ht="22.5" customHeight="1">
      <c r="A2352" s="8">
        <v>46006.612357754631</v>
      </c>
      <c r="B2352" s="9" t="s">
        <v>14</v>
      </c>
      <c r="C2352" s="9" t="s">
        <v>15</v>
      </c>
      <c r="D2352" s="10" t="s">
        <v>5242</v>
      </c>
      <c r="E2352" s="9" t="s">
        <v>17</v>
      </c>
      <c r="F2352" s="10">
        <v>31</v>
      </c>
      <c r="G2352" s="11">
        <v>7033579204</v>
      </c>
      <c r="H2352" s="10" t="s">
        <v>5243</v>
      </c>
      <c r="I2352" s="10" t="s">
        <v>27</v>
      </c>
      <c r="J2352" s="10" t="s">
        <v>2006</v>
      </c>
      <c r="K2352" s="12">
        <v>46006</v>
      </c>
      <c r="L2352" s="28" t="s">
        <v>11</v>
      </c>
      <c r="M2352" s="14"/>
      <c r="N2352" s="10" t="s">
        <v>1028</v>
      </c>
    </row>
    <row r="2353" spans="1:14" ht="22.5" customHeight="1">
      <c r="A2353" s="8">
        <v>46006.612989988425</v>
      </c>
      <c r="B2353" s="9" t="s">
        <v>14</v>
      </c>
      <c r="C2353" s="9" t="s">
        <v>15</v>
      </c>
      <c r="D2353" s="10" t="s">
        <v>5244</v>
      </c>
      <c r="E2353" s="9" t="s">
        <v>22</v>
      </c>
      <c r="F2353" s="10">
        <v>27</v>
      </c>
      <c r="G2353" s="11">
        <f t="shared" ref="G2353" si="56">2349137976772</f>
        <v>2349137976772</v>
      </c>
      <c r="H2353" s="10" t="s">
        <v>5245</v>
      </c>
      <c r="I2353" s="10" t="s">
        <v>19</v>
      </c>
      <c r="J2353" s="10" t="s">
        <v>1845</v>
      </c>
      <c r="K2353" s="12">
        <v>46006</v>
      </c>
      <c r="L2353" s="28" t="s">
        <v>11</v>
      </c>
      <c r="M2353" s="14"/>
      <c r="N2353" s="10" t="s">
        <v>1096</v>
      </c>
    </row>
    <row r="2354" spans="1:14" ht="22.5" customHeight="1">
      <c r="A2354" s="8">
        <v>46006.618076747684</v>
      </c>
      <c r="B2354" s="9" t="s">
        <v>14</v>
      </c>
      <c r="C2354" s="9" t="s">
        <v>15</v>
      </c>
      <c r="D2354" s="10" t="s">
        <v>5246</v>
      </c>
      <c r="E2354" s="9" t="s">
        <v>22</v>
      </c>
      <c r="F2354" s="10">
        <v>20</v>
      </c>
      <c r="G2354" s="11">
        <v>9161156095</v>
      </c>
      <c r="H2354" s="10" t="s">
        <v>5247</v>
      </c>
      <c r="I2354" s="10" t="s">
        <v>49</v>
      </c>
      <c r="J2354" s="10" t="s">
        <v>229</v>
      </c>
      <c r="K2354" s="12">
        <v>46006</v>
      </c>
      <c r="L2354" s="28" t="s">
        <v>11</v>
      </c>
      <c r="M2354" s="10"/>
      <c r="N2354" s="10" t="s">
        <v>1028</v>
      </c>
    </row>
    <row r="2355" spans="1:14" ht="22.5" customHeight="1">
      <c r="A2355" s="8">
        <v>46006.61875076389</v>
      </c>
      <c r="B2355" s="9" t="s">
        <v>14</v>
      </c>
      <c r="C2355" s="9" t="s">
        <v>15</v>
      </c>
      <c r="D2355" s="10" t="s">
        <v>5248</v>
      </c>
      <c r="E2355" s="9" t="s">
        <v>22</v>
      </c>
      <c r="F2355" s="10">
        <v>24</v>
      </c>
      <c r="G2355" s="11">
        <v>9030480393</v>
      </c>
      <c r="H2355" s="10" t="s">
        <v>5249</v>
      </c>
      <c r="I2355" s="10" t="s">
        <v>27</v>
      </c>
      <c r="J2355" s="10" t="s">
        <v>1559</v>
      </c>
      <c r="K2355" s="12">
        <v>46006</v>
      </c>
      <c r="L2355" s="28" t="s">
        <v>11</v>
      </c>
      <c r="M2355" s="14"/>
      <c r="N2355" s="10" t="s">
        <v>1028</v>
      </c>
    </row>
    <row r="2356" spans="1:14" ht="22.5" customHeight="1">
      <c r="A2356" s="8">
        <v>46006.621691296299</v>
      </c>
      <c r="B2356" s="9" t="s">
        <v>14</v>
      </c>
      <c r="C2356" s="9" t="s">
        <v>15</v>
      </c>
      <c r="D2356" s="10" t="s">
        <v>5250</v>
      </c>
      <c r="E2356" s="9" t="s">
        <v>17</v>
      </c>
      <c r="F2356" s="10">
        <v>27</v>
      </c>
      <c r="G2356" s="11">
        <v>8135976606</v>
      </c>
      <c r="H2356" s="10" t="s">
        <v>5251</v>
      </c>
      <c r="I2356" s="10" t="s">
        <v>27</v>
      </c>
      <c r="J2356" s="10" t="s">
        <v>3992</v>
      </c>
      <c r="K2356" s="12">
        <v>46006</v>
      </c>
      <c r="L2356" s="28" t="s">
        <v>11</v>
      </c>
      <c r="M2356" s="14"/>
      <c r="N2356" s="10" t="s">
        <v>1028</v>
      </c>
    </row>
    <row r="2357" spans="1:14" ht="22.5" customHeight="1">
      <c r="A2357" s="8">
        <v>46006.624064097225</v>
      </c>
      <c r="B2357" s="9" t="s">
        <v>14</v>
      </c>
      <c r="C2357" s="9" t="s">
        <v>15</v>
      </c>
      <c r="D2357" s="10" t="s">
        <v>5252</v>
      </c>
      <c r="E2357" s="9" t="s">
        <v>17</v>
      </c>
      <c r="F2357" s="10">
        <v>31</v>
      </c>
      <c r="G2357" s="11">
        <f>2348161716852</f>
        <v>2348161716852</v>
      </c>
      <c r="H2357" s="10" t="s">
        <v>5253</v>
      </c>
      <c r="I2357" s="10" t="s">
        <v>19</v>
      </c>
      <c r="J2357" s="10" t="s">
        <v>1664</v>
      </c>
      <c r="K2357" s="12">
        <v>46006</v>
      </c>
      <c r="L2357" s="28" t="s">
        <v>11</v>
      </c>
      <c r="M2357" s="14"/>
      <c r="N2357" s="10" t="s">
        <v>1096</v>
      </c>
    </row>
    <row r="2358" spans="1:14" ht="22.5" customHeight="1">
      <c r="A2358" s="8">
        <v>46006.624214456024</v>
      </c>
      <c r="B2358" s="9" t="s">
        <v>14</v>
      </c>
      <c r="C2358" s="9" t="s">
        <v>15</v>
      </c>
      <c r="D2358" s="10" t="s">
        <v>5254</v>
      </c>
      <c r="E2358" s="9" t="s">
        <v>17</v>
      </c>
      <c r="F2358" s="10">
        <v>25</v>
      </c>
      <c r="G2358" s="11">
        <f t="shared" ref="G2358" si="57">254748073373</f>
        <v>254748073373</v>
      </c>
      <c r="H2358" s="10" t="s">
        <v>5255</v>
      </c>
      <c r="I2358" s="10" t="s">
        <v>19</v>
      </c>
      <c r="J2358" s="10" t="s">
        <v>5256</v>
      </c>
      <c r="K2358" s="12">
        <v>46006</v>
      </c>
      <c r="L2358" s="28" t="s">
        <v>11</v>
      </c>
      <c r="M2358" s="14"/>
      <c r="N2358" s="10" t="s">
        <v>1028</v>
      </c>
    </row>
    <row r="2359" spans="1:14" ht="22.5" customHeight="1">
      <c r="A2359" s="8">
        <v>46006.624762858795</v>
      </c>
      <c r="B2359" s="9" t="s">
        <v>14</v>
      </c>
      <c r="C2359" s="9" t="s">
        <v>15</v>
      </c>
      <c r="D2359" s="10" t="s">
        <v>5257</v>
      </c>
      <c r="E2359" s="9" t="s">
        <v>17</v>
      </c>
      <c r="F2359" s="10">
        <v>28</v>
      </c>
      <c r="G2359" s="11">
        <v>7038316495</v>
      </c>
      <c r="H2359" s="10" t="s">
        <v>5258</v>
      </c>
      <c r="I2359" s="10" t="s">
        <v>27</v>
      </c>
      <c r="J2359" s="10" t="s">
        <v>5259</v>
      </c>
      <c r="K2359" s="12">
        <v>46006</v>
      </c>
      <c r="L2359" s="28" t="s">
        <v>11</v>
      </c>
      <c r="M2359" s="14"/>
      <c r="N2359" s="10" t="s">
        <v>5260</v>
      </c>
    </row>
    <row r="2360" spans="1:14" ht="22.5" customHeight="1">
      <c r="A2360" s="8">
        <v>46006.62526079861</v>
      </c>
      <c r="B2360" s="9" t="s">
        <v>14</v>
      </c>
      <c r="C2360" s="9" t="s">
        <v>15</v>
      </c>
      <c r="D2360" s="10" t="s">
        <v>5261</v>
      </c>
      <c r="E2360" s="9" t="s">
        <v>17</v>
      </c>
      <c r="F2360" s="10">
        <v>32</v>
      </c>
      <c r="G2360" s="11">
        <v>8036552782</v>
      </c>
      <c r="H2360" s="10" t="s">
        <v>5262</v>
      </c>
      <c r="I2360" s="10" t="s">
        <v>49</v>
      </c>
      <c r="J2360" s="10" t="s">
        <v>326</v>
      </c>
      <c r="K2360" s="12">
        <v>46003</v>
      </c>
      <c r="L2360" s="28" t="s">
        <v>11</v>
      </c>
      <c r="M2360" s="14"/>
      <c r="N2360" s="10" t="s">
        <v>1028</v>
      </c>
    </row>
    <row r="2361" spans="1:14" ht="22.5" customHeight="1">
      <c r="A2361" s="8">
        <v>46006.626787071757</v>
      </c>
      <c r="B2361" s="9" t="s">
        <v>14</v>
      </c>
      <c r="C2361" s="9" t="s">
        <v>15</v>
      </c>
      <c r="D2361" s="10" t="s">
        <v>5263</v>
      </c>
      <c r="E2361" s="9" t="s">
        <v>22</v>
      </c>
      <c r="F2361" s="10">
        <v>24</v>
      </c>
      <c r="G2361" s="11">
        <v>9129095525</v>
      </c>
      <c r="H2361" s="10" t="s">
        <v>5264</v>
      </c>
      <c r="I2361" s="10" t="s">
        <v>49</v>
      </c>
      <c r="J2361" s="10" t="s">
        <v>157</v>
      </c>
      <c r="K2361" s="12">
        <v>46006</v>
      </c>
      <c r="L2361" s="28" t="s">
        <v>11</v>
      </c>
      <c r="M2361" s="14"/>
      <c r="N2361" s="10" t="s">
        <v>1028</v>
      </c>
    </row>
    <row r="2362" spans="1:14" ht="22.5" customHeight="1">
      <c r="A2362" s="8">
        <v>46006.626789282411</v>
      </c>
      <c r="B2362" s="9" t="s">
        <v>14</v>
      </c>
      <c r="C2362" s="9" t="s">
        <v>15</v>
      </c>
      <c r="D2362" s="10" t="s">
        <v>5265</v>
      </c>
      <c r="E2362" s="9" t="s">
        <v>17</v>
      </c>
      <c r="F2362" s="10">
        <v>21</v>
      </c>
      <c r="G2362" s="11">
        <v>7034788845</v>
      </c>
      <c r="H2362" s="10" t="s">
        <v>5266</v>
      </c>
      <c r="I2362" s="10" t="s">
        <v>27</v>
      </c>
      <c r="J2362" s="10" t="s">
        <v>2102</v>
      </c>
      <c r="K2362" s="12">
        <v>46006</v>
      </c>
      <c r="L2362" s="28" t="s">
        <v>11</v>
      </c>
      <c r="M2362" s="14"/>
      <c r="N2362" s="10" t="s">
        <v>1028</v>
      </c>
    </row>
    <row r="2363" spans="1:14" ht="22.5" customHeight="1">
      <c r="A2363" s="8">
        <v>46006.626872233799</v>
      </c>
      <c r="B2363" s="9" t="s">
        <v>14</v>
      </c>
      <c r="C2363" s="9" t="s">
        <v>15</v>
      </c>
      <c r="D2363" s="10" t="s">
        <v>5267</v>
      </c>
      <c r="E2363" s="9" t="s">
        <v>17</v>
      </c>
      <c r="F2363" s="10">
        <v>40</v>
      </c>
      <c r="G2363" s="11">
        <v>8063101210</v>
      </c>
      <c r="H2363" s="10" t="s">
        <v>5268</v>
      </c>
      <c r="I2363" s="10" t="s">
        <v>49</v>
      </c>
      <c r="J2363" s="10" t="s">
        <v>50</v>
      </c>
      <c r="K2363" s="12">
        <v>46006</v>
      </c>
      <c r="L2363" s="28" t="s">
        <v>11</v>
      </c>
      <c r="M2363" s="14"/>
      <c r="N2363" s="10" t="s">
        <v>1028</v>
      </c>
    </row>
    <row r="2364" spans="1:14" ht="22.5" customHeight="1">
      <c r="A2364" s="8">
        <v>46006.631602905094</v>
      </c>
      <c r="B2364" s="9" t="s">
        <v>14</v>
      </c>
      <c r="C2364" s="9" t="s">
        <v>15</v>
      </c>
      <c r="D2364" s="10" t="s">
        <v>5269</v>
      </c>
      <c r="E2364" s="9" t="s">
        <v>22</v>
      </c>
      <c r="F2364" s="10">
        <v>22</v>
      </c>
      <c r="G2364" s="11">
        <v>8074156789</v>
      </c>
      <c r="H2364" s="10" t="s">
        <v>5270</v>
      </c>
      <c r="I2364" s="10" t="s">
        <v>49</v>
      </c>
      <c r="J2364" s="10" t="s">
        <v>362</v>
      </c>
      <c r="K2364" s="12">
        <v>46006</v>
      </c>
      <c r="L2364" s="28" t="s">
        <v>11</v>
      </c>
      <c r="M2364" s="14"/>
      <c r="N2364" s="10" t="s">
        <v>1028</v>
      </c>
    </row>
    <row r="2365" spans="1:14" ht="22.5" customHeight="1">
      <c r="A2365" s="8">
        <v>46006.631781493052</v>
      </c>
      <c r="B2365" s="9" t="s">
        <v>14</v>
      </c>
      <c r="C2365" s="9" t="s">
        <v>15</v>
      </c>
      <c r="D2365" s="10" t="s">
        <v>5271</v>
      </c>
      <c r="E2365" s="9" t="s">
        <v>22</v>
      </c>
      <c r="F2365" s="10">
        <v>34</v>
      </c>
      <c r="G2365" s="11">
        <v>7036235373</v>
      </c>
      <c r="H2365" s="10" t="s">
        <v>5272</v>
      </c>
      <c r="I2365" s="10" t="s">
        <v>27</v>
      </c>
      <c r="J2365" s="10" t="s">
        <v>2006</v>
      </c>
      <c r="K2365" s="12">
        <v>46006</v>
      </c>
      <c r="L2365" s="28" t="s">
        <v>11</v>
      </c>
      <c r="M2365" s="14"/>
      <c r="N2365" s="10" t="s">
        <v>1028</v>
      </c>
    </row>
    <row r="2366" spans="1:14" ht="22.5" customHeight="1">
      <c r="A2366" s="8">
        <v>46006.631858321758</v>
      </c>
      <c r="B2366" s="9" t="s">
        <v>14</v>
      </c>
      <c r="C2366" s="9" t="s">
        <v>15</v>
      </c>
      <c r="D2366" s="10" t="s">
        <v>5273</v>
      </c>
      <c r="E2366" s="9" t="s">
        <v>17</v>
      </c>
      <c r="F2366" s="10">
        <v>26</v>
      </c>
      <c r="G2366" s="11">
        <v>9066187615</v>
      </c>
      <c r="H2366" s="10" t="s">
        <v>5274</v>
      </c>
      <c r="I2366" s="10" t="s">
        <v>27</v>
      </c>
      <c r="J2366" s="10" t="s">
        <v>1314</v>
      </c>
      <c r="K2366" s="12">
        <v>46006</v>
      </c>
      <c r="L2366" s="28" t="s">
        <v>11</v>
      </c>
      <c r="M2366" s="14"/>
      <c r="N2366" s="10" t="s">
        <v>1028</v>
      </c>
    </row>
    <row r="2367" spans="1:14" ht="22.5" customHeight="1">
      <c r="A2367" s="8">
        <v>46006.632434629631</v>
      </c>
      <c r="B2367" s="9" t="s">
        <v>14</v>
      </c>
      <c r="C2367" s="9" t="s">
        <v>15</v>
      </c>
      <c r="D2367" s="10" t="s">
        <v>5275</v>
      </c>
      <c r="E2367" s="9" t="s">
        <v>22</v>
      </c>
      <c r="F2367" s="10">
        <v>23</v>
      </c>
      <c r="G2367" s="11">
        <v>8168753916</v>
      </c>
      <c r="H2367" s="10" t="s">
        <v>5276</v>
      </c>
      <c r="I2367" s="10" t="s">
        <v>45</v>
      </c>
      <c r="J2367" s="10" t="s">
        <v>5277</v>
      </c>
      <c r="K2367" s="12">
        <v>37383</v>
      </c>
      <c r="L2367" s="28" t="s">
        <v>11</v>
      </c>
      <c r="M2367" s="14"/>
      <c r="N2367" s="10" t="s">
        <v>1028</v>
      </c>
    </row>
    <row r="2368" spans="1:14" ht="22.5" customHeight="1">
      <c r="A2368" s="8">
        <v>46006.633556238427</v>
      </c>
      <c r="B2368" s="9" t="s">
        <v>14</v>
      </c>
      <c r="C2368" s="9" t="s">
        <v>15</v>
      </c>
      <c r="D2368" s="10" t="s">
        <v>5278</v>
      </c>
      <c r="E2368" s="9" t="s">
        <v>17</v>
      </c>
      <c r="F2368" s="10">
        <v>26</v>
      </c>
      <c r="G2368" s="11">
        <v>7032394182</v>
      </c>
      <c r="H2368" s="10" t="s">
        <v>5279</v>
      </c>
      <c r="I2368" s="10" t="s">
        <v>27</v>
      </c>
      <c r="J2368" s="10" t="s">
        <v>70</v>
      </c>
      <c r="K2368" s="12">
        <v>46006</v>
      </c>
      <c r="L2368" s="28" t="s">
        <v>11</v>
      </c>
      <c r="M2368" s="10"/>
      <c r="N2368" s="10" t="s">
        <v>1028</v>
      </c>
    </row>
    <row r="2369" spans="1:14" ht="22.5" customHeight="1">
      <c r="A2369" s="8">
        <v>46006.633849189813</v>
      </c>
      <c r="B2369" s="9" t="s">
        <v>14</v>
      </c>
      <c r="C2369" s="9" t="s">
        <v>15</v>
      </c>
      <c r="D2369" s="10" t="s">
        <v>5280</v>
      </c>
      <c r="E2369" s="9" t="s">
        <v>22</v>
      </c>
      <c r="F2369" s="10">
        <v>31</v>
      </c>
      <c r="G2369" s="11">
        <v>8131392714</v>
      </c>
      <c r="H2369" s="10" t="s">
        <v>5281</v>
      </c>
      <c r="I2369" s="10" t="s">
        <v>19</v>
      </c>
      <c r="J2369" s="10" t="s">
        <v>5282</v>
      </c>
      <c r="K2369" s="12">
        <v>46006</v>
      </c>
      <c r="L2369" s="28" t="s">
        <v>11</v>
      </c>
      <c r="M2369" s="14"/>
      <c r="N2369" s="10" t="s">
        <v>1096</v>
      </c>
    </row>
    <row r="2370" spans="1:14" ht="22.5" customHeight="1">
      <c r="A2370" s="8">
        <v>46006.634367870371</v>
      </c>
      <c r="B2370" s="9" t="s">
        <v>14</v>
      </c>
      <c r="C2370" s="9" t="s">
        <v>15</v>
      </c>
      <c r="D2370" s="10" t="s">
        <v>5283</v>
      </c>
      <c r="E2370" s="9" t="s">
        <v>22</v>
      </c>
      <c r="F2370" s="10">
        <v>22</v>
      </c>
      <c r="G2370" s="11">
        <v>9069995349</v>
      </c>
      <c r="H2370" s="10" t="s">
        <v>5284</v>
      </c>
      <c r="I2370" s="10" t="s">
        <v>27</v>
      </c>
      <c r="J2370" s="10" t="s">
        <v>1907</v>
      </c>
      <c r="K2370" s="12">
        <v>46006</v>
      </c>
      <c r="L2370" s="28" t="s">
        <v>11</v>
      </c>
      <c r="M2370" s="14"/>
      <c r="N2370" s="10" t="s">
        <v>1028</v>
      </c>
    </row>
    <row r="2371" spans="1:14" ht="22.5" customHeight="1">
      <c r="A2371" s="8">
        <v>46006.640042141204</v>
      </c>
      <c r="B2371" s="9" t="s">
        <v>14</v>
      </c>
      <c r="C2371" s="9" t="s">
        <v>15</v>
      </c>
      <c r="D2371" s="10" t="s">
        <v>5285</v>
      </c>
      <c r="E2371" s="9" t="s">
        <v>22</v>
      </c>
      <c r="F2371" s="10">
        <v>21</v>
      </c>
      <c r="G2371" s="11">
        <v>8109960159</v>
      </c>
      <c r="H2371" s="10" t="s">
        <v>5286</v>
      </c>
      <c r="I2371" s="10" t="s">
        <v>27</v>
      </c>
      <c r="J2371" s="10" t="s">
        <v>172</v>
      </c>
      <c r="K2371" s="12">
        <v>46006</v>
      </c>
      <c r="L2371" s="28" t="s">
        <v>11</v>
      </c>
      <c r="M2371" s="14"/>
      <c r="N2371" s="10" t="s">
        <v>1096</v>
      </c>
    </row>
    <row r="2372" spans="1:14" ht="22.5" customHeight="1">
      <c r="A2372" s="8">
        <v>46006.640044768516</v>
      </c>
      <c r="B2372" s="9" t="s">
        <v>14</v>
      </c>
      <c r="C2372" s="9" t="s">
        <v>15</v>
      </c>
      <c r="D2372" s="10" t="s">
        <v>5287</v>
      </c>
      <c r="E2372" s="9" t="s">
        <v>17</v>
      </c>
      <c r="F2372" s="10">
        <v>27</v>
      </c>
      <c r="G2372" s="11">
        <f>2347038807801</f>
        <v>2347038807801</v>
      </c>
      <c r="H2372" s="10" t="s">
        <v>5288</v>
      </c>
      <c r="I2372" s="10" t="s">
        <v>45</v>
      </c>
      <c r="J2372" s="10" t="s">
        <v>901</v>
      </c>
      <c r="K2372" s="12">
        <v>46006</v>
      </c>
      <c r="L2372" s="28" t="s">
        <v>11</v>
      </c>
      <c r="M2372" s="14"/>
      <c r="N2372" s="10" t="s">
        <v>1028</v>
      </c>
    </row>
    <row r="2373" spans="1:14" ht="22.5" customHeight="1">
      <c r="A2373" s="8">
        <v>46006.640499039349</v>
      </c>
      <c r="B2373" s="9" t="s">
        <v>14</v>
      </c>
      <c r="C2373" s="9" t="s">
        <v>15</v>
      </c>
      <c r="D2373" s="10" t="s">
        <v>5289</v>
      </c>
      <c r="E2373" s="9" t="s">
        <v>17</v>
      </c>
      <c r="F2373" s="10">
        <v>21</v>
      </c>
      <c r="G2373" s="11">
        <v>7049979778</v>
      </c>
      <c r="H2373" s="10" t="s">
        <v>5290</v>
      </c>
      <c r="I2373" s="10" t="s">
        <v>27</v>
      </c>
      <c r="J2373" s="10" t="s">
        <v>5291</v>
      </c>
      <c r="K2373" s="12">
        <v>46006</v>
      </c>
      <c r="L2373" s="28" t="s">
        <v>11</v>
      </c>
      <c r="M2373" s="14"/>
      <c r="N2373" s="10" t="s">
        <v>1035</v>
      </c>
    </row>
    <row r="2374" spans="1:14" ht="22.5" customHeight="1">
      <c r="A2374" s="8">
        <v>46006.642272384255</v>
      </c>
      <c r="B2374" s="9" t="s">
        <v>14</v>
      </c>
      <c r="C2374" s="9" t="s">
        <v>15</v>
      </c>
      <c r="D2374" s="10" t="s">
        <v>5292</v>
      </c>
      <c r="E2374" s="9" t="s">
        <v>17</v>
      </c>
      <c r="F2374" s="10">
        <v>24</v>
      </c>
      <c r="G2374" s="11">
        <v>9075840185</v>
      </c>
      <c r="H2374" s="10" t="s">
        <v>5293</v>
      </c>
      <c r="I2374" s="10" t="s">
        <v>27</v>
      </c>
      <c r="J2374" s="10" t="s">
        <v>1585</v>
      </c>
      <c r="K2374" s="12">
        <v>46006</v>
      </c>
      <c r="L2374" s="28" t="s">
        <v>11</v>
      </c>
      <c r="M2374" s="14"/>
      <c r="N2374" s="10" t="s">
        <v>1028</v>
      </c>
    </row>
    <row r="2375" spans="1:14" ht="22.5" customHeight="1">
      <c r="A2375" s="8">
        <v>46006.643942268522</v>
      </c>
      <c r="B2375" s="9" t="s">
        <v>14</v>
      </c>
      <c r="C2375" s="9" t="s">
        <v>15</v>
      </c>
      <c r="D2375" s="10" t="s">
        <v>5294</v>
      </c>
      <c r="E2375" s="9" t="s">
        <v>22</v>
      </c>
      <c r="F2375" s="10">
        <v>19</v>
      </c>
      <c r="G2375" s="11">
        <v>7039168848</v>
      </c>
      <c r="H2375" s="10" t="s">
        <v>5295</v>
      </c>
      <c r="I2375" s="10" t="s">
        <v>49</v>
      </c>
      <c r="J2375" s="10" t="s">
        <v>319</v>
      </c>
      <c r="K2375" s="12">
        <v>46006</v>
      </c>
      <c r="L2375" s="28" t="s">
        <v>11</v>
      </c>
      <c r="M2375" s="14"/>
      <c r="N2375" s="10" t="s">
        <v>1028</v>
      </c>
    </row>
    <row r="2376" spans="1:14" ht="22.5" hidden="1" customHeight="1">
      <c r="A2376" s="8">
        <v>46006.644045057867</v>
      </c>
      <c r="B2376" s="9" t="s">
        <v>14</v>
      </c>
      <c r="C2376" s="9" t="s">
        <v>15</v>
      </c>
      <c r="D2376" s="10" t="s">
        <v>2683</v>
      </c>
      <c r="E2376" s="9" t="s">
        <v>22</v>
      </c>
      <c r="F2376" s="10">
        <v>33</v>
      </c>
      <c r="G2376" s="11">
        <v>8102847562</v>
      </c>
      <c r="H2376" s="10" t="s">
        <v>2684</v>
      </c>
      <c r="I2376" s="10" t="s">
        <v>27</v>
      </c>
      <c r="J2376" s="10" t="s">
        <v>70</v>
      </c>
      <c r="K2376" s="12">
        <v>33716</v>
      </c>
      <c r="L2376" s="10" t="s">
        <v>441</v>
      </c>
      <c r="M2376" s="10" t="s">
        <v>5296</v>
      </c>
      <c r="N2376" s="10" t="s">
        <v>1096</v>
      </c>
    </row>
    <row r="2377" spans="1:14" ht="22.5" customHeight="1">
      <c r="A2377" s="8">
        <v>46006.645737800922</v>
      </c>
      <c r="B2377" s="9" t="s">
        <v>14</v>
      </c>
      <c r="C2377" s="9" t="s">
        <v>15</v>
      </c>
      <c r="D2377" s="10" t="s">
        <v>5297</v>
      </c>
      <c r="E2377" s="9" t="s">
        <v>22</v>
      </c>
      <c r="F2377" s="10">
        <v>23</v>
      </c>
      <c r="G2377" s="11">
        <v>551914393</v>
      </c>
      <c r="H2377" s="10" t="s">
        <v>5298</v>
      </c>
      <c r="I2377" s="10" t="s">
        <v>31</v>
      </c>
      <c r="J2377" s="10" t="s">
        <v>5299</v>
      </c>
      <c r="K2377" s="12">
        <v>37272</v>
      </c>
      <c r="L2377" s="28" t="s">
        <v>11</v>
      </c>
      <c r="M2377" s="14"/>
      <c r="N2377" s="10" t="s">
        <v>1028</v>
      </c>
    </row>
    <row r="2378" spans="1:14" ht="22.5" customHeight="1">
      <c r="A2378" s="8">
        <v>46006.649623622681</v>
      </c>
      <c r="B2378" s="9" t="s">
        <v>14</v>
      </c>
      <c r="C2378" s="9" t="s">
        <v>15</v>
      </c>
      <c r="D2378" s="10" t="s">
        <v>5300</v>
      </c>
      <c r="E2378" s="9" t="s">
        <v>17</v>
      </c>
      <c r="F2378" s="10">
        <v>26</v>
      </c>
      <c r="G2378" s="11">
        <v>8149675856</v>
      </c>
      <c r="H2378" s="10" t="s">
        <v>5301</v>
      </c>
      <c r="I2378" s="10" t="s">
        <v>49</v>
      </c>
      <c r="J2378" s="10" t="s">
        <v>628</v>
      </c>
      <c r="K2378" s="12">
        <v>46006</v>
      </c>
      <c r="L2378" s="28" t="s">
        <v>11</v>
      </c>
      <c r="M2378" s="14"/>
      <c r="N2378" s="10" t="s">
        <v>1028</v>
      </c>
    </row>
    <row r="2379" spans="1:14" ht="22.5" customHeight="1">
      <c r="A2379" s="8">
        <v>46006.654496712959</v>
      </c>
      <c r="B2379" s="9" t="s">
        <v>14</v>
      </c>
      <c r="C2379" s="9" t="s">
        <v>15</v>
      </c>
      <c r="D2379" s="10" t="s">
        <v>5302</v>
      </c>
      <c r="E2379" s="9" t="s">
        <v>22</v>
      </c>
      <c r="F2379" s="10">
        <v>23</v>
      </c>
      <c r="G2379" s="11">
        <v>9017957341</v>
      </c>
      <c r="H2379" s="10" t="s">
        <v>5303</v>
      </c>
      <c r="I2379" s="10" t="s">
        <v>27</v>
      </c>
      <c r="J2379" s="10" t="s">
        <v>2328</v>
      </c>
      <c r="K2379" s="12">
        <v>46006</v>
      </c>
      <c r="L2379" s="28" t="s">
        <v>11</v>
      </c>
      <c r="M2379" s="14"/>
      <c r="N2379" s="10" t="s">
        <v>1028</v>
      </c>
    </row>
    <row r="2380" spans="1:14" ht="22.5" customHeight="1">
      <c r="A2380" s="8">
        <v>46006.65475962963</v>
      </c>
      <c r="B2380" s="9" t="s">
        <v>14</v>
      </c>
      <c r="C2380" s="9" t="s">
        <v>15</v>
      </c>
      <c r="D2380" s="10" t="s">
        <v>5304</v>
      </c>
      <c r="E2380" s="9" t="s">
        <v>17</v>
      </c>
      <c r="F2380" s="10">
        <v>26</v>
      </c>
      <c r="G2380" s="11">
        <f t="shared" ref="G2380" si="58">251965990119</f>
        <v>251965990119</v>
      </c>
      <c r="H2380" s="10" t="s">
        <v>5305</v>
      </c>
      <c r="I2380" s="10" t="s">
        <v>19</v>
      </c>
      <c r="J2380" s="10" t="s">
        <v>5306</v>
      </c>
      <c r="K2380" s="12">
        <v>46006</v>
      </c>
      <c r="L2380" s="28" t="s">
        <v>11</v>
      </c>
      <c r="M2380" s="14"/>
      <c r="N2380" s="10" t="s">
        <v>1028</v>
      </c>
    </row>
    <row r="2381" spans="1:14" ht="22.5" customHeight="1">
      <c r="A2381" s="8">
        <v>46006.655249525458</v>
      </c>
      <c r="B2381" s="9" t="s">
        <v>14</v>
      </c>
      <c r="C2381" s="9" t="s">
        <v>15</v>
      </c>
      <c r="D2381" s="10" t="s">
        <v>5307</v>
      </c>
      <c r="E2381" s="9" t="s">
        <v>22</v>
      </c>
      <c r="F2381" s="10">
        <v>28</v>
      </c>
      <c r="G2381" s="11">
        <v>9097479299</v>
      </c>
      <c r="H2381" s="10" t="s">
        <v>5308</v>
      </c>
      <c r="I2381" s="10" t="s">
        <v>45</v>
      </c>
      <c r="J2381" s="10" t="s">
        <v>5309</v>
      </c>
      <c r="K2381" s="12">
        <v>46006</v>
      </c>
      <c r="L2381" s="28" t="s">
        <v>11</v>
      </c>
      <c r="M2381" s="14"/>
      <c r="N2381" s="10" t="s">
        <v>1028</v>
      </c>
    </row>
    <row r="2382" spans="1:14" ht="22.5" customHeight="1">
      <c r="A2382" s="8">
        <v>46006.657523807866</v>
      </c>
      <c r="B2382" s="9" t="s">
        <v>14</v>
      </c>
      <c r="C2382" s="9" t="s">
        <v>15</v>
      </c>
      <c r="D2382" s="10" t="s">
        <v>5310</v>
      </c>
      <c r="E2382" s="9" t="s">
        <v>17</v>
      </c>
      <c r="F2382" s="10">
        <v>29</v>
      </c>
      <c r="G2382" s="11">
        <v>8077062043</v>
      </c>
      <c r="H2382" s="10" t="s">
        <v>5311</v>
      </c>
      <c r="I2382" s="10" t="s">
        <v>202</v>
      </c>
      <c r="J2382" s="10" t="s">
        <v>4632</v>
      </c>
      <c r="K2382" s="12">
        <v>46006</v>
      </c>
      <c r="L2382" s="28" t="s">
        <v>11</v>
      </c>
      <c r="M2382" s="14"/>
      <c r="N2382" s="10" t="s">
        <v>1028</v>
      </c>
    </row>
    <row r="2383" spans="1:14" ht="22.5" customHeight="1">
      <c r="A2383" s="8">
        <v>46006.658718287035</v>
      </c>
      <c r="B2383" s="9" t="s">
        <v>14</v>
      </c>
      <c r="C2383" s="9" t="s">
        <v>15</v>
      </c>
      <c r="D2383" s="10" t="s">
        <v>5312</v>
      </c>
      <c r="E2383" s="9" t="s">
        <v>17</v>
      </c>
      <c r="F2383" s="10">
        <v>19</v>
      </c>
      <c r="G2383" s="11">
        <v>9041211058</v>
      </c>
      <c r="H2383" s="10" t="s">
        <v>5313</v>
      </c>
      <c r="I2383" s="10" t="s">
        <v>27</v>
      </c>
      <c r="J2383" s="10" t="s">
        <v>172</v>
      </c>
      <c r="K2383" s="12">
        <v>46006</v>
      </c>
      <c r="L2383" s="28" t="s">
        <v>11</v>
      </c>
      <c r="M2383" s="14"/>
      <c r="N2383" s="10" t="s">
        <v>1028</v>
      </c>
    </row>
    <row r="2384" spans="1:14" ht="22.5" customHeight="1">
      <c r="A2384" s="8">
        <v>46006.664368750004</v>
      </c>
      <c r="B2384" s="9" t="s">
        <v>14</v>
      </c>
      <c r="C2384" s="9" t="s">
        <v>15</v>
      </c>
      <c r="D2384" s="10" t="s">
        <v>5314</v>
      </c>
      <c r="E2384" s="9" t="s">
        <v>17</v>
      </c>
      <c r="F2384" s="10">
        <v>35</v>
      </c>
      <c r="G2384" s="11">
        <v>8065654007</v>
      </c>
      <c r="H2384" s="10" t="s">
        <v>5315</v>
      </c>
      <c r="I2384" s="10" t="s">
        <v>49</v>
      </c>
      <c r="J2384" s="10" t="s">
        <v>109</v>
      </c>
      <c r="K2384" s="12">
        <v>46006</v>
      </c>
      <c r="L2384" s="28" t="s">
        <v>11</v>
      </c>
      <c r="M2384" s="14"/>
      <c r="N2384" s="10" t="s">
        <v>1028</v>
      </c>
    </row>
    <row r="2385" spans="1:20" ht="22.5" customHeight="1">
      <c r="A2385" s="8">
        <v>46006.667099976854</v>
      </c>
      <c r="B2385" s="9" t="s">
        <v>14</v>
      </c>
      <c r="C2385" s="9" t="s">
        <v>15</v>
      </c>
      <c r="D2385" s="10" t="s">
        <v>5316</v>
      </c>
      <c r="E2385" s="9" t="s">
        <v>17</v>
      </c>
      <c r="F2385" s="10">
        <v>30</v>
      </c>
      <c r="G2385" s="11">
        <v>9030223553</v>
      </c>
      <c r="H2385" s="10" t="s">
        <v>5317</v>
      </c>
      <c r="I2385" s="10" t="s">
        <v>49</v>
      </c>
      <c r="J2385" s="10" t="s">
        <v>109</v>
      </c>
      <c r="K2385" s="12">
        <v>34717</v>
      </c>
      <c r="L2385" s="28" t="s">
        <v>11</v>
      </c>
      <c r="M2385" s="14"/>
      <c r="N2385" s="10" t="s">
        <v>1096</v>
      </c>
    </row>
    <row r="2386" spans="1:20" ht="22.5" customHeight="1">
      <c r="A2386" s="8">
        <v>46006.67459333333</v>
      </c>
      <c r="B2386" s="9" t="s">
        <v>14</v>
      </c>
      <c r="C2386" s="9" t="s">
        <v>15</v>
      </c>
      <c r="D2386" s="10" t="s">
        <v>5318</v>
      </c>
      <c r="E2386" s="9" t="s">
        <v>22</v>
      </c>
      <c r="F2386" s="10">
        <v>26</v>
      </c>
      <c r="G2386" s="11">
        <v>7045492261</v>
      </c>
      <c r="H2386" s="10" t="s">
        <v>5319</v>
      </c>
      <c r="I2386" s="10" t="s">
        <v>27</v>
      </c>
      <c r="J2386" s="10" t="s">
        <v>2328</v>
      </c>
      <c r="K2386" s="12">
        <v>46006</v>
      </c>
      <c r="L2386" s="28" t="s">
        <v>11</v>
      </c>
      <c r="M2386" s="14"/>
      <c r="N2386" s="10" t="s">
        <v>1028</v>
      </c>
    </row>
    <row r="2387" spans="1:20" ht="22.5" customHeight="1">
      <c r="A2387" s="8">
        <v>46006.676887847221</v>
      </c>
      <c r="B2387" s="9" t="s">
        <v>14</v>
      </c>
      <c r="C2387" s="9" t="s">
        <v>15</v>
      </c>
      <c r="D2387" s="10" t="s">
        <v>5320</v>
      </c>
      <c r="E2387" s="9" t="s">
        <v>17</v>
      </c>
      <c r="F2387" s="10">
        <v>27</v>
      </c>
      <c r="G2387" s="11">
        <v>7086647087</v>
      </c>
      <c r="H2387" s="10" t="s">
        <v>5321</v>
      </c>
      <c r="I2387" s="10" t="s">
        <v>202</v>
      </c>
      <c r="J2387" s="10" t="s">
        <v>3062</v>
      </c>
      <c r="K2387" s="12">
        <v>46006</v>
      </c>
      <c r="L2387" s="28" t="s">
        <v>11</v>
      </c>
      <c r="M2387" s="14"/>
      <c r="N2387" s="10" t="s">
        <v>1028</v>
      </c>
    </row>
    <row r="2388" spans="1:20" ht="22.5" customHeight="1">
      <c r="A2388" s="8">
        <v>46006.6833453125</v>
      </c>
      <c r="B2388" s="9" t="s">
        <v>14</v>
      </c>
      <c r="C2388" s="9" t="s">
        <v>15</v>
      </c>
      <c r="D2388" s="10" t="s">
        <v>5322</v>
      </c>
      <c r="E2388" s="9" t="s">
        <v>17</v>
      </c>
      <c r="F2388" s="10">
        <v>30</v>
      </c>
      <c r="G2388" s="11">
        <v>9162844782</v>
      </c>
      <c r="H2388" s="10" t="s">
        <v>5323</v>
      </c>
      <c r="I2388" s="10" t="s">
        <v>19</v>
      </c>
      <c r="J2388" s="10" t="s">
        <v>5324</v>
      </c>
      <c r="K2388" s="12">
        <v>46006</v>
      </c>
      <c r="L2388" s="28" t="s">
        <v>11</v>
      </c>
      <c r="M2388" s="14"/>
      <c r="N2388" s="10" t="s">
        <v>1028</v>
      </c>
    </row>
    <row r="2389" spans="1:20" ht="22.5" customHeight="1">
      <c r="A2389" s="8">
        <v>46006.685332361114</v>
      </c>
      <c r="B2389" s="9" t="s">
        <v>14</v>
      </c>
      <c r="C2389" s="9" t="s">
        <v>15</v>
      </c>
      <c r="D2389" s="10" t="s">
        <v>5325</v>
      </c>
      <c r="E2389" s="9" t="s">
        <v>17</v>
      </c>
      <c r="F2389" s="10">
        <v>32</v>
      </c>
      <c r="G2389" s="11">
        <v>8135486006</v>
      </c>
      <c r="H2389" s="10" t="s">
        <v>5326</v>
      </c>
      <c r="I2389" s="10" t="s">
        <v>49</v>
      </c>
      <c r="J2389" s="10" t="s">
        <v>50</v>
      </c>
      <c r="K2389" s="12">
        <v>46006</v>
      </c>
      <c r="L2389" s="28" t="s">
        <v>11</v>
      </c>
      <c r="M2389" s="14"/>
      <c r="N2389" s="10" t="s">
        <v>1028</v>
      </c>
    </row>
    <row r="2390" spans="1:20" ht="22.5" customHeight="1">
      <c r="A2390" s="8">
        <v>46006.689213761572</v>
      </c>
      <c r="B2390" s="9" t="s">
        <v>14</v>
      </c>
      <c r="C2390" s="9" t="s">
        <v>15</v>
      </c>
      <c r="D2390" s="10" t="s">
        <v>5327</v>
      </c>
      <c r="E2390" s="9" t="s">
        <v>17</v>
      </c>
      <c r="F2390" s="10">
        <v>31</v>
      </c>
      <c r="G2390" s="11">
        <v>7055996649</v>
      </c>
      <c r="H2390" s="10" t="s">
        <v>5328</v>
      </c>
      <c r="I2390" s="10" t="s">
        <v>49</v>
      </c>
      <c r="J2390" s="10" t="s">
        <v>73</v>
      </c>
      <c r="K2390" s="12">
        <v>34700</v>
      </c>
      <c r="L2390" s="28" t="s">
        <v>11</v>
      </c>
      <c r="M2390" s="14"/>
      <c r="N2390" s="10" t="s">
        <v>1028</v>
      </c>
    </row>
    <row r="2391" spans="1:20" ht="22.5" customHeight="1">
      <c r="A2391" s="8">
        <v>46006.690979722218</v>
      </c>
      <c r="B2391" s="9" t="s">
        <v>14</v>
      </c>
      <c r="C2391" s="9" t="s">
        <v>15</v>
      </c>
      <c r="D2391" s="10" t="s">
        <v>5329</v>
      </c>
      <c r="E2391" s="9" t="s">
        <v>17</v>
      </c>
      <c r="F2391" s="10">
        <v>23</v>
      </c>
      <c r="G2391" s="11">
        <v>7038233498</v>
      </c>
      <c r="H2391" s="10" t="s">
        <v>5330</v>
      </c>
      <c r="I2391" s="10" t="s">
        <v>27</v>
      </c>
      <c r="J2391" s="10" t="s">
        <v>28</v>
      </c>
      <c r="K2391" s="12">
        <v>37682</v>
      </c>
      <c r="L2391" s="28" t="s">
        <v>11</v>
      </c>
      <c r="M2391" s="14"/>
      <c r="N2391" s="10" t="s">
        <v>1028</v>
      </c>
    </row>
    <row r="2392" spans="1:20" ht="22.5" customHeight="1">
      <c r="A2392" s="8">
        <v>46006.692629236109</v>
      </c>
      <c r="B2392" s="9" t="s">
        <v>14</v>
      </c>
      <c r="C2392" s="9" t="s">
        <v>15</v>
      </c>
      <c r="D2392" s="10" t="s">
        <v>5331</v>
      </c>
      <c r="E2392" s="9" t="s">
        <v>17</v>
      </c>
      <c r="F2392" s="10">
        <v>24</v>
      </c>
      <c r="G2392" s="11">
        <v>9082834682</v>
      </c>
      <c r="H2392" s="10" t="s">
        <v>5332</v>
      </c>
      <c r="I2392" s="10" t="s">
        <v>27</v>
      </c>
      <c r="J2392" s="10" t="s">
        <v>94</v>
      </c>
      <c r="K2392" s="12">
        <v>46006</v>
      </c>
      <c r="L2392" s="28" t="s">
        <v>11</v>
      </c>
      <c r="M2392" s="14"/>
      <c r="N2392" s="10" t="s">
        <v>1028</v>
      </c>
    </row>
    <row r="2393" spans="1:20" ht="22.5" customHeight="1">
      <c r="A2393" s="8">
        <v>46006.69408400463</v>
      </c>
      <c r="B2393" s="9" t="s">
        <v>14</v>
      </c>
      <c r="C2393" s="9" t="s">
        <v>15</v>
      </c>
      <c r="D2393" s="10" t="s">
        <v>5333</v>
      </c>
      <c r="E2393" s="9" t="s">
        <v>22</v>
      </c>
      <c r="F2393" s="10">
        <v>30</v>
      </c>
      <c r="G2393" s="11">
        <v>7062698950</v>
      </c>
      <c r="H2393" s="10" t="s">
        <v>5334</v>
      </c>
      <c r="I2393" s="10" t="s">
        <v>27</v>
      </c>
      <c r="J2393" s="10" t="s">
        <v>703</v>
      </c>
      <c r="K2393" s="12">
        <v>46006</v>
      </c>
      <c r="L2393" s="28" t="s">
        <v>11</v>
      </c>
      <c r="M2393" s="14"/>
      <c r="N2393" s="10" t="s">
        <v>1028</v>
      </c>
    </row>
    <row r="2394" spans="1:20" ht="22.5" customHeight="1">
      <c r="A2394" s="8">
        <v>46006.700975648149</v>
      </c>
      <c r="B2394" s="9" t="s">
        <v>14</v>
      </c>
      <c r="C2394" s="9" t="s">
        <v>15</v>
      </c>
      <c r="D2394" s="10" t="s">
        <v>5335</v>
      </c>
      <c r="E2394" s="9" t="s">
        <v>17</v>
      </c>
      <c r="F2394" s="10">
        <v>29</v>
      </c>
      <c r="G2394" s="11">
        <f t="shared" ref="G2394" si="59">256784617957</f>
        <v>256784617957</v>
      </c>
      <c r="H2394" s="10" t="s">
        <v>5336</v>
      </c>
      <c r="I2394" s="10" t="s">
        <v>202</v>
      </c>
      <c r="J2394" s="10" t="s">
        <v>2307</v>
      </c>
      <c r="K2394" s="12">
        <v>46006</v>
      </c>
      <c r="L2394" s="28" t="s">
        <v>11</v>
      </c>
      <c r="M2394" s="14"/>
      <c r="N2394" s="10" t="s">
        <v>3443</v>
      </c>
    </row>
    <row r="2395" spans="1:20" ht="22.5" customHeight="1">
      <c r="A2395" s="8">
        <v>46006.703949884264</v>
      </c>
      <c r="B2395" s="9" t="s">
        <v>14</v>
      </c>
      <c r="C2395" s="9" t="s">
        <v>15</v>
      </c>
      <c r="D2395" s="10" t="s">
        <v>5337</v>
      </c>
      <c r="E2395" s="9" t="s">
        <v>22</v>
      </c>
      <c r="F2395" s="10">
        <v>34</v>
      </c>
      <c r="G2395" s="11">
        <v>8142450774</v>
      </c>
      <c r="H2395" s="10" t="s">
        <v>5338</v>
      </c>
      <c r="I2395" s="10" t="s">
        <v>202</v>
      </c>
      <c r="J2395" s="10" t="s">
        <v>1839</v>
      </c>
      <c r="K2395" s="12">
        <v>46006</v>
      </c>
      <c r="L2395" s="28" t="s">
        <v>11</v>
      </c>
      <c r="M2395" s="14"/>
      <c r="N2395" s="10" t="s">
        <v>1096</v>
      </c>
    </row>
    <row r="2396" spans="1:20" ht="22.5" customHeight="1">
      <c r="A2396" s="8">
        <v>46006.724341319445</v>
      </c>
      <c r="B2396" s="9" t="s">
        <v>14</v>
      </c>
      <c r="C2396" s="9" t="s">
        <v>15</v>
      </c>
      <c r="D2396" s="10" t="s">
        <v>5339</v>
      </c>
      <c r="E2396" s="9" t="s">
        <v>22</v>
      </c>
      <c r="F2396" s="10">
        <v>57</v>
      </c>
      <c r="G2396" s="11">
        <v>7034811522</v>
      </c>
      <c r="H2396" s="10" t="s">
        <v>5340</v>
      </c>
      <c r="I2396" s="10" t="s">
        <v>31</v>
      </c>
      <c r="J2396" s="10" t="s">
        <v>32</v>
      </c>
      <c r="K2396" s="12">
        <v>46006</v>
      </c>
      <c r="L2396" s="28" t="s">
        <v>11</v>
      </c>
      <c r="M2396" s="10"/>
      <c r="N2396" s="10" t="s">
        <v>1028</v>
      </c>
    </row>
    <row r="2397" spans="1:20" ht="22.5" customHeight="1">
      <c r="A2397" s="8">
        <v>46006.731679837962</v>
      </c>
      <c r="B2397" s="9" t="s">
        <v>14</v>
      </c>
      <c r="C2397" s="9" t="s">
        <v>15</v>
      </c>
      <c r="D2397" s="10" t="s">
        <v>801</v>
      </c>
      <c r="E2397" s="9" t="s">
        <v>22</v>
      </c>
      <c r="F2397" s="10">
        <v>31</v>
      </c>
      <c r="G2397" s="11">
        <v>9115628215</v>
      </c>
      <c r="H2397" s="10" t="s">
        <v>5341</v>
      </c>
      <c r="I2397" s="10" t="s">
        <v>27</v>
      </c>
      <c r="J2397" s="10" t="s">
        <v>372</v>
      </c>
      <c r="K2397" s="12">
        <v>46006</v>
      </c>
      <c r="L2397" s="28" t="s">
        <v>11</v>
      </c>
      <c r="M2397" s="14"/>
      <c r="N2397" s="10" t="s">
        <v>2482</v>
      </c>
    </row>
    <row r="2398" spans="1:20" ht="22.5" customHeight="1">
      <c r="A2398" s="8">
        <v>46006.736258333331</v>
      </c>
      <c r="B2398" s="9" t="s">
        <v>14</v>
      </c>
      <c r="C2398" s="9" t="s">
        <v>15</v>
      </c>
      <c r="D2398" s="10" t="s">
        <v>5342</v>
      </c>
      <c r="E2398" s="9" t="s">
        <v>22</v>
      </c>
      <c r="F2398" s="18">
        <v>35</v>
      </c>
      <c r="G2398" s="11">
        <v>7034499240</v>
      </c>
      <c r="H2398" s="10" t="s">
        <v>5343</v>
      </c>
      <c r="I2398" s="10" t="s">
        <v>27</v>
      </c>
      <c r="J2398" s="10" t="s">
        <v>372</v>
      </c>
      <c r="K2398" s="12">
        <v>46006</v>
      </c>
      <c r="L2398" s="28" t="s">
        <v>11</v>
      </c>
      <c r="M2398" s="14"/>
      <c r="N2398" s="10" t="s">
        <v>1028</v>
      </c>
      <c r="O2398" s="20"/>
      <c r="P2398" s="21"/>
      <c r="Q2398" s="21"/>
      <c r="R2398" s="21"/>
      <c r="S2398" s="21"/>
      <c r="T2398" s="21"/>
    </row>
    <row r="2399" spans="1:20" ht="22.5" customHeight="1">
      <c r="A2399" s="8">
        <v>46006.740180324079</v>
      </c>
      <c r="B2399" s="9" t="s">
        <v>14</v>
      </c>
      <c r="C2399" s="9" t="s">
        <v>15</v>
      </c>
      <c r="D2399" s="10" t="s">
        <v>5344</v>
      </c>
      <c r="E2399" s="9" t="s">
        <v>22</v>
      </c>
      <c r="F2399" s="10">
        <v>56</v>
      </c>
      <c r="G2399" s="11">
        <v>8034911072</v>
      </c>
      <c r="H2399" s="10" t="s">
        <v>5345</v>
      </c>
      <c r="I2399" s="10" t="s">
        <v>31</v>
      </c>
      <c r="J2399" s="10" t="s">
        <v>32</v>
      </c>
      <c r="K2399" s="12">
        <v>46006</v>
      </c>
      <c r="L2399" s="28" t="s">
        <v>11</v>
      </c>
      <c r="M2399" s="10"/>
      <c r="N2399" s="10" t="s">
        <v>1028</v>
      </c>
    </row>
    <row r="2400" spans="1:20" ht="22.5" customHeight="1">
      <c r="A2400" s="8">
        <v>46006.740598032411</v>
      </c>
      <c r="B2400" s="9" t="s">
        <v>14</v>
      </c>
      <c r="C2400" s="9" t="s">
        <v>15</v>
      </c>
      <c r="D2400" s="10" t="s">
        <v>5346</v>
      </c>
      <c r="E2400" s="9" t="s">
        <v>22</v>
      </c>
      <c r="F2400" s="10">
        <v>27</v>
      </c>
      <c r="G2400" s="11">
        <v>9065020060</v>
      </c>
      <c r="H2400" s="10" t="s">
        <v>5347</v>
      </c>
      <c r="I2400" s="10" t="s">
        <v>45</v>
      </c>
      <c r="J2400" s="10" t="s">
        <v>5348</v>
      </c>
      <c r="K2400" s="12">
        <v>46006</v>
      </c>
      <c r="L2400" s="28" t="s">
        <v>11</v>
      </c>
      <c r="M2400" s="14"/>
      <c r="N2400" s="10" t="s">
        <v>1028</v>
      </c>
    </row>
    <row r="2401" spans="1:14" ht="22.5" customHeight="1">
      <c r="A2401" s="8">
        <v>46006.742548495371</v>
      </c>
      <c r="B2401" s="9" t="s">
        <v>14</v>
      </c>
      <c r="C2401" s="9" t="s">
        <v>15</v>
      </c>
      <c r="D2401" s="10" t="s">
        <v>5349</v>
      </c>
      <c r="E2401" s="9" t="s">
        <v>17</v>
      </c>
      <c r="F2401" s="10">
        <v>27</v>
      </c>
      <c r="G2401" s="11">
        <v>8144609900</v>
      </c>
      <c r="H2401" s="10" t="s">
        <v>5350</v>
      </c>
      <c r="I2401" s="10" t="s">
        <v>27</v>
      </c>
      <c r="J2401" s="10" t="s">
        <v>172</v>
      </c>
      <c r="K2401" s="12">
        <v>46006</v>
      </c>
      <c r="L2401" s="28" t="s">
        <v>11</v>
      </c>
      <c r="M2401" s="10"/>
      <c r="N2401" s="10" t="s">
        <v>1028</v>
      </c>
    </row>
    <row r="2402" spans="1:14" ht="22.5" customHeight="1">
      <c r="A2402" s="8">
        <v>46006.743083148147</v>
      </c>
      <c r="B2402" s="9" t="s">
        <v>14</v>
      </c>
      <c r="C2402" s="9" t="s">
        <v>15</v>
      </c>
      <c r="D2402" s="10" t="s">
        <v>5351</v>
      </c>
      <c r="E2402" s="9" t="s">
        <v>17</v>
      </c>
      <c r="F2402" s="10">
        <v>23</v>
      </c>
      <c r="G2402" s="11">
        <v>9075552608</v>
      </c>
      <c r="H2402" s="10" t="s">
        <v>5352</v>
      </c>
      <c r="I2402" s="10" t="s">
        <v>27</v>
      </c>
      <c r="J2402" s="10" t="s">
        <v>94</v>
      </c>
      <c r="K2402" s="12">
        <v>46006</v>
      </c>
      <c r="L2402" s="28" t="s">
        <v>11</v>
      </c>
      <c r="M2402" s="14"/>
      <c r="N2402" s="10" t="s">
        <v>1028</v>
      </c>
    </row>
    <row r="2403" spans="1:14" ht="22.5" customHeight="1">
      <c r="A2403" s="8">
        <v>46006.755095289351</v>
      </c>
      <c r="B2403" s="9" t="s">
        <v>14</v>
      </c>
      <c r="C2403" s="9" t="s">
        <v>15</v>
      </c>
      <c r="D2403" s="10" t="s">
        <v>5353</v>
      </c>
      <c r="E2403" s="9" t="s">
        <v>17</v>
      </c>
      <c r="F2403" s="10">
        <v>43</v>
      </c>
      <c r="G2403" s="11">
        <v>9043420509</v>
      </c>
      <c r="H2403" s="10" t="s">
        <v>4858</v>
      </c>
      <c r="I2403" s="10" t="s">
        <v>31</v>
      </c>
      <c r="J2403" s="10" t="s">
        <v>32</v>
      </c>
      <c r="K2403" s="12">
        <v>46006</v>
      </c>
      <c r="L2403" s="28" t="s">
        <v>11</v>
      </c>
      <c r="M2403" s="14"/>
      <c r="N2403" s="10" t="s">
        <v>1028</v>
      </c>
    </row>
    <row r="2404" spans="1:14" ht="22.5" customHeight="1">
      <c r="A2404" s="8">
        <v>46006.761765219911</v>
      </c>
      <c r="B2404" s="9" t="s">
        <v>14</v>
      </c>
      <c r="C2404" s="9" t="s">
        <v>15</v>
      </c>
      <c r="D2404" s="10" t="s">
        <v>5354</v>
      </c>
      <c r="E2404" s="9" t="s">
        <v>22</v>
      </c>
      <c r="F2404" s="10">
        <v>24</v>
      </c>
      <c r="G2404" s="11">
        <v>8155844687</v>
      </c>
      <c r="H2404" s="10" t="s">
        <v>5355</v>
      </c>
      <c r="I2404" s="10" t="s">
        <v>145</v>
      </c>
      <c r="J2404" s="10" t="s">
        <v>3366</v>
      </c>
      <c r="K2404" s="12">
        <v>46006</v>
      </c>
      <c r="L2404" s="28" t="s">
        <v>11</v>
      </c>
      <c r="M2404" s="14"/>
      <c r="N2404" s="10" t="s">
        <v>1028</v>
      </c>
    </row>
    <row r="2405" spans="1:14" ht="22.5" customHeight="1">
      <c r="A2405" s="8">
        <v>46006.768974699073</v>
      </c>
      <c r="B2405" s="9" t="s">
        <v>14</v>
      </c>
      <c r="C2405" s="9" t="s">
        <v>15</v>
      </c>
      <c r="D2405" s="10" t="s">
        <v>5356</v>
      </c>
      <c r="E2405" s="9" t="s">
        <v>17</v>
      </c>
      <c r="F2405" s="10">
        <v>27</v>
      </c>
      <c r="G2405" s="11">
        <v>8134175197</v>
      </c>
      <c r="H2405" s="10" t="s">
        <v>5357</v>
      </c>
      <c r="I2405" s="10" t="s">
        <v>49</v>
      </c>
      <c r="J2405" s="10" t="s">
        <v>73</v>
      </c>
      <c r="K2405" s="12">
        <v>46006</v>
      </c>
      <c r="L2405" s="28" t="s">
        <v>11</v>
      </c>
      <c r="M2405" s="14"/>
      <c r="N2405" s="10" t="s">
        <v>1028</v>
      </c>
    </row>
    <row r="2406" spans="1:14" ht="22.5" customHeight="1">
      <c r="A2406" s="8">
        <v>46006.770368564816</v>
      </c>
      <c r="B2406" s="9" t="s">
        <v>14</v>
      </c>
      <c r="C2406" s="9" t="s">
        <v>15</v>
      </c>
      <c r="D2406" s="10" t="s">
        <v>5358</v>
      </c>
      <c r="E2406" s="9" t="s">
        <v>22</v>
      </c>
      <c r="F2406" s="10">
        <v>24</v>
      </c>
      <c r="G2406" s="11">
        <v>8131977258</v>
      </c>
      <c r="H2406" s="10" t="s">
        <v>5359</v>
      </c>
      <c r="I2406" s="10" t="s">
        <v>49</v>
      </c>
      <c r="J2406" s="10" t="s">
        <v>5360</v>
      </c>
      <c r="K2406" s="12">
        <v>46006</v>
      </c>
      <c r="L2406" s="28" t="s">
        <v>11</v>
      </c>
      <c r="M2406" s="14"/>
      <c r="N2406" s="10" t="s">
        <v>1028</v>
      </c>
    </row>
    <row r="2407" spans="1:14" ht="22.5" customHeight="1">
      <c r="A2407" s="8">
        <v>46006.775391423609</v>
      </c>
      <c r="B2407" s="9" t="s">
        <v>14</v>
      </c>
      <c r="C2407" s="9" t="s">
        <v>15</v>
      </c>
      <c r="D2407" s="10" t="s">
        <v>5361</v>
      </c>
      <c r="E2407" s="9" t="s">
        <v>22</v>
      </c>
      <c r="F2407" s="10">
        <v>25</v>
      </c>
      <c r="G2407" s="11">
        <v>8063789231</v>
      </c>
      <c r="H2407" s="10" t="s">
        <v>5362</v>
      </c>
      <c r="I2407" s="10" t="s">
        <v>27</v>
      </c>
      <c r="J2407" s="10" t="s">
        <v>5363</v>
      </c>
      <c r="K2407" s="12">
        <v>46006</v>
      </c>
      <c r="L2407" s="28" t="s">
        <v>11</v>
      </c>
      <c r="M2407" s="14"/>
      <c r="N2407" s="10" t="s">
        <v>1028</v>
      </c>
    </row>
    <row r="2408" spans="1:14" ht="22.5" customHeight="1">
      <c r="A2408" s="8">
        <v>46006.777677164355</v>
      </c>
      <c r="B2408" s="9" t="s">
        <v>14</v>
      </c>
      <c r="C2408" s="9" t="s">
        <v>15</v>
      </c>
      <c r="D2408" s="10" t="s">
        <v>5364</v>
      </c>
      <c r="E2408" s="9" t="s">
        <v>17</v>
      </c>
      <c r="F2408" s="10">
        <v>33</v>
      </c>
      <c r="G2408" s="11">
        <v>7069477979</v>
      </c>
      <c r="H2408" s="10" t="s">
        <v>5365</v>
      </c>
      <c r="I2408" s="10" t="s">
        <v>27</v>
      </c>
      <c r="J2408" s="10" t="s">
        <v>3390</v>
      </c>
      <c r="K2408" s="12">
        <v>46006</v>
      </c>
      <c r="L2408" s="28" t="s">
        <v>11</v>
      </c>
      <c r="M2408" s="14"/>
      <c r="N2408" s="10" t="s">
        <v>1028</v>
      </c>
    </row>
    <row r="2409" spans="1:14" ht="22.5" hidden="1" customHeight="1">
      <c r="A2409" s="8">
        <v>46006.777786469909</v>
      </c>
      <c r="B2409" s="9" t="s">
        <v>14</v>
      </c>
      <c r="C2409" s="9" t="s">
        <v>15</v>
      </c>
      <c r="D2409" s="10" t="s">
        <v>5366</v>
      </c>
      <c r="E2409" s="9" t="s">
        <v>17</v>
      </c>
      <c r="F2409" s="10">
        <v>20</v>
      </c>
      <c r="G2409" s="11">
        <v>8144044540</v>
      </c>
      <c r="H2409" s="10" t="s">
        <v>5367</v>
      </c>
      <c r="I2409" s="10" t="s">
        <v>27</v>
      </c>
      <c r="J2409" s="10" t="s">
        <v>5368</v>
      </c>
      <c r="K2409" s="12">
        <v>46006</v>
      </c>
      <c r="L2409" s="10" t="s">
        <v>441</v>
      </c>
      <c r="M2409" s="10" t="s">
        <v>1361</v>
      </c>
      <c r="N2409" s="10" t="s">
        <v>1028</v>
      </c>
    </row>
    <row r="2410" spans="1:14" ht="22.5" customHeight="1">
      <c r="A2410" s="8">
        <v>46006.780655150462</v>
      </c>
      <c r="B2410" s="9" t="s">
        <v>14</v>
      </c>
      <c r="C2410" s="9" t="s">
        <v>15</v>
      </c>
      <c r="D2410" s="10" t="s">
        <v>5369</v>
      </c>
      <c r="E2410" s="9" t="s">
        <v>17</v>
      </c>
      <c r="F2410" s="10">
        <v>32</v>
      </c>
      <c r="G2410" s="11">
        <v>8131361137</v>
      </c>
      <c r="H2410" s="10" t="s">
        <v>5370</v>
      </c>
      <c r="I2410" s="10" t="s">
        <v>27</v>
      </c>
      <c r="J2410" s="10" t="s">
        <v>372</v>
      </c>
      <c r="K2410" s="12">
        <v>46006</v>
      </c>
      <c r="L2410" s="28" t="s">
        <v>11</v>
      </c>
      <c r="M2410" s="14"/>
      <c r="N2410" s="10" t="s">
        <v>1028</v>
      </c>
    </row>
    <row r="2411" spans="1:14" ht="22.5" customHeight="1">
      <c r="A2411" s="8">
        <v>46006.783658969907</v>
      </c>
      <c r="B2411" s="9" t="s">
        <v>14</v>
      </c>
      <c r="C2411" s="9" t="s">
        <v>15</v>
      </c>
      <c r="D2411" s="10" t="s">
        <v>5371</v>
      </c>
      <c r="E2411" s="9" t="s">
        <v>22</v>
      </c>
      <c r="F2411" s="10">
        <v>29</v>
      </c>
      <c r="G2411" s="11">
        <f t="shared" ref="G2411" si="60">256787224554</f>
        <v>256787224554</v>
      </c>
      <c r="H2411" s="10" t="s">
        <v>5372</v>
      </c>
      <c r="I2411" s="10" t="s">
        <v>202</v>
      </c>
      <c r="J2411" s="10" t="s">
        <v>4918</v>
      </c>
      <c r="K2411" s="12">
        <v>46006</v>
      </c>
      <c r="L2411" s="28" t="s">
        <v>11</v>
      </c>
      <c r="M2411" s="14"/>
      <c r="N2411" s="10" t="s">
        <v>5373</v>
      </c>
    </row>
    <row r="2412" spans="1:14" ht="22.5" customHeight="1">
      <c r="A2412" s="8">
        <v>46006.787267372682</v>
      </c>
      <c r="B2412" s="9" t="s">
        <v>14</v>
      </c>
      <c r="C2412" s="9" t="s">
        <v>15</v>
      </c>
      <c r="D2412" s="10" t="s">
        <v>5374</v>
      </c>
      <c r="E2412" s="9" t="s">
        <v>22</v>
      </c>
      <c r="F2412" s="10">
        <v>37</v>
      </c>
      <c r="G2412" s="11">
        <v>536681390</v>
      </c>
      <c r="H2412" s="10" t="s">
        <v>5375</v>
      </c>
      <c r="I2412" s="10" t="s">
        <v>45</v>
      </c>
      <c r="J2412" s="10" t="s">
        <v>5299</v>
      </c>
      <c r="K2412" s="12">
        <v>46006</v>
      </c>
      <c r="L2412" s="28" t="s">
        <v>11</v>
      </c>
      <c r="M2412" s="14"/>
      <c r="N2412" s="10" t="s">
        <v>1096</v>
      </c>
    </row>
    <row r="2413" spans="1:14" ht="22.5" customHeight="1">
      <c r="A2413" s="8">
        <v>46006.788902106477</v>
      </c>
      <c r="B2413" s="9" t="s">
        <v>14</v>
      </c>
      <c r="C2413" s="9" t="s">
        <v>15</v>
      </c>
      <c r="D2413" s="10" t="s">
        <v>5376</v>
      </c>
      <c r="E2413" s="9" t="s">
        <v>22</v>
      </c>
      <c r="F2413" s="10">
        <v>22</v>
      </c>
      <c r="G2413" s="11">
        <v>7049236774</v>
      </c>
      <c r="H2413" s="10" t="s">
        <v>5377</v>
      </c>
      <c r="I2413" s="10" t="s">
        <v>49</v>
      </c>
      <c r="J2413" s="10" t="s">
        <v>445</v>
      </c>
      <c r="K2413" s="12">
        <v>46006</v>
      </c>
      <c r="L2413" s="28" t="s">
        <v>11</v>
      </c>
      <c r="M2413" s="14"/>
      <c r="N2413" s="10" t="s">
        <v>1028</v>
      </c>
    </row>
    <row r="2414" spans="1:14" ht="22.5" customHeight="1">
      <c r="A2414" s="8">
        <v>46006.793018506942</v>
      </c>
      <c r="B2414" s="9" t="s">
        <v>14</v>
      </c>
      <c r="C2414" s="9" t="s">
        <v>15</v>
      </c>
      <c r="D2414" s="10" t="s">
        <v>5378</v>
      </c>
      <c r="E2414" s="9" t="s">
        <v>17</v>
      </c>
      <c r="F2414" s="10">
        <v>24</v>
      </c>
      <c r="G2414" s="11">
        <v>9138047692</v>
      </c>
      <c r="H2414" s="10" t="s">
        <v>5379</v>
      </c>
      <c r="I2414" s="10" t="s">
        <v>27</v>
      </c>
      <c r="J2414" s="10" t="s">
        <v>1514</v>
      </c>
      <c r="K2414" s="12">
        <v>46006</v>
      </c>
      <c r="L2414" s="28" t="s">
        <v>11</v>
      </c>
      <c r="M2414" s="14"/>
      <c r="N2414" s="10" t="s">
        <v>1028</v>
      </c>
    </row>
    <row r="2415" spans="1:14" ht="22.5" customHeight="1">
      <c r="A2415" s="8">
        <v>46006.796570729166</v>
      </c>
      <c r="B2415" s="9" t="s">
        <v>14</v>
      </c>
      <c r="C2415" s="9" t="s">
        <v>15</v>
      </c>
      <c r="D2415" s="10" t="s">
        <v>5380</v>
      </c>
      <c r="E2415" s="9" t="s">
        <v>17</v>
      </c>
      <c r="F2415" s="10">
        <v>24</v>
      </c>
      <c r="G2415" s="11">
        <f t="shared" ref="G2415" si="61">258846184792</f>
        <v>258846184792</v>
      </c>
      <c r="H2415" s="10" t="s">
        <v>5381</v>
      </c>
      <c r="I2415" s="10" t="s">
        <v>31</v>
      </c>
      <c r="J2415" s="10" t="s">
        <v>5382</v>
      </c>
      <c r="K2415" s="12">
        <v>46006</v>
      </c>
      <c r="L2415" s="28" t="s">
        <v>11</v>
      </c>
      <c r="M2415" s="14"/>
      <c r="N2415" s="10" t="s">
        <v>1028</v>
      </c>
    </row>
    <row r="2416" spans="1:14" ht="22.5" hidden="1" customHeight="1">
      <c r="A2416" s="8">
        <v>46006.801987604165</v>
      </c>
      <c r="B2416" s="9" t="s">
        <v>14</v>
      </c>
      <c r="C2416" s="9" t="s">
        <v>15</v>
      </c>
      <c r="D2416" s="10" t="s">
        <v>5383</v>
      </c>
      <c r="E2416" s="9" t="s">
        <v>22</v>
      </c>
      <c r="F2416" s="10">
        <v>25</v>
      </c>
      <c r="G2416" s="11">
        <v>8063025191</v>
      </c>
      <c r="H2416" s="10" t="s">
        <v>5384</v>
      </c>
      <c r="I2416" s="10" t="s">
        <v>27</v>
      </c>
      <c r="J2416" s="10" t="s">
        <v>70</v>
      </c>
      <c r="K2416" s="12">
        <v>46006</v>
      </c>
      <c r="L2416" s="10" t="s">
        <v>441</v>
      </c>
      <c r="M2416" s="10" t="s">
        <v>1562</v>
      </c>
      <c r="N2416" s="10" t="s">
        <v>1028</v>
      </c>
    </row>
    <row r="2417" spans="1:14" ht="22.5" customHeight="1">
      <c r="A2417" s="8">
        <v>46006.802229166671</v>
      </c>
      <c r="B2417" s="9" t="s">
        <v>14</v>
      </c>
      <c r="C2417" s="9" t="s">
        <v>15</v>
      </c>
      <c r="D2417" s="10" t="s">
        <v>5385</v>
      </c>
      <c r="E2417" s="9" t="s">
        <v>17</v>
      </c>
      <c r="F2417" s="10">
        <v>25</v>
      </c>
      <c r="G2417" s="11">
        <v>9060508136</v>
      </c>
      <c r="H2417" s="10" t="s">
        <v>5386</v>
      </c>
      <c r="I2417" s="10" t="s">
        <v>27</v>
      </c>
      <c r="J2417" s="10" t="s">
        <v>4524</v>
      </c>
      <c r="K2417" s="12">
        <v>46006</v>
      </c>
      <c r="L2417" s="28" t="s">
        <v>11</v>
      </c>
      <c r="M2417" s="14"/>
      <c r="N2417" s="10" t="s">
        <v>1028</v>
      </c>
    </row>
    <row r="2418" spans="1:14" ht="22.5" customHeight="1">
      <c r="A2418" s="8">
        <v>46006.80256974537</v>
      </c>
      <c r="B2418" s="9" t="s">
        <v>14</v>
      </c>
      <c r="C2418" s="9" t="s">
        <v>15</v>
      </c>
      <c r="D2418" s="10" t="s">
        <v>5387</v>
      </c>
      <c r="E2418" s="9" t="s">
        <v>17</v>
      </c>
      <c r="F2418" s="10">
        <v>23</v>
      </c>
      <c r="G2418" s="11">
        <v>8082073383</v>
      </c>
      <c r="H2418" s="10" t="s">
        <v>5388</v>
      </c>
      <c r="I2418" s="10" t="s">
        <v>27</v>
      </c>
      <c r="J2418" s="10" t="s">
        <v>28</v>
      </c>
      <c r="K2418" s="12">
        <v>46006</v>
      </c>
      <c r="L2418" s="28" t="s">
        <v>11</v>
      </c>
      <c r="M2418" s="14"/>
      <c r="N2418" s="10" t="s">
        <v>1028</v>
      </c>
    </row>
    <row r="2419" spans="1:14" ht="22.5" customHeight="1">
      <c r="A2419" s="8">
        <v>46006.806135590276</v>
      </c>
      <c r="B2419" s="9" t="s">
        <v>14</v>
      </c>
      <c r="C2419" s="9" t="s">
        <v>15</v>
      </c>
      <c r="D2419" s="10" t="s">
        <v>5389</v>
      </c>
      <c r="E2419" s="9" t="s">
        <v>17</v>
      </c>
      <c r="F2419" s="10">
        <v>35</v>
      </c>
      <c r="G2419" s="11">
        <v>8036048578</v>
      </c>
      <c r="H2419" s="10" t="s">
        <v>5390</v>
      </c>
      <c r="I2419" s="10" t="s">
        <v>27</v>
      </c>
      <c r="J2419" s="10" t="s">
        <v>2861</v>
      </c>
      <c r="K2419" s="12">
        <v>46006</v>
      </c>
      <c r="L2419" s="28" t="s">
        <v>11</v>
      </c>
      <c r="M2419" s="14"/>
      <c r="N2419" s="10" t="s">
        <v>1028</v>
      </c>
    </row>
    <row r="2420" spans="1:14" ht="22.5" customHeight="1">
      <c r="A2420" s="8">
        <v>46006.808503263892</v>
      </c>
      <c r="B2420" s="9" t="s">
        <v>14</v>
      </c>
      <c r="C2420" s="9" t="s">
        <v>15</v>
      </c>
      <c r="D2420" s="10" t="s">
        <v>5391</v>
      </c>
      <c r="E2420" s="9" t="s">
        <v>17</v>
      </c>
      <c r="F2420" s="10">
        <v>31</v>
      </c>
      <c r="G2420" s="11">
        <v>8063234766</v>
      </c>
      <c r="H2420" s="10" t="s">
        <v>5392</v>
      </c>
      <c r="I2420" s="10" t="s">
        <v>27</v>
      </c>
      <c r="J2420" s="10" t="s">
        <v>1456</v>
      </c>
      <c r="K2420" s="12">
        <v>46006</v>
      </c>
      <c r="L2420" s="28" t="s">
        <v>11</v>
      </c>
      <c r="M2420" s="14"/>
      <c r="N2420" s="10" t="s">
        <v>1028</v>
      </c>
    </row>
    <row r="2421" spans="1:14" ht="22.5" customHeight="1">
      <c r="A2421" s="8">
        <v>46006.810114085645</v>
      </c>
      <c r="B2421" s="9" t="s">
        <v>14</v>
      </c>
      <c r="C2421" s="9" t="s">
        <v>15</v>
      </c>
      <c r="D2421" s="10" t="s">
        <v>5393</v>
      </c>
      <c r="E2421" s="9" t="s">
        <v>22</v>
      </c>
      <c r="F2421" s="10">
        <v>32</v>
      </c>
      <c r="G2421" s="11">
        <v>9036763091</v>
      </c>
      <c r="H2421" s="10" t="s">
        <v>5394</v>
      </c>
      <c r="I2421" s="10" t="s">
        <v>27</v>
      </c>
      <c r="J2421" s="10" t="s">
        <v>5395</v>
      </c>
      <c r="K2421" s="12">
        <v>46006</v>
      </c>
      <c r="L2421" s="28" t="s">
        <v>11</v>
      </c>
      <c r="M2421" s="14"/>
      <c r="N2421" s="10" t="s">
        <v>1028</v>
      </c>
    </row>
    <row r="2422" spans="1:14" ht="22.5" customHeight="1">
      <c r="A2422" s="8">
        <v>46006.812919884258</v>
      </c>
      <c r="B2422" s="9" t="s">
        <v>14</v>
      </c>
      <c r="C2422" s="9" t="s">
        <v>15</v>
      </c>
      <c r="D2422" s="10" t="s">
        <v>5396</v>
      </c>
      <c r="E2422" s="9" t="s">
        <v>17</v>
      </c>
      <c r="F2422" s="10">
        <v>36</v>
      </c>
      <c r="G2422" s="11">
        <v>7035949485</v>
      </c>
      <c r="H2422" s="10" t="s">
        <v>5397</v>
      </c>
      <c r="I2422" s="10" t="s">
        <v>27</v>
      </c>
      <c r="J2422" s="10" t="s">
        <v>3101</v>
      </c>
      <c r="K2422" s="12">
        <v>46006</v>
      </c>
      <c r="L2422" s="28" t="s">
        <v>11</v>
      </c>
      <c r="M2422" s="14"/>
      <c r="N2422" s="10" t="s">
        <v>1028</v>
      </c>
    </row>
    <row r="2423" spans="1:14" ht="22.5" customHeight="1">
      <c r="A2423" s="8">
        <v>46006.812925335646</v>
      </c>
      <c r="B2423" s="9" t="s">
        <v>14</v>
      </c>
      <c r="C2423" s="9" t="s">
        <v>15</v>
      </c>
      <c r="D2423" s="10" t="s">
        <v>5398</v>
      </c>
      <c r="E2423" s="9" t="s">
        <v>17</v>
      </c>
      <c r="F2423" s="10">
        <v>24</v>
      </c>
      <c r="G2423" s="11">
        <v>8103488452</v>
      </c>
      <c r="H2423" s="10" t="s">
        <v>5399</v>
      </c>
      <c r="I2423" s="10" t="s">
        <v>27</v>
      </c>
      <c r="J2423" s="10" t="s">
        <v>1288</v>
      </c>
      <c r="K2423" s="12">
        <v>46006</v>
      </c>
      <c r="L2423" s="28" t="s">
        <v>11</v>
      </c>
      <c r="M2423" s="14"/>
      <c r="N2423" s="10" t="s">
        <v>1028</v>
      </c>
    </row>
    <row r="2424" spans="1:14" ht="22.5" customHeight="1">
      <c r="A2424" s="8">
        <v>46006.813069224532</v>
      </c>
      <c r="B2424" s="9" t="s">
        <v>14</v>
      </c>
      <c r="C2424" s="9" t="s">
        <v>15</v>
      </c>
      <c r="D2424" s="10" t="s">
        <v>5400</v>
      </c>
      <c r="E2424" s="9" t="s">
        <v>17</v>
      </c>
      <c r="F2424" s="10">
        <v>27</v>
      </c>
      <c r="G2424" s="11">
        <v>8140664200</v>
      </c>
      <c r="H2424" s="10" t="s">
        <v>5401</v>
      </c>
      <c r="I2424" s="10" t="s">
        <v>49</v>
      </c>
      <c r="J2424" s="10" t="s">
        <v>106</v>
      </c>
      <c r="K2424" s="12">
        <v>46006</v>
      </c>
      <c r="L2424" s="28" t="s">
        <v>11</v>
      </c>
      <c r="M2424" s="14"/>
      <c r="N2424" s="10" t="s">
        <v>1028</v>
      </c>
    </row>
    <row r="2425" spans="1:14" ht="22.5" customHeight="1">
      <c r="A2425" s="8">
        <v>46006.81347277778</v>
      </c>
      <c r="B2425" s="9" t="s">
        <v>14</v>
      </c>
      <c r="C2425" s="9" t="s">
        <v>15</v>
      </c>
      <c r="D2425" s="10" t="s">
        <v>5402</v>
      </c>
      <c r="E2425" s="9" t="s">
        <v>17</v>
      </c>
      <c r="F2425" s="10">
        <v>24</v>
      </c>
      <c r="G2425" s="11">
        <v>9039557479</v>
      </c>
      <c r="H2425" s="10" t="s">
        <v>5403</v>
      </c>
      <c r="I2425" s="10" t="s">
        <v>45</v>
      </c>
      <c r="J2425" s="10" t="s">
        <v>901</v>
      </c>
      <c r="K2425" s="12">
        <v>46006</v>
      </c>
      <c r="L2425" s="28" t="s">
        <v>11</v>
      </c>
      <c r="M2425" s="14"/>
      <c r="N2425" s="10" t="s">
        <v>1028</v>
      </c>
    </row>
    <row r="2426" spans="1:14" ht="22.5" customHeight="1">
      <c r="A2426" s="8">
        <v>46006.814521527776</v>
      </c>
      <c r="B2426" s="9" t="s">
        <v>14</v>
      </c>
      <c r="C2426" s="9" t="s">
        <v>15</v>
      </c>
      <c r="D2426" s="10" t="s">
        <v>5404</v>
      </c>
      <c r="E2426" s="9" t="s">
        <v>22</v>
      </c>
      <c r="F2426" s="10">
        <v>27</v>
      </c>
      <c r="G2426" s="11">
        <v>8135068528</v>
      </c>
      <c r="H2426" s="10" t="s">
        <v>5405</v>
      </c>
      <c r="I2426" s="10" t="s">
        <v>27</v>
      </c>
      <c r="J2426" s="10" t="s">
        <v>70</v>
      </c>
      <c r="K2426" s="12">
        <v>35920</v>
      </c>
      <c r="L2426" s="28" t="s">
        <v>11</v>
      </c>
      <c r="M2426" s="14"/>
      <c r="N2426" s="10" t="s">
        <v>1140</v>
      </c>
    </row>
    <row r="2427" spans="1:14" ht="22.5" customHeight="1">
      <c r="A2427" s="8">
        <v>46006.814983553239</v>
      </c>
      <c r="B2427" s="9" t="s">
        <v>14</v>
      </c>
      <c r="C2427" s="9" t="s">
        <v>15</v>
      </c>
      <c r="D2427" s="10" t="s">
        <v>5406</v>
      </c>
      <c r="E2427" s="9" t="s">
        <v>17</v>
      </c>
      <c r="F2427" s="10">
        <v>33</v>
      </c>
      <c r="G2427" s="11">
        <v>8035699564</v>
      </c>
      <c r="H2427" s="10" t="s">
        <v>5407</v>
      </c>
      <c r="I2427" s="10" t="s">
        <v>49</v>
      </c>
      <c r="J2427" s="10" t="s">
        <v>50</v>
      </c>
      <c r="K2427" s="12">
        <v>46006</v>
      </c>
      <c r="L2427" s="28" t="s">
        <v>11</v>
      </c>
      <c r="M2427" s="14"/>
      <c r="N2427" s="10" t="s">
        <v>1028</v>
      </c>
    </row>
    <row r="2428" spans="1:14" ht="22.5" customHeight="1">
      <c r="A2428" s="8">
        <v>46006.815242777782</v>
      </c>
      <c r="B2428" s="9" t="s">
        <v>14</v>
      </c>
      <c r="C2428" s="9" t="s">
        <v>15</v>
      </c>
      <c r="D2428" s="10" t="s">
        <v>5408</v>
      </c>
      <c r="E2428" s="9" t="s">
        <v>17</v>
      </c>
      <c r="F2428" s="10">
        <v>23</v>
      </c>
      <c r="G2428" s="11">
        <v>8069232354</v>
      </c>
      <c r="H2428" s="10" t="s">
        <v>5409</v>
      </c>
      <c r="I2428" s="10" t="s">
        <v>27</v>
      </c>
      <c r="J2428" s="10" t="s">
        <v>1456</v>
      </c>
      <c r="K2428" s="12">
        <v>46006</v>
      </c>
      <c r="L2428" s="28" t="s">
        <v>11</v>
      </c>
      <c r="M2428" s="10"/>
      <c r="N2428" s="10" t="s">
        <v>1028</v>
      </c>
    </row>
    <row r="2429" spans="1:14" ht="22.5" customHeight="1">
      <c r="A2429" s="8">
        <v>46006.824556574073</v>
      </c>
      <c r="B2429" s="9" t="s">
        <v>14</v>
      </c>
      <c r="C2429" s="9" t="s">
        <v>15</v>
      </c>
      <c r="D2429" s="10" t="s">
        <v>5410</v>
      </c>
      <c r="E2429" s="9" t="s">
        <v>17</v>
      </c>
      <c r="F2429" s="10">
        <v>31</v>
      </c>
      <c r="G2429" s="11">
        <f t="shared" ref="G2429" si="62">244995290551</f>
        <v>244995290551</v>
      </c>
      <c r="H2429" s="10" t="s">
        <v>5411</v>
      </c>
      <c r="I2429" s="10" t="s">
        <v>202</v>
      </c>
      <c r="J2429" s="10" t="s">
        <v>5412</v>
      </c>
      <c r="K2429" s="12">
        <v>46006</v>
      </c>
      <c r="L2429" s="28" t="s">
        <v>11</v>
      </c>
      <c r="M2429" s="10"/>
      <c r="N2429" s="10" t="s">
        <v>1028</v>
      </c>
    </row>
    <row r="2430" spans="1:14" ht="22.5" customHeight="1">
      <c r="A2430" s="8">
        <v>46006.834572094907</v>
      </c>
      <c r="B2430" s="9" t="s">
        <v>14</v>
      </c>
      <c r="C2430" s="9" t="s">
        <v>15</v>
      </c>
      <c r="D2430" s="10" t="s">
        <v>1705</v>
      </c>
      <c r="E2430" s="9" t="s">
        <v>17</v>
      </c>
      <c r="F2430" s="10">
        <v>28</v>
      </c>
      <c r="G2430" s="11">
        <v>7037491850</v>
      </c>
      <c r="H2430" s="10" t="s">
        <v>5413</v>
      </c>
      <c r="I2430" s="10" t="s">
        <v>49</v>
      </c>
      <c r="J2430" s="10" t="s">
        <v>106</v>
      </c>
      <c r="K2430" s="12">
        <v>46006</v>
      </c>
      <c r="L2430" s="28" t="s">
        <v>11</v>
      </c>
      <c r="M2430" s="14"/>
      <c r="N2430" s="10" t="s">
        <v>1028</v>
      </c>
    </row>
    <row r="2431" spans="1:14" ht="22.5" customHeight="1">
      <c r="A2431" s="8">
        <v>46006.839298055551</v>
      </c>
      <c r="B2431" s="9" t="s">
        <v>14</v>
      </c>
      <c r="C2431" s="9" t="s">
        <v>15</v>
      </c>
      <c r="D2431" s="10" t="s">
        <v>5414</v>
      </c>
      <c r="E2431" s="9" t="s">
        <v>17</v>
      </c>
      <c r="F2431" s="10">
        <v>38</v>
      </c>
      <c r="G2431" s="11">
        <v>7035012177</v>
      </c>
      <c r="H2431" s="10" t="s">
        <v>5415</v>
      </c>
      <c r="I2431" s="10" t="s">
        <v>27</v>
      </c>
      <c r="J2431" s="10" t="s">
        <v>3992</v>
      </c>
      <c r="K2431" s="12">
        <v>46006</v>
      </c>
      <c r="L2431" s="28" t="s">
        <v>11</v>
      </c>
      <c r="M2431" s="14"/>
      <c r="N2431" s="10" t="s">
        <v>1028</v>
      </c>
    </row>
    <row r="2432" spans="1:14" ht="22.5" customHeight="1">
      <c r="A2432" s="8">
        <v>46006.839477847221</v>
      </c>
      <c r="B2432" s="9" t="s">
        <v>14</v>
      </c>
      <c r="C2432" s="9" t="s">
        <v>15</v>
      </c>
      <c r="D2432" s="10" t="s">
        <v>5416</v>
      </c>
      <c r="E2432" s="9" t="s">
        <v>22</v>
      </c>
      <c r="F2432" s="10">
        <v>37</v>
      </c>
      <c r="G2432" s="11">
        <v>7066379080</v>
      </c>
      <c r="H2432" s="10" t="s">
        <v>5417</v>
      </c>
      <c r="I2432" s="10" t="s">
        <v>49</v>
      </c>
      <c r="J2432" s="10" t="s">
        <v>50</v>
      </c>
      <c r="K2432" s="12">
        <v>46006</v>
      </c>
      <c r="L2432" s="28" t="s">
        <v>11</v>
      </c>
      <c r="M2432" s="14"/>
      <c r="N2432" s="10" t="s">
        <v>1028</v>
      </c>
    </row>
    <row r="2433" spans="1:14" ht="22.5" customHeight="1">
      <c r="A2433" s="8">
        <v>46006.841870625001</v>
      </c>
      <c r="B2433" s="9" t="s">
        <v>14</v>
      </c>
      <c r="C2433" s="9" t="s">
        <v>15</v>
      </c>
      <c r="D2433" s="10" t="s">
        <v>5418</v>
      </c>
      <c r="E2433" s="9" t="s">
        <v>17</v>
      </c>
      <c r="F2433" s="10">
        <v>30</v>
      </c>
      <c r="G2433" s="11">
        <v>7039086911</v>
      </c>
      <c r="H2433" s="10" t="s">
        <v>5419</v>
      </c>
      <c r="I2433" s="10" t="s">
        <v>27</v>
      </c>
      <c r="J2433" s="10" t="s">
        <v>5420</v>
      </c>
      <c r="K2433" s="12">
        <v>46006</v>
      </c>
      <c r="L2433" s="28" t="s">
        <v>11</v>
      </c>
      <c r="M2433" s="14"/>
      <c r="N2433" s="10" t="s">
        <v>1028</v>
      </c>
    </row>
    <row r="2434" spans="1:14" ht="22.5" customHeight="1">
      <c r="A2434" s="8">
        <v>46006.850236145838</v>
      </c>
      <c r="B2434" s="9" t="s">
        <v>14</v>
      </c>
      <c r="C2434" s="9" t="s">
        <v>15</v>
      </c>
      <c r="D2434" s="10" t="s">
        <v>5421</v>
      </c>
      <c r="E2434" s="9" t="s">
        <v>22</v>
      </c>
      <c r="F2434" s="10">
        <v>25</v>
      </c>
      <c r="G2434" s="11">
        <v>8108536008</v>
      </c>
      <c r="H2434" s="10" t="s">
        <v>5422</v>
      </c>
      <c r="I2434" s="10" t="s">
        <v>49</v>
      </c>
      <c r="J2434" s="10" t="s">
        <v>106</v>
      </c>
      <c r="K2434" s="12">
        <v>46006</v>
      </c>
      <c r="L2434" s="28" t="s">
        <v>11</v>
      </c>
      <c r="M2434" s="14"/>
      <c r="N2434" s="10" t="s">
        <v>1028</v>
      </c>
    </row>
    <row r="2435" spans="1:14" ht="22.5" customHeight="1">
      <c r="A2435" s="8">
        <v>46006.852189733792</v>
      </c>
      <c r="B2435" s="9" t="s">
        <v>14</v>
      </c>
      <c r="C2435" s="9" t="s">
        <v>15</v>
      </c>
      <c r="D2435" s="10" t="s">
        <v>5423</v>
      </c>
      <c r="E2435" s="9" t="s">
        <v>17</v>
      </c>
      <c r="F2435" s="10">
        <v>26</v>
      </c>
      <c r="G2435" s="11">
        <v>9067846055</v>
      </c>
      <c r="H2435" s="10" t="s">
        <v>5424</v>
      </c>
      <c r="I2435" s="10" t="s">
        <v>27</v>
      </c>
      <c r="J2435" s="10" t="s">
        <v>27</v>
      </c>
      <c r="K2435" s="12">
        <v>46006</v>
      </c>
      <c r="L2435" s="28" t="s">
        <v>11</v>
      </c>
      <c r="M2435" s="14"/>
      <c r="N2435" s="10" t="s">
        <v>1096</v>
      </c>
    </row>
    <row r="2436" spans="1:14" ht="22.5" customHeight="1">
      <c r="A2436" s="8">
        <v>46006.853888564816</v>
      </c>
      <c r="B2436" s="9" t="s">
        <v>14</v>
      </c>
      <c r="C2436" s="9" t="s">
        <v>15</v>
      </c>
      <c r="D2436" s="10" t="s">
        <v>5425</v>
      </c>
      <c r="E2436" s="9" t="s">
        <v>22</v>
      </c>
      <c r="F2436" s="10">
        <v>25</v>
      </c>
      <c r="G2436" s="11">
        <v>8124017028</v>
      </c>
      <c r="H2436" s="10" t="s">
        <v>5426</v>
      </c>
      <c r="I2436" s="10" t="s">
        <v>27</v>
      </c>
      <c r="J2436" s="10" t="s">
        <v>94</v>
      </c>
      <c r="K2436" s="12">
        <v>46006</v>
      </c>
      <c r="L2436" s="28" t="s">
        <v>11</v>
      </c>
      <c r="M2436" s="14"/>
      <c r="N2436" s="10" t="s">
        <v>1028</v>
      </c>
    </row>
    <row r="2437" spans="1:14" ht="22.5" customHeight="1">
      <c r="A2437" s="8">
        <v>46006.855498414356</v>
      </c>
      <c r="B2437" s="9" t="s">
        <v>14</v>
      </c>
      <c r="C2437" s="9" t="s">
        <v>15</v>
      </c>
      <c r="D2437" s="10" t="s">
        <v>5427</v>
      </c>
      <c r="E2437" s="9" t="s">
        <v>17</v>
      </c>
      <c r="F2437" s="10">
        <v>23</v>
      </c>
      <c r="G2437" s="11">
        <v>618750084</v>
      </c>
      <c r="H2437" s="10" t="s">
        <v>5428</v>
      </c>
      <c r="I2437" s="10" t="s">
        <v>202</v>
      </c>
      <c r="J2437" s="10" t="s">
        <v>5429</v>
      </c>
      <c r="K2437" s="12">
        <v>46006</v>
      </c>
      <c r="L2437" s="28" t="s">
        <v>11</v>
      </c>
      <c r="M2437" s="14"/>
      <c r="N2437" s="10" t="s">
        <v>1028</v>
      </c>
    </row>
    <row r="2438" spans="1:14" ht="22.5" customHeight="1">
      <c r="A2438" s="8">
        <v>46006.859067997684</v>
      </c>
      <c r="B2438" s="9" t="s">
        <v>14</v>
      </c>
      <c r="C2438" s="9" t="s">
        <v>15</v>
      </c>
      <c r="D2438" s="10" t="s">
        <v>5430</v>
      </c>
      <c r="E2438" s="9" t="s">
        <v>17</v>
      </c>
      <c r="F2438" s="10">
        <v>32</v>
      </c>
      <c r="G2438" s="11">
        <v>7033562445</v>
      </c>
      <c r="H2438" s="10" t="s">
        <v>5431</v>
      </c>
      <c r="I2438" s="10" t="s">
        <v>27</v>
      </c>
      <c r="J2438" s="10" t="s">
        <v>28</v>
      </c>
      <c r="K2438" s="12">
        <v>46006</v>
      </c>
      <c r="L2438" s="28" t="s">
        <v>11</v>
      </c>
      <c r="M2438" s="14"/>
      <c r="N2438" s="10" t="s">
        <v>1028</v>
      </c>
    </row>
    <row r="2439" spans="1:14" ht="22.5" customHeight="1">
      <c r="A2439" s="8">
        <v>46006.866779212964</v>
      </c>
      <c r="B2439" s="9" t="s">
        <v>14</v>
      </c>
      <c r="C2439" s="9" t="s">
        <v>15</v>
      </c>
      <c r="D2439" s="10" t="s">
        <v>5432</v>
      </c>
      <c r="E2439" s="9" t="s">
        <v>22</v>
      </c>
      <c r="F2439" s="10">
        <v>38</v>
      </c>
      <c r="G2439" s="11">
        <v>8156240985</v>
      </c>
      <c r="H2439" s="10" t="s">
        <v>5433</v>
      </c>
      <c r="I2439" s="10" t="s">
        <v>19</v>
      </c>
      <c r="J2439" s="10" t="s">
        <v>5434</v>
      </c>
      <c r="K2439" s="12">
        <v>46006</v>
      </c>
      <c r="L2439" s="28" t="s">
        <v>11</v>
      </c>
      <c r="M2439" s="14"/>
      <c r="N2439" s="10" t="s">
        <v>1028</v>
      </c>
    </row>
    <row r="2440" spans="1:14" ht="22.5" customHeight="1">
      <c r="A2440" s="8">
        <v>46006.872757025463</v>
      </c>
      <c r="B2440" s="9" t="s">
        <v>14</v>
      </c>
      <c r="C2440" s="9" t="s">
        <v>15</v>
      </c>
      <c r="D2440" s="10" t="s">
        <v>5435</v>
      </c>
      <c r="E2440" s="9" t="s">
        <v>17</v>
      </c>
      <c r="F2440" s="10">
        <v>27</v>
      </c>
      <c r="G2440" s="11">
        <v>7065555698</v>
      </c>
      <c r="H2440" s="10" t="s">
        <v>5436</v>
      </c>
      <c r="I2440" s="10" t="s">
        <v>27</v>
      </c>
      <c r="J2440" s="10" t="s">
        <v>172</v>
      </c>
      <c r="K2440" s="12">
        <v>46006</v>
      </c>
      <c r="L2440" s="28" t="s">
        <v>11</v>
      </c>
      <c r="M2440" s="14"/>
      <c r="N2440" s="10" t="s">
        <v>1028</v>
      </c>
    </row>
    <row r="2441" spans="1:14" ht="22.5" customHeight="1">
      <c r="A2441" s="8">
        <v>46006.874729571762</v>
      </c>
      <c r="B2441" s="9" t="s">
        <v>14</v>
      </c>
      <c r="C2441" s="9" t="s">
        <v>15</v>
      </c>
      <c r="D2441" s="10" t="s">
        <v>5437</v>
      </c>
      <c r="E2441" s="9" t="s">
        <v>17</v>
      </c>
      <c r="F2441" s="10">
        <v>33</v>
      </c>
      <c r="G2441" s="11">
        <v>8165175477</v>
      </c>
      <c r="H2441" s="10" t="s">
        <v>5438</v>
      </c>
      <c r="I2441" s="10" t="s">
        <v>27</v>
      </c>
      <c r="J2441" s="10" t="s">
        <v>3763</v>
      </c>
      <c r="K2441" s="12">
        <v>46006</v>
      </c>
      <c r="L2441" s="28" t="s">
        <v>11</v>
      </c>
      <c r="M2441" s="14"/>
      <c r="N2441" s="10" t="s">
        <v>1028</v>
      </c>
    </row>
    <row r="2442" spans="1:14" ht="22.5" hidden="1" customHeight="1">
      <c r="A2442" s="8">
        <v>46006.875135671296</v>
      </c>
      <c r="B2442" s="9" t="s">
        <v>14</v>
      </c>
      <c r="C2442" s="9" t="s">
        <v>15</v>
      </c>
      <c r="D2442" s="10" t="s">
        <v>5439</v>
      </c>
      <c r="E2442" s="9" t="s">
        <v>22</v>
      </c>
      <c r="F2442" s="10">
        <v>35</v>
      </c>
      <c r="G2442" s="11">
        <v>7067746241</v>
      </c>
      <c r="H2442" s="10" t="s">
        <v>5440</v>
      </c>
      <c r="I2442" s="10" t="s">
        <v>27</v>
      </c>
      <c r="J2442" s="10" t="s">
        <v>1456</v>
      </c>
      <c r="K2442" s="12">
        <v>32967</v>
      </c>
      <c r="L2442" s="10" t="s">
        <v>441</v>
      </c>
      <c r="M2442" s="10" t="s">
        <v>1562</v>
      </c>
      <c r="N2442" s="10" t="s">
        <v>1028</v>
      </c>
    </row>
    <row r="2443" spans="1:14" ht="22.5" customHeight="1">
      <c r="A2443" s="8">
        <v>46006.877978993056</v>
      </c>
      <c r="B2443" s="9" t="s">
        <v>14</v>
      </c>
      <c r="C2443" s="9" t="s">
        <v>15</v>
      </c>
      <c r="D2443" s="10" t="s">
        <v>5441</v>
      </c>
      <c r="E2443" s="9" t="s">
        <v>17</v>
      </c>
      <c r="F2443" s="10">
        <v>33</v>
      </c>
      <c r="G2443" s="11">
        <v>8061209598</v>
      </c>
      <c r="H2443" s="10" t="s">
        <v>5442</v>
      </c>
      <c r="I2443" s="10" t="s">
        <v>27</v>
      </c>
      <c r="J2443" s="10" t="s">
        <v>70</v>
      </c>
      <c r="K2443" s="12">
        <v>46006</v>
      </c>
      <c r="L2443" s="28" t="s">
        <v>11</v>
      </c>
      <c r="M2443" s="14"/>
      <c r="N2443" s="10" t="s">
        <v>1028</v>
      </c>
    </row>
    <row r="2444" spans="1:14" ht="22.5" customHeight="1">
      <c r="A2444" s="8">
        <v>46006.88849834491</v>
      </c>
      <c r="B2444" s="9" t="s">
        <v>14</v>
      </c>
      <c r="C2444" s="9" t="s">
        <v>15</v>
      </c>
      <c r="D2444" s="10" t="s">
        <v>5443</v>
      </c>
      <c r="E2444" s="9" t="s">
        <v>22</v>
      </c>
      <c r="F2444" s="10">
        <v>37</v>
      </c>
      <c r="G2444" s="11">
        <v>7036283206</v>
      </c>
      <c r="H2444" s="10" t="s">
        <v>5444</v>
      </c>
      <c r="I2444" s="10" t="s">
        <v>202</v>
      </c>
      <c r="J2444" s="10" t="s">
        <v>1860</v>
      </c>
      <c r="K2444" s="12">
        <v>46006</v>
      </c>
      <c r="L2444" s="28" t="s">
        <v>11</v>
      </c>
      <c r="M2444" s="14"/>
      <c r="N2444" s="10" t="s">
        <v>1028</v>
      </c>
    </row>
    <row r="2445" spans="1:14" ht="22.5" customHeight="1">
      <c r="A2445" s="8">
        <v>46006.892857407409</v>
      </c>
      <c r="B2445" s="9" t="s">
        <v>14</v>
      </c>
      <c r="C2445" s="9" t="s">
        <v>15</v>
      </c>
      <c r="D2445" s="10" t="s">
        <v>5445</v>
      </c>
      <c r="E2445" s="9" t="s">
        <v>22</v>
      </c>
      <c r="F2445" s="10">
        <v>27</v>
      </c>
      <c r="G2445" s="11">
        <v>8139551639</v>
      </c>
      <c r="H2445" s="10" t="s">
        <v>5446</v>
      </c>
      <c r="I2445" s="10" t="s">
        <v>45</v>
      </c>
      <c r="J2445" s="10" t="s">
        <v>84</v>
      </c>
      <c r="K2445" s="12">
        <v>46006</v>
      </c>
      <c r="L2445" s="28" t="s">
        <v>11</v>
      </c>
      <c r="M2445" s="14"/>
      <c r="N2445" s="10" t="s">
        <v>1028</v>
      </c>
    </row>
    <row r="2446" spans="1:14" ht="22.5" customHeight="1">
      <c r="A2446" s="8">
        <v>46006.895229178241</v>
      </c>
      <c r="B2446" s="9" t="s">
        <v>14</v>
      </c>
      <c r="C2446" s="9" t="s">
        <v>15</v>
      </c>
      <c r="D2446" s="10" t="s">
        <v>5447</v>
      </c>
      <c r="E2446" s="9" t="s">
        <v>22</v>
      </c>
      <c r="F2446" s="10">
        <v>22</v>
      </c>
      <c r="G2446" s="11">
        <v>7086466930</v>
      </c>
      <c r="H2446" s="10" t="s">
        <v>5448</v>
      </c>
      <c r="I2446" s="10" t="s">
        <v>49</v>
      </c>
      <c r="J2446" s="10" t="s">
        <v>628</v>
      </c>
      <c r="K2446" s="12">
        <v>46006</v>
      </c>
      <c r="L2446" s="28" t="s">
        <v>11</v>
      </c>
      <c r="M2446" s="14"/>
      <c r="N2446" s="10" t="s">
        <v>1028</v>
      </c>
    </row>
    <row r="2447" spans="1:14" ht="22.5" customHeight="1">
      <c r="A2447" s="8">
        <v>46006.895846388885</v>
      </c>
      <c r="B2447" s="9" t="s">
        <v>14</v>
      </c>
      <c r="C2447" s="9" t="s">
        <v>15</v>
      </c>
      <c r="D2447" s="10" t="s">
        <v>5449</v>
      </c>
      <c r="E2447" s="9" t="s">
        <v>17</v>
      </c>
      <c r="F2447" s="10">
        <v>25</v>
      </c>
      <c r="G2447" s="11">
        <v>8023720356</v>
      </c>
      <c r="H2447" s="10" t="s">
        <v>5450</v>
      </c>
      <c r="I2447" s="10" t="s">
        <v>27</v>
      </c>
      <c r="J2447" s="10" t="s">
        <v>1293</v>
      </c>
      <c r="K2447" s="12">
        <v>46006</v>
      </c>
      <c r="L2447" s="28" t="s">
        <v>11</v>
      </c>
      <c r="M2447" s="14"/>
      <c r="N2447" s="10" t="s">
        <v>1028</v>
      </c>
    </row>
    <row r="2448" spans="1:14" ht="22.5" customHeight="1">
      <c r="A2448" s="8">
        <v>46006.896968449073</v>
      </c>
      <c r="B2448" s="9" t="s">
        <v>14</v>
      </c>
      <c r="C2448" s="9" t="s">
        <v>15</v>
      </c>
      <c r="D2448" s="10" t="s">
        <v>5451</v>
      </c>
      <c r="E2448" s="9" t="s">
        <v>22</v>
      </c>
      <c r="F2448" s="10">
        <v>29</v>
      </c>
      <c r="G2448" s="11">
        <v>8115227707</v>
      </c>
      <c r="H2448" s="10" t="s">
        <v>5452</v>
      </c>
      <c r="I2448" s="10" t="s">
        <v>45</v>
      </c>
      <c r="J2448" s="10" t="s">
        <v>1919</v>
      </c>
      <c r="K2448" s="12">
        <v>46006</v>
      </c>
      <c r="L2448" s="28" t="s">
        <v>11</v>
      </c>
      <c r="M2448" s="14"/>
      <c r="N2448" s="10" t="s">
        <v>1028</v>
      </c>
    </row>
    <row r="2449" spans="1:20" ht="22.5" customHeight="1">
      <c r="A2449" s="8">
        <v>46006.898494710651</v>
      </c>
      <c r="B2449" s="9" t="s">
        <v>14</v>
      </c>
      <c r="C2449" s="9" t="s">
        <v>15</v>
      </c>
      <c r="D2449" s="10" t="s">
        <v>5453</v>
      </c>
      <c r="E2449" s="9" t="s">
        <v>17</v>
      </c>
      <c r="F2449" s="10">
        <v>31</v>
      </c>
      <c r="G2449" s="11">
        <v>7072710164</v>
      </c>
      <c r="H2449" s="10" t="s">
        <v>5454</v>
      </c>
      <c r="I2449" s="10" t="s">
        <v>202</v>
      </c>
      <c r="J2449" s="10" t="s">
        <v>4020</v>
      </c>
      <c r="K2449" s="12">
        <v>46006</v>
      </c>
      <c r="L2449" s="28" t="s">
        <v>11</v>
      </c>
      <c r="M2449" s="14"/>
      <c r="N2449" s="10" t="s">
        <v>1096</v>
      </c>
    </row>
    <row r="2450" spans="1:20" ht="22.5" customHeight="1">
      <c r="A2450" s="8">
        <v>46006.901597175922</v>
      </c>
      <c r="B2450" s="9" t="s">
        <v>14</v>
      </c>
      <c r="C2450" s="9" t="s">
        <v>15</v>
      </c>
      <c r="D2450" s="10" t="s">
        <v>5455</v>
      </c>
      <c r="E2450" s="9" t="s">
        <v>22</v>
      </c>
      <c r="F2450" s="10">
        <v>23</v>
      </c>
      <c r="G2450" s="11">
        <v>8131892991</v>
      </c>
      <c r="H2450" s="10" t="s">
        <v>5456</v>
      </c>
      <c r="I2450" s="10" t="s">
        <v>45</v>
      </c>
      <c r="J2450" s="10" t="s">
        <v>131</v>
      </c>
      <c r="K2450" s="12">
        <v>46006</v>
      </c>
      <c r="L2450" s="28" t="s">
        <v>11</v>
      </c>
      <c r="M2450" s="14"/>
      <c r="N2450" s="10" t="s">
        <v>1096</v>
      </c>
      <c r="O2450" s="20"/>
      <c r="P2450" s="21"/>
      <c r="Q2450" s="21"/>
      <c r="R2450" s="21"/>
      <c r="S2450" s="21"/>
      <c r="T2450" s="21"/>
    </row>
    <row r="2451" spans="1:20" ht="22.5" customHeight="1">
      <c r="A2451" s="8">
        <v>46006.90262980324</v>
      </c>
      <c r="B2451" s="9" t="s">
        <v>14</v>
      </c>
      <c r="C2451" s="9" t="s">
        <v>15</v>
      </c>
      <c r="D2451" s="10" t="s">
        <v>5457</v>
      </c>
      <c r="E2451" s="9" t="s">
        <v>17</v>
      </c>
      <c r="F2451" s="10">
        <v>32</v>
      </c>
      <c r="G2451" s="11">
        <f>966502897260</f>
        <v>966502897260</v>
      </c>
      <c r="H2451" s="10" t="s">
        <v>5458</v>
      </c>
      <c r="I2451" s="10" t="s">
        <v>19</v>
      </c>
      <c r="J2451" s="10" t="s">
        <v>5459</v>
      </c>
      <c r="K2451" s="12">
        <v>46006</v>
      </c>
      <c r="L2451" s="28" t="s">
        <v>11</v>
      </c>
      <c r="M2451" s="14"/>
      <c r="N2451" s="10" t="s">
        <v>5460</v>
      </c>
    </row>
    <row r="2452" spans="1:20" ht="22.5" customHeight="1">
      <c r="A2452" s="8">
        <v>46006.908712986115</v>
      </c>
      <c r="B2452" s="9" t="s">
        <v>14</v>
      </c>
      <c r="C2452" s="9" t="s">
        <v>15</v>
      </c>
      <c r="D2452" s="10" t="s">
        <v>5461</v>
      </c>
      <c r="E2452" s="9" t="s">
        <v>22</v>
      </c>
      <c r="F2452" s="10">
        <v>26</v>
      </c>
      <c r="G2452" s="11">
        <v>9065199237</v>
      </c>
      <c r="H2452" s="10" t="s">
        <v>5462</v>
      </c>
      <c r="I2452" s="10" t="s">
        <v>49</v>
      </c>
      <c r="J2452" s="10" t="s">
        <v>103</v>
      </c>
      <c r="K2452" s="12">
        <v>46006</v>
      </c>
      <c r="L2452" s="28" t="s">
        <v>11</v>
      </c>
      <c r="M2452" s="14"/>
      <c r="N2452" s="10" t="s">
        <v>1028</v>
      </c>
    </row>
    <row r="2453" spans="1:20" ht="22.5" customHeight="1">
      <c r="A2453" s="8">
        <v>46006.912478750004</v>
      </c>
      <c r="B2453" s="9" t="s">
        <v>14</v>
      </c>
      <c r="C2453" s="9" t="s">
        <v>15</v>
      </c>
      <c r="D2453" s="10" t="s">
        <v>5463</v>
      </c>
      <c r="E2453" s="9" t="s">
        <v>17</v>
      </c>
      <c r="F2453" s="10">
        <v>32</v>
      </c>
      <c r="G2453" s="11">
        <v>7067216483</v>
      </c>
      <c r="H2453" s="10" t="s">
        <v>5464</v>
      </c>
      <c r="I2453" s="10" t="s">
        <v>49</v>
      </c>
      <c r="J2453" s="10" t="s">
        <v>73</v>
      </c>
      <c r="K2453" s="12">
        <v>46006</v>
      </c>
      <c r="L2453" s="28" t="s">
        <v>11</v>
      </c>
      <c r="M2453" s="14"/>
      <c r="N2453" s="10" t="s">
        <v>1096</v>
      </c>
    </row>
    <row r="2454" spans="1:20" ht="22.5" customHeight="1">
      <c r="A2454" s="8">
        <v>46006.914200833329</v>
      </c>
      <c r="B2454" s="9" t="s">
        <v>14</v>
      </c>
      <c r="C2454" s="9" t="s">
        <v>15</v>
      </c>
      <c r="D2454" s="10" t="s">
        <v>5465</v>
      </c>
      <c r="E2454" s="9" t="s">
        <v>22</v>
      </c>
      <c r="F2454" s="10">
        <v>34</v>
      </c>
      <c r="G2454" s="11">
        <v>8067551374</v>
      </c>
      <c r="H2454" s="10" t="s">
        <v>5466</v>
      </c>
      <c r="I2454" s="10" t="s">
        <v>27</v>
      </c>
      <c r="J2454" s="10" t="s">
        <v>372</v>
      </c>
      <c r="K2454" s="12">
        <v>46006</v>
      </c>
      <c r="L2454" s="28" t="s">
        <v>11</v>
      </c>
      <c r="M2454" s="14"/>
      <c r="N2454" s="10" t="s">
        <v>1028</v>
      </c>
    </row>
    <row r="2455" spans="1:20" ht="22.5" customHeight="1">
      <c r="A2455" s="8">
        <v>46006.920001099541</v>
      </c>
      <c r="B2455" s="9" t="s">
        <v>14</v>
      </c>
      <c r="C2455" s="9" t="s">
        <v>15</v>
      </c>
      <c r="D2455" s="10" t="s">
        <v>5467</v>
      </c>
      <c r="E2455" s="9" t="s">
        <v>22</v>
      </c>
      <c r="F2455" s="19">
        <v>43</v>
      </c>
      <c r="G2455" s="11">
        <v>8039144437</v>
      </c>
      <c r="H2455" s="10" t="s">
        <v>5468</v>
      </c>
      <c r="I2455" s="10" t="s">
        <v>27</v>
      </c>
      <c r="J2455" s="10" t="s">
        <v>372</v>
      </c>
      <c r="K2455" s="12">
        <v>46006</v>
      </c>
      <c r="L2455" s="28" t="s">
        <v>11</v>
      </c>
      <c r="M2455" s="14"/>
      <c r="N2455" s="10" t="s">
        <v>1028</v>
      </c>
    </row>
    <row r="2456" spans="1:20" ht="22.5" customHeight="1">
      <c r="A2456" s="8">
        <v>46006.923896782406</v>
      </c>
      <c r="B2456" s="9" t="s">
        <v>14</v>
      </c>
      <c r="C2456" s="9" t="s">
        <v>15</v>
      </c>
      <c r="D2456" s="10" t="s">
        <v>5469</v>
      </c>
      <c r="E2456" s="9" t="s">
        <v>22</v>
      </c>
      <c r="F2456" s="10">
        <v>25</v>
      </c>
      <c r="G2456" s="11">
        <v>7087025773</v>
      </c>
      <c r="H2456" s="10" t="s">
        <v>5470</v>
      </c>
      <c r="I2456" s="10" t="s">
        <v>27</v>
      </c>
      <c r="J2456" s="10" t="s">
        <v>94</v>
      </c>
      <c r="K2456" s="12">
        <v>46006</v>
      </c>
      <c r="L2456" s="28" t="s">
        <v>11</v>
      </c>
      <c r="M2456" s="10"/>
      <c r="N2456" s="10" t="s">
        <v>1028</v>
      </c>
    </row>
    <row r="2457" spans="1:20" ht="22.5" customHeight="1">
      <c r="A2457" s="8">
        <v>46006.927384803239</v>
      </c>
      <c r="B2457" s="9" t="s">
        <v>14</v>
      </c>
      <c r="C2457" s="9" t="s">
        <v>15</v>
      </c>
      <c r="D2457" s="10" t="s">
        <v>5471</v>
      </c>
      <c r="E2457" s="9" t="s">
        <v>17</v>
      </c>
      <c r="F2457" s="10">
        <v>28</v>
      </c>
      <c r="G2457" s="11">
        <v>8121175706</v>
      </c>
      <c r="H2457" s="10" t="s">
        <v>5472</v>
      </c>
      <c r="I2457" s="10" t="s">
        <v>19</v>
      </c>
      <c r="J2457" s="10" t="s">
        <v>812</v>
      </c>
      <c r="K2457" s="12">
        <v>46006</v>
      </c>
      <c r="L2457" s="28" t="s">
        <v>11</v>
      </c>
      <c r="M2457" s="14"/>
      <c r="N2457" s="10" t="s">
        <v>5473</v>
      </c>
    </row>
    <row r="2458" spans="1:20" ht="22.5" customHeight="1">
      <c r="A2458" s="8">
        <v>46006.930896759259</v>
      </c>
      <c r="B2458" s="9" t="s">
        <v>14</v>
      </c>
      <c r="C2458" s="9" t="s">
        <v>15</v>
      </c>
      <c r="D2458" s="10" t="s">
        <v>5474</v>
      </c>
      <c r="E2458" s="9" t="s">
        <v>17</v>
      </c>
      <c r="F2458" s="10">
        <v>26</v>
      </c>
      <c r="G2458" s="11">
        <v>8160481275</v>
      </c>
      <c r="H2458" s="10" t="s">
        <v>5475</v>
      </c>
      <c r="I2458" s="10" t="s">
        <v>27</v>
      </c>
      <c r="J2458" s="10" t="s">
        <v>1288</v>
      </c>
      <c r="K2458" s="12">
        <v>46006</v>
      </c>
      <c r="L2458" s="28" t="s">
        <v>11</v>
      </c>
      <c r="M2458" s="14"/>
      <c r="N2458" s="10" t="s">
        <v>1028</v>
      </c>
    </row>
    <row r="2459" spans="1:20" ht="22.5" customHeight="1">
      <c r="A2459" s="8">
        <v>46006.948207986112</v>
      </c>
      <c r="B2459" s="9" t="s">
        <v>14</v>
      </c>
      <c r="C2459" s="9" t="s">
        <v>15</v>
      </c>
      <c r="D2459" s="10" t="s">
        <v>5476</v>
      </c>
      <c r="E2459" s="9" t="s">
        <v>17</v>
      </c>
      <c r="F2459" s="10">
        <v>31</v>
      </c>
      <c r="G2459" s="11">
        <v>8062910551</v>
      </c>
      <c r="H2459" s="10" t="s">
        <v>5477</v>
      </c>
      <c r="I2459" s="10" t="s">
        <v>49</v>
      </c>
      <c r="J2459" s="10" t="s">
        <v>106</v>
      </c>
      <c r="K2459" s="12">
        <v>46006</v>
      </c>
      <c r="L2459" s="28" t="s">
        <v>11</v>
      </c>
      <c r="M2459" s="14"/>
      <c r="N2459" s="10" t="s">
        <v>1028</v>
      </c>
    </row>
    <row r="2460" spans="1:20" ht="22.5" customHeight="1">
      <c r="A2460" s="8">
        <v>46006.948817337965</v>
      </c>
      <c r="B2460" s="9" t="s">
        <v>14</v>
      </c>
      <c r="C2460" s="9" t="s">
        <v>15</v>
      </c>
      <c r="D2460" s="10" t="s">
        <v>5478</v>
      </c>
      <c r="E2460" s="9" t="s">
        <v>22</v>
      </c>
      <c r="F2460" s="10">
        <v>21</v>
      </c>
      <c r="G2460" s="11">
        <v>9121698437</v>
      </c>
      <c r="H2460" s="10" t="s">
        <v>5479</v>
      </c>
      <c r="I2460" s="10" t="s">
        <v>27</v>
      </c>
      <c r="J2460" s="10" t="s">
        <v>94</v>
      </c>
      <c r="K2460" s="12">
        <v>46006</v>
      </c>
      <c r="L2460" s="28" t="s">
        <v>11</v>
      </c>
      <c r="M2460" s="10"/>
      <c r="N2460" s="10" t="s">
        <v>1028</v>
      </c>
    </row>
    <row r="2461" spans="1:20" ht="22.5" customHeight="1">
      <c r="A2461" s="8">
        <v>46006.956523194443</v>
      </c>
      <c r="B2461" s="9" t="s">
        <v>14</v>
      </c>
      <c r="C2461" s="9" t="s">
        <v>15</v>
      </c>
      <c r="D2461" s="10" t="s">
        <v>5480</v>
      </c>
      <c r="E2461" s="9" t="s">
        <v>17</v>
      </c>
      <c r="F2461" s="10">
        <v>35</v>
      </c>
      <c r="G2461" s="11">
        <v>9061290396</v>
      </c>
      <c r="H2461" s="10" t="s">
        <v>5481</v>
      </c>
      <c r="I2461" s="10" t="s">
        <v>27</v>
      </c>
      <c r="J2461" s="10" t="s">
        <v>5482</v>
      </c>
      <c r="K2461" s="12">
        <v>46006</v>
      </c>
      <c r="L2461" s="28" t="s">
        <v>11</v>
      </c>
      <c r="M2461" s="10"/>
      <c r="N2461" s="10" t="s">
        <v>1028</v>
      </c>
    </row>
    <row r="2462" spans="1:20" ht="22.5" customHeight="1">
      <c r="A2462" s="8">
        <v>46006.960786620373</v>
      </c>
      <c r="B2462" s="9" t="s">
        <v>14</v>
      </c>
      <c r="C2462" s="9" t="s">
        <v>15</v>
      </c>
      <c r="D2462" s="10" t="s">
        <v>5483</v>
      </c>
      <c r="E2462" s="9" t="s">
        <v>22</v>
      </c>
      <c r="F2462" s="10">
        <v>25</v>
      </c>
      <c r="G2462" s="11">
        <f>23407041067236</f>
        <v>23407041067236</v>
      </c>
      <c r="H2462" s="10" t="s">
        <v>5484</v>
      </c>
      <c r="I2462" s="10" t="s">
        <v>45</v>
      </c>
      <c r="J2462" s="10" t="s">
        <v>5485</v>
      </c>
      <c r="K2462" s="12">
        <v>46006</v>
      </c>
      <c r="L2462" s="28" t="s">
        <v>11</v>
      </c>
      <c r="M2462" s="14"/>
      <c r="N2462" s="10" t="s">
        <v>1028</v>
      </c>
    </row>
    <row r="2463" spans="1:20" ht="22.5" customHeight="1">
      <c r="A2463" s="8">
        <v>46006.96085314815</v>
      </c>
      <c r="B2463" s="9" t="s">
        <v>14</v>
      </c>
      <c r="C2463" s="9" t="s">
        <v>15</v>
      </c>
      <c r="D2463" s="10" t="s">
        <v>5486</v>
      </c>
      <c r="E2463" s="9" t="s">
        <v>22</v>
      </c>
      <c r="F2463" s="10">
        <v>22</v>
      </c>
      <c r="G2463" s="11">
        <v>8133648883</v>
      </c>
      <c r="H2463" s="10" t="s">
        <v>5487</v>
      </c>
      <c r="I2463" s="10" t="s">
        <v>27</v>
      </c>
      <c r="J2463" s="10" t="s">
        <v>3390</v>
      </c>
      <c r="K2463" s="12">
        <v>46006</v>
      </c>
      <c r="L2463" s="28" t="s">
        <v>11</v>
      </c>
      <c r="M2463" s="14"/>
      <c r="N2463" s="10" t="s">
        <v>1028</v>
      </c>
    </row>
    <row r="2464" spans="1:20" ht="22.5" customHeight="1">
      <c r="A2464" s="8">
        <v>46006.962019085651</v>
      </c>
      <c r="B2464" s="9" t="s">
        <v>14</v>
      </c>
      <c r="C2464" s="9" t="s">
        <v>15</v>
      </c>
      <c r="D2464" s="10" t="s">
        <v>5488</v>
      </c>
      <c r="E2464" s="9" t="s">
        <v>22</v>
      </c>
      <c r="F2464" s="10">
        <v>25</v>
      </c>
      <c r="G2464" s="11">
        <v>7036719195</v>
      </c>
      <c r="H2464" s="10" t="s">
        <v>5489</v>
      </c>
      <c r="I2464" s="10" t="s">
        <v>27</v>
      </c>
      <c r="J2464" s="10" t="s">
        <v>94</v>
      </c>
      <c r="K2464" s="12">
        <v>46006</v>
      </c>
      <c r="L2464" s="28" t="s">
        <v>11</v>
      </c>
      <c r="M2464" s="10"/>
      <c r="N2464" s="10" t="s">
        <v>1028</v>
      </c>
    </row>
    <row r="2465" spans="1:14" ht="22.5" customHeight="1">
      <c r="A2465" s="8">
        <v>46006.963362986113</v>
      </c>
      <c r="B2465" s="9" t="s">
        <v>14</v>
      </c>
      <c r="C2465" s="9" t="s">
        <v>15</v>
      </c>
      <c r="D2465" s="10" t="s">
        <v>5490</v>
      </c>
      <c r="E2465" s="9" t="s">
        <v>17</v>
      </c>
      <c r="F2465" s="10">
        <v>23</v>
      </c>
      <c r="G2465" s="11">
        <v>8142248681</v>
      </c>
      <c r="H2465" s="10" t="s">
        <v>5491</v>
      </c>
      <c r="I2465" s="10" t="s">
        <v>27</v>
      </c>
      <c r="J2465" s="10" t="s">
        <v>94</v>
      </c>
      <c r="K2465" s="12">
        <v>46006</v>
      </c>
      <c r="L2465" s="28" t="s">
        <v>11</v>
      </c>
      <c r="M2465" s="14"/>
      <c r="N2465" s="10" t="s">
        <v>1140</v>
      </c>
    </row>
    <row r="2466" spans="1:14" ht="22.5" customHeight="1">
      <c r="A2466" s="8">
        <v>46006.980647743054</v>
      </c>
      <c r="B2466" s="9" t="s">
        <v>14</v>
      </c>
      <c r="C2466" s="9" t="s">
        <v>15</v>
      </c>
      <c r="D2466" s="10" t="s">
        <v>5492</v>
      </c>
      <c r="E2466" s="9" t="s">
        <v>17</v>
      </c>
      <c r="F2466" s="10">
        <v>21</v>
      </c>
      <c r="G2466" s="11">
        <v>7078741068</v>
      </c>
      <c r="H2466" s="10" t="s">
        <v>5493</v>
      </c>
      <c r="I2466" s="10" t="s">
        <v>27</v>
      </c>
      <c r="J2466" s="10" t="s">
        <v>372</v>
      </c>
      <c r="K2466" s="12">
        <v>46006</v>
      </c>
      <c r="L2466" s="28" t="s">
        <v>11</v>
      </c>
      <c r="M2466" s="14"/>
      <c r="N2466" s="10" t="s">
        <v>1028</v>
      </c>
    </row>
    <row r="2467" spans="1:14" ht="22.5" customHeight="1">
      <c r="A2467" s="8">
        <v>46006.981777615743</v>
      </c>
      <c r="B2467" s="9" t="s">
        <v>14</v>
      </c>
      <c r="C2467" s="9" t="s">
        <v>15</v>
      </c>
      <c r="D2467" s="10" t="s">
        <v>5494</v>
      </c>
      <c r="E2467" s="9" t="s">
        <v>17</v>
      </c>
      <c r="F2467" s="10">
        <v>19</v>
      </c>
      <c r="G2467" s="11">
        <v>7015362339</v>
      </c>
      <c r="H2467" s="10" t="s">
        <v>5495</v>
      </c>
      <c r="I2467" s="10" t="s">
        <v>27</v>
      </c>
      <c r="J2467" s="10" t="s">
        <v>94</v>
      </c>
      <c r="K2467" s="12">
        <v>46006</v>
      </c>
      <c r="L2467" s="28" t="s">
        <v>11</v>
      </c>
      <c r="M2467" s="14"/>
      <c r="N2467" s="10" t="s">
        <v>1028</v>
      </c>
    </row>
    <row r="2468" spans="1:14" ht="22.5" hidden="1" customHeight="1">
      <c r="A2468" s="8">
        <v>46006.994944618054</v>
      </c>
      <c r="B2468" s="9" t="s">
        <v>14</v>
      </c>
      <c r="C2468" s="9" t="s">
        <v>15</v>
      </c>
      <c r="D2468" s="10" t="s">
        <v>5496</v>
      </c>
      <c r="E2468" s="9" t="s">
        <v>17</v>
      </c>
      <c r="F2468" s="10">
        <v>24</v>
      </c>
      <c r="G2468" s="11">
        <v>7044690225</v>
      </c>
      <c r="H2468" s="10" t="s">
        <v>5497</v>
      </c>
      <c r="I2468" s="10" t="s">
        <v>27</v>
      </c>
      <c r="J2468" s="10" t="s">
        <v>2069</v>
      </c>
      <c r="K2468" s="12">
        <v>46006</v>
      </c>
      <c r="L2468" s="10" t="s">
        <v>441</v>
      </c>
      <c r="M2468" s="10" t="s">
        <v>1361</v>
      </c>
      <c r="N2468" s="10" t="s">
        <v>1028</v>
      </c>
    </row>
    <row r="2469" spans="1:14" ht="22.5" customHeight="1">
      <c r="A2469" s="8">
        <v>46006.995233576388</v>
      </c>
      <c r="B2469" s="9" t="s">
        <v>14</v>
      </c>
      <c r="C2469" s="9" t="s">
        <v>15</v>
      </c>
      <c r="D2469" s="10" t="s">
        <v>5498</v>
      </c>
      <c r="E2469" s="9" t="s">
        <v>17</v>
      </c>
      <c r="F2469" s="10">
        <v>57</v>
      </c>
      <c r="G2469" s="11">
        <v>9126033563</v>
      </c>
      <c r="H2469" s="10" t="s">
        <v>5499</v>
      </c>
      <c r="I2469" s="10" t="s">
        <v>27</v>
      </c>
      <c r="J2469" s="10" t="s">
        <v>2105</v>
      </c>
      <c r="K2469" s="12">
        <v>46006</v>
      </c>
      <c r="L2469" s="28" t="s">
        <v>11</v>
      </c>
      <c r="M2469" s="14"/>
      <c r="N2469" s="10" t="s">
        <v>1028</v>
      </c>
    </row>
    <row r="2470" spans="1:14" ht="22.5" hidden="1" customHeight="1">
      <c r="A2470" s="8">
        <v>46007.003226145833</v>
      </c>
      <c r="B2470" s="9" t="s">
        <v>14</v>
      </c>
      <c r="C2470" s="9" t="s">
        <v>15</v>
      </c>
      <c r="D2470" s="10" t="s">
        <v>5500</v>
      </c>
      <c r="E2470" s="9" t="s">
        <v>17</v>
      </c>
      <c r="F2470" s="10">
        <v>20</v>
      </c>
      <c r="G2470" s="11">
        <v>9168246358</v>
      </c>
      <c r="H2470" s="10" t="s">
        <v>5501</v>
      </c>
      <c r="I2470" s="10" t="s">
        <v>27</v>
      </c>
      <c r="J2470" s="10" t="s">
        <v>5502</v>
      </c>
      <c r="K2470" s="12">
        <v>46007</v>
      </c>
      <c r="L2470" s="10" t="s">
        <v>441</v>
      </c>
      <c r="M2470" s="10" t="s">
        <v>1361</v>
      </c>
      <c r="N2470" s="10" t="s">
        <v>1028</v>
      </c>
    </row>
    <row r="2471" spans="1:14" ht="22.5" customHeight="1">
      <c r="A2471" s="8">
        <v>46007.018954479165</v>
      </c>
      <c r="B2471" s="9" t="s">
        <v>14</v>
      </c>
      <c r="C2471" s="9" t="s">
        <v>15</v>
      </c>
      <c r="D2471" s="10" t="s">
        <v>5503</v>
      </c>
      <c r="E2471" s="9" t="s">
        <v>17</v>
      </c>
      <c r="F2471" s="10">
        <v>25</v>
      </c>
      <c r="G2471" s="11">
        <v>8062705282</v>
      </c>
      <c r="H2471" s="10" t="s">
        <v>5504</v>
      </c>
      <c r="I2471" s="10" t="s">
        <v>27</v>
      </c>
      <c r="J2471" s="10" t="s">
        <v>94</v>
      </c>
      <c r="K2471" s="12">
        <v>46007</v>
      </c>
      <c r="L2471" s="28" t="s">
        <v>11</v>
      </c>
      <c r="M2471" s="14"/>
      <c r="N2471" s="10" t="s">
        <v>1028</v>
      </c>
    </row>
    <row r="2472" spans="1:14" ht="22.5" customHeight="1">
      <c r="A2472" s="8">
        <v>46007.025763240745</v>
      </c>
      <c r="B2472" s="9" t="s">
        <v>14</v>
      </c>
      <c r="C2472" s="9" t="s">
        <v>15</v>
      </c>
      <c r="D2472" s="10" t="s">
        <v>5505</v>
      </c>
      <c r="E2472" s="9" t="s">
        <v>17</v>
      </c>
      <c r="F2472" s="10">
        <v>32</v>
      </c>
      <c r="G2472" s="11">
        <f t="shared" ref="G2472" si="63">2347060893244</f>
        <v>2347060893244</v>
      </c>
      <c r="H2472" s="10" t="s">
        <v>5506</v>
      </c>
      <c r="I2472" s="10" t="s">
        <v>45</v>
      </c>
      <c r="J2472" s="10" t="s">
        <v>5507</v>
      </c>
      <c r="K2472" s="12">
        <v>46007</v>
      </c>
      <c r="L2472" s="28" t="s">
        <v>11</v>
      </c>
      <c r="M2472" s="14"/>
      <c r="N2472" s="10" t="s">
        <v>1096</v>
      </c>
    </row>
    <row r="2473" spans="1:14" ht="22.5" customHeight="1">
      <c r="A2473" s="8">
        <v>46007.034420810189</v>
      </c>
      <c r="B2473" s="9" t="s">
        <v>14</v>
      </c>
      <c r="C2473" s="9" t="s">
        <v>15</v>
      </c>
      <c r="D2473" s="10" t="s">
        <v>5508</v>
      </c>
      <c r="E2473" s="9" t="s">
        <v>22</v>
      </c>
      <c r="F2473" s="10">
        <v>24</v>
      </c>
      <c r="G2473" s="11">
        <v>7048944248</v>
      </c>
      <c r="H2473" s="10" t="s">
        <v>5509</v>
      </c>
      <c r="I2473" s="10" t="s">
        <v>27</v>
      </c>
      <c r="J2473" s="10" t="s">
        <v>372</v>
      </c>
      <c r="K2473" s="12">
        <v>46007</v>
      </c>
      <c r="L2473" s="28" t="s">
        <v>11</v>
      </c>
      <c r="M2473" s="14"/>
      <c r="N2473" s="10" t="s">
        <v>1028</v>
      </c>
    </row>
    <row r="2474" spans="1:14" ht="22.5" customHeight="1">
      <c r="A2474" s="8">
        <v>46007.051037372687</v>
      </c>
      <c r="B2474" s="9" t="s">
        <v>14</v>
      </c>
      <c r="C2474" s="9" t="s">
        <v>15</v>
      </c>
      <c r="D2474" s="10" t="s">
        <v>5510</v>
      </c>
      <c r="E2474" s="9" t="s">
        <v>17</v>
      </c>
      <c r="F2474" s="10">
        <v>21</v>
      </c>
      <c r="G2474" s="11">
        <v>8162527493</v>
      </c>
      <c r="H2474" s="10" t="s">
        <v>5511</v>
      </c>
      <c r="I2474" s="10" t="s">
        <v>49</v>
      </c>
      <c r="J2474" s="10" t="s">
        <v>282</v>
      </c>
      <c r="K2474" s="12">
        <v>46007</v>
      </c>
      <c r="L2474" s="28" t="s">
        <v>11</v>
      </c>
      <c r="M2474" s="14"/>
      <c r="N2474" s="10" t="s">
        <v>1028</v>
      </c>
    </row>
    <row r="2475" spans="1:14" ht="22.5" customHeight="1">
      <c r="A2475" s="8">
        <v>46007.078729004628</v>
      </c>
      <c r="B2475" s="9" t="s">
        <v>14</v>
      </c>
      <c r="C2475" s="9" t="s">
        <v>15</v>
      </c>
      <c r="D2475" s="10" t="s">
        <v>5512</v>
      </c>
      <c r="E2475" s="9" t="s">
        <v>22</v>
      </c>
      <c r="F2475" s="10">
        <v>38</v>
      </c>
      <c r="G2475" s="11">
        <v>258848770102</v>
      </c>
      <c r="H2475" s="10" t="s">
        <v>5513</v>
      </c>
      <c r="I2475" s="10" t="s">
        <v>202</v>
      </c>
      <c r="J2475" s="10" t="s">
        <v>5514</v>
      </c>
      <c r="K2475" s="12">
        <v>46006</v>
      </c>
      <c r="L2475" s="28" t="s">
        <v>11</v>
      </c>
      <c r="M2475" s="14"/>
      <c r="N2475" s="10" t="s">
        <v>1140</v>
      </c>
    </row>
    <row r="2476" spans="1:14" ht="22.5" customHeight="1">
      <c r="A2476" s="8">
        <v>46007.084814710644</v>
      </c>
      <c r="B2476" s="9" t="s">
        <v>14</v>
      </c>
      <c r="C2476" s="9" t="s">
        <v>15</v>
      </c>
      <c r="D2476" s="10" t="s">
        <v>5515</v>
      </c>
      <c r="E2476" s="9" t="s">
        <v>17</v>
      </c>
      <c r="F2476" s="10">
        <v>34</v>
      </c>
      <c r="G2476" s="11">
        <v>807292640</v>
      </c>
      <c r="H2476" s="10" t="s">
        <v>5516</v>
      </c>
      <c r="I2476" s="10" t="s">
        <v>45</v>
      </c>
      <c r="J2476" s="10" t="s">
        <v>901</v>
      </c>
      <c r="K2476" s="12">
        <v>46007</v>
      </c>
      <c r="L2476" s="28" t="s">
        <v>11</v>
      </c>
      <c r="M2476" s="14"/>
      <c r="N2476" s="10" t="s">
        <v>1028</v>
      </c>
    </row>
    <row r="2477" spans="1:14" ht="22.5" customHeight="1">
      <c r="A2477" s="8">
        <v>46007.135849444443</v>
      </c>
      <c r="B2477" s="9" t="s">
        <v>14</v>
      </c>
      <c r="C2477" s="9" t="s">
        <v>15</v>
      </c>
      <c r="D2477" s="10" t="s">
        <v>5517</v>
      </c>
      <c r="E2477" s="9" t="s">
        <v>22</v>
      </c>
      <c r="F2477" s="10">
        <v>26</v>
      </c>
      <c r="G2477" s="11">
        <v>7017931241</v>
      </c>
      <c r="H2477" s="10" t="s">
        <v>5518</v>
      </c>
      <c r="I2477" s="10" t="s">
        <v>49</v>
      </c>
      <c r="J2477" s="10" t="s">
        <v>109</v>
      </c>
      <c r="K2477" s="12">
        <v>46007</v>
      </c>
      <c r="L2477" s="28" t="s">
        <v>11</v>
      </c>
      <c r="M2477" s="14"/>
      <c r="N2477" s="10" t="s">
        <v>1028</v>
      </c>
    </row>
    <row r="2478" spans="1:14" ht="22.5" customHeight="1">
      <c r="A2478" s="8">
        <v>46007.201672662035</v>
      </c>
      <c r="B2478" s="9" t="s">
        <v>14</v>
      </c>
      <c r="C2478" s="9" t="s">
        <v>15</v>
      </c>
      <c r="D2478" s="10" t="s">
        <v>5519</v>
      </c>
      <c r="E2478" s="9" t="s">
        <v>17</v>
      </c>
      <c r="F2478" s="10">
        <v>28</v>
      </c>
      <c r="G2478" s="11">
        <f t="shared" ref="G2478" si="64">254798737994</f>
        <v>254798737994</v>
      </c>
      <c r="H2478" s="10" t="s">
        <v>5520</v>
      </c>
      <c r="I2478" s="10" t="s">
        <v>49</v>
      </c>
      <c r="J2478" s="10" t="s">
        <v>49</v>
      </c>
      <c r="K2478" s="12">
        <v>46007</v>
      </c>
      <c r="L2478" s="28" t="s">
        <v>11</v>
      </c>
      <c r="M2478" s="14"/>
      <c r="N2478" s="10" t="s">
        <v>1028</v>
      </c>
    </row>
    <row r="2479" spans="1:14" ht="22.5" customHeight="1">
      <c r="A2479" s="8">
        <v>46007.20666142361</v>
      </c>
      <c r="B2479" s="9" t="s">
        <v>14</v>
      </c>
      <c r="C2479" s="9" t="s">
        <v>15</v>
      </c>
      <c r="D2479" s="10" t="s">
        <v>5465</v>
      </c>
      <c r="E2479" s="9" t="s">
        <v>22</v>
      </c>
      <c r="F2479" s="10">
        <v>34</v>
      </c>
      <c r="G2479" s="11">
        <v>8067551374</v>
      </c>
      <c r="H2479" s="10" t="s">
        <v>5466</v>
      </c>
      <c r="I2479" s="10" t="s">
        <v>27</v>
      </c>
      <c r="J2479" s="10" t="s">
        <v>372</v>
      </c>
      <c r="K2479" s="12">
        <v>46007</v>
      </c>
      <c r="L2479" s="28" t="s">
        <v>11</v>
      </c>
      <c r="M2479" s="14"/>
      <c r="N2479" s="10" t="s">
        <v>1028</v>
      </c>
    </row>
    <row r="2480" spans="1:14" ht="22.5" customHeight="1">
      <c r="A2480" s="8">
        <v>46007.21902866898</v>
      </c>
      <c r="B2480" s="9" t="s">
        <v>14</v>
      </c>
      <c r="C2480" s="9" t="s">
        <v>15</v>
      </c>
      <c r="D2480" s="10" t="s">
        <v>5521</v>
      </c>
      <c r="E2480" s="9" t="s">
        <v>22</v>
      </c>
      <c r="F2480" s="10">
        <v>28</v>
      </c>
      <c r="G2480" s="11">
        <v>7010796589</v>
      </c>
      <c r="H2480" s="10" t="s">
        <v>5522</v>
      </c>
      <c r="I2480" s="10" t="s">
        <v>31</v>
      </c>
      <c r="J2480" s="10" t="s">
        <v>32</v>
      </c>
      <c r="K2480" s="12">
        <v>46007</v>
      </c>
      <c r="L2480" s="28" t="s">
        <v>11</v>
      </c>
      <c r="M2480" s="14"/>
      <c r="N2480" s="10" t="s">
        <v>1028</v>
      </c>
    </row>
    <row r="2481" spans="1:14" ht="22.5" customHeight="1">
      <c r="A2481" s="8">
        <v>46007.237852210645</v>
      </c>
      <c r="B2481" s="9" t="s">
        <v>14</v>
      </c>
      <c r="C2481" s="9" t="s">
        <v>15</v>
      </c>
      <c r="D2481" s="10" t="s">
        <v>256</v>
      </c>
      <c r="E2481" s="9" t="s">
        <v>17</v>
      </c>
      <c r="F2481" s="10">
        <v>37</v>
      </c>
      <c r="G2481" s="11">
        <v>7037668644</v>
      </c>
      <c r="H2481" s="10" t="s">
        <v>257</v>
      </c>
      <c r="I2481" s="10" t="s">
        <v>27</v>
      </c>
      <c r="J2481" s="10" t="s">
        <v>3970</v>
      </c>
      <c r="K2481" s="12">
        <v>46007</v>
      </c>
      <c r="L2481" s="28" t="s">
        <v>11</v>
      </c>
      <c r="M2481" s="14"/>
      <c r="N2481" s="10" t="s">
        <v>1028</v>
      </c>
    </row>
    <row r="2482" spans="1:14" ht="22.5" customHeight="1">
      <c r="A2482" s="8">
        <v>46007.246827974537</v>
      </c>
      <c r="B2482" s="9" t="s">
        <v>14</v>
      </c>
      <c r="C2482" s="9" t="s">
        <v>15</v>
      </c>
      <c r="D2482" s="10" t="s">
        <v>5523</v>
      </c>
      <c r="E2482" s="9" t="s">
        <v>17</v>
      </c>
      <c r="F2482" s="10">
        <v>21</v>
      </c>
      <c r="G2482" s="11">
        <v>8039232342</v>
      </c>
      <c r="H2482" s="10" t="s">
        <v>5524</v>
      </c>
      <c r="I2482" s="10" t="s">
        <v>27</v>
      </c>
      <c r="J2482" s="10" t="s">
        <v>703</v>
      </c>
      <c r="K2482" s="12">
        <v>46007</v>
      </c>
      <c r="L2482" s="28" t="s">
        <v>11</v>
      </c>
      <c r="M2482" s="14"/>
      <c r="N2482" s="10" t="s">
        <v>1028</v>
      </c>
    </row>
    <row r="2483" spans="1:14" ht="22.5" customHeight="1">
      <c r="A2483" s="8">
        <v>46007.250734259258</v>
      </c>
      <c r="B2483" s="9" t="s">
        <v>14</v>
      </c>
      <c r="C2483" s="9" t="s">
        <v>15</v>
      </c>
      <c r="D2483" s="10" t="s">
        <v>5525</v>
      </c>
      <c r="E2483" s="9" t="s">
        <v>17</v>
      </c>
      <c r="F2483" s="10">
        <v>28</v>
      </c>
      <c r="G2483" s="11">
        <v>9077526372</v>
      </c>
      <c r="H2483" s="10" t="s">
        <v>5526</v>
      </c>
      <c r="I2483" s="10" t="s">
        <v>27</v>
      </c>
      <c r="J2483" s="10" t="s">
        <v>1559</v>
      </c>
      <c r="K2483" s="12">
        <v>46007</v>
      </c>
      <c r="L2483" s="28" t="s">
        <v>11</v>
      </c>
      <c r="M2483" s="14"/>
      <c r="N2483" s="10" t="s">
        <v>1096</v>
      </c>
    </row>
    <row r="2484" spans="1:14" ht="22.5" customHeight="1">
      <c r="A2484" s="8">
        <v>46007.258090300922</v>
      </c>
      <c r="B2484" s="9" t="s">
        <v>14</v>
      </c>
      <c r="C2484" s="9" t="s">
        <v>15</v>
      </c>
      <c r="D2484" s="10" t="s">
        <v>5527</v>
      </c>
      <c r="E2484" s="9" t="s">
        <v>17</v>
      </c>
      <c r="F2484" s="10">
        <v>25</v>
      </c>
      <c r="G2484" s="11">
        <v>8068540570</v>
      </c>
      <c r="H2484" s="10" t="s">
        <v>5528</v>
      </c>
      <c r="I2484" s="10" t="s">
        <v>49</v>
      </c>
      <c r="J2484" s="10" t="s">
        <v>50</v>
      </c>
      <c r="K2484" s="12">
        <v>46007</v>
      </c>
      <c r="L2484" s="28" t="s">
        <v>11</v>
      </c>
      <c r="M2484" s="14"/>
      <c r="N2484" s="10" t="s">
        <v>1028</v>
      </c>
    </row>
    <row r="2485" spans="1:14" ht="22.5" customHeight="1">
      <c r="A2485" s="8">
        <v>46007.264596817127</v>
      </c>
      <c r="B2485" s="9" t="s">
        <v>14</v>
      </c>
      <c r="C2485" s="9" t="s">
        <v>15</v>
      </c>
      <c r="D2485" s="10" t="s">
        <v>5529</v>
      </c>
      <c r="E2485" s="9" t="s">
        <v>22</v>
      </c>
      <c r="F2485" s="10">
        <v>21</v>
      </c>
      <c r="G2485" s="11">
        <v>8143580460</v>
      </c>
      <c r="H2485" s="10" t="s">
        <v>5530</v>
      </c>
      <c r="I2485" s="10" t="s">
        <v>27</v>
      </c>
      <c r="J2485" s="10" t="s">
        <v>172</v>
      </c>
      <c r="K2485" s="12">
        <v>37994</v>
      </c>
      <c r="L2485" s="28" t="s">
        <v>11</v>
      </c>
      <c r="M2485" s="14"/>
      <c r="N2485" s="10" t="s">
        <v>1028</v>
      </c>
    </row>
    <row r="2486" spans="1:14" ht="22.5" customHeight="1">
      <c r="A2486" s="8">
        <v>46007.273491377317</v>
      </c>
      <c r="B2486" s="9" t="s">
        <v>14</v>
      </c>
      <c r="C2486" s="9" t="s">
        <v>15</v>
      </c>
      <c r="D2486" s="10" t="s">
        <v>5531</v>
      </c>
      <c r="E2486" s="9" t="s">
        <v>17</v>
      </c>
      <c r="F2486" s="10">
        <v>27</v>
      </c>
      <c r="G2486" s="11">
        <v>8168790110</v>
      </c>
      <c r="H2486" s="10" t="s">
        <v>5532</v>
      </c>
      <c r="I2486" s="10" t="s">
        <v>27</v>
      </c>
      <c r="J2486" s="10" t="s">
        <v>67</v>
      </c>
      <c r="K2486" s="12">
        <v>46007</v>
      </c>
      <c r="L2486" s="28" t="s">
        <v>11</v>
      </c>
      <c r="M2486" s="14"/>
      <c r="N2486" s="10" t="s">
        <v>1096</v>
      </c>
    </row>
    <row r="2487" spans="1:14" ht="22.5" customHeight="1">
      <c r="A2487" s="8">
        <v>46007.274403622687</v>
      </c>
      <c r="B2487" s="9" t="s">
        <v>14</v>
      </c>
      <c r="C2487" s="9" t="s">
        <v>15</v>
      </c>
      <c r="D2487" s="10" t="s">
        <v>5533</v>
      </c>
      <c r="E2487" s="9" t="s">
        <v>17</v>
      </c>
      <c r="F2487" s="10">
        <v>35</v>
      </c>
      <c r="G2487" s="11">
        <v>8101788748</v>
      </c>
      <c r="H2487" s="10" t="s">
        <v>5534</v>
      </c>
      <c r="I2487" s="10" t="s">
        <v>27</v>
      </c>
      <c r="J2487" s="10" t="s">
        <v>3992</v>
      </c>
      <c r="K2487" s="12">
        <v>46007</v>
      </c>
      <c r="L2487" s="28" t="s">
        <v>11</v>
      </c>
      <c r="M2487" s="14"/>
      <c r="N2487" s="10" t="s">
        <v>1096</v>
      </c>
    </row>
    <row r="2488" spans="1:14" ht="22.5" customHeight="1">
      <c r="A2488" s="8">
        <v>46007.279216400464</v>
      </c>
      <c r="B2488" s="9" t="s">
        <v>14</v>
      </c>
      <c r="C2488" s="9" t="s">
        <v>15</v>
      </c>
      <c r="D2488" s="10" t="s">
        <v>5535</v>
      </c>
      <c r="E2488" s="9" t="s">
        <v>22</v>
      </c>
      <c r="F2488" s="10">
        <v>19</v>
      </c>
      <c r="G2488" s="11">
        <v>6260750708</v>
      </c>
      <c r="H2488" s="10" t="s">
        <v>5536</v>
      </c>
      <c r="I2488" s="10" t="s">
        <v>202</v>
      </c>
      <c r="J2488" s="10" t="s">
        <v>5537</v>
      </c>
      <c r="K2488" s="12">
        <v>46007</v>
      </c>
      <c r="L2488" s="28" t="s">
        <v>11</v>
      </c>
      <c r="M2488" s="14"/>
      <c r="N2488" s="10" t="s">
        <v>3874</v>
      </c>
    </row>
    <row r="2489" spans="1:14" ht="22.5" customHeight="1">
      <c r="A2489" s="8">
        <v>46007.282437997681</v>
      </c>
      <c r="B2489" s="9" t="s">
        <v>14</v>
      </c>
      <c r="C2489" s="9" t="s">
        <v>15</v>
      </c>
      <c r="D2489" s="10" t="s">
        <v>5538</v>
      </c>
      <c r="E2489" s="9" t="s">
        <v>17</v>
      </c>
      <c r="F2489" s="10">
        <v>27</v>
      </c>
      <c r="G2489" s="11">
        <v>973653498</v>
      </c>
      <c r="H2489" s="10" t="s">
        <v>5539</v>
      </c>
      <c r="I2489" s="10" t="s">
        <v>202</v>
      </c>
      <c r="J2489" s="10" t="s">
        <v>5540</v>
      </c>
      <c r="K2489" s="12">
        <v>46007</v>
      </c>
      <c r="L2489" s="28" t="s">
        <v>11</v>
      </c>
      <c r="M2489" s="14"/>
      <c r="N2489" s="10" t="s">
        <v>1028</v>
      </c>
    </row>
    <row r="2490" spans="1:14" ht="22.5" customHeight="1">
      <c r="A2490" s="8">
        <v>46007.292681828709</v>
      </c>
      <c r="B2490" s="9" t="s">
        <v>14</v>
      </c>
      <c r="C2490" s="9" t="s">
        <v>15</v>
      </c>
      <c r="D2490" s="10" t="s">
        <v>5541</v>
      </c>
      <c r="E2490" s="9" t="s">
        <v>22</v>
      </c>
      <c r="F2490" s="10">
        <v>26</v>
      </c>
      <c r="G2490" s="11">
        <v>2349030129867</v>
      </c>
      <c r="H2490" s="10" t="s">
        <v>5542</v>
      </c>
      <c r="I2490" s="10" t="s">
        <v>27</v>
      </c>
      <c r="J2490" s="10" t="s">
        <v>5543</v>
      </c>
      <c r="K2490" s="12">
        <v>46007</v>
      </c>
      <c r="L2490" s="28" t="s">
        <v>11</v>
      </c>
      <c r="M2490" s="10"/>
      <c r="N2490" s="10" t="s">
        <v>1028</v>
      </c>
    </row>
    <row r="2491" spans="1:14" ht="22.5" customHeight="1">
      <c r="A2491" s="8">
        <v>46007.30452096065</v>
      </c>
      <c r="B2491" s="9" t="s">
        <v>14</v>
      </c>
      <c r="C2491" s="9" t="s">
        <v>15</v>
      </c>
      <c r="D2491" s="10" t="s">
        <v>5544</v>
      </c>
      <c r="E2491" s="9" t="s">
        <v>17</v>
      </c>
      <c r="F2491" s="10">
        <v>23</v>
      </c>
      <c r="G2491" s="11">
        <f t="shared" ref="G2491" si="65">2348063459465</f>
        <v>2348063459465</v>
      </c>
      <c r="H2491" s="10" t="s">
        <v>5545</v>
      </c>
      <c r="I2491" s="10" t="s">
        <v>145</v>
      </c>
      <c r="J2491" s="10" t="s">
        <v>1607</v>
      </c>
      <c r="K2491" s="12">
        <v>46007</v>
      </c>
      <c r="L2491" s="28" t="s">
        <v>11</v>
      </c>
      <c r="M2491" s="14"/>
      <c r="N2491" s="10" t="s">
        <v>1028</v>
      </c>
    </row>
    <row r="2492" spans="1:14" ht="22.5" customHeight="1">
      <c r="A2492" s="8">
        <v>46007.311862210649</v>
      </c>
      <c r="B2492" s="9" t="s">
        <v>14</v>
      </c>
      <c r="C2492" s="9" t="s">
        <v>15</v>
      </c>
      <c r="D2492" s="10" t="s">
        <v>5546</v>
      </c>
      <c r="E2492" s="9" t="s">
        <v>22</v>
      </c>
      <c r="F2492" s="10">
        <v>22</v>
      </c>
      <c r="G2492" s="11">
        <v>9163192191</v>
      </c>
      <c r="H2492" s="10" t="s">
        <v>5547</v>
      </c>
      <c r="I2492" s="10" t="s">
        <v>49</v>
      </c>
      <c r="J2492" s="10" t="s">
        <v>50</v>
      </c>
      <c r="K2492" s="12">
        <v>46007</v>
      </c>
      <c r="L2492" s="28" t="s">
        <v>11</v>
      </c>
      <c r="M2492" s="14"/>
      <c r="N2492" s="10" t="s">
        <v>1028</v>
      </c>
    </row>
    <row r="2493" spans="1:14" ht="22.5" customHeight="1">
      <c r="A2493" s="8">
        <v>46007.323004189813</v>
      </c>
      <c r="B2493" s="9" t="s">
        <v>14</v>
      </c>
      <c r="C2493" s="9" t="s">
        <v>15</v>
      </c>
      <c r="D2493" s="10" t="s">
        <v>5548</v>
      </c>
      <c r="E2493" s="9" t="s">
        <v>17</v>
      </c>
      <c r="F2493" s="10">
        <v>21</v>
      </c>
      <c r="G2493" s="11">
        <v>9032307621</v>
      </c>
      <c r="H2493" s="10" t="s">
        <v>5549</v>
      </c>
      <c r="I2493" s="10" t="s">
        <v>49</v>
      </c>
      <c r="J2493" s="10" t="s">
        <v>106</v>
      </c>
      <c r="K2493" s="12">
        <v>38268</v>
      </c>
      <c r="L2493" s="28" t="s">
        <v>11</v>
      </c>
      <c r="M2493" s="10"/>
      <c r="N2493" s="10" t="s">
        <v>1028</v>
      </c>
    </row>
    <row r="2494" spans="1:14" ht="22.5" customHeight="1">
      <c r="A2494" s="8">
        <v>46007.32896175926</v>
      </c>
      <c r="B2494" s="9" t="s">
        <v>14</v>
      </c>
      <c r="C2494" s="9" t="s">
        <v>15</v>
      </c>
      <c r="D2494" s="10" t="s">
        <v>5550</v>
      </c>
      <c r="E2494" s="9" t="s">
        <v>17</v>
      </c>
      <c r="F2494" s="10">
        <v>33</v>
      </c>
      <c r="G2494" s="11">
        <v>7036041613</v>
      </c>
      <c r="H2494" s="10" t="s">
        <v>5551</v>
      </c>
      <c r="I2494" s="10" t="s">
        <v>27</v>
      </c>
      <c r="J2494" s="10" t="s">
        <v>1456</v>
      </c>
      <c r="K2494" s="12">
        <v>46007</v>
      </c>
      <c r="L2494" s="28" t="s">
        <v>11</v>
      </c>
      <c r="M2494" s="14"/>
      <c r="N2494" s="10" t="s">
        <v>1028</v>
      </c>
    </row>
    <row r="2495" spans="1:14" ht="22.5" customHeight="1">
      <c r="A2495" s="8">
        <v>46007.356814953702</v>
      </c>
      <c r="B2495" s="9" t="s">
        <v>14</v>
      </c>
      <c r="C2495" s="9" t="s">
        <v>15</v>
      </c>
      <c r="D2495" s="10" t="s">
        <v>5552</v>
      </c>
      <c r="E2495" s="9" t="s">
        <v>22</v>
      </c>
      <c r="F2495" s="10">
        <v>37</v>
      </c>
      <c r="G2495" s="11">
        <v>8064991949</v>
      </c>
      <c r="H2495" s="10" t="s">
        <v>5553</v>
      </c>
      <c r="I2495" s="10" t="s">
        <v>27</v>
      </c>
      <c r="J2495" s="10" t="s">
        <v>172</v>
      </c>
      <c r="K2495" s="12">
        <v>46007</v>
      </c>
      <c r="L2495" s="28" t="s">
        <v>11</v>
      </c>
      <c r="M2495" s="14"/>
      <c r="N2495" s="10" t="s">
        <v>1028</v>
      </c>
    </row>
    <row r="2496" spans="1:14" ht="22.5" customHeight="1">
      <c r="A2496" s="8">
        <v>46007.362187615741</v>
      </c>
      <c r="B2496" s="9" t="s">
        <v>14</v>
      </c>
      <c r="C2496" s="9" t="s">
        <v>15</v>
      </c>
      <c r="D2496" s="10" t="s">
        <v>5554</v>
      </c>
      <c r="E2496" s="9" t="s">
        <v>17</v>
      </c>
      <c r="F2496" s="10">
        <v>24</v>
      </c>
      <c r="G2496" s="11">
        <v>9067857720</v>
      </c>
      <c r="H2496" s="10" t="s">
        <v>5555</v>
      </c>
      <c r="I2496" s="10" t="s">
        <v>27</v>
      </c>
      <c r="J2496" s="10" t="s">
        <v>5556</v>
      </c>
      <c r="K2496" s="12">
        <v>46007</v>
      </c>
      <c r="L2496" s="28" t="s">
        <v>11</v>
      </c>
      <c r="M2496" s="14"/>
      <c r="N2496" s="10" t="s">
        <v>1028</v>
      </c>
    </row>
    <row r="2497" spans="1:14" ht="22.5" customHeight="1">
      <c r="A2497" s="8">
        <v>46007.366921875</v>
      </c>
      <c r="B2497" s="9" t="s">
        <v>14</v>
      </c>
      <c r="C2497" s="9" t="s">
        <v>15</v>
      </c>
      <c r="D2497" s="10" t="s">
        <v>5557</v>
      </c>
      <c r="E2497" s="9" t="s">
        <v>17</v>
      </c>
      <c r="F2497" s="10">
        <v>22</v>
      </c>
      <c r="G2497" s="11">
        <v>7011436293</v>
      </c>
      <c r="H2497" s="10" t="s">
        <v>5558</v>
      </c>
      <c r="I2497" s="10" t="s">
        <v>27</v>
      </c>
      <c r="J2497" s="10" t="s">
        <v>1456</v>
      </c>
      <c r="K2497" s="12">
        <v>46007</v>
      </c>
      <c r="L2497" s="28" t="s">
        <v>11</v>
      </c>
      <c r="M2497" s="14"/>
      <c r="N2497" s="10" t="s">
        <v>1028</v>
      </c>
    </row>
    <row r="2498" spans="1:14" ht="22.5" customHeight="1">
      <c r="A2498" s="8">
        <v>46007.378728252312</v>
      </c>
      <c r="B2498" s="9" t="s">
        <v>14</v>
      </c>
      <c r="C2498" s="9" t="s">
        <v>15</v>
      </c>
      <c r="D2498" s="10" t="s">
        <v>5559</v>
      </c>
      <c r="E2498" s="9" t="s">
        <v>17</v>
      </c>
      <c r="F2498" s="10">
        <v>55</v>
      </c>
      <c r="G2498" s="11">
        <f t="shared" ref="G2498" si="66">2348037203223</f>
        <v>2348037203223</v>
      </c>
      <c r="H2498" s="10" t="s">
        <v>5560</v>
      </c>
      <c r="I2498" s="10" t="s">
        <v>202</v>
      </c>
      <c r="J2498" s="10" t="s">
        <v>4651</v>
      </c>
      <c r="K2498" s="12">
        <v>46007</v>
      </c>
      <c r="L2498" s="28" t="s">
        <v>11</v>
      </c>
      <c r="M2498" s="14"/>
      <c r="N2498" s="10" t="s">
        <v>1096</v>
      </c>
    </row>
    <row r="2499" spans="1:14" ht="22.5" customHeight="1">
      <c r="A2499" s="8">
        <v>46007.383640578701</v>
      </c>
      <c r="B2499" s="9" t="s">
        <v>14</v>
      </c>
      <c r="C2499" s="9" t="s">
        <v>15</v>
      </c>
      <c r="D2499" s="10" t="s">
        <v>5561</v>
      </c>
      <c r="E2499" s="9" t="s">
        <v>17</v>
      </c>
      <c r="F2499" s="18">
        <v>22</v>
      </c>
      <c r="G2499" s="11">
        <v>9015406433</v>
      </c>
      <c r="H2499" s="10" t="s">
        <v>5562</v>
      </c>
      <c r="I2499" s="10" t="s">
        <v>27</v>
      </c>
      <c r="J2499" s="10" t="s">
        <v>1907</v>
      </c>
      <c r="K2499" s="12">
        <v>46007</v>
      </c>
      <c r="L2499" s="28" t="s">
        <v>11</v>
      </c>
      <c r="M2499" s="14"/>
      <c r="N2499" s="10" t="s">
        <v>1028</v>
      </c>
    </row>
    <row r="2500" spans="1:14" ht="22.5" customHeight="1">
      <c r="A2500" s="8">
        <v>46007.389296851848</v>
      </c>
      <c r="B2500" s="9" t="s">
        <v>14</v>
      </c>
      <c r="C2500" s="9" t="s">
        <v>15</v>
      </c>
      <c r="D2500" s="10" t="s">
        <v>5563</v>
      </c>
      <c r="E2500" s="9" t="s">
        <v>22</v>
      </c>
      <c r="F2500" s="10">
        <v>32</v>
      </c>
      <c r="G2500" s="11">
        <v>8103529504</v>
      </c>
      <c r="H2500" s="10" t="s">
        <v>5564</v>
      </c>
      <c r="I2500" s="10" t="s">
        <v>27</v>
      </c>
      <c r="J2500" s="10" t="s">
        <v>94</v>
      </c>
      <c r="K2500" s="12">
        <v>46007</v>
      </c>
      <c r="L2500" s="28" t="s">
        <v>11</v>
      </c>
      <c r="M2500" s="14"/>
      <c r="N2500" s="10" t="s">
        <v>1028</v>
      </c>
    </row>
    <row r="2501" spans="1:14" ht="22.5" customHeight="1">
      <c r="A2501" s="8">
        <v>46007.38939462963</v>
      </c>
      <c r="B2501" s="9" t="s">
        <v>14</v>
      </c>
      <c r="C2501" s="9" t="s">
        <v>15</v>
      </c>
      <c r="D2501" s="10" t="s">
        <v>5565</v>
      </c>
      <c r="E2501" s="9" t="s">
        <v>17</v>
      </c>
      <c r="F2501" s="10">
        <v>34</v>
      </c>
      <c r="G2501" s="11">
        <v>7064599335</v>
      </c>
      <c r="H2501" s="10" t="s">
        <v>5566</v>
      </c>
      <c r="I2501" s="10" t="s">
        <v>202</v>
      </c>
      <c r="J2501" s="10" t="s">
        <v>4651</v>
      </c>
      <c r="K2501" s="12">
        <v>46007</v>
      </c>
      <c r="L2501" s="28" t="s">
        <v>11</v>
      </c>
      <c r="M2501" s="14"/>
      <c r="N2501" s="10" t="s">
        <v>1028</v>
      </c>
    </row>
    <row r="2502" spans="1:14" ht="22.5" customHeight="1">
      <c r="A2502" s="8">
        <v>46007.3901018287</v>
      </c>
      <c r="B2502" s="9" t="s">
        <v>14</v>
      </c>
      <c r="C2502" s="9" t="s">
        <v>15</v>
      </c>
      <c r="D2502" s="10" t="s">
        <v>5567</v>
      </c>
      <c r="E2502" s="9" t="s">
        <v>17</v>
      </c>
      <c r="F2502" s="10">
        <v>23</v>
      </c>
      <c r="G2502" s="11">
        <v>7012671228</v>
      </c>
      <c r="H2502" s="10" t="s">
        <v>5568</v>
      </c>
      <c r="I2502" s="10" t="s">
        <v>27</v>
      </c>
      <c r="J2502" s="10" t="s">
        <v>67</v>
      </c>
      <c r="K2502" s="12">
        <v>46007</v>
      </c>
      <c r="L2502" s="28" t="s">
        <v>11</v>
      </c>
      <c r="M2502" s="14"/>
      <c r="N2502" s="10" t="s">
        <v>1028</v>
      </c>
    </row>
    <row r="2503" spans="1:14" ht="22.5" customHeight="1">
      <c r="A2503" s="8">
        <v>46007.390163425924</v>
      </c>
      <c r="B2503" s="9" t="s">
        <v>14</v>
      </c>
      <c r="C2503" s="9" t="s">
        <v>15</v>
      </c>
      <c r="D2503" s="10" t="s">
        <v>5569</v>
      </c>
      <c r="E2503" s="9" t="s">
        <v>22</v>
      </c>
      <c r="F2503" s="10">
        <v>20</v>
      </c>
      <c r="G2503" s="11">
        <v>7019521547</v>
      </c>
      <c r="H2503" s="10" t="s">
        <v>5570</v>
      </c>
      <c r="I2503" s="10" t="s">
        <v>27</v>
      </c>
      <c r="J2503" s="10" t="s">
        <v>1895</v>
      </c>
      <c r="K2503" s="12">
        <v>46007</v>
      </c>
      <c r="L2503" s="28" t="s">
        <v>11</v>
      </c>
      <c r="M2503" s="14"/>
      <c r="N2503" s="10" t="s">
        <v>1028</v>
      </c>
    </row>
    <row r="2504" spans="1:14" ht="22.5" customHeight="1">
      <c r="A2504" s="8">
        <v>46007.396342094908</v>
      </c>
      <c r="B2504" s="9" t="s">
        <v>14</v>
      </c>
      <c r="C2504" s="9" t="s">
        <v>15</v>
      </c>
      <c r="D2504" s="10" t="s">
        <v>5571</v>
      </c>
      <c r="E2504" s="9" t="s">
        <v>17</v>
      </c>
      <c r="F2504" s="19">
        <v>25</v>
      </c>
      <c r="G2504" s="11">
        <v>8086018985</v>
      </c>
      <c r="H2504" s="10" t="s">
        <v>5572</v>
      </c>
      <c r="I2504" s="10" t="s">
        <v>202</v>
      </c>
      <c r="J2504" s="10" t="s">
        <v>5573</v>
      </c>
      <c r="K2504" s="12">
        <v>46007</v>
      </c>
      <c r="L2504" s="28" t="s">
        <v>11</v>
      </c>
      <c r="M2504" s="14"/>
      <c r="N2504" s="10" t="s">
        <v>1028</v>
      </c>
    </row>
    <row r="2505" spans="1:14" ht="22.5" customHeight="1">
      <c r="A2505" s="8">
        <v>46007.398199699077</v>
      </c>
      <c r="B2505" s="9" t="s">
        <v>14</v>
      </c>
      <c r="C2505" s="9" t="s">
        <v>15</v>
      </c>
      <c r="D2505" s="10" t="s">
        <v>5574</v>
      </c>
      <c r="E2505" s="9" t="s">
        <v>17</v>
      </c>
      <c r="F2505" s="10">
        <v>25</v>
      </c>
      <c r="G2505" s="11">
        <v>9070627677</v>
      </c>
      <c r="H2505" s="10" t="s">
        <v>5575</v>
      </c>
      <c r="I2505" s="10" t="s">
        <v>202</v>
      </c>
      <c r="J2505" s="10" t="s">
        <v>5576</v>
      </c>
      <c r="K2505" s="12">
        <v>46007</v>
      </c>
      <c r="L2505" s="28" t="s">
        <v>11</v>
      </c>
      <c r="M2505" s="14"/>
      <c r="N2505" s="10" t="s">
        <v>1096</v>
      </c>
    </row>
    <row r="2506" spans="1:14" ht="22.5" customHeight="1">
      <c r="A2506" s="8">
        <v>46007.398825567128</v>
      </c>
      <c r="B2506" s="9" t="s">
        <v>14</v>
      </c>
      <c r="C2506" s="9" t="s">
        <v>15</v>
      </c>
      <c r="D2506" s="10" t="s">
        <v>5577</v>
      </c>
      <c r="E2506" s="9" t="s">
        <v>17</v>
      </c>
      <c r="F2506" s="10">
        <v>27</v>
      </c>
      <c r="G2506" s="11">
        <v>8138159206</v>
      </c>
      <c r="H2506" s="10" t="s">
        <v>5578</v>
      </c>
      <c r="I2506" s="10" t="s">
        <v>27</v>
      </c>
      <c r="J2506" s="10" t="s">
        <v>1456</v>
      </c>
      <c r="K2506" s="12">
        <v>46007</v>
      </c>
      <c r="L2506" s="28" t="s">
        <v>11</v>
      </c>
      <c r="M2506" s="14"/>
      <c r="N2506" s="10" t="s">
        <v>1028</v>
      </c>
    </row>
    <row r="2507" spans="1:14" ht="22.5" customHeight="1">
      <c r="A2507" s="8">
        <v>46007.403243391207</v>
      </c>
      <c r="B2507" s="9" t="s">
        <v>14</v>
      </c>
      <c r="C2507" s="9" t="s">
        <v>15</v>
      </c>
      <c r="D2507" s="10" t="s">
        <v>5579</v>
      </c>
      <c r="E2507" s="9" t="s">
        <v>17</v>
      </c>
      <c r="F2507" s="10">
        <v>27</v>
      </c>
      <c r="G2507" s="11">
        <v>7038009763</v>
      </c>
      <c r="H2507" s="10" t="s">
        <v>5580</v>
      </c>
      <c r="I2507" s="10" t="s">
        <v>202</v>
      </c>
      <c r="J2507" s="10" t="s">
        <v>5581</v>
      </c>
      <c r="K2507" s="12">
        <v>46007</v>
      </c>
      <c r="L2507" s="28" t="s">
        <v>11</v>
      </c>
      <c r="M2507" s="14"/>
      <c r="N2507" s="10" t="s">
        <v>1718</v>
      </c>
    </row>
    <row r="2508" spans="1:14" ht="22.5" customHeight="1">
      <c r="A2508" s="8">
        <v>46007.403271655094</v>
      </c>
      <c r="B2508" s="9" t="s">
        <v>14</v>
      </c>
      <c r="C2508" s="9" t="s">
        <v>15</v>
      </c>
      <c r="D2508" s="10" t="s">
        <v>5582</v>
      </c>
      <c r="E2508" s="9" t="s">
        <v>17</v>
      </c>
      <c r="F2508" s="10">
        <v>29</v>
      </c>
      <c r="G2508" s="11">
        <v>7069524073</v>
      </c>
      <c r="H2508" s="10" t="s">
        <v>5583</v>
      </c>
      <c r="I2508" s="10" t="s">
        <v>27</v>
      </c>
      <c r="J2508" s="10" t="s">
        <v>3797</v>
      </c>
      <c r="K2508" s="12">
        <v>46007</v>
      </c>
      <c r="L2508" s="28" t="s">
        <v>11</v>
      </c>
      <c r="M2508" s="14"/>
      <c r="N2508" s="10" t="s">
        <v>1028</v>
      </c>
    </row>
    <row r="2509" spans="1:14" ht="22.5" customHeight="1">
      <c r="A2509" s="8">
        <v>46007.404735532407</v>
      </c>
      <c r="B2509" s="9" t="s">
        <v>14</v>
      </c>
      <c r="C2509" s="9" t="s">
        <v>15</v>
      </c>
      <c r="D2509" s="10" t="s">
        <v>5584</v>
      </c>
      <c r="E2509" s="9" t="s">
        <v>17</v>
      </c>
      <c r="F2509" s="10">
        <v>27</v>
      </c>
      <c r="G2509" s="11">
        <v>8037825619</v>
      </c>
      <c r="H2509" s="10" t="s">
        <v>5585</v>
      </c>
      <c r="I2509" s="10" t="s">
        <v>27</v>
      </c>
      <c r="J2509" s="10" t="s">
        <v>1456</v>
      </c>
      <c r="K2509" s="12">
        <v>46007</v>
      </c>
      <c r="L2509" s="28" t="s">
        <v>11</v>
      </c>
      <c r="M2509" s="14"/>
      <c r="N2509" s="10" t="s">
        <v>1028</v>
      </c>
    </row>
    <row r="2510" spans="1:14" ht="22.5" customHeight="1">
      <c r="A2510" s="8">
        <v>46007.415248437501</v>
      </c>
      <c r="B2510" s="9" t="s">
        <v>14</v>
      </c>
      <c r="C2510" s="9" t="s">
        <v>15</v>
      </c>
      <c r="D2510" s="10" t="s">
        <v>5586</v>
      </c>
      <c r="E2510" s="9" t="s">
        <v>22</v>
      </c>
      <c r="F2510" s="10">
        <v>30</v>
      </c>
      <c r="G2510" s="11">
        <v>8103169373</v>
      </c>
      <c r="H2510" s="10" t="s">
        <v>5587</v>
      </c>
      <c r="I2510" s="10" t="s">
        <v>19</v>
      </c>
      <c r="J2510" s="10" t="s">
        <v>4349</v>
      </c>
      <c r="K2510" s="12">
        <v>46007</v>
      </c>
      <c r="L2510" s="28" t="s">
        <v>11</v>
      </c>
      <c r="M2510" s="14"/>
      <c r="N2510" s="10" t="s">
        <v>1028</v>
      </c>
    </row>
    <row r="2511" spans="1:14" ht="22.5" customHeight="1">
      <c r="A2511" s="8">
        <v>46007.423412766206</v>
      </c>
      <c r="B2511" s="9" t="s">
        <v>14</v>
      </c>
      <c r="C2511" s="9" t="s">
        <v>15</v>
      </c>
      <c r="D2511" s="10" t="s">
        <v>5588</v>
      </c>
      <c r="E2511" s="9" t="s">
        <v>17</v>
      </c>
      <c r="F2511" s="10">
        <v>27</v>
      </c>
      <c r="G2511" s="11">
        <f t="shared" ref="G2511" si="67">255716678399</f>
        <v>255716678399</v>
      </c>
      <c r="H2511" s="10" t="s">
        <v>5589</v>
      </c>
      <c r="I2511" s="10" t="s">
        <v>202</v>
      </c>
      <c r="J2511" s="10" t="s">
        <v>5590</v>
      </c>
      <c r="K2511" s="12">
        <v>46007</v>
      </c>
      <c r="L2511" s="28" t="s">
        <v>11</v>
      </c>
      <c r="M2511" s="14"/>
      <c r="N2511" s="10" t="s">
        <v>1028</v>
      </c>
    </row>
    <row r="2512" spans="1:14" ht="22.5" customHeight="1">
      <c r="A2512" s="8">
        <v>46007.427229074077</v>
      </c>
      <c r="B2512" s="9" t="s">
        <v>14</v>
      </c>
      <c r="C2512" s="9" t="s">
        <v>15</v>
      </c>
      <c r="D2512" s="10" t="s">
        <v>5591</v>
      </c>
      <c r="E2512" s="9" t="s">
        <v>17</v>
      </c>
      <c r="F2512" s="10">
        <v>25</v>
      </c>
      <c r="G2512" s="11">
        <v>8120175757</v>
      </c>
      <c r="H2512" s="10" t="s">
        <v>5592</v>
      </c>
      <c r="I2512" s="10" t="s">
        <v>27</v>
      </c>
      <c r="J2512" s="10" t="s">
        <v>1456</v>
      </c>
      <c r="K2512" s="12">
        <v>46007</v>
      </c>
      <c r="L2512" s="28" t="s">
        <v>11</v>
      </c>
      <c r="M2512" s="14"/>
      <c r="N2512" s="10" t="s">
        <v>1028</v>
      </c>
    </row>
    <row r="2513" spans="1:14" ht="22.5" customHeight="1">
      <c r="A2513" s="8">
        <v>46007.429193356482</v>
      </c>
      <c r="B2513" s="9" t="s">
        <v>14</v>
      </c>
      <c r="C2513" s="9" t="s">
        <v>15</v>
      </c>
      <c r="D2513" s="10" t="s">
        <v>5593</v>
      </c>
      <c r="E2513" s="9" t="s">
        <v>22</v>
      </c>
      <c r="F2513" s="10">
        <v>25</v>
      </c>
      <c r="G2513" s="11">
        <v>8068391011</v>
      </c>
      <c r="H2513" s="10" t="s">
        <v>5594</v>
      </c>
      <c r="I2513" s="10" t="s">
        <v>27</v>
      </c>
      <c r="J2513" s="10" t="s">
        <v>27</v>
      </c>
      <c r="K2513" s="12">
        <v>46007</v>
      </c>
      <c r="L2513" s="28" t="s">
        <v>11</v>
      </c>
      <c r="M2513" s="14"/>
      <c r="N2513" s="10" t="s">
        <v>1096</v>
      </c>
    </row>
    <row r="2514" spans="1:14" ht="22.5" customHeight="1">
      <c r="A2514" s="8">
        <v>46007.43176975695</v>
      </c>
      <c r="B2514" s="9" t="s">
        <v>14</v>
      </c>
      <c r="C2514" s="9" t="s">
        <v>15</v>
      </c>
      <c r="D2514" s="10" t="s">
        <v>5595</v>
      </c>
      <c r="E2514" s="9" t="s">
        <v>22</v>
      </c>
      <c r="F2514" s="10">
        <v>19</v>
      </c>
      <c r="G2514" s="11">
        <v>9026649657</v>
      </c>
      <c r="H2514" s="10" t="s">
        <v>5596</v>
      </c>
      <c r="I2514" s="10" t="s">
        <v>45</v>
      </c>
      <c r="J2514" s="10" t="s">
        <v>4498</v>
      </c>
      <c r="K2514" s="12">
        <v>46007</v>
      </c>
      <c r="L2514" s="28" t="s">
        <v>11</v>
      </c>
      <c r="M2514" s="14"/>
      <c r="N2514" s="10" t="s">
        <v>1028</v>
      </c>
    </row>
    <row r="2515" spans="1:14" ht="22.5" customHeight="1">
      <c r="A2515" s="8">
        <v>46007.43387385417</v>
      </c>
      <c r="B2515" s="9" t="s">
        <v>14</v>
      </c>
      <c r="C2515" s="9" t="s">
        <v>15</v>
      </c>
      <c r="D2515" s="10" t="s">
        <v>5597</v>
      </c>
      <c r="E2515" s="9" t="s">
        <v>17</v>
      </c>
      <c r="F2515" s="10">
        <v>24</v>
      </c>
      <c r="G2515" s="11">
        <v>8149056623</v>
      </c>
      <c r="H2515" s="10" t="s">
        <v>5598</v>
      </c>
      <c r="I2515" s="10" t="s">
        <v>45</v>
      </c>
      <c r="J2515" s="10" t="s">
        <v>521</v>
      </c>
      <c r="K2515" s="12">
        <v>46007</v>
      </c>
      <c r="L2515" s="28" t="s">
        <v>11</v>
      </c>
      <c r="M2515" s="14"/>
      <c r="N2515" s="10" t="s">
        <v>1096</v>
      </c>
    </row>
    <row r="2516" spans="1:14" ht="22.5" customHeight="1">
      <c r="A2516" s="8">
        <v>46007.434326840274</v>
      </c>
      <c r="B2516" s="9" t="s">
        <v>14</v>
      </c>
      <c r="C2516" s="9" t="s">
        <v>15</v>
      </c>
      <c r="D2516" s="10" t="s">
        <v>5599</v>
      </c>
      <c r="E2516" s="9" t="s">
        <v>17</v>
      </c>
      <c r="F2516" s="10">
        <v>21</v>
      </c>
      <c r="G2516" s="11">
        <v>8149426223</v>
      </c>
      <c r="H2516" s="10" t="s">
        <v>5600</v>
      </c>
      <c r="I2516" s="10" t="s">
        <v>45</v>
      </c>
      <c r="J2516" s="10" t="s">
        <v>5601</v>
      </c>
      <c r="K2516" s="12">
        <v>46007</v>
      </c>
      <c r="L2516" s="28" t="s">
        <v>11</v>
      </c>
      <c r="M2516" s="14"/>
      <c r="N2516" s="10" t="s">
        <v>1096</v>
      </c>
    </row>
    <row r="2517" spans="1:14" ht="22.5" customHeight="1">
      <c r="A2517" s="8">
        <v>46007.435009363428</v>
      </c>
      <c r="B2517" s="9" t="s">
        <v>14</v>
      </c>
      <c r="C2517" s="9" t="s">
        <v>15</v>
      </c>
      <c r="D2517" s="10" t="s">
        <v>5602</v>
      </c>
      <c r="E2517" s="9" t="s">
        <v>17</v>
      </c>
      <c r="F2517" s="10">
        <v>20</v>
      </c>
      <c r="G2517" s="11">
        <v>7060675510</v>
      </c>
      <c r="H2517" s="10" t="s">
        <v>5603</v>
      </c>
      <c r="I2517" s="10" t="s">
        <v>27</v>
      </c>
      <c r="J2517" s="10" t="s">
        <v>1559</v>
      </c>
      <c r="K2517" s="12">
        <v>46007</v>
      </c>
      <c r="L2517" s="28" t="s">
        <v>11</v>
      </c>
      <c r="M2517" s="14"/>
      <c r="N2517" s="10" t="s">
        <v>1028</v>
      </c>
    </row>
    <row r="2518" spans="1:14" ht="22.5" customHeight="1">
      <c r="A2518" s="8">
        <v>46007.435345717589</v>
      </c>
      <c r="B2518" s="9" t="s">
        <v>14</v>
      </c>
      <c r="C2518" s="9" t="s">
        <v>15</v>
      </c>
      <c r="D2518" s="10" t="s">
        <v>5604</v>
      </c>
      <c r="E2518" s="9" t="s">
        <v>17</v>
      </c>
      <c r="F2518" s="10">
        <v>26</v>
      </c>
      <c r="G2518" s="11">
        <v>8106438581</v>
      </c>
      <c r="H2518" s="10" t="s">
        <v>5605</v>
      </c>
      <c r="I2518" s="10" t="s">
        <v>45</v>
      </c>
      <c r="J2518" s="10" t="s">
        <v>5606</v>
      </c>
      <c r="K2518" s="12">
        <v>46007</v>
      </c>
      <c r="L2518" s="28" t="s">
        <v>11</v>
      </c>
      <c r="M2518" s="14"/>
      <c r="N2518" s="10" t="s">
        <v>1028</v>
      </c>
    </row>
    <row r="2519" spans="1:14" ht="22.5" customHeight="1">
      <c r="A2519" s="8">
        <v>46007.435977939815</v>
      </c>
      <c r="B2519" s="9" t="s">
        <v>14</v>
      </c>
      <c r="C2519" s="9" t="s">
        <v>15</v>
      </c>
      <c r="D2519" s="10" t="s">
        <v>5607</v>
      </c>
      <c r="E2519" s="9" t="s">
        <v>22</v>
      </c>
      <c r="F2519" s="10">
        <v>25</v>
      </c>
      <c r="G2519" s="11">
        <v>8125986223</v>
      </c>
      <c r="H2519" s="10" t="s">
        <v>5608</v>
      </c>
      <c r="I2519" s="10" t="s">
        <v>45</v>
      </c>
      <c r="J2519" s="10" t="s">
        <v>5609</v>
      </c>
      <c r="K2519" s="12">
        <v>46007</v>
      </c>
      <c r="L2519" s="28" t="s">
        <v>11</v>
      </c>
      <c r="M2519" s="14"/>
      <c r="N2519" s="10" t="s">
        <v>5610</v>
      </c>
    </row>
    <row r="2520" spans="1:14" ht="22.5" customHeight="1">
      <c r="A2520" s="8">
        <v>46007.436725856482</v>
      </c>
      <c r="B2520" s="9" t="s">
        <v>14</v>
      </c>
      <c r="C2520" s="9" t="s">
        <v>15</v>
      </c>
      <c r="D2520" s="10" t="s">
        <v>5611</v>
      </c>
      <c r="E2520" s="9" t="s">
        <v>17</v>
      </c>
      <c r="F2520" s="10">
        <v>26</v>
      </c>
      <c r="G2520" s="11">
        <v>9036937747</v>
      </c>
      <c r="H2520" s="10" t="s">
        <v>5612</v>
      </c>
      <c r="I2520" s="10" t="s">
        <v>31</v>
      </c>
      <c r="J2520" s="10" t="s">
        <v>32</v>
      </c>
      <c r="K2520" s="12">
        <v>46007</v>
      </c>
      <c r="L2520" s="28" t="s">
        <v>11</v>
      </c>
      <c r="M2520" s="14"/>
      <c r="N2520" s="10" t="s">
        <v>1028</v>
      </c>
    </row>
    <row r="2521" spans="1:14" ht="22.5" customHeight="1">
      <c r="A2521" s="8">
        <v>46007.443293078701</v>
      </c>
      <c r="B2521" s="9" t="s">
        <v>14</v>
      </c>
      <c r="C2521" s="9" t="s">
        <v>15</v>
      </c>
      <c r="D2521" s="10" t="s">
        <v>5613</v>
      </c>
      <c r="E2521" s="9" t="s">
        <v>17</v>
      </c>
      <c r="F2521" s="10">
        <v>22</v>
      </c>
      <c r="G2521" s="11">
        <v>9033619168</v>
      </c>
      <c r="H2521" s="10" t="s">
        <v>5614</v>
      </c>
      <c r="I2521" s="10" t="s">
        <v>27</v>
      </c>
      <c r="J2521" s="10" t="s">
        <v>2228</v>
      </c>
      <c r="K2521" s="12">
        <v>46007</v>
      </c>
      <c r="L2521" s="28" t="s">
        <v>11</v>
      </c>
      <c r="M2521" s="14"/>
      <c r="N2521" s="10" t="s">
        <v>1028</v>
      </c>
    </row>
    <row r="2522" spans="1:14" ht="22.5" customHeight="1">
      <c r="A2522" s="8">
        <v>46007.443800046298</v>
      </c>
      <c r="B2522" s="9" t="s">
        <v>14</v>
      </c>
      <c r="C2522" s="9" t="s">
        <v>15</v>
      </c>
      <c r="D2522" s="10" t="s">
        <v>5615</v>
      </c>
      <c r="E2522" s="9" t="s">
        <v>17</v>
      </c>
      <c r="F2522" s="10">
        <v>20</v>
      </c>
      <c r="G2522" s="11">
        <v>9152355682</v>
      </c>
      <c r="H2522" s="10" t="s">
        <v>5616</v>
      </c>
      <c r="I2522" s="10" t="s">
        <v>45</v>
      </c>
      <c r="J2522" s="10" t="s">
        <v>932</v>
      </c>
      <c r="K2522" s="12">
        <v>46007</v>
      </c>
      <c r="L2522" s="28" t="s">
        <v>11</v>
      </c>
      <c r="M2522" s="14"/>
      <c r="N2522" s="10" t="s">
        <v>1028</v>
      </c>
    </row>
    <row r="2523" spans="1:14" ht="22.5" customHeight="1">
      <c r="A2523" s="8">
        <v>46007.450585104161</v>
      </c>
      <c r="B2523" s="9" t="s">
        <v>14</v>
      </c>
      <c r="C2523" s="9" t="s">
        <v>15</v>
      </c>
      <c r="D2523" s="10" t="s">
        <v>5617</v>
      </c>
      <c r="E2523" s="9" t="s">
        <v>22</v>
      </c>
      <c r="F2523" s="10">
        <v>22</v>
      </c>
      <c r="G2523" s="11">
        <v>8082213324</v>
      </c>
      <c r="H2523" s="10" t="s">
        <v>5618</v>
      </c>
      <c r="I2523" s="10" t="s">
        <v>45</v>
      </c>
      <c r="J2523" s="10" t="s">
        <v>901</v>
      </c>
      <c r="K2523" s="12">
        <v>46007</v>
      </c>
      <c r="L2523" s="28" t="s">
        <v>11</v>
      </c>
      <c r="M2523" s="14"/>
      <c r="N2523" s="10" t="s">
        <v>1028</v>
      </c>
    </row>
    <row r="2524" spans="1:14" ht="22.5" customHeight="1">
      <c r="A2524" s="8">
        <v>46007.453159398152</v>
      </c>
      <c r="B2524" s="9" t="s">
        <v>14</v>
      </c>
      <c r="C2524" s="9" t="s">
        <v>15</v>
      </c>
      <c r="D2524" s="10" t="s">
        <v>5619</v>
      </c>
      <c r="E2524" s="9" t="s">
        <v>22</v>
      </c>
      <c r="F2524" s="10">
        <v>28</v>
      </c>
      <c r="G2524" s="11">
        <v>7044095715</v>
      </c>
      <c r="H2524" s="10" t="s">
        <v>5620</v>
      </c>
      <c r="I2524" s="10" t="s">
        <v>19</v>
      </c>
      <c r="J2524" s="10" t="s">
        <v>5621</v>
      </c>
      <c r="K2524" s="12">
        <v>46007</v>
      </c>
      <c r="L2524" s="28" t="s">
        <v>11</v>
      </c>
      <c r="M2524" s="14"/>
      <c r="N2524" s="10" t="s">
        <v>1028</v>
      </c>
    </row>
    <row r="2525" spans="1:14" ht="22.5" customHeight="1">
      <c r="A2525" s="8">
        <v>46007.453549270838</v>
      </c>
      <c r="B2525" s="9" t="s">
        <v>14</v>
      </c>
      <c r="C2525" s="9" t="s">
        <v>15</v>
      </c>
      <c r="D2525" s="10" t="s">
        <v>5622</v>
      </c>
      <c r="E2525" s="9" t="s">
        <v>22</v>
      </c>
      <c r="F2525" s="10">
        <v>20</v>
      </c>
      <c r="G2525" s="11">
        <v>7042613260</v>
      </c>
      <c r="H2525" s="10" t="s">
        <v>5623</v>
      </c>
      <c r="I2525" s="10" t="s">
        <v>27</v>
      </c>
      <c r="J2525" s="10" t="s">
        <v>4560</v>
      </c>
      <c r="K2525" s="12">
        <v>46007</v>
      </c>
      <c r="L2525" s="28" t="s">
        <v>11</v>
      </c>
      <c r="M2525" s="14"/>
      <c r="N2525" s="10" t="s">
        <v>1028</v>
      </c>
    </row>
    <row r="2526" spans="1:14" ht="22.5" customHeight="1">
      <c r="A2526" s="8">
        <v>46007.453612881945</v>
      </c>
      <c r="B2526" s="9" t="s">
        <v>14</v>
      </c>
      <c r="C2526" s="9" t="s">
        <v>15</v>
      </c>
      <c r="D2526" s="10" t="s">
        <v>5624</v>
      </c>
      <c r="E2526" s="9" t="s">
        <v>22</v>
      </c>
      <c r="F2526" s="18">
        <v>20</v>
      </c>
      <c r="G2526" s="11">
        <v>9045281625</v>
      </c>
      <c r="H2526" s="10" t="s">
        <v>5625</v>
      </c>
      <c r="I2526" s="10" t="s">
        <v>45</v>
      </c>
      <c r="J2526" s="10" t="s">
        <v>1173</v>
      </c>
      <c r="K2526" s="12">
        <v>46007</v>
      </c>
      <c r="L2526" s="28" t="s">
        <v>11</v>
      </c>
      <c r="M2526" s="14"/>
      <c r="N2526" s="10" t="s">
        <v>1028</v>
      </c>
    </row>
    <row r="2527" spans="1:14" ht="22.5" customHeight="1">
      <c r="A2527" s="8">
        <v>46007.454887673608</v>
      </c>
      <c r="B2527" s="9" t="s">
        <v>14</v>
      </c>
      <c r="C2527" s="9" t="s">
        <v>15</v>
      </c>
      <c r="D2527" s="10" t="s">
        <v>5626</v>
      </c>
      <c r="E2527" s="9" t="s">
        <v>22</v>
      </c>
      <c r="F2527" s="10">
        <v>22</v>
      </c>
      <c r="G2527" s="11">
        <v>9069596001</v>
      </c>
      <c r="H2527" s="10" t="s">
        <v>5627</v>
      </c>
      <c r="I2527" s="10" t="s">
        <v>27</v>
      </c>
      <c r="J2527" s="10" t="s">
        <v>172</v>
      </c>
      <c r="K2527" s="12">
        <v>46007</v>
      </c>
      <c r="L2527" s="28" t="s">
        <v>11</v>
      </c>
      <c r="M2527" s="14"/>
      <c r="N2527" s="10" t="s">
        <v>1718</v>
      </c>
    </row>
    <row r="2528" spans="1:14" ht="22.5" customHeight="1">
      <c r="A2528" s="8">
        <v>46007.455165740743</v>
      </c>
      <c r="B2528" s="9" t="s">
        <v>14</v>
      </c>
      <c r="C2528" s="9" t="s">
        <v>15</v>
      </c>
      <c r="D2528" s="10" t="s">
        <v>5628</v>
      </c>
      <c r="E2528" s="9" t="s">
        <v>22</v>
      </c>
      <c r="F2528" s="10">
        <v>26</v>
      </c>
      <c r="G2528" s="11">
        <v>9033261981</v>
      </c>
      <c r="H2528" s="10" t="s">
        <v>5629</v>
      </c>
      <c r="I2528" s="10" t="s">
        <v>45</v>
      </c>
      <c r="J2528" s="10" t="s">
        <v>5630</v>
      </c>
      <c r="K2528" s="12">
        <v>45977</v>
      </c>
      <c r="L2528" s="28" t="s">
        <v>11</v>
      </c>
      <c r="M2528" s="14"/>
      <c r="N2528" s="10" t="s">
        <v>1096</v>
      </c>
    </row>
    <row r="2529" spans="1:14" ht="22.5" customHeight="1">
      <c r="A2529" s="8">
        <v>46007.456303553241</v>
      </c>
      <c r="B2529" s="9" t="s">
        <v>14</v>
      </c>
      <c r="C2529" s="9" t="s">
        <v>15</v>
      </c>
      <c r="D2529" s="10" t="s">
        <v>5631</v>
      </c>
      <c r="E2529" s="9" t="s">
        <v>22</v>
      </c>
      <c r="F2529" s="10">
        <v>23</v>
      </c>
      <c r="G2529" s="11">
        <v>7064375576</v>
      </c>
      <c r="H2529" s="10" t="s">
        <v>5632</v>
      </c>
      <c r="I2529" s="10" t="s">
        <v>145</v>
      </c>
      <c r="J2529" s="10" t="s">
        <v>4100</v>
      </c>
      <c r="K2529" s="12">
        <v>46007</v>
      </c>
      <c r="L2529" s="28" t="s">
        <v>11</v>
      </c>
      <c r="M2529" s="14"/>
      <c r="N2529" s="10" t="s">
        <v>1028</v>
      </c>
    </row>
    <row r="2530" spans="1:14" ht="22.5" customHeight="1">
      <c r="A2530" s="8">
        <v>46007.456582858795</v>
      </c>
      <c r="B2530" s="9" t="s">
        <v>14</v>
      </c>
      <c r="C2530" s="9" t="s">
        <v>15</v>
      </c>
      <c r="D2530" s="10" t="s">
        <v>5633</v>
      </c>
      <c r="E2530" s="9" t="s">
        <v>22</v>
      </c>
      <c r="F2530" s="19">
        <v>21</v>
      </c>
      <c r="G2530" s="11">
        <v>9064718940</v>
      </c>
      <c r="H2530" s="10" t="s">
        <v>5634</v>
      </c>
      <c r="I2530" s="10" t="s">
        <v>45</v>
      </c>
      <c r="J2530" s="10" t="s">
        <v>46</v>
      </c>
      <c r="K2530" s="12">
        <v>46007</v>
      </c>
      <c r="L2530" s="28" t="s">
        <v>11</v>
      </c>
      <c r="M2530" s="14"/>
      <c r="N2530" s="10" t="s">
        <v>1028</v>
      </c>
    </row>
    <row r="2531" spans="1:14" ht="22.5" customHeight="1">
      <c r="A2531" s="8">
        <v>46007.456778009262</v>
      </c>
      <c r="B2531" s="9" t="s">
        <v>14</v>
      </c>
      <c r="C2531" s="9" t="s">
        <v>15</v>
      </c>
      <c r="D2531" s="10" t="s">
        <v>5635</v>
      </c>
      <c r="E2531" s="9" t="s">
        <v>17</v>
      </c>
      <c r="F2531" s="10">
        <v>24</v>
      </c>
      <c r="G2531" s="11">
        <v>7082060925</v>
      </c>
      <c r="H2531" s="10" t="s">
        <v>5636</v>
      </c>
      <c r="I2531" s="10" t="s">
        <v>45</v>
      </c>
      <c r="J2531" s="10" t="s">
        <v>131</v>
      </c>
      <c r="K2531" s="12">
        <v>46007</v>
      </c>
      <c r="L2531" s="28" t="s">
        <v>11</v>
      </c>
      <c r="M2531" s="14"/>
      <c r="N2531" s="10" t="s">
        <v>1028</v>
      </c>
    </row>
    <row r="2532" spans="1:14" ht="22.5" customHeight="1">
      <c r="A2532" s="8">
        <v>46007.457458101853</v>
      </c>
      <c r="B2532" s="9" t="s">
        <v>14</v>
      </c>
      <c r="C2532" s="9" t="s">
        <v>15</v>
      </c>
      <c r="D2532" s="10" t="s">
        <v>5637</v>
      </c>
      <c r="E2532" s="9" t="s">
        <v>17</v>
      </c>
      <c r="F2532" s="10">
        <v>31</v>
      </c>
      <c r="G2532" s="11">
        <v>8142509607</v>
      </c>
      <c r="H2532" s="10" t="s">
        <v>5638</v>
      </c>
      <c r="I2532" s="10" t="s">
        <v>27</v>
      </c>
      <c r="J2532" s="10" t="s">
        <v>5639</v>
      </c>
      <c r="K2532" s="12">
        <v>46007</v>
      </c>
      <c r="L2532" s="28" t="s">
        <v>11</v>
      </c>
      <c r="M2532" s="14"/>
      <c r="N2532" s="10" t="s">
        <v>1028</v>
      </c>
    </row>
    <row r="2533" spans="1:14" ht="22.5" customHeight="1">
      <c r="A2533" s="8">
        <v>46007.461029537037</v>
      </c>
      <c r="B2533" s="9" t="s">
        <v>14</v>
      </c>
      <c r="C2533" s="9" t="s">
        <v>15</v>
      </c>
      <c r="D2533" s="10" t="s">
        <v>5640</v>
      </c>
      <c r="E2533" s="9" t="s">
        <v>22</v>
      </c>
      <c r="F2533" s="10">
        <v>32</v>
      </c>
      <c r="G2533" s="11">
        <v>9040138969</v>
      </c>
      <c r="H2533" s="10" t="s">
        <v>5641</v>
      </c>
      <c r="I2533" s="10" t="s">
        <v>27</v>
      </c>
      <c r="J2533" s="10" t="s">
        <v>2105</v>
      </c>
      <c r="K2533" s="12">
        <v>34252</v>
      </c>
      <c r="L2533" s="28" t="s">
        <v>11</v>
      </c>
      <c r="M2533" s="14"/>
      <c r="N2533" s="10" t="s">
        <v>1028</v>
      </c>
    </row>
    <row r="2534" spans="1:14" ht="22.5" customHeight="1">
      <c r="A2534" s="8">
        <v>46007.463491574075</v>
      </c>
      <c r="B2534" s="9" t="s">
        <v>14</v>
      </c>
      <c r="C2534" s="9" t="s">
        <v>15</v>
      </c>
      <c r="D2534" s="10" t="s">
        <v>5642</v>
      </c>
      <c r="E2534" s="9" t="s">
        <v>17</v>
      </c>
      <c r="F2534" s="18">
        <v>31</v>
      </c>
      <c r="G2534" s="11">
        <v>8060487700</v>
      </c>
      <c r="H2534" s="10" t="s">
        <v>5643</v>
      </c>
      <c r="I2534" s="10" t="s">
        <v>27</v>
      </c>
      <c r="J2534" s="10" t="s">
        <v>1559</v>
      </c>
      <c r="K2534" s="12">
        <v>46007</v>
      </c>
      <c r="L2534" s="28" t="s">
        <v>11</v>
      </c>
      <c r="M2534" s="14"/>
      <c r="N2534" s="10" t="s">
        <v>1028</v>
      </c>
    </row>
    <row r="2535" spans="1:14" ht="22.5" customHeight="1">
      <c r="A2535" s="8">
        <v>46007.464680185185</v>
      </c>
      <c r="B2535" s="9" t="s">
        <v>14</v>
      </c>
      <c r="C2535" s="9" t="s">
        <v>15</v>
      </c>
      <c r="D2535" s="10" t="s">
        <v>5644</v>
      </c>
      <c r="E2535" s="9" t="s">
        <v>22</v>
      </c>
      <c r="F2535" s="19">
        <v>21</v>
      </c>
      <c r="G2535" s="11">
        <v>8149115798</v>
      </c>
      <c r="H2535" s="10" t="s">
        <v>5645</v>
      </c>
      <c r="I2535" s="10" t="s">
        <v>45</v>
      </c>
      <c r="J2535" s="10" t="s">
        <v>5646</v>
      </c>
      <c r="K2535" s="12">
        <v>46007</v>
      </c>
      <c r="L2535" s="28" t="s">
        <v>11</v>
      </c>
      <c r="M2535" s="14"/>
      <c r="N2535" s="10" t="s">
        <v>1096</v>
      </c>
    </row>
    <row r="2536" spans="1:14" ht="22.5" customHeight="1">
      <c r="A2536" s="8">
        <v>46007.467443981484</v>
      </c>
      <c r="B2536" s="9" t="s">
        <v>14</v>
      </c>
      <c r="C2536" s="9" t="s">
        <v>15</v>
      </c>
      <c r="D2536" s="10" t="s">
        <v>5647</v>
      </c>
      <c r="E2536" s="9" t="s">
        <v>17</v>
      </c>
      <c r="F2536" s="10">
        <v>29</v>
      </c>
      <c r="G2536" s="11">
        <v>9019247070</v>
      </c>
      <c r="H2536" s="10" t="s">
        <v>5648</v>
      </c>
      <c r="I2536" s="10" t="s">
        <v>27</v>
      </c>
      <c r="J2536" s="10" t="s">
        <v>1514</v>
      </c>
      <c r="K2536" s="12">
        <v>46007</v>
      </c>
      <c r="L2536" s="28" t="s">
        <v>11</v>
      </c>
      <c r="M2536" s="14"/>
      <c r="N2536" s="10" t="s">
        <v>1028</v>
      </c>
    </row>
    <row r="2537" spans="1:14" ht="22.5" customHeight="1">
      <c r="A2537" s="8">
        <v>46007.480900763891</v>
      </c>
      <c r="B2537" s="9" t="s">
        <v>14</v>
      </c>
      <c r="C2537" s="9" t="s">
        <v>15</v>
      </c>
      <c r="D2537" s="10" t="s">
        <v>5649</v>
      </c>
      <c r="E2537" s="9" t="s">
        <v>17</v>
      </c>
      <c r="F2537" s="10">
        <v>26</v>
      </c>
      <c r="G2537" s="11">
        <v>8121999014</v>
      </c>
      <c r="H2537" s="10" t="s">
        <v>5650</v>
      </c>
      <c r="I2537" s="10" t="s">
        <v>45</v>
      </c>
      <c r="J2537" s="10" t="s">
        <v>1592</v>
      </c>
      <c r="K2537" s="12">
        <v>46007</v>
      </c>
      <c r="L2537" s="28" t="s">
        <v>11</v>
      </c>
      <c r="M2537" s="14"/>
      <c r="N2537" s="10" t="s">
        <v>1028</v>
      </c>
    </row>
    <row r="2538" spans="1:14" ht="22.5" customHeight="1">
      <c r="A2538" s="8">
        <v>46007.480999918982</v>
      </c>
      <c r="B2538" s="9" t="s">
        <v>14</v>
      </c>
      <c r="C2538" s="9" t="s">
        <v>15</v>
      </c>
      <c r="D2538" s="10" t="s">
        <v>5651</v>
      </c>
      <c r="E2538" s="9" t="s">
        <v>22</v>
      </c>
      <c r="F2538" s="10">
        <v>34</v>
      </c>
      <c r="G2538" s="11">
        <v>8035640956</v>
      </c>
      <c r="H2538" s="10" t="s">
        <v>5652</v>
      </c>
      <c r="I2538" s="10" t="s">
        <v>27</v>
      </c>
      <c r="J2538" s="10" t="s">
        <v>172</v>
      </c>
      <c r="K2538" s="12">
        <v>46007</v>
      </c>
      <c r="L2538" s="28" t="s">
        <v>11</v>
      </c>
      <c r="M2538" s="14"/>
      <c r="N2538" s="10" t="s">
        <v>1028</v>
      </c>
    </row>
    <row r="2539" spans="1:14" ht="22.5" customHeight="1">
      <c r="A2539" s="8">
        <v>46007.4819221875</v>
      </c>
      <c r="B2539" s="9" t="s">
        <v>14</v>
      </c>
      <c r="C2539" s="9" t="s">
        <v>15</v>
      </c>
      <c r="D2539" s="10" t="s">
        <v>5653</v>
      </c>
      <c r="E2539" s="9" t="s">
        <v>17</v>
      </c>
      <c r="F2539" s="10">
        <v>32</v>
      </c>
      <c r="G2539" s="11">
        <v>8145847717</v>
      </c>
      <c r="H2539" s="10" t="s">
        <v>5654</v>
      </c>
      <c r="I2539" s="10" t="s">
        <v>27</v>
      </c>
      <c r="J2539" s="10" t="s">
        <v>2031</v>
      </c>
      <c r="K2539" s="12">
        <v>46007</v>
      </c>
      <c r="L2539" s="28" t="s">
        <v>11</v>
      </c>
      <c r="M2539" s="14"/>
      <c r="N2539" s="10" t="s">
        <v>1096</v>
      </c>
    </row>
    <row r="2540" spans="1:14" ht="22.5" hidden="1" customHeight="1">
      <c r="A2540" s="8">
        <v>46007.482471469906</v>
      </c>
      <c r="B2540" s="9" t="s">
        <v>14</v>
      </c>
      <c r="C2540" s="9" t="s">
        <v>15</v>
      </c>
      <c r="D2540" s="10" t="s">
        <v>5655</v>
      </c>
      <c r="E2540" s="9" t="s">
        <v>22</v>
      </c>
      <c r="F2540" s="10">
        <v>17</v>
      </c>
      <c r="G2540" s="11">
        <v>7026778821</v>
      </c>
      <c r="H2540" s="10" t="s">
        <v>5656</v>
      </c>
      <c r="I2540" s="10" t="s">
        <v>27</v>
      </c>
      <c r="J2540" s="10" t="s">
        <v>94</v>
      </c>
      <c r="K2540" s="12">
        <v>46007</v>
      </c>
      <c r="L2540" s="10" t="s">
        <v>441</v>
      </c>
      <c r="M2540" s="10" t="s">
        <v>1827</v>
      </c>
      <c r="N2540" s="10" t="s">
        <v>1028</v>
      </c>
    </row>
    <row r="2541" spans="1:14" ht="22.5" customHeight="1">
      <c r="A2541" s="8">
        <v>46007.490811469906</v>
      </c>
      <c r="B2541" s="9" t="s">
        <v>14</v>
      </c>
      <c r="C2541" s="9" t="s">
        <v>15</v>
      </c>
      <c r="D2541" s="10" t="s">
        <v>5657</v>
      </c>
      <c r="E2541" s="9" t="s">
        <v>17</v>
      </c>
      <c r="F2541" s="10">
        <v>23</v>
      </c>
      <c r="G2541" s="11">
        <v>8039791653</v>
      </c>
      <c r="H2541" s="10" t="s">
        <v>5658</v>
      </c>
      <c r="I2541" s="10" t="s">
        <v>27</v>
      </c>
      <c r="J2541" s="10" t="s">
        <v>3542</v>
      </c>
      <c r="K2541" s="12">
        <v>46007</v>
      </c>
      <c r="L2541" s="28" t="s">
        <v>11</v>
      </c>
      <c r="M2541" s="14"/>
      <c r="N2541" s="10" t="s">
        <v>1028</v>
      </c>
    </row>
    <row r="2542" spans="1:14" ht="22.5" customHeight="1">
      <c r="A2542" s="8">
        <v>46007.498789756944</v>
      </c>
      <c r="B2542" s="9" t="s">
        <v>14</v>
      </c>
      <c r="C2542" s="9" t="s">
        <v>15</v>
      </c>
      <c r="D2542" s="10" t="s">
        <v>5659</v>
      </c>
      <c r="E2542" s="9" t="s">
        <v>22</v>
      </c>
      <c r="F2542" s="10">
        <v>31</v>
      </c>
      <c r="G2542" s="11">
        <v>8168004976</v>
      </c>
      <c r="H2542" s="10" t="s">
        <v>5660</v>
      </c>
      <c r="I2542" s="10" t="s">
        <v>45</v>
      </c>
      <c r="J2542" s="10" t="s">
        <v>279</v>
      </c>
      <c r="K2542" s="12">
        <v>46007</v>
      </c>
      <c r="L2542" s="28" t="s">
        <v>11</v>
      </c>
      <c r="M2542" s="14"/>
      <c r="N2542" s="10" t="s">
        <v>1028</v>
      </c>
    </row>
    <row r="2543" spans="1:14" ht="22.5" customHeight="1">
      <c r="A2543" s="8">
        <v>46007.504380312501</v>
      </c>
      <c r="B2543" s="9" t="s">
        <v>14</v>
      </c>
      <c r="C2543" s="9" t="s">
        <v>15</v>
      </c>
      <c r="D2543" s="10" t="s">
        <v>5661</v>
      </c>
      <c r="E2543" s="9" t="s">
        <v>22</v>
      </c>
      <c r="F2543" s="10">
        <v>28</v>
      </c>
      <c r="G2543" s="11">
        <v>7038234940</v>
      </c>
      <c r="H2543" s="10" t="s">
        <v>5662</v>
      </c>
      <c r="I2543" s="10" t="s">
        <v>27</v>
      </c>
      <c r="J2543" s="10" t="s">
        <v>372</v>
      </c>
      <c r="K2543" s="12">
        <v>46007</v>
      </c>
      <c r="L2543" s="28" t="s">
        <v>11</v>
      </c>
      <c r="M2543" s="14"/>
      <c r="N2543" s="10" t="s">
        <v>1028</v>
      </c>
    </row>
    <row r="2544" spans="1:14" ht="22.5" customHeight="1">
      <c r="A2544" s="8">
        <v>46007.505483946763</v>
      </c>
      <c r="B2544" s="9" t="s">
        <v>14</v>
      </c>
      <c r="C2544" s="9" t="s">
        <v>15</v>
      </c>
      <c r="D2544" s="10" t="s">
        <v>5663</v>
      </c>
      <c r="E2544" s="9" t="s">
        <v>22</v>
      </c>
      <c r="F2544" s="10">
        <v>18</v>
      </c>
      <c r="G2544" s="11">
        <v>9160674216</v>
      </c>
      <c r="H2544" s="10" t="s">
        <v>5664</v>
      </c>
      <c r="I2544" s="10" t="s">
        <v>27</v>
      </c>
      <c r="J2544" s="10" t="s">
        <v>1890</v>
      </c>
      <c r="K2544" s="12">
        <v>46007</v>
      </c>
      <c r="L2544" s="28" t="s">
        <v>11</v>
      </c>
      <c r="M2544" s="14"/>
      <c r="N2544" s="10" t="s">
        <v>1028</v>
      </c>
    </row>
    <row r="2545" spans="1:14" ht="22.5" customHeight="1">
      <c r="A2545" s="8">
        <v>46007.527775798611</v>
      </c>
      <c r="B2545" s="9" t="s">
        <v>14</v>
      </c>
      <c r="C2545" s="9" t="s">
        <v>15</v>
      </c>
      <c r="D2545" s="10" t="s">
        <v>5665</v>
      </c>
      <c r="E2545" s="9" t="s">
        <v>22</v>
      </c>
      <c r="F2545" s="10">
        <v>19</v>
      </c>
      <c r="G2545" s="11">
        <v>7043408512</v>
      </c>
      <c r="H2545" s="10" t="s">
        <v>5666</v>
      </c>
      <c r="I2545" s="10" t="s">
        <v>45</v>
      </c>
      <c r="J2545" s="10" t="s">
        <v>131</v>
      </c>
      <c r="K2545" s="12">
        <v>46007</v>
      </c>
      <c r="L2545" s="28" t="s">
        <v>11</v>
      </c>
      <c r="M2545" s="14"/>
      <c r="N2545" s="10" t="s">
        <v>1028</v>
      </c>
    </row>
    <row r="2546" spans="1:14" ht="22.5" customHeight="1">
      <c r="A2546" s="8">
        <v>46007.529388287032</v>
      </c>
      <c r="B2546" s="9" t="s">
        <v>14</v>
      </c>
      <c r="C2546" s="9" t="s">
        <v>15</v>
      </c>
      <c r="D2546" s="10" t="s">
        <v>5667</v>
      </c>
      <c r="E2546" s="9" t="s">
        <v>22</v>
      </c>
      <c r="F2546" s="10">
        <v>22</v>
      </c>
      <c r="G2546" s="11">
        <v>9033607989</v>
      </c>
      <c r="H2546" s="10" t="s">
        <v>5668</v>
      </c>
      <c r="I2546" s="10" t="s">
        <v>45</v>
      </c>
      <c r="J2546" s="10" t="s">
        <v>901</v>
      </c>
      <c r="K2546" s="12">
        <v>46007</v>
      </c>
      <c r="L2546" s="28" t="s">
        <v>11</v>
      </c>
      <c r="M2546" s="14"/>
      <c r="N2546" s="10" t="s">
        <v>1096</v>
      </c>
    </row>
    <row r="2547" spans="1:14" ht="22.5" customHeight="1">
      <c r="A2547" s="8">
        <v>46007.53626173611</v>
      </c>
      <c r="B2547" s="9" t="s">
        <v>14</v>
      </c>
      <c r="C2547" s="9" t="s">
        <v>15</v>
      </c>
      <c r="D2547" s="10" t="s">
        <v>5669</v>
      </c>
      <c r="E2547" s="9" t="s">
        <v>22</v>
      </c>
      <c r="F2547" s="10">
        <v>30</v>
      </c>
      <c r="G2547" s="11">
        <v>8064169617</v>
      </c>
      <c r="H2547" s="10" t="s">
        <v>5670</v>
      </c>
      <c r="I2547" s="10" t="s">
        <v>45</v>
      </c>
      <c r="J2547" s="10" t="s">
        <v>932</v>
      </c>
      <c r="K2547" s="12">
        <v>46007</v>
      </c>
      <c r="L2547" s="28" t="s">
        <v>11</v>
      </c>
      <c r="M2547" s="14"/>
      <c r="N2547" s="10" t="s">
        <v>1028</v>
      </c>
    </row>
    <row r="2548" spans="1:14" ht="22.5" customHeight="1">
      <c r="A2548" s="8">
        <v>46007.538624004628</v>
      </c>
      <c r="B2548" s="9" t="s">
        <v>14</v>
      </c>
      <c r="C2548" s="9" t="s">
        <v>15</v>
      </c>
      <c r="D2548" s="10" t="s">
        <v>5671</v>
      </c>
      <c r="E2548" s="9" t="s">
        <v>17</v>
      </c>
      <c r="F2548" s="10">
        <v>27</v>
      </c>
      <c r="G2548" s="11">
        <v>9161686774</v>
      </c>
      <c r="H2548" s="10" t="s">
        <v>5672</v>
      </c>
      <c r="I2548" s="10" t="s">
        <v>45</v>
      </c>
      <c r="J2548" s="10" t="s">
        <v>5673</v>
      </c>
      <c r="K2548" s="12">
        <v>46007</v>
      </c>
      <c r="L2548" s="28" t="s">
        <v>11</v>
      </c>
      <c r="M2548" s="14"/>
      <c r="N2548" s="10" t="s">
        <v>1096</v>
      </c>
    </row>
    <row r="2549" spans="1:14" ht="22.5" customHeight="1">
      <c r="A2549" s="8">
        <v>46007.542657604165</v>
      </c>
      <c r="B2549" s="9" t="s">
        <v>14</v>
      </c>
      <c r="C2549" s="9" t="s">
        <v>15</v>
      </c>
      <c r="D2549" s="10" t="s">
        <v>5674</v>
      </c>
      <c r="E2549" s="9" t="s">
        <v>17</v>
      </c>
      <c r="F2549" s="18">
        <v>24</v>
      </c>
      <c r="G2549" s="11">
        <v>7056431404</v>
      </c>
      <c r="H2549" s="10" t="s">
        <v>5675</v>
      </c>
      <c r="I2549" s="10" t="s">
        <v>31</v>
      </c>
      <c r="J2549" s="10" t="s">
        <v>3529</v>
      </c>
      <c r="K2549" s="12">
        <v>46007</v>
      </c>
      <c r="L2549" s="28" t="s">
        <v>11</v>
      </c>
      <c r="M2549" s="14"/>
      <c r="N2549" s="10" t="s">
        <v>1028</v>
      </c>
    </row>
    <row r="2550" spans="1:14" ht="22.5" customHeight="1">
      <c r="A2550" s="8">
        <v>46007.544924780093</v>
      </c>
      <c r="B2550" s="9" t="s">
        <v>14</v>
      </c>
      <c r="C2550" s="9" t="s">
        <v>15</v>
      </c>
      <c r="D2550" s="10" t="s">
        <v>5676</v>
      </c>
      <c r="E2550" s="9" t="s">
        <v>22</v>
      </c>
      <c r="F2550" s="10">
        <v>21</v>
      </c>
      <c r="G2550" s="11">
        <v>8101840219</v>
      </c>
      <c r="H2550" s="10" t="s">
        <v>5677</v>
      </c>
      <c r="I2550" s="10" t="s">
        <v>202</v>
      </c>
      <c r="J2550" s="10" t="s">
        <v>5573</v>
      </c>
      <c r="K2550" s="12">
        <v>46007</v>
      </c>
      <c r="L2550" s="28" t="s">
        <v>11</v>
      </c>
      <c r="M2550" s="14"/>
      <c r="N2550" s="10" t="s">
        <v>1028</v>
      </c>
    </row>
    <row r="2551" spans="1:14" ht="22.5" customHeight="1">
      <c r="A2551" s="8">
        <v>46007.544947905088</v>
      </c>
      <c r="B2551" s="9" t="s">
        <v>14</v>
      </c>
      <c r="C2551" s="9" t="s">
        <v>15</v>
      </c>
      <c r="D2551" s="10" t="s">
        <v>5678</v>
      </c>
      <c r="E2551" s="9" t="s">
        <v>17</v>
      </c>
      <c r="F2551" s="10">
        <v>23</v>
      </c>
      <c r="G2551" s="11">
        <v>9079731785</v>
      </c>
      <c r="H2551" s="10" t="s">
        <v>5679</v>
      </c>
      <c r="I2551" s="10" t="s">
        <v>45</v>
      </c>
      <c r="J2551" s="10" t="s">
        <v>5680</v>
      </c>
      <c r="K2551" s="12">
        <v>46007</v>
      </c>
      <c r="L2551" s="28" t="s">
        <v>11</v>
      </c>
      <c r="M2551" s="14"/>
      <c r="N2551" s="10" t="s">
        <v>1028</v>
      </c>
    </row>
    <row r="2552" spans="1:14" ht="22.5" customHeight="1">
      <c r="A2552" s="8">
        <v>46007.548285439814</v>
      </c>
      <c r="B2552" s="9" t="s">
        <v>14</v>
      </c>
      <c r="C2552" s="9" t="s">
        <v>15</v>
      </c>
      <c r="D2552" s="10" t="s">
        <v>5681</v>
      </c>
      <c r="E2552" s="9" t="s">
        <v>22</v>
      </c>
      <c r="F2552" s="10">
        <v>32</v>
      </c>
      <c r="G2552" s="11">
        <v>7034926048</v>
      </c>
      <c r="H2552" s="10" t="s">
        <v>5682</v>
      </c>
      <c r="I2552" s="10" t="s">
        <v>202</v>
      </c>
      <c r="J2552" s="10" t="s">
        <v>4005</v>
      </c>
      <c r="K2552" s="12">
        <v>46007</v>
      </c>
      <c r="L2552" s="28" t="s">
        <v>11</v>
      </c>
      <c r="M2552" s="14"/>
      <c r="N2552" s="10" t="s">
        <v>1028</v>
      </c>
    </row>
    <row r="2553" spans="1:14" ht="22.5" customHeight="1">
      <c r="A2553" s="8">
        <v>46007.550209374996</v>
      </c>
      <c r="B2553" s="9" t="s">
        <v>14</v>
      </c>
      <c r="C2553" s="9" t="s">
        <v>15</v>
      </c>
      <c r="D2553" s="10" t="s">
        <v>5683</v>
      </c>
      <c r="E2553" s="9" t="s">
        <v>22</v>
      </c>
      <c r="F2553" s="10">
        <v>27</v>
      </c>
      <c r="G2553" s="11">
        <v>9021952445</v>
      </c>
      <c r="H2553" s="10" t="s">
        <v>5684</v>
      </c>
      <c r="I2553" s="10" t="s">
        <v>45</v>
      </c>
      <c r="J2553" s="10" t="s">
        <v>901</v>
      </c>
      <c r="K2553" s="12">
        <v>46007</v>
      </c>
      <c r="L2553" s="28" t="s">
        <v>11</v>
      </c>
      <c r="M2553" s="14"/>
      <c r="N2553" s="10" t="s">
        <v>1028</v>
      </c>
    </row>
    <row r="2554" spans="1:14" ht="22.5" customHeight="1">
      <c r="A2554" s="8">
        <v>46007.554036319445</v>
      </c>
      <c r="B2554" s="9" t="s">
        <v>14</v>
      </c>
      <c r="C2554" s="9" t="s">
        <v>15</v>
      </c>
      <c r="D2554" s="10" t="s">
        <v>4246</v>
      </c>
      <c r="E2554" s="9" t="s">
        <v>17</v>
      </c>
      <c r="F2554" s="10">
        <v>34</v>
      </c>
      <c r="G2554" s="11">
        <v>9026800058</v>
      </c>
      <c r="H2554" s="10" t="s">
        <v>5685</v>
      </c>
      <c r="I2554" s="10" t="s">
        <v>27</v>
      </c>
      <c r="J2554" s="10" t="s">
        <v>28</v>
      </c>
      <c r="K2554" s="12">
        <v>46007</v>
      </c>
      <c r="L2554" s="28" t="s">
        <v>11</v>
      </c>
      <c r="M2554" s="14"/>
      <c r="N2554" s="10" t="s">
        <v>1028</v>
      </c>
    </row>
    <row r="2555" spans="1:14" ht="22.5" customHeight="1">
      <c r="A2555" s="8">
        <v>46007.560586886575</v>
      </c>
      <c r="B2555" s="9" t="s">
        <v>14</v>
      </c>
      <c r="C2555" s="9" t="s">
        <v>15</v>
      </c>
      <c r="D2555" s="10" t="s">
        <v>1517</v>
      </c>
      <c r="E2555" s="9" t="s">
        <v>22</v>
      </c>
      <c r="F2555" s="10">
        <v>22</v>
      </c>
      <c r="G2555" s="11">
        <v>8102680191</v>
      </c>
      <c r="H2555" s="10" t="s">
        <v>1518</v>
      </c>
      <c r="I2555" s="10" t="s">
        <v>45</v>
      </c>
      <c r="J2555" s="10" t="s">
        <v>901</v>
      </c>
      <c r="K2555" s="12">
        <v>46007</v>
      </c>
      <c r="L2555" s="28" t="s">
        <v>11</v>
      </c>
      <c r="M2555" s="10"/>
      <c r="N2555" s="10" t="s">
        <v>1028</v>
      </c>
    </row>
    <row r="2556" spans="1:14" ht="22.5" customHeight="1">
      <c r="A2556" s="8">
        <v>46007.561035763894</v>
      </c>
      <c r="B2556" s="9" t="s">
        <v>14</v>
      </c>
      <c r="C2556" s="9" t="s">
        <v>15</v>
      </c>
      <c r="D2556" s="10" t="s">
        <v>5686</v>
      </c>
      <c r="E2556" s="9" t="s">
        <v>22</v>
      </c>
      <c r="F2556" s="10">
        <v>52</v>
      </c>
      <c r="G2556" s="11">
        <v>8088300903</v>
      </c>
      <c r="H2556" s="10" t="s">
        <v>5687</v>
      </c>
      <c r="I2556" s="10" t="s">
        <v>27</v>
      </c>
      <c r="J2556" s="10" t="s">
        <v>640</v>
      </c>
      <c r="K2556" s="12">
        <v>46007</v>
      </c>
      <c r="L2556" s="28" t="s">
        <v>11</v>
      </c>
      <c r="M2556" s="14"/>
      <c r="N2556" s="10" t="s">
        <v>1028</v>
      </c>
    </row>
    <row r="2557" spans="1:14" ht="22.5" customHeight="1">
      <c r="A2557" s="8">
        <v>46007.562246145833</v>
      </c>
      <c r="B2557" s="9" t="s">
        <v>14</v>
      </c>
      <c r="C2557" s="9" t="s">
        <v>15</v>
      </c>
      <c r="D2557" s="10" t="s">
        <v>5688</v>
      </c>
      <c r="E2557" s="9" t="s">
        <v>22</v>
      </c>
      <c r="F2557" s="10">
        <v>27</v>
      </c>
      <c r="G2557" s="11">
        <v>9035793852</v>
      </c>
      <c r="H2557" s="10" t="s">
        <v>5689</v>
      </c>
      <c r="I2557" s="10" t="s">
        <v>27</v>
      </c>
      <c r="J2557" s="10" t="s">
        <v>703</v>
      </c>
      <c r="K2557" s="12">
        <v>46007</v>
      </c>
      <c r="L2557" s="28" t="s">
        <v>11</v>
      </c>
      <c r="M2557" s="14"/>
      <c r="N2557" s="10" t="s">
        <v>1028</v>
      </c>
    </row>
    <row r="2558" spans="1:14" ht="22.5" customHeight="1">
      <c r="A2558" s="8">
        <v>46007.569472534728</v>
      </c>
      <c r="B2558" s="9" t="s">
        <v>14</v>
      </c>
      <c r="C2558" s="9" t="s">
        <v>15</v>
      </c>
      <c r="D2558" s="10" t="s">
        <v>5690</v>
      </c>
      <c r="E2558" s="9" t="s">
        <v>22</v>
      </c>
      <c r="F2558" s="10">
        <v>24</v>
      </c>
      <c r="G2558" s="11">
        <v>8139195965</v>
      </c>
      <c r="H2558" s="10" t="s">
        <v>5691</v>
      </c>
      <c r="I2558" s="10" t="s">
        <v>45</v>
      </c>
      <c r="J2558" s="10" t="s">
        <v>46</v>
      </c>
      <c r="K2558" s="12">
        <v>46007</v>
      </c>
      <c r="L2558" s="28" t="s">
        <v>11</v>
      </c>
      <c r="M2558" s="14"/>
      <c r="N2558" s="10" t="s">
        <v>1028</v>
      </c>
    </row>
    <row r="2559" spans="1:14" ht="22.5" customHeight="1">
      <c r="A2559" s="8">
        <v>46007.569487129629</v>
      </c>
      <c r="B2559" s="9" t="s">
        <v>14</v>
      </c>
      <c r="C2559" s="9" t="s">
        <v>15</v>
      </c>
      <c r="D2559" s="10" t="s">
        <v>5692</v>
      </c>
      <c r="E2559" s="9" t="s">
        <v>22</v>
      </c>
      <c r="F2559" s="10">
        <v>20</v>
      </c>
      <c r="G2559" s="11">
        <v>8036219713</v>
      </c>
      <c r="H2559" s="10" t="s">
        <v>5693</v>
      </c>
      <c r="I2559" s="10" t="s">
        <v>19</v>
      </c>
      <c r="J2559" s="10" t="s">
        <v>812</v>
      </c>
      <c r="K2559" s="12">
        <v>46007</v>
      </c>
      <c r="L2559" s="28" t="s">
        <v>11</v>
      </c>
      <c r="M2559" s="14"/>
      <c r="N2559" s="10" t="s">
        <v>1028</v>
      </c>
    </row>
    <row r="2560" spans="1:14" ht="22.5" customHeight="1">
      <c r="A2560" s="8">
        <v>46007.575707800926</v>
      </c>
      <c r="B2560" s="9" t="s">
        <v>14</v>
      </c>
      <c r="C2560" s="9" t="s">
        <v>15</v>
      </c>
      <c r="D2560" s="10" t="s">
        <v>5694</v>
      </c>
      <c r="E2560" s="9" t="s">
        <v>17</v>
      </c>
      <c r="F2560" s="10">
        <v>24</v>
      </c>
      <c r="G2560" s="11">
        <v>8123438525</v>
      </c>
      <c r="H2560" s="10" t="s">
        <v>5695</v>
      </c>
      <c r="I2560" s="10" t="s">
        <v>45</v>
      </c>
      <c r="J2560" s="10" t="s">
        <v>46</v>
      </c>
      <c r="K2560" s="12">
        <v>46007</v>
      </c>
      <c r="L2560" s="28" t="s">
        <v>11</v>
      </c>
      <c r="M2560" s="14"/>
      <c r="N2560" s="10" t="s">
        <v>1028</v>
      </c>
    </row>
    <row r="2561" spans="1:14" ht="22.5" hidden="1" customHeight="1">
      <c r="A2561" s="8">
        <v>46007.578012337966</v>
      </c>
      <c r="B2561" s="9" t="s">
        <v>14</v>
      </c>
      <c r="C2561" s="9" t="s">
        <v>15</v>
      </c>
      <c r="D2561" s="10" t="s">
        <v>5696</v>
      </c>
      <c r="E2561" s="9" t="s">
        <v>17</v>
      </c>
      <c r="F2561" s="10">
        <v>28</v>
      </c>
      <c r="G2561" s="11">
        <v>9073453968</v>
      </c>
      <c r="H2561" s="10" t="s">
        <v>5697</v>
      </c>
      <c r="I2561" s="10" t="s">
        <v>27</v>
      </c>
      <c r="J2561" s="10" t="s">
        <v>1456</v>
      </c>
      <c r="K2561" s="12">
        <v>46007</v>
      </c>
      <c r="L2561" s="10" t="s">
        <v>441</v>
      </c>
      <c r="M2561" s="10" t="s">
        <v>1361</v>
      </c>
      <c r="N2561" s="10" t="s">
        <v>1028</v>
      </c>
    </row>
    <row r="2562" spans="1:14" ht="22.5" customHeight="1">
      <c r="A2562" s="8">
        <v>46007.580635868057</v>
      </c>
      <c r="B2562" s="9" t="s">
        <v>14</v>
      </c>
      <c r="C2562" s="9" t="s">
        <v>15</v>
      </c>
      <c r="D2562" s="10" t="s">
        <v>5698</v>
      </c>
      <c r="E2562" s="9" t="s">
        <v>22</v>
      </c>
      <c r="F2562" s="10">
        <v>20</v>
      </c>
      <c r="G2562" s="11">
        <v>7062200856</v>
      </c>
      <c r="H2562" s="10" t="s">
        <v>5693</v>
      </c>
      <c r="I2562" s="10" t="s">
        <v>19</v>
      </c>
      <c r="J2562" s="10" t="s">
        <v>812</v>
      </c>
      <c r="K2562" s="12">
        <v>46007</v>
      </c>
      <c r="L2562" s="28" t="s">
        <v>11</v>
      </c>
      <c r="M2562" s="14"/>
      <c r="N2562" s="10" t="s">
        <v>1028</v>
      </c>
    </row>
    <row r="2563" spans="1:14" ht="22.5" customHeight="1">
      <c r="A2563" s="8">
        <v>46007.582055497682</v>
      </c>
      <c r="B2563" s="9" t="s">
        <v>14</v>
      </c>
      <c r="C2563" s="9" t="s">
        <v>15</v>
      </c>
      <c r="D2563" s="10" t="s">
        <v>5699</v>
      </c>
      <c r="E2563" s="9" t="s">
        <v>17</v>
      </c>
      <c r="F2563" s="10">
        <v>19</v>
      </c>
      <c r="G2563" s="11">
        <v>8061928681</v>
      </c>
      <c r="H2563" s="10" t="s">
        <v>5700</v>
      </c>
      <c r="I2563" s="10" t="s">
        <v>27</v>
      </c>
      <c r="J2563" s="10" t="s">
        <v>1456</v>
      </c>
      <c r="K2563" s="12">
        <v>46007</v>
      </c>
      <c r="L2563" s="28" t="s">
        <v>11</v>
      </c>
      <c r="M2563" s="14"/>
      <c r="N2563" s="10" t="s">
        <v>1028</v>
      </c>
    </row>
    <row r="2564" spans="1:14" ht="22.5" customHeight="1">
      <c r="A2564" s="8">
        <v>46007.58393670139</v>
      </c>
      <c r="B2564" s="9" t="s">
        <v>14</v>
      </c>
      <c r="C2564" s="9" t="s">
        <v>15</v>
      </c>
      <c r="D2564" s="10" t="s">
        <v>5701</v>
      </c>
      <c r="E2564" s="9" t="s">
        <v>22</v>
      </c>
      <c r="F2564" s="10">
        <v>30</v>
      </c>
      <c r="G2564" s="11">
        <v>7011263706</v>
      </c>
      <c r="H2564" s="10" t="s">
        <v>5702</v>
      </c>
      <c r="I2564" s="10" t="s">
        <v>31</v>
      </c>
      <c r="J2564" s="10" t="s">
        <v>32</v>
      </c>
      <c r="K2564" s="12">
        <v>34935</v>
      </c>
      <c r="L2564" s="28" t="s">
        <v>11</v>
      </c>
      <c r="M2564" s="14"/>
      <c r="N2564" s="10" t="s">
        <v>1096</v>
      </c>
    </row>
    <row r="2565" spans="1:14" ht="22.5" customHeight="1">
      <c r="A2565" s="8">
        <v>46007.598056076386</v>
      </c>
      <c r="B2565" s="9" t="s">
        <v>14</v>
      </c>
      <c r="C2565" s="9" t="s">
        <v>15</v>
      </c>
      <c r="D2565" s="10" t="s">
        <v>5703</v>
      </c>
      <c r="E2565" s="9" t="s">
        <v>17</v>
      </c>
      <c r="F2565" s="10">
        <v>34</v>
      </c>
      <c r="G2565" s="11">
        <v>8132502756</v>
      </c>
      <c r="H2565" s="10" t="s">
        <v>5704</v>
      </c>
      <c r="I2565" s="10" t="s">
        <v>27</v>
      </c>
      <c r="J2565" s="10" t="s">
        <v>70</v>
      </c>
      <c r="K2565" s="12">
        <v>46007</v>
      </c>
      <c r="L2565" s="28" t="s">
        <v>11</v>
      </c>
      <c r="M2565" s="14"/>
      <c r="N2565" s="10" t="s">
        <v>1028</v>
      </c>
    </row>
    <row r="2566" spans="1:14" ht="22.5" customHeight="1">
      <c r="A2566" s="8">
        <v>46007.608239039357</v>
      </c>
      <c r="B2566" s="9" t="s">
        <v>14</v>
      </c>
      <c r="C2566" s="9" t="s">
        <v>15</v>
      </c>
      <c r="D2566" s="10" t="s">
        <v>5705</v>
      </c>
      <c r="E2566" s="9" t="s">
        <v>17</v>
      </c>
      <c r="F2566" s="10">
        <v>28</v>
      </c>
      <c r="G2566" s="11">
        <v>7038977185</v>
      </c>
      <c r="H2566" s="10" t="s">
        <v>5706</v>
      </c>
      <c r="I2566" s="10" t="s">
        <v>49</v>
      </c>
      <c r="J2566" s="10" t="s">
        <v>50</v>
      </c>
      <c r="K2566" s="12">
        <v>46007</v>
      </c>
      <c r="L2566" s="28" t="s">
        <v>11</v>
      </c>
      <c r="M2566" s="14"/>
      <c r="N2566" s="10" t="s">
        <v>1028</v>
      </c>
    </row>
    <row r="2567" spans="1:14" ht="22.5" customHeight="1">
      <c r="A2567" s="8">
        <v>46007.610803379634</v>
      </c>
      <c r="B2567" s="9" t="s">
        <v>14</v>
      </c>
      <c r="C2567" s="9" t="s">
        <v>15</v>
      </c>
      <c r="D2567" s="10" t="s">
        <v>5707</v>
      </c>
      <c r="E2567" s="9" t="s">
        <v>17</v>
      </c>
      <c r="F2567" s="10">
        <v>25</v>
      </c>
      <c r="G2567" s="11">
        <v>8144399250</v>
      </c>
      <c r="H2567" s="10" t="s">
        <v>5708</v>
      </c>
      <c r="I2567" s="10" t="s">
        <v>27</v>
      </c>
      <c r="J2567" s="10" t="s">
        <v>5709</v>
      </c>
      <c r="K2567" s="12">
        <v>46007</v>
      </c>
      <c r="L2567" s="28" t="s">
        <v>11</v>
      </c>
      <c r="M2567" s="14"/>
      <c r="N2567" s="10" t="s">
        <v>1096</v>
      </c>
    </row>
    <row r="2568" spans="1:14" ht="22.5" hidden="1" customHeight="1">
      <c r="A2568" s="8">
        <v>46007.61141085648</v>
      </c>
      <c r="B2568" s="9" t="s">
        <v>14</v>
      </c>
      <c r="C2568" s="9" t="s">
        <v>15</v>
      </c>
      <c r="D2568" s="10" t="s">
        <v>5710</v>
      </c>
      <c r="E2568" s="9" t="s">
        <v>22</v>
      </c>
      <c r="F2568" s="19">
        <v>56</v>
      </c>
      <c r="G2568" s="11">
        <v>8038880062</v>
      </c>
      <c r="H2568" s="10" t="s">
        <v>5711</v>
      </c>
      <c r="I2568" s="10" t="s">
        <v>27</v>
      </c>
      <c r="J2568" s="10" t="s">
        <v>172</v>
      </c>
      <c r="K2568" s="12">
        <v>46007</v>
      </c>
      <c r="L2568" s="10" t="s">
        <v>441</v>
      </c>
      <c r="M2568" s="10" t="s">
        <v>1361</v>
      </c>
      <c r="N2568" s="10" t="s">
        <v>1096</v>
      </c>
    </row>
    <row r="2569" spans="1:14" ht="22.5" customHeight="1">
      <c r="A2569" s="8">
        <v>46007.624402025467</v>
      </c>
      <c r="B2569" s="9" t="s">
        <v>14</v>
      </c>
      <c r="C2569" s="9" t="s">
        <v>15</v>
      </c>
      <c r="D2569" s="10" t="s">
        <v>5712</v>
      </c>
      <c r="E2569" s="9" t="s">
        <v>17</v>
      </c>
      <c r="F2569" s="10">
        <v>29</v>
      </c>
      <c r="G2569" s="11">
        <v>7077434260</v>
      </c>
      <c r="H2569" s="10" t="s">
        <v>5713</v>
      </c>
      <c r="I2569" s="10" t="s">
        <v>27</v>
      </c>
      <c r="J2569" s="10" t="s">
        <v>5714</v>
      </c>
      <c r="K2569" s="12">
        <v>46007</v>
      </c>
      <c r="L2569" s="28" t="s">
        <v>11</v>
      </c>
      <c r="M2569" s="10"/>
      <c r="N2569" s="10" t="s">
        <v>1028</v>
      </c>
    </row>
    <row r="2570" spans="1:14" ht="22.5" customHeight="1">
      <c r="A2570" s="8">
        <v>46007.642193020831</v>
      </c>
      <c r="B2570" s="9" t="s">
        <v>14</v>
      </c>
      <c r="C2570" s="9" t="s">
        <v>15</v>
      </c>
      <c r="D2570" s="10" t="s">
        <v>5715</v>
      </c>
      <c r="E2570" s="9" t="s">
        <v>17</v>
      </c>
      <c r="F2570" s="10">
        <v>27</v>
      </c>
      <c r="G2570" s="11">
        <v>8142684223</v>
      </c>
      <c r="H2570" s="10" t="s">
        <v>5716</v>
      </c>
      <c r="I2570" s="10" t="s">
        <v>45</v>
      </c>
      <c r="J2570" s="10" t="s">
        <v>287</v>
      </c>
      <c r="K2570" s="12">
        <v>46007</v>
      </c>
      <c r="L2570" s="28" t="s">
        <v>11</v>
      </c>
      <c r="M2570" s="14"/>
      <c r="N2570" s="10" t="s">
        <v>1028</v>
      </c>
    </row>
    <row r="2571" spans="1:14" ht="22.5" customHeight="1">
      <c r="A2571" s="8">
        <v>46007.647973460647</v>
      </c>
      <c r="B2571" s="9" t="s">
        <v>14</v>
      </c>
      <c r="C2571" s="9" t="s">
        <v>15</v>
      </c>
      <c r="D2571" s="10" t="s">
        <v>5717</v>
      </c>
      <c r="E2571" s="9" t="s">
        <v>17</v>
      </c>
      <c r="F2571" s="10">
        <v>28</v>
      </c>
      <c r="G2571" s="11">
        <v>9066413276</v>
      </c>
      <c r="H2571" s="10" t="s">
        <v>5718</v>
      </c>
      <c r="I2571" s="10" t="s">
        <v>49</v>
      </c>
      <c r="J2571" s="10" t="s">
        <v>215</v>
      </c>
      <c r="K2571" s="12">
        <v>46007</v>
      </c>
      <c r="L2571" s="28" t="s">
        <v>11</v>
      </c>
      <c r="M2571" s="14"/>
      <c r="N2571" s="10" t="s">
        <v>1028</v>
      </c>
    </row>
    <row r="2572" spans="1:14" ht="22.5" customHeight="1">
      <c r="A2572" s="8">
        <v>46007.661472708336</v>
      </c>
      <c r="B2572" s="9" t="s">
        <v>14</v>
      </c>
      <c r="C2572" s="9" t="s">
        <v>15</v>
      </c>
      <c r="D2572" s="10" t="s">
        <v>5719</v>
      </c>
      <c r="E2572" s="9" t="s">
        <v>17</v>
      </c>
      <c r="F2572" s="10">
        <v>26</v>
      </c>
      <c r="G2572" s="11">
        <v>8139663414</v>
      </c>
      <c r="H2572" s="10" t="s">
        <v>5720</v>
      </c>
      <c r="I2572" s="10" t="s">
        <v>45</v>
      </c>
      <c r="J2572" s="10" t="s">
        <v>1769</v>
      </c>
      <c r="K2572" s="12">
        <v>46007</v>
      </c>
      <c r="L2572" s="28" t="s">
        <v>11</v>
      </c>
      <c r="M2572" s="14"/>
      <c r="N2572" s="10" t="s">
        <v>1096</v>
      </c>
    </row>
    <row r="2573" spans="1:14" ht="22.5" customHeight="1">
      <c r="A2573" s="8">
        <v>46007.663515763888</v>
      </c>
      <c r="B2573" s="9" t="s">
        <v>14</v>
      </c>
      <c r="C2573" s="9" t="s">
        <v>15</v>
      </c>
      <c r="D2573" s="10" t="s">
        <v>5721</v>
      </c>
      <c r="E2573" s="9" t="s">
        <v>17</v>
      </c>
      <c r="F2573" s="10">
        <v>20</v>
      </c>
      <c r="G2573" s="11">
        <v>9130912256</v>
      </c>
      <c r="H2573" s="10" t="s">
        <v>5722</v>
      </c>
      <c r="I2573" s="10" t="s">
        <v>27</v>
      </c>
      <c r="J2573" s="10" t="s">
        <v>5723</v>
      </c>
      <c r="K2573" s="12">
        <v>46007</v>
      </c>
      <c r="L2573" s="28" t="s">
        <v>11</v>
      </c>
      <c r="M2573" s="14"/>
      <c r="N2573" s="10" t="s">
        <v>1028</v>
      </c>
    </row>
    <row r="2574" spans="1:14" ht="22.5" customHeight="1">
      <c r="A2574" s="8">
        <v>46007.677023888886</v>
      </c>
      <c r="B2574" s="9" t="s">
        <v>14</v>
      </c>
      <c r="C2574" s="9" t="s">
        <v>15</v>
      </c>
      <c r="D2574" s="10" t="s">
        <v>5724</v>
      </c>
      <c r="E2574" s="9" t="s">
        <v>17</v>
      </c>
      <c r="F2574" s="10">
        <v>28</v>
      </c>
      <c r="G2574" s="11">
        <v>9165696236</v>
      </c>
      <c r="H2574" s="10" t="s">
        <v>5725</v>
      </c>
      <c r="I2574" s="10" t="s">
        <v>31</v>
      </c>
      <c r="J2574" s="10" t="s">
        <v>32</v>
      </c>
      <c r="K2574" s="12">
        <v>46007</v>
      </c>
      <c r="L2574" s="28" t="s">
        <v>11</v>
      </c>
      <c r="M2574" s="14"/>
      <c r="N2574" s="10" t="s">
        <v>1028</v>
      </c>
    </row>
    <row r="2575" spans="1:14" ht="22.5" customHeight="1">
      <c r="A2575" s="8">
        <v>46007.680729699074</v>
      </c>
      <c r="B2575" s="9" t="s">
        <v>14</v>
      </c>
      <c r="C2575" s="9" t="s">
        <v>15</v>
      </c>
      <c r="D2575" s="10" t="s">
        <v>5726</v>
      </c>
      <c r="E2575" s="9" t="s">
        <v>22</v>
      </c>
      <c r="F2575" s="10">
        <v>19</v>
      </c>
      <c r="G2575" s="11">
        <v>9029197926</v>
      </c>
      <c r="H2575" s="10" t="s">
        <v>5191</v>
      </c>
      <c r="I2575" s="10" t="s">
        <v>27</v>
      </c>
      <c r="J2575" s="10" t="s">
        <v>70</v>
      </c>
      <c r="K2575" s="12">
        <v>46007</v>
      </c>
      <c r="L2575" s="28" t="s">
        <v>11</v>
      </c>
      <c r="M2575" s="14"/>
      <c r="N2575" s="10" t="s">
        <v>1028</v>
      </c>
    </row>
    <row r="2576" spans="1:14" ht="22.5" customHeight="1">
      <c r="A2576" s="8">
        <v>46007.68585332176</v>
      </c>
      <c r="B2576" s="9" t="s">
        <v>14</v>
      </c>
      <c r="C2576" s="9" t="s">
        <v>15</v>
      </c>
      <c r="D2576" s="10" t="s">
        <v>5727</v>
      </c>
      <c r="E2576" s="9" t="s">
        <v>17</v>
      </c>
      <c r="F2576" s="10">
        <v>23</v>
      </c>
      <c r="G2576" s="11">
        <v>745996557</v>
      </c>
      <c r="H2576" s="10" t="s">
        <v>5728</v>
      </c>
      <c r="I2576" s="10" t="s">
        <v>19</v>
      </c>
      <c r="J2576" s="10" t="s">
        <v>19</v>
      </c>
      <c r="K2576" s="12">
        <v>46007</v>
      </c>
      <c r="L2576" s="28" t="s">
        <v>11</v>
      </c>
      <c r="M2576" s="14"/>
      <c r="N2576" s="10" t="s">
        <v>5729</v>
      </c>
    </row>
    <row r="2577" spans="1:14" ht="22.5" customHeight="1">
      <c r="A2577" s="8">
        <v>46007.688510995373</v>
      </c>
      <c r="B2577" s="9" t="s">
        <v>14</v>
      </c>
      <c r="C2577" s="9" t="s">
        <v>15</v>
      </c>
      <c r="D2577" s="10" t="s">
        <v>5730</v>
      </c>
      <c r="E2577" s="9" t="s">
        <v>22</v>
      </c>
      <c r="F2577" s="10">
        <v>62</v>
      </c>
      <c r="G2577" s="11">
        <v>7067431156</v>
      </c>
      <c r="H2577" s="10" t="s">
        <v>5731</v>
      </c>
      <c r="I2577" s="10" t="s">
        <v>31</v>
      </c>
      <c r="J2577" s="10" t="s">
        <v>32</v>
      </c>
      <c r="K2577" s="12">
        <v>46007</v>
      </c>
      <c r="L2577" s="28" t="s">
        <v>11</v>
      </c>
      <c r="M2577" s="14"/>
      <c r="N2577" s="10" t="s">
        <v>1028</v>
      </c>
    </row>
    <row r="2578" spans="1:14" ht="22.5" customHeight="1">
      <c r="A2578" s="8">
        <v>46007.699642777778</v>
      </c>
      <c r="B2578" s="9" t="s">
        <v>14</v>
      </c>
      <c r="C2578" s="9" t="s">
        <v>15</v>
      </c>
      <c r="D2578" s="10" t="s">
        <v>5732</v>
      </c>
      <c r="E2578" s="9" t="s">
        <v>22</v>
      </c>
      <c r="F2578" s="10">
        <v>33</v>
      </c>
      <c r="G2578" s="11">
        <v>8037365461</v>
      </c>
      <c r="H2578" s="10" t="s">
        <v>5733</v>
      </c>
      <c r="I2578" s="10" t="s">
        <v>27</v>
      </c>
      <c r="J2578" s="10" t="s">
        <v>70</v>
      </c>
      <c r="K2578" s="12">
        <v>46007</v>
      </c>
      <c r="L2578" s="28" t="s">
        <v>11</v>
      </c>
      <c r="M2578" s="14"/>
      <c r="N2578" s="10" t="s">
        <v>1028</v>
      </c>
    </row>
    <row r="2579" spans="1:14" ht="22.5" customHeight="1">
      <c r="A2579" s="8">
        <v>46007.70461262732</v>
      </c>
      <c r="B2579" s="9" t="s">
        <v>14</v>
      </c>
      <c r="C2579" s="9" t="s">
        <v>15</v>
      </c>
      <c r="D2579" s="10" t="s">
        <v>5734</v>
      </c>
      <c r="E2579" s="9" t="s">
        <v>17</v>
      </c>
      <c r="F2579" s="10">
        <v>25</v>
      </c>
      <c r="G2579" s="11">
        <v>9015299006</v>
      </c>
      <c r="H2579" s="10" t="s">
        <v>5735</v>
      </c>
      <c r="I2579" s="10" t="s">
        <v>45</v>
      </c>
      <c r="J2579" s="10" t="s">
        <v>5736</v>
      </c>
      <c r="K2579" s="12">
        <v>46007</v>
      </c>
      <c r="L2579" s="28" t="s">
        <v>11</v>
      </c>
      <c r="M2579" s="14"/>
      <c r="N2579" s="10" t="s">
        <v>1096</v>
      </c>
    </row>
    <row r="2580" spans="1:14" ht="22.5" customHeight="1">
      <c r="A2580" s="8">
        <v>46007.706128807869</v>
      </c>
      <c r="B2580" s="9" t="s">
        <v>14</v>
      </c>
      <c r="C2580" s="9" t="s">
        <v>15</v>
      </c>
      <c r="D2580" s="10" t="s">
        <v>5737</v>
      </c>
      <c r="E2580" s="9" t="s">
        <v>22</v>
      </c>
      <c r="F2580" s="10">
        <v>34</v>
      </c>
      <c r="G2580" s="11">
        <v>7069747975</v>
      </c>
      <c r="H2580" s="10" t="s">
        <v>5738</v>
      </c>
      <c r="I2580" s="10" t="s">
        <v>27</v>
      </c>
      <c r="J2580" s="10" t="s">
        <v>1456</v>
      </c>
      <c r="K2580" s="12">
        <v>46007</v>
      </c>
      <c r="L2580" s="28" t="s">
        <v>11</v>
      </c>
      <c r="M2580" s="14"/>
      <c r="N2580" s="10" t="s">
        <v>1028</v>
      </c>
    </row>
    <row r="2581" spans="1:14" ht="22.5" customHeight="1">
      <c r="A2581" s="8">
        <v>46007.708403587967</v>
      </c>
      <c r="B2581" s="9" t="s">
        <v>14</v>
      </c>
      <c r="C2581" s="9" t="s">
        <v>15</v>
      </c>
      <c r="D2581" s="10" t="s">
        <v>5739</v>
      </c>
      <c r="E2581" s="9" t="s">
        <v>17</v>
      </c>
      <c r="F2581" s="10">
        <v>54</v>
      </c>
      <c r="G2581" s="11">
        <v>8060366803</v>
      </c>
      <c r="H2581" s="10" t="s">
        <v>5740</v>
      </c>
      <c r="I2581" s="10" t="s">
        <v>27</v>
      </c>
      <c r="J2581" s="10" t="s">
        <v>1735</v>
      </c>
      <c r="K2581" s="12">
        <v>46007</v>
      </c>
      <c r="L2581" s="28" t="s">
        <v>11</v>
      </c>
      <c r="M2581" s="14"/>
      <c r="N2581" s="10" t="s">
        <v>1028</v>
      </c>
    </row>
    <row r="2582" spans="1:14" ht="22.5" customHeight="1">
      <c r="A2582" s="8">
        <v>46007.720753668982</v>
      </c>
      <c r="B2582" s="9" t="s">
        <v>14</v>
      </c>
      <c r="C2582" s="9" t="s">
        <v>15</v>
      </c>
      <c r="D2582" s="10" t="s">
        <v>5741</v>
      </c>
      <c r="E2582" s="9" t="s">
        <v>17</v>
      </c>
      <c r="F2582" s="10">
        <v>32</v>
      </c>
      <c r="G2582" s="11">
        <v>8067491463</v>
      </c>
      <c r="H2582" s="10" t="s">
        <v>5742</v>
      </c>
      <c r="I2582" s="10" t="s">
        <v>27</v>
      </c>
      <c r="J2582" s="10" t="s">
        <v>5743</v>
      </c>
      <c r="K2582" s="12">
        <v>45844</v>
      </c>
      <c r="L2582" s="28" t="s">
        <v>11</v>
      </c>
      <c r="M2582" s="14"/>
      <c r="N2582" s="10" t="s">
        <v>1028</v>
      </c>
    </row>
    <row r="2583" spans="1:14" ht="22.5" customHeight="1">
      <c r="A2583" s="8">
        <v>46007.721024872684</v>
      </c>
      <c r="B2583" s="9" t="s">
        <v>14</v>
      </c>
      <c r="C2583" s="9" t="s">
        <v>15</v>
      </c>
      <c r="D2583" s="10" t="s">
        <v>5744</v>
      </c>
      <c r="E2583" s="9" t="s">
        <v>17</v>
      </c>
      <c r="F2583" s="10">
        <v>42</v>
      </c>
      <c r="G2583" s="11">
        <v>7030749090</v>
      </c>
      <c r="H2583" s="10" t="s">
        <v>5745</v>
      </c>
      <c r="I2583" s="10" t="s">
        <v>27</v>
      </c>
      <c r="J2583" s="10" t="s">
        <v>1735</v>
      </c>
      <c r="K2583" s="12">
        <v>46007</v>
      </c>
      <c r="L2583" s="28" t="s">
        <v>11</v>
      </c>
      <c r="M2583" s="14"/>
      <c r="N2583" s="10" t="s">
        <v>1028</v>
      </c>
    </row>
    <row r="2584" spans="1:14" ht="22.5" customHeight="1">
      <c r="A2584" s="8">
        <v>46007.726454293981</v>
      </c>
      <c r="B2584" s="9" t="s">
        <v>14</v>
      </c>
      <c r="C2584" s="9" t="s">
        <v>15</v>
      </c>
      <c r="D2584" s="10" t="s">
        <v>5746</v>
      </c>
      <c r="E2584" s="9" t="s">
        <v>17</v>
      </c>
      <c r="F2584" s="10">
        <v>24</v>
      </c>
      <c r="G2584" s="11">
        <v>8060688741</v>
      </c>
      <c r="H2584" s="10" t="s">
        <v>5747</v>
      </c>
      <c r="I2584" s="10" t="s">
        <v>27</v>
      </c>
      <c r="J2584" s="10" t="s">
        <v>372</v>
      </c>
      <c r="K2584" s="12">
        <v>46007</v>
      </c>
      <c r="L2584" s="28" t="s">
        <v>11</v>
      </c>
      <c r="M2584" s="14"/>
      <c r="N2584" s="10" t="s">
        <v>1028</v>
      </c>
    </row>
    <row r="2585" spans="1:14" ht="22.5" customHeight="1">
      <c r="A2585" s="8">
        <v>46007.730460891209</v>
      </c>
      <c r="B2585" s="9" t="s">
        <v>14</v>
      </c>
      <c r="C2585" s="9" t="s">
        <v>15</v>
      </c>
      <c r="D2585" s="10" t="s">
        <v>5748</v>
      </c>
      <c r="E2585" s="9" t="s">
        <v>22</v>
      </c>
      <c r="F2585" s="10">
        <v>43</v>
      </c>
      <c r="G2585" s="11">
        <v>8035479572</v>
      </c>
      <c r="H2585" s="10" t="s">
        <v>5749</v>
      </c>
      <c r="I2585" s="10" t="s">
        <v>31</v>
      </c>
      <c r="J2585" s="10" t="s">
        <v>32</v>
      </c>
      <c r="K2585" s="12">
        <v>46007</v>
      </c>
      <c r="L2585" s="28" t="s">
        <v>11</v>
      </c>
      <c r="M2585" s="14"/>
      <c r="N2585" s="10" t="s">
        <v>1028</v>
      </c>
    </row>
    <row r="2586" spans="1:14" ht="22.5" customHeight="1">
      <c r="A2586" s="8">
        <v>46007.745275868059</v>
      </c>
      <c r="B2586" s="9" t="s">
        <v>14</v>
      </c>
      <c r="C2586" s="9" t="s">
        <v>15</v>
      </c>
      <c r="D2586" s="10" t="s">
        <v>5750</v>
      </c>
      <c r="E2586" s="9" t="s">
        <v>17</v>
      </c>
      <c r="F2586" s="10">
        <v>22</v>
      </c>
      <c r="G2586" s="11">
        <v>8110494740</v>
      </c>
      <c r="H2586" s="10" t="s">
        <v>5751</v>
      </c>
      <c r="I2586" s="10" t="s">
        <v>45</v>
      </c>
      <c r="J2586" s="10" t="s">
        <v>688</v>
      </c>
      <c r="K2586" s="12">
        <v>37612</v>
      </c>
      <c r="L2586" s="28" t="s">
        <v>11</v>
      </c>
      <c r="M2586" s="14"/>
      <c r="N2586" s="10" t="s">
        <v>1096</v>
      </c>
    </row>
    <row r="2587" spans="1:14" ht="22.5" customHeight="1">
      <c r="A2587" s="8">
        <v>46007.748158263887</v>
      </c>
      <c r="B2587" s="9" t="s">
        <v>14</v>
      </c>
      <c r="C2587" s="9" t="s">
        <v>15</v>
      </c>
      <c r="D2587" s="10" t="s">
        <v>5752</v>
      </c>
      <c r="E2587" s="9" t="s">
        <v>22</v>
      </c>
      <c r="F2587" s="10">
        <v>19</v>
      </c>
      <c r="G2587" s="11">
        <v>8102531356</v>
      </c>
      <c r="H2587" s="10" t="s">
        <v>5753</v>
      </c>
      <c r="I2587" s="10" t="s">
        <v>45</v>
      </c>
      <c r="J2587" s="10" t="s">
        <v>5754</v>
      </c>
      <c r="K2587" s="12">
        <v>46007</v>
      </c>
      <c r="L2587" s="28" t="s">
        <v>11</v>
      </c>
      <c r="M2587" s="14"/>
      <c r="N2587" s="10" t="s">
        <v>1035</v>
      </c>
    </row>
    <row r="2588" spans="1:14" ht="22.5" customHeight="1">
      <c r="A2588" s="8">
        <v>46007.758258032409</v>
      </c>
      <c r="B2588" s="9" t="s">
        <v>14</v>
      </c>
      <c r="C2588" s="9" t="s">
        <v>15</v>
      </c>
      <c r="D2588" s="10" t="s">
        <v>5755</v>
      </c>
      <c r="E2588" s="9" t="s">
        <v>17</v>
      </c>
      <c r="F2588" s="10">
        <v>30</v>
      </c>
      <c r="G2588" s="11">
        <v>7080133554</v>
      </c>
      <c r="H2588" s="10" t="s">
        <v>5756</v>
      </c>
      <c r="I2588" s="10" t="s">
        <v>31</v>
      </c>
      <c r="J2588" s="10" t="s">
        <v>32</v>
      </c>
      <c r="K2588" s="12">
        <v>46007</v>
      </c>
      <c r="L2588" s="28" t="s">
        <v>11</v>
      </c>
      <c r="M2588" s="14"/>
      <c r="N2588" s="10" t="s">
        <v>1028</v>
      </c>
    </row>
    <row r="2589" spans="1:14" ht="22.5" customHeight="1">
      <c r="A2589" s="8">
        <v>46007.768184884262</v>
      </c>
      <c r="B2589" s="9" t="s">
        <v>14</v>
      </c>
      <c r="C2589" s="9" t="s">
        <v>15</v>
      </c>
      <c r="D2589" s="10" t="s">
        <v>5757</v>
      </c>
      <c r="E2589" s="9" t="s">
        <v>17</v>
      </c>
      <c r="F2589" s="10">
        <v>32</v>
      </c>
      <c r="G2589" s="11">
        <v>8164684346</v>
      </c>
      <c r="H2589" s="10" t="s">
        <v>5758</v>
      </c>
      <c r="I2589" s="10" t="s">
        <v>49</v>
      </c>
      <c r="J2589" s="10" t="s">
        <v>215</v>
      </c>
      <c r="K2589" s="12">
        <v>34007</v>
      </c>
      <c r="L2589" s="28" t="s">
        <v>11</v>
      </c>
      <c r="M2589" s="14"/>
      <c r="N2589" s="10" t="s">
        <v>1028</v>
      </c>
    </row>
    <row r="2590" spans="1:14" ht="22.5" customHeight="1">
      <c r="A2590" s="8">
        <v>46007.774744247683</v>
      </c>
      <c r="B2590" s="9" t="s">
        <v>14</v>
      </c>
      <c r="C2590" s="9" t="s">
        <v>15</v>
      </c>
      <c r="D2590" s="10" t="s">
        <v>5759</v>
      </c>
      <c r="E2590" s="9" t="s">
        <v>17</v>
      </c>
      <c r="F2590" s="10">
        <v>28</v>
      </c>
      <c r="G2590" s="11">
        <v>8167051805</v>
      </c>
      <c r="H2590" s="10" t="s">
        <v>5760</v>
      </c>
      <c r="I2590" s="10" t="s">
        <v>31</v>
      </c>
      <c r="J2590" s="10" t="s">
        <v>39</v>
      </c>
      <c r="K2590" s="12">
        <v>35780</v>
      </c>
      <c r="L2590" s="28" t="s">
        <v>11</v>
      </c>
      <c r="M2590" s="14"/>
      <c r="N2590" s="10" t="s">
        <v>1028</v>
      </c>
    </row>
    <row r="2591" spans="1:14" ht="22.5" customHeight="1">
      <c r="A2591" s="8">
        <v>46007.779081574074</v>
      </c>
      <c r="B2591" s="9" t="s">
        <v>14</v>
      </c>
      <c r="C2591" s="9" t="s">
        <v>15</v>
      </c>
      <c r="D2591" s="10" t="s">
        <v>5761</v>
      </c>
      <c r="E2591" s="9" t="s">
        <v>22</v>
      </c>
      <c r="F2591" s="10">
        <v>27</v>
      </c>
      <c r="G2591" s="11">
        <v>9077417414</v>
      </c>
      <c r="H2591" s="10" t="s">
        <v>5762</v>
      </c>
      <c r="I2591" s="10" t="s">
        <v>31</v>
      </c>
      <c r="J2591" s="10" t="s">
        <v>32</v>
      </c>
      <c r="K2591" s="12">
        <v>46007</v>
      </c>
      <c r="L2591" s="28" t="s">
        <v>11</v>
      </c>
      <c r="M2591" s="14"/>
      <c r="N2591" s="10" t="s">
        <v>1028</v>
      </c>
    </row>
    <row r="2592" spans="1:14" ht="22.5" customHeight="1">
      <c r="A2592" s="8">
        <v>46007.784322685184</v>
      </c>
      <c r="B2592" s="9" t="s">
        <v>14</v>
      </c>
      <c r="C2592" s="9" t="s">
        <v>15</v>
      </c>
      <c r="D2592" s="10" t="s">
        <v>5763</v>
      </c>
      <c r="E2592" s="9" t="s">
        <v>17</v>
      </c>
      <c r="F2592" s="10">
        <v>23</v>
      </c>
      <c r="G2592" s="11">
        <v>7044810310</v>
      </c>
      <c r="H2592" s="10" t="s">
        <v>5764</v>
      </c>
      <c r="I2592" s="10" t="s">
        <v>27</v>
      </c>
      <c r="J2592" s="10" t="s">
        <v>2031</v>
      </c>
      <c r="K2592" s="12">
        <v>46007</v>
      </c>
      <c r="L2592" s="28" t="s">
        <v>11</v>
      </c>
      <c r="M2592" s="14"/>
      <c r="N2592" s="10" t="s">
        <v>1028</v>
      </c>
    </row>
    <row r="2593" spans="1:20" ht="22.5" customHeight="1">
      <c r="A2593" s="8">
        <v>46007.785261793979</v>
      </c>
      <c r="B2593" s="9" t="s">
        <v>14</v>
      </c>
      <c r="C2593" s="9" t="s">
        <v>15</v>
      </c>
      <c r="D2593" s="10" t="s">
        <v>5765</v>
      </c>
      <c r="E2593" s="9" t="s">
        <v>22</v>
      </c>
      <c r="F2593" s="10">
        <v>27</v>
      </c>
      <c r="G2593" s="11">
        <v>9010828765</v>
      </c>
      <c r="H2593" s="10" t="s">
        <v>5766</v>
      </c>
      <c r="I2593" s="10" t="s">
        <v>27</v>
      </c>
      <c r="J2593" s="10" t="s">
        <v>2105</v>
      </c>
      <c r="K2593" s="12">
        <v>46007</v>
      </c>
      <c r="L2593" s="28" t="s">
        <v>11</v>
      </c>
      <c r="M2593" s="14"/>
      <c r="N2593" s="10" t="s">
        <v>1028</v>
      </c>
    </row>
    <row r="2594" spans="1:20" ht="22.5" customHeight="1">
      <c r="A2594" s="8">
        <v>46007.785659027781</v>
      </c>
      <c r="B2594" s="9" t="s">
        <v>14</v>
      </c>
      <c r="C2594" s="9" t="s">
        <v>15</v>
      </c>
      <c r="D2594" s="10" t="s">
        <v>5767</v>
      </c>
      <c r="E2594" s="9" t="s">
        <v>17</v>
      </c>
      <c r="F2594" s="10">
        <v>33</v>
      </c>
      <c r="G2594" s="11">
        <v>7035417018</v>
      </c>
      <c r="H2594" s="10" t="s">
        <v>5768</v>
      </c>
      <c r="I2594" s="10" t="s">
        <v>27</v>
      </c>
      <c r="J2594" s="10" t="s">
        <v>1288</v>
      </c>
      <c r="K2594" s="12">
        <v>46007</v>
      </c>
      <c r="L2594" s="28" t="s">
        <v>11</v>
      </c>
      <c r="M2594" s="14"/>
      <c r="N2594" s="10" t="s">
        <v>1028</v>
      </c>
    </row>
    <row r="2595" spans="1:20" ht="22.5" customHeight="1">
      <c r="A2595" s="8">
        <v>46007.785887800928</v>
      </c>
      <c r="B2595" s="9" t="s">
        <v>14</v>
      </c>
      <c r="C2595" s="9" t="s">
        <v>15</v>
      </c>
      <c r="D2595" s="10" t="s">
        <v>5769</v>
      </c>
      <c r="E2595" s="9" t="s">
        <v>17</v>
      </c>
      <c r="F2595" s="10">
        <v>44</v>
      </c>
      <c r="G2595" s="11">
        <v>8105341185</v>
      </c>
      <c r="H2595" s="10" t="s">
        <v>5770</v>
      </c>
      <c r="I2595" s="10" t="s">
        <v>27</v>
      </c>
      <c r="J2595" s="10" t="s">
        <v>1288</v>
      </c>
      <c r="K2595" s="12">
        <v>46007</v>
      </c>
      <c r="L2595" s="28" t="s">
        <v>11</v>
      </c>
      <c r="M2595" s="14"/>
      <c r="N2595" s="10" t="s">
        <v>1028</v>
      </c>
      <c r="O2595" s="33"/>
      <c r="P2595" s="34"/>
      <c r="Q2595" s="34"/>
      <c r="R2595" s="34"/>
      <c r="S2595" s="34"/>
      <c r="T2595" s="34"/>
    </row>
    <row r="2596" spans="1:20" ht="22.5" customHeight="1">
      <c r="A2596" s="8">
        <v>46007.787461215281</v>
      </c>
      <c r="B2596" s="9" t="s">
        <v>14</v>
      </c>
      <c r="C2596" s="9" t="s">
        <v>15</v>
      </c>
      <c r="D2596" s="10" t="s">
        <v>5771</v>
      </c>
      <c r="E2596" s="9" t="s">
        <v>17</v>
      </c>
      <c r="F2596" s="10">
        <v>27</v>
      </c>
      <c r="G2596" s="11">
        <v>7040637048</v>
      </c>
      <c r="H2596" s="10" t="s">
        <v>5772</v>
      </c>
      <c r="I2596" s="10" t="s">
        <v>45</v>
      </c>
      <c r="J2596" s="10" t="s">
        <v>5773</v>
      </c>
      <c r="K2596" s="12">
        <v>46007</v>
      </c>
      <c r="L2596" s="28" t="s">
        <v>11</v>
      </c>
      <c r="M2596" s="14"/>
      <c r="N2596" s="10" t="s">
        <v>1028</v>
      </c>
    </row>
    <row r="2597" spans="1:20" ht="22.5" customHeight="1">
      <c r="A2597" s="8">
        <v>46007.790748715277</v>
      </c>
      <c r="B2597" s="9" t="s">
        <v>14</v>
      </c>
      <c r="C2597" s="9" t="s">
        <v>15</v>
      </c>
      <c r="D2597" s="10" t="s">
        <v>5774</v>
      </c>
      <c r="E2597" s="9" t="s">
        <v>17</v>
      </c>
      <c r="F2597" s="10">
        <v>26</v>
      </c>
      <c r="G2597" s="11">
        <v>9063330988</v>
      </c>
      <c r="H2597" s="10" t="s">
        <v>5775</v>
      </c>
      <c r="I2597" s="10" t="s">
        <v>45</v>
      </c>
      <c r="J2597" s="10" t="s">
        <v>932</v>
      </c>
      <c r="K2597" s="12">
        <v>46007</v>
      </c>
      <c r="L2597" s="28" t="s">
        <v>11</v>
      </c>
      <c r="M2597" s="10"/>
      <c r="N2597" s="10" t="s">
        <v>1096</v>
      </c>
    </row>
    <row r="2598" spans="1:20" ht="22.5" customHeight="1">
      <c r="A2598" s="8">
        <v>46007.791837627316</v>
      </c>
      <c r="B2598" s="9" t="s">
        <v>14</v>
      </c>
      <c r="C2598" s="9" t="s">
        <v>15</v>
      </c>
      <c r="D2598" s="10" t="s">
        <v>5776</v>
      </c>
      <c r="E2598" s="9" t="s">
        <v>17</v>
      </c>
      <c r="F2598" s="10">
        <v>33</v>
      </c>
      <c r="G2598" s="11">
        <v>8028590195</v>
      </c>
      <c r="H2598" s="10" t="s">
        <v>5777</v>
      </c>
      <c r="I2598" s="10" t="s">
        <v>49</v>
      </c>
      <c r="J2598" s="10" t="s">
        <v>60</v>
      </c>
      <c r="K2598" s="12">
        <v>46007</v>
      </c>
      <c r="L2598" s="28" t="s">
        <v>11</v>
      </c>
      <c r="M2598" s="14"/>
      <c r="N2598" s="10" t="s">
        <v>1028</v>
      </c>
    </row>
    <row r="2599" spans="1:20" ht="22.5" customHeight="1">
      <c r="A2599" s="8">
        <v>46007.805365798617</v>
      </c>
      <c r="B2599" s="9" t="s">
        <v>14</v>
      </c>
      <c r="C2599" s="9" t="s">
        <v>15</v>
      </c>
      <c r="D2599" s="10" t="s">
        <v>5778</v>
      </c>
      <c r="E2599" s="9" t="s">
        <v>17</v>
      </c>
      <c r="F2599" s="10">
        <v>25</v>
      </c>
      <c r="G2599" s="11">
        <v>9075166279</v>
      </c>
      <c r="H2599" s="10" t="s">
        <v>5779</v>
      </c>
      <c r="I2599" s="10" t="s">
        <v>27</v>
      </c>
      <c r="J2599" s="10" t="s">
        <v>2006</v>
      </c>
      <c r="K2599" s="12">
        <v>46007</v>
      </c>
      <c r="L2599" s="28" t="s">
        <v>11</v>
      </c>
      <c r="M2599" s="14"/>
      <c r="N2599" s="10" t="s">
        <v>1028</v>
      </c>
    </row>
    <row r="2600" spans="1:20" ht="22.5" customHeight="1">
      <c r="A2600" s="8">
        <v>46007.805849583332</v>
      </c>
      <c r="B2600" s="9" t="s">
        <v>14</v>
      </c>
      <c r="C2600" s="9" t="s">
        <v>15</v>
      </c>
      <c r="D2600" s="10" t="s">
        <v>5780</v>
      </c>
      <c r="E2600" s="9" t="s">
        <v>17</v>
      </c>
      <c r="F2600" s="10">
        <v>24</v>
      </c>
      <c r="G2600" s="11">
        <v>8060033856</v>
      </c>
      <c r="H2600" s="10" t="s">
        <v>5781</v>
      </c>
      <c r="I2600" s="10" t="s">
        <v>31</v>
      </c>
      <c r="J2600" s="10" t="s">
        <v>2410</v>
      </c>
      <c r="K2600" s="12">
        <v>46007</v>
      </c>
      <c r="L2600" s="28" t="s">
        <v>11</v>
      </c>
      <c r="M2600" s="14"/>
      <c r="N2600" s="10" t="s">
        <v>1096</v>
      </c>
    </row>
    <row r="2601" spans="1:20" ht="22.5" customHeight="1">
      <c r="A2601" s="8">
        <v>46007.832630636578</v>
      </c>
      <c r="B2601" s="9" t="s">
        <v>14</v>
      </c>
      <c r="C2601" s="9" t="s">
        <v>15</v>
      </c>
      <c r="D2601" s="10" t="s">
        <v>5782</v>
      </c>
      <c r="E2601" s="9" t="s">
        <v>22</v>
      </c>
      <c r="F2601" s="10">
        <v>24</v>
      </c>
      <c r="G2601" s="11">
        <v>7067634452</v>
      </c>
      <c r="H2601" s="10" t="s">
        <v>5783</v>
      </c>
      <c r="I2601" s="10" t="s">
        <v>45</v>
      </c>
      <c r="J2601" s="10" t="s">
        <v>521</v>
      </c>
      <c r="K2601" s="12">
        <v>46007</v>
      </c>
      <c r="L2601" s="28" t="s">
        <v>11</v>
      </c>
      <c r="M2601" s="14"/>
      <c r="N2601" s="10" t="s">
        <v>1028</v>
      </c>
    </row>
    <row r="2602" spans="1:20" ht="22.5" customHeight="1">
      <c r="A2602" s="8">
        <v>46007.833552175929</v>
      </c>
      <c r="B2602" s="9" t="s">
        <v>14</v>
      </c>
      <c r="C2602" s="9" t="s">
        <v>15</v>
      </c>
      <c r="D2602" s="10" t="s">
        <v>5784</v>
      </c>
      <c r="E2602" s="9" t="s">
        <v>17</v>
      </c>
      <c r="F2602" s="10">
        <v>25</v>
      </c>
      <c r="G2602" s="11">
        <v>7037986638</v>
      </c>
      <c r="H2602" s="10" t="s">
        <v>5785</v>
      </c>
      <c r="I2602" s="10" t="s">
        <v>27</v>
      </c>
      <c r="J2602" s="10" t="s">
        <v>2861</v>
      </c>
      <c r="K2602" s="12">
        <v>46007</v>
      </c>
      <c r="L2602" s="28" t="s">
        <v>11</v>
      </c>
      <c r="M2602" s="14"/>
      <c r="N2602" s="10" t="s">
        <v>1028</v>
      </c>
    </row>
    <row r="2603" spans="1:20" ht="22.5" customHeight="1">
      <c r="A2603" s="8">
        <v>46007.836476122684</v>
      </c>
      <c r="B2603" s="9" t="s">
        <v>14</v>
      </c>
      <c r="C2603" s="9" t="s">
        <v>15</v>
      </c>
      <c r="D2603" s="10" t="s">
        <v>5786</v>
      </c>
      <c r="E2603" s="9" t="s">
        <v>17</v>
      </c>
      <c r="F2603" s="10">
        <v>25</v>
      </c>
      <c r="G2603" s="11">
        <v>8163996335</v>
      </c>
      <c r="H2603" s="10" t="s">
        <v>5787</v>
      </c>
      <c r="I2603" s="10" t="s">
        <v>45</v>
      </c>
      <c r="J2603" s="10" t="s">
        <v>509</v>
      </c>
      <c r="K2603" s="12">
        <v>46007</v>
      </c>
      <c r="L2603" s="28" t="s">
        <v>11</v>
      </c>
      <c r="M2603" s="14"/>
      <c r="N2603" s="10" t="s">
        <v>1096</v>
      </c>
    </row>
    <row r="2604" spans="1:20" ht="22.5" customHeight="1">
      <c r="A2604" s="8">
        <v>46007.8486065162</v>
      </c>
      <c r="B2604" s="9" t="s">
        <v>14</v>
      </c>
      <c r="C2604" s="9" t="s">
        <v>15</v>
      </c>
      <c r="D2604" s="10" t="s">
        <v>5788</v>
      </c>
      <c r="E2604" s="9" t="s">
        <v>22</v>
      </c>
      <c r="F2604" s="10">
        <v>26</v>
      </c>
      <c r="G2604" s="11">
        <v>8032671572</v>
      </c>
      <c r="H2604" s="10" t="s">
        <v>5789</v>
      </c>
      <c r="I2604" s="10" t="s">
        <v>27</v>
      </c>
      <c r="J2604" s="10" t="s">
        <v>70</v>
      </c>
      <c r="K2604" s="12">
        <v>46007</v>
      </c>
      <c r="L2604" s="28" t="s">
        <v>11</v>
      </c>
      <c r="M2604" s="14"/>
      <c r="N2604" s="10" t="s">
        <v>1028</v>
      </c>
    </row>
    <row r="2605" spans="1:20" ht="22.5" customHeight="1">
      <c r="A2605" s="8">
        <v>46007.856262395835</v>
      </c>
      <c r="B2605" s="9" t="s">
        <v>14</v>
      </c>
      <c r="C2605" s="9" t="s">
        <v>15</v>
      </c>
      <c r="D2605" s="10" t="s">
        <v>5790</v>
      </c>
      <c r="E2605" s="9" t="s">
        <v>22</v>
      </c>
      <c r="F2605" s="10">
        <v>34</v>
      </c>
      <c r="G2605" s="11">
        <v>8163841408</v>
      </c>
      <c r="H2605" s="10" t="s">
        <v>5791</v>
      </c>
      <c r="I2605" s="10" t="s">
        <v>27</v>
      </c>
      <c r="J2605" s="10" t="s">
        <v>70</v>
      </c>
      <c r="K2605" s="12">
        <v>46007</v>
      </c>
      <c r="L2605" s="28" t="s">
        <v>11</v>
      </c>
      <c r="M2605" s="14"/>
      <c r="N2605" s="10" t="s">
        <v>1028</v>
      </c>
    </row>
    <row r="2606" spans="1:20" ht="22.5" customHeight="1">
      <c r="A2606" s="8">
        <v>46007.86065696759</v>
      </c>
      <c r="B2606" s="9" t="s">
        <v>14</v>
      </c>
      <c r="C2606" s="9" t="s">
        <v>15</v>
      </c>
      <c r="D2606" s="10" t="s">
        <v>5792</v>
      </c>
      <c r="E2606" s="9" t="s">
        <v>17</v>
      </c>
      <c r="F2606" s="10">
        <v>27</v>
      </c>
      <c r="G2606" s="11">
        <v>8089630020</v>
      </c>
      <c r="H2606" s="10" t="s">
        <v>5793</v>
      </c>
      <c r="I2606" s="10" t="s">
        <v>27</v>
      </c>
      <c r="J2606" s="10" t="s">
        <v>172</v>
      </c>
      <c r="K2606" s="12">
        <v>46007</v>
      </c>
      <c r="L2606" s="28" t="s">
        <v>11</v>
      </c>
      <c r="M2606" s="14"/>
      <c r="N2606" s="10" t="s">
        <v>1028</v>
      </c>
    </row>
    <row r="2607" spans="1:20" ht="22.5" customHeight="1">
      <c r="A2607" s="8">
        <v>46007.86501793981</v>
      </c>
      <c r="B2607" s="9" t="s">
        <v>14</v>
      </c>
      <c r="C2607" s="9" t="s">
        <v>15</v>
      </c>
      <c r="D2607" s="10" t="s">
        <v>5794</v>
      </c>
      <c r="E2607" s="9" t="s">
        <v>17</v>
      </c>
      <c r="F2607" s="10">
        <v>19</v>
      </c>
      <c r="G2607" s="11">
        <v>8136610959</v>
      </c>
      <c r="H2607" s="10" t="s">
        <v>5795</v>
      </c>
      <c r="I2607" s="10" t="s">
        <v>49</v>
      </c>
      <c r="J2607" s="10" t="s">
        <v>50</v>
      </c>
      <c r="K2607" s="12">
        <v>45968</v>
      </c>
      <c r="L2607" s="28" t="s">
        <v>11</v>
      </c>
      <c r="M2607" s="14"/>
      <c r="N2607" s="10" t="s">
        <v>1028</v>
      </c>
    </row>
    <row r="2608" spans="1:20" ht="22.5" customHeight="1">
      <c r="A2608" s="8">
        <v>46007.86960795139</v>
      </c>
      <c r="B2608" s="9" t="s">
        <v>14</v>
      </c>
      <c r="C2608" s="9" t="s">
        <v>15</v>
      </c>
      <c r="D2608" s="10" t="s">
        <v>5796</v>
      </c>
      <c r="E2608" s="9" t="s">
        <v>22</v>
      </c>
      <c r="F2608" s="10">
        <v>29</v>
      </c>
      <c r="G2608" s="11">
        <v>9034282117</v>
      </c>
      <c r="H2608" s="10" t="s">
        <v>5797</v>
      </c>
      <c r="I2608" s="10" t="s">
        <v>19</v>
      </c>
      <c r="J2608" s="10" t="s">
        <v>5434</v>
      </c>
      <c r="K2608" s="12">
        <v>46007</v>
      </c>
      <c r="L2608" s="28" t="s">
        <v>11</v>
      </c>
      <c r="M2608" s="14"/>
      <c r="N2608" s="10" t="s">
        <v>1028</v>
      </c>
    </row>
    <row r="2609" spans="1:14" ht="22.5" customHeight="1">
      <c r="A2609" s="8">
        <v>46007.869877453704</v>
      </c>
      <c r="B2609" s="9" t="s">
        <v>14</v>
      </c>
      <c r="C2609" s="9" t="s">
        <v>15</v>
      </c>
      <c r="D2609" s="10" t="s">
        <v>5798</v>
      </c>
      <c r="E2609" s="9" t="s">
        <v>22</v>
      </c>
      <c r="F2609" s="10">
        <v>25</v>
      </c>
      <c r="G2609" s="11">
        <v>7068461778</v>
      </c>
      <c r="H2609" s="10" t="s">
        <v>5799</v>
      </c>
      <c r="I2609" s="10" t="s">
        <v>27</v>
      </c>
      <c r="J2609" s="10" t="s">
        <v>94</v>
      </c>
      <c r="K2609" s="12">
        <v>46007</v>
      </c>
      <c r="L2609" s="28" t="s">
        <v>11</v>
      </c>
      <c r="M2609" s="14"/>
      <c r="N2609" s="10" t="s">
        <v>1028</v>
      </c>
    </row>
    <row r="2610" spans="1:14" ht="22.5" customHeight="1">
      <c r="A2610" s="8">
        <v>46007.870692662036</v>
      </c>
      <c r="B2610" s="9" t="s">
        <v>14</v>
      </c>
      <c r="C2610" s="9" t="s">
        <v>15</v>
      </c>
      <c r="D2610" s="10" t="s">
        <v>5800</v>
      </c>
      <c r="E2610" s="9" t="s">
        <v>22</v>
      </c>
      <c r="F2610" s="10">
        <v>33</v>
      </c>
      <c r="G2610" s="11">
        <v>8037945523</v>
      </c>
      <c r="H2610" s="10" t="s">
        <v>5801</v>
      </c>
      <c r="I2610" s="10" t="s">
        <v>27</v>
      </c>
      <c r="J2610" s="10" t="s">
        <v>94</v>
      </c>
      <c r="K2610" s="12">
        <v>46007</v>
      </c>
      <c r="L2610" s="28" t="s">
        <v>11</v>
      </c>
      <c r="M2610" s="14"/>
      <c r="N2610" s="10" t="s">
        <v>1028</v>
      </c>
    </row>
    <row r="2611" spans="1:14" ht="22.5" customHeight="1">
      <c r="A2611" s="8">
        <v>46007.871884374996</v>
      </c>
      <c r="B2611" s="9" t="s">
        <v>14</v>
      </c>
      <c r="C2611" s="9" t="s">
        <v>15</v>
      </c>
      <c r="D2611" s="10" t="s">
        <v>5802</v>
      </c>
      <c r="E2611" s="9" t="s">
        <v>17</v>
      </c>
      <c r="F2611" s="10">
        <v>19</v>
      </c>
      <c r="G2611" s="11">
        <v>9112132704</v>
      </c>
      <c r="H2611" s="10" t="s">
        <v>5803</v>
      </c>
      <c r="I2611" s="10" t="s">
        <v>45</v>
      </c>
      <c r="J2611" s="10" t="s">
        <v>901</v>
      </c>
      <c r="K2611" s="12">
        <v>46007</v>
      </c>
      <c r="L2611" s="28" t="s">
        <v>11</v>
      </c>
      <c r="M2611" s="14"/>
      <c r="N2611" s="10" t="s">
        <v>1028</v>
      </c>
    </row>
    <row r="2612" spans="1:14" ht="22.5" customHeight="1">
      <c r="A2612" s="8">
        <v>46007.876032766202</v>
      </c>
      <c r="B2612" s="9" t="s">
        <v>14</v>
      </c>
      <c r="C2612" s="9" t="s">
        <v>15</v>
      </c>
      <c r="D2612" s="10" t="s">
        <v>5804</v>
      </c>
      <c r="E2612" s="9" t="s">
        <v>22</v>
      </c>
      <c r="F2612" s="10">
        <v>26</v>
      </c>
      <c r="G2612" s="11">
        <v>8146102531</v>
      </c>
      <c r="H2612" s="10" t="s">
        <v>5805</v>
      </c>
      <c r="I2612" s="10" t="s">
        <v>19</v>
      </c>
      <c r="J2612" s="10" t="s">
        <v>3466</v>
      </c>
      <c r="K2612" s="12">
        <v>36399</v>
      </c>
      <c r="L2612" s="28" t="s">
        <v>11</v>
      </c>
      <c r="M2612" s="14"/>
      <c r="N2612" s="10" t="s">
        <v>1096</v>
      </c>
    </row>
    <row r="2613" spans="1:14" ht="22.5" customHeight="1">
      <c r="A2613" s="8">
        <v>46007.885364027781</v>
      </c>
      <c r="B2613" s="9" t="s">
        <v>14</v>
      </c>
      <c r="C2613" s="9" t="s">
        <v>15</v>
      </c>
      <c r="D2613" s="10" t="s">
        <v>5806</v>
      </c>
      <c r="E2613" s="9" t="s">
        <v>17</v>
      </c>
      <c r="F2613" s="10">
        <v>26</v>
      </c>
      <c r="G2613" s="11">
        <v>8113386349</v>
      </c>
      <c r="H2613" s="10" t="s">
        <v>5807</v>
      </c>
      <c r="I2613" s="10" t="s">
        <v>45</v>
      </c>
      <c r="J2613" s="10" t="s">
        <v>2072</v>
      </c>
      <c r="K2613" s="12">
        <v>46007</v>
      </c>
      <c r="L2613" s="28" t="s">
        <v>11</v>
      </c>
      <c r="M2613" s="14"/>
      <c r="N2613" s="10" t="s">
        <v>1035</v>
      </c>
    </row>
    <row r="2614" spans="1:14" ht="22.5" customHeight="1">
      <c r="A2614" s="8">
        <v>46007.888599664351</v>
      </c>
      <c r="B2614" s="9" t="s">
        <v>14</v>
      </c>
      <c r="C2614" s="9" t="s">
        <v>15</v>
      </c>
      <c r="D2614" s="10" t="s">
        <v>5808</v>
      </c>
      <c r="E2614" s="9" t="s">
        <v>17</v>
      </c>
      <c r="F2614" s="10">
        <v>30</v>
      </c>
      <c r="G2614" s="11">
        <v>8101591372</v>
      </c>
      <c r="H2614" s="10" t="s">
        <v>5809</v>
      </c>
      <c r="I2614" s="10" t="s">
        <v>45</v>
      </c>
      <c r="J2614" s="10" t="s">
        <v>901</v>
      </c>
      <c r="K2614" s="12">
        <v>46007</v>
      </c>
      <c r="L2614" s="28" t="s">
        <v>11</v>
      </c>
      <c r="M2614" s="14"/>
      <c r="N2614" s="10" t="s">
        <v>1028</v>
      </c>
    </row>
    <row r="2615" spans="1:14" ht="22.5" customHeight="1">
      <c r="A2615" s="8">
        <v>46007.901681307871</v>
      </c>
      <c r="B2615" s="9" t="s">
        <v>14</v>
      </c>
      <c r="C2615" s="9" t="s">
        <v>15</v>
      </c>
      <c r="D2615" s="10" t="s">
        <v>5810</v>
      </c>
      <c r="E2615" s="9" t="s">
        <v>22</v>
      </c>
      <c r="F2615" s="10">
        <v>31</v>
      </c>
      <c r="G2615" s="11">
        <v>8169616689</v>
      </c>
      <c r="H2615" s="10" t="s">
        <v>5811</v>
      </c>
      <c r="I2615" s="10" t="s">
        <v>31</v>
      </c>
      <c r="J2615" s="10" t="s">
        <v>5812</v>
      </c>
      <c r="K2615" s="12">
        <v>46007</v>
      </c>
      <c r="L2615" s="28" t="s">
        <v>11</v>
      </c>
      <c r="M2615" s="14"/>
      <c r="N2615" s="10" t="s">
        <v>1028</v>
      </c>
    </row>
    <row r="2616" spans="1:14" ht="22.5" customHeight="1">
      <c r="A2616" s="8">
        <v>46007.903464872681</v>
      </c>
      <c r="B2616" s="9" t="s">
        <v>14</v>
      </c>
      <c r="C2616" s="9" t="s">
        <v>15</v>
      </c>
      <c r="D2616" s="10" t="s">
        <v>5813</v>
      </c>
      <c r="E2616" s="9" t="s">
        <v>22</v>
      </c>
      <c r="F2616" s="10">
        <v>30</v>
      </c>
      <c r="G2616" s="11">
        <v>9118985374</v>
      </c>
      <c r="H2616" s="10" t="s">
        <v>5814</v>
      </c>
      <c r="I2616" s="10" t="s">
        <v>27</v>
      </c>
      <c r="J2616" s="10" t="s">
        <v>1511</v>
      </c>
      <c r="K2616" s="12">
        <v>34904</v>
      </c>
      <c r="L2616" s="28" t="s">
        <v>11</v>
      </c>
      <c r="M2616" s="10"/>
      <c r="N2616" s="10" t="s">
        <v>1028</v>
      </c>
    </row>
    <row r="2617" spans="1:14" ht="22.5" customHeight="1">
      <c r="A2617" s="8">
        <v>46007.905625069441</v>
      </c>
      <c r="B2617" s="9" t="s">
        <v>14</v>
      </c>
      <c r="C2617" s="9" t="s">
        <v>15</v>
      </c>
      <c r="D2617" s="10" t="s">
        <v>5815</v>
      </c>
      <c r="E2617" s="9" t="s">
        <v>22</v>
      </c>
      <c r="F2617" s="10">
        <v>45</v>
      </c>
      <c r="G2617" s="11">
        <v>8033505551</v>
      </c>
      <c r="H2617" s="10" t="s">
        <v>5816</v>
      </c>
      <c r="I2617" s="10" t="s">
        <v>27</v>
      </c>
      <c r="J2617" s="10" t="s">
        <v>70</v>
      </c>
      <c r="K2617" s="12">
        <v>46007</v>
      </c>
      <c r="L2617" s="28" t="s">
        <v>11</v>
      </c>
      <c r="M2617" s="14"/>
      <c r="N2617" s="10" t="s">
        <v>1028</v>
      </c>
    </row>
    <row r="2618" spans="1:14" ht="22.5" customHeight="1">
      <c r="A2618" s="8">
        <v>46007.909177962967</v>
      </c>
      <c r="B2618" s="9" t="s">
        <v>14</v>
      </c>
      <c r="C2618" s="9" t="s">
        <v>15</v>
      </c>
      <c r="D2618" s="10" t="s">
        <v>5817</v>
      </c>
      <c r="E2618" s="9" t="s">
        <v>17</v>
      </c>
      <c r="F2618" s="10">
        <v>32</v>
      </c>
      <c r="G2618" s="11">
        <v>8061101113</v>
      </c>
      <c r="H2618" s="10" t="s">
        <v>5818</v>
      </c>
      <c r="I2618" s="10" t="s">
        <v>202</v>
      </c>
      <c r="J2618" s="10" t="s">
        <v>3062</v>
      </c>
      <c r="K2618" s="12">
        <v>46007</v>
      </c>
      <c r="L2618" s="28" t="s">
        <v>11</v>
      </c>
      <c r="M2618" s="14"/>
      <c r="N2618" s="10" t="s">
        <v>1028</v>
      </c>
    </row>
    <row r="2619" spans="1:14" ht="22.5" customHeight="1">
      <c r="A2619" s="8">
        <v>46007.912887256942</v>
      </c>
      <c r="B2619" s="9" t="s">
        <v>14</v>
      </c>
      <c r="C2619" s="9" t="s">
        <v>15</v>
      </c>
      <c r="D2619" s="10" t="s">
        <v>5819</v>
      </c>
      <c r="E2619" s="9" t="s">
        <v>22</v>
      </c>
      <c r="F2619" s="10">
        <v>23</v>
      </c>
      <c r="G2619" s="11">
        <v>8027791742</v>
      </c>
      <c r="H2619" s="10" t="s">
        <v>5820</v>
      </c>
      <c r="I2619" s="10" t="s">
        <v>31</v>
      </c>
      <c r="J2619" s="10" t="s">
        <v>32</v>
      </c>
      <c r="K2619" s="12">
        <v>46007</v>
      </c>
      <c r="L2619" s="28" t="s">
        <v>11</v>
      </c>
      <c r="M2619" s="14"/>
      <c r="N2619" s="10" t="s">
        <v>1028</v>
      </c>
    </row>
    <row r="2620" spans="1:14" ht="22.5" customHeight="1">
      <c r="A2620" s="8">
        <v>46007.916736851854</v>
      </c>
      <c r="B2620" s="9" t="s">
        <v>14</v>
      </c>
      <c r="C2620" s="9" t="s">
        <v>15</v>
      </c>
      <c r="D2620" s="10" t="s">
        <v>5821</v>
      </c>
      <c r="E2620" s="9" t="s">
        <v>22</v>
      </c>
      <c r="F2620" s="10">
        <v>21</v>
      </c>
      <c r="G2620" s="11">
        <v>7035996741</v>
      </c>
      <c r="H2620" s="10" t="s">
        <v>5822</v>
      </c>
      <c r="I2620" s="10" t="s">
        <v>45</v>
      </c>
      <c r="J2620" s="10" t="s">
        <v>901</v>
      </c>
      <c r="K2620" s="12">
        <v>46007</v>
      </c>
      <c r="L2620" s="28" t="s">
        <v>11</v>
      </c>
      <c r="M2620" s="14"/>
      <c r="N2620" s="10" t="s">
        <v>1028</v>
      </c>
    </row>
    <row r="2621" spans="1:14" ht="22.5" customHeight="1">
      <c r="A2621" s="8">
        <v>46007.918263298612</v>
      </c>
      <c r="B2621" s="9" t="s">
        <v>14</v>
      </c>
      <c r="C2621" s="9" t="s">
        <v>15</v>
      </c>
      <c r="D2621" s="10" t="s">
        <v>5823</v>
      </c>
      <c r="E2621" s="9" t="s">
        <v>22</v>
      </c>
      <c r="F2621" s="10">
        <v>30</v>
      </c>
      <c r="G2621" s="11">
        <v>8032460040</v>
      </c>
      <c r="H2621" s="10" t="s">
        <v>5824</v>
      </c>
      <c r="I2621" s="10" t="s">
        <v>27</v>
      </c>
      <c r="J2621" s="10" t="s">
        <v>172</v>
      </c>
      <c r="K2621" s="12">
        <v>46007</v>
      </c>
      <c r="L2621" s="28" t="s">
        <v>11</v>
      </c>
      <c r="M2621" s="14"/>
      <c r="N2621" s="10" t="s">
        <v>1028</v>
      </c>
    </row>
    <row r="2622" spans="1:14" ht="22.5" customHeight="1">
      <c r="A2622" s="8">
        <v>46007.918867847227</v>
      </c>
      <c r="B2622" s="9" t="s">
        <v>14</v>
      </c>
      <c r="C2622" s="9" t="s">
        <v>15</v>
      </c>
      <c r="D2622" s="10" t="s">
        <v>5825</v>
      </c>
      <c r="E2622" s="9" t="s">
        <v>22</v>
      </c>
      <c r="F2622" s="10">
        <v>25</v>
      </c>
      <c r="G2622" s="11">
        <v>7064784787</v>
      </c>
      <c r="H2622" s="10" t="s">
        <v>5826</v>
      </c>
      <c r="I2622" s="10" t="s">
        <v>27</v>
      </c>
      <c r="J2622" s="10" t="s">
        <v>70</v>
      </c>
      <c r="K2622" s="12">
        <v>46007</v>
      </c>
      <c r="L2622" s="28" t="s">
        <v>11</v>
      </c>
      <c r="M2622" s="14"/>
      <c r="N2622" s="10" t="s">
        <v>1028</v>
      </c>
    </row>
    <row r="2623" spans="1:14" ht="22.5" customHeight="1">
      <c r="A2623" s="8">
        <v>46007.927954988423</v>
      </c>
      <c r="B2623" s="9" t="s">
        <v>14</v>
      </c>
      <c r="C2623" s="9" t="s">
        <v>15</v>
      </c>
      <c r="D2623" s="10" t="s">
        <v>5827</v>
      </c>
      <c r="E2623" s="9" t="s">
        <v>22</v>
      </c>
      <c r="F2623" s="10">
        <v>24</v>
      </c>
      <c r="G2623" s="11">
        <v>8030750880</v>
      </c>
      <c r="H2623" s="10" t="s">
        <v>5828</v>
      </c>
      <c r="I2623" s="10" t="s">
        <v>31</v>
      </c>
      <c r="J2623" s="10" t="s">
        <v>1786</v>
      </c>
      <c r="K2623" s="12">
        <v>46007</v>
      </c>
      <c r="L2623" s="28" t="s">
        <v>11</v>
      </c>
      <c r="M2623" s="14"/>
      <c r="N2623" s="10" t="s">
        <v>1028</v>
      </c>
    </row>
    <row r="2624" spans="1:14" ht="22.5" customHeight="1">
      <c r="A2624" s="8">
        <v>46007.940281504634</v>
      </c>
      <c r="B2624" s="9" t="s">
        <v>14</v>
      </c>
      <c r="C2624" s="9" t="s">
        <v>15</v>
      </c>
      <c r="D2624" s="10" t="s">
        <v>5829</v>
      </c>
      <c r="E2624" s="9" t="s">
        <v>22</v>
      </c>
      <c r="F2624" s="10">
        <v>23</v>
      </c>
      <c r="G2624" s="11">
        <v>8167987969</v>
      </c>
      <c r="H2624" s="10" t="s">
        <v>5830</v>
      </c>
      <c r="I2624" s="10" t="s">
        <v>27</v>
      </c>
      <c r="J2624" s="10" t="s">
        <v>42</v>
      </c>
      <c r="K2624" s="12">
        <v>46007</v>
      </c>
      <c r="L2624" s="28" t="s">
        <v>11</v>
      </c>
      <c r="M2624" s="14"/>
      <c r="N2624" s="10" t="s">
        <v>1028</v>
      </c>
    </row>
    <row r="2625" spans="1:14" ht="22.5" customHeight="1">
      <c r="A2625" s="8">
        <v>46007.950923773147</v>
      </c>
      <c r="B2625" s="9" t="s">
        <v>14</v>
      </c>
      <c r="C2625" s="9" t="s">
        <v>15</v>
      </c>
      <c r="D2625" s="10" t="s">
        <v>4512</v>
      </c>
      <c r="E2625" s="9" t="s">
        <v>17</v>
      </c>
      <c r="F2625" s="10">
        <v>26</v>
      </c>
      <c r="G2625" s="11">
        <v>8023294152</v>
      </c>
      <c r="H2625" s="10" t="s">
        <v>5831</v>
      </c>
      <c r="I2625" s="10" t="s">
        <v>27</v>
      </c>
      <c r="J2625" s="10" t="s">
        <v>372</v>
      </c>
      <c r="K2625" s="12">
        <v>46007</v>
      </c>
      <c r="L2625" s="28" t="s">
        <v>11</v>
      </c>
      <c r="M2625" s="14"/>
      <c r="N2625" s="10" t="s">
        <v>1028</v>
      </c>
    </row>
    <row r="2626" spans="1:14" ht="22.5" customHeight="1">
      <c r="A2626" s="8">
        <v>46007.961883009259</v>
      </c>
      <c r="B2626" s="9" t="s">
        <v>14</v>
      </c>
      <c r="C2626" s="9" t="s">
        <v>15</v>
      </c>
      <c r="D2626" s="10" t="s">
        <v>5832</v>
      </c>
      <c r="E2626" s="9" t="s">
        <v>22</v>
      </c>
      <c r="F2626" s="10">
        <v>24</v>
      </c>
      <c r="G2626" s="11">
        <v>9034977504</v>
      </c>
      <c r="H2626" s="10" t="s">
        <v>5833</v>
      </c>
      <c r="I2626" s="10" t="s">
        <v>45</v>
      </c>
      <c r="J2626" s="10" t="s">
        <v>3376</v>
      </c>
      <c r="K2626" s="12">
        <v>46007</v>
      </c>
      <c r="L2626" s="28" t="s">
        <v>11</v>
      </c>
      <c r="M2626" s="14"/>
      <c r="N2626" s="10" t="s">
        <v>4982</v>
      </c>
    </row>
    <row r="2627" spans="1:14" ht="22.5" customHeight="1">
      <c r="A2627" s="8">
        <v>46007.967672152779</v>
      </c>
      <c r="B2627" s="9" t="s">
        <v>14</v>
      </c>
      <c r="C2627" s="9" t="s">
        <v>15</v>
      </c>
      <c r="D2627" s="10" t="s">
        <v>5834</v>
      </c>
      <c r="E2627" s="9" t="s">
        <v>22</v>
      </c>
      <c r="F2627" s="10">
        <v>33</v>
      </c>
      <c r="G2627" s="11">
        <v>8101229098</v>
      </c>
      <c r="H2627" s="10" t="s">
        <v>5835</v>
      </c>
      <c r="I2627" s="10" t="s">
        <v>49</v>
      </c>
      <c r="J2627" s="10" t="s">
        <v>109</v>
      </c>
      <c r="K2627" s="12">
        <v>46007</v>
      </c>
      <c r="L2627" s="28" t="s">
        <v>11</v>
      </c>
      <c r="M2627" s="14"/>
      <c r="N2627" s="10" t="s">
        <v>1096</v>
      </c>
    </row>
    <row r="2628" spans="1:14" ht="22.5" customHeight="1">
      <c r="A2628" s="8">
        <v>46007.984834652772</v>
      </c>
      <c r="B2628" s="9" t="s">
        <v>14</v>
      </c>
      <c r="C2628" s="9" t="s">
        <v>15</v>
      </c>
      <c r="D2628" s="10" t="s">
        <v>5836</v>
      </c>
      <c r="E2628" s="9" t="s">
        <v>22</v>
      </c>
      <c r="F2628" s="10">
        <v>28</v>
      </c>
      <c r="G2628" s="11">
        <v>8119642109</v>
      </c>
      <c r="H2628" s="10" t="s">
        <v>5837</v>
      </c>
      <c r="I2628" s="10" t="s">
        <v>45</v>
      </c>
      <c r="J2628" s="10" t="s">
        <v>932</v>
      </c>
      <c r="K2628" s="12">
        <v>46007</v>
      </c>
      <c r="L2628" s="28" t="s">
        <v>11</v>
      </c>
      <c r="M2628" s="14"/>
      <c r="N2628" s="10" t="s">
        <v>1028</v>
      </c>
    </row>
    <row r="2629" spans="1:14" ht="22.5" customHeight="1">
      <c r="A2629" s="8">
        <v>46008.001353981483</v>
      </c>
      <c r="B2629" s="9" t="s">
        <v>14</v>
      </c>
      <c r="C2629" s="9" t="s">
        <v>15</v>
      </c>
      <c r="D2629" s="10" t="s">
        <v>5838</v>
      </c>
      <c r="E2629" s="9" t="s">
        <v>17</v>
      </c>
      <c r="F2629" s="10">
        <v>27</v>
      </c>
      <c r="G2629" s="11">
        <v>8093956952</v>
      </c>
      <c r="H2629" s="10" t="s">
        <v>5839</v>
      </c>
      <c r="I2629" s="10" t="s">
        <v>27</v>
      </c>
      <c r="J2629" s="10" t="s">
        <v>1514</v>
      </c>
      <c r="K2629" s="12">
        <v>46008</v>
      </c>
      <c r="L2629" s="28" t="s">
        <v>11</v>
      </c>
      <c r="M2629" s="14"/>
      <c r="N2629" s="10" t="s">
        <v>1028</v>
      </c>
    </row>
    <row r="2630" spans="1:14" ht="22.5" customHeight="1">
      <c r="A2630" s="8">
        <v>46008.003716666666</v>
      </c>
      <c r="B2630" s="9" t="s">
        <v>14</v>
      </c>
      <c r="C2630" s="9" t="s">
        <v>15</v>
      </c>
      <c r="D2630" s="10" t="s">
        <v>755</v>
      </c>
      <c r="E2630" s="9" t="s">
        <v>17</v>
      </c>
      <c r="F2630" s="10">
        <v>32</v>
      </c>
      <c r="G2630" s="11">
        <v>7061980586</v>
      </c>
      <c r="H2630" s="10" t="s">
        <v>5840</v>
      </c>
      <c r="I2630" s="10" t="s">
        <v>27</v>
      </c>
      <c r="J2630" s="10" t="s">
        <v>70</v>
      </c>
      <c r="K2630" s="12">
        <v>46008</v>
      </c>
      <c r="L2630" s="28" t="s">
        <v>11</v>
      </c>
      <c r="M2630" s="14"/>
      <c r="N2630" s="10" t="s">
        <v>1028</v>
      </c>
    </row>
    <row r="2631" spans="1:14" ht="22.5" customHeight="1">
      <c r="A2631" s="8">
        <v>46008.02996299768</v>
      </c>
      <c r="B2631" s="9" t="s">
        <v>14</v>
      </c>
      <c r="C2631" s="9" t="s">
        <v>15</v>
      </c>
      <c r="D2631" s="10" t="s">
        <v>5841</v>
      </c>
      <c r="E2631" s="9" t="s">
        <v>22</v>
      </c>
      <c r="F2631" s="10">
        <v>25</v>
      </c>
      <c r="G2631" s="11">
        <v>7066664855</v>
      </c>
      <c r="H2631" s="10" t="s">
        <v>5842</v>
      </c>
      <c r="I2631" s="10" t="s">
        <v>27</v>
      </c>
      <c r="J2631" s="10" t="s">
        <v>94</v>
      </c>
      <c r="K2631" s="12">
        <v>46008</v>
      </c>
      <c r="L2631" s="28" t="s">
        <v>11</v>
      </c>
      <c r="M2631" s="14"/>
      <c r="N2631" s="10" t="s">
        <v>1028</v>
      </c>
    </row>
    <row r="2632" spans="1:14" ht="22.5" customHeight="1">
      <c r="A2632" s="8">
        <v>46008.030428715283</v>
      </c>
      <c r="B2632" s="9" t="s">
        <v>14</v>
      </c>
      <c r="C2632" s="9" t="s">
        <v>15</v>
      </c>
      <c r="D2632" s="10" t="s">
        <v>5841</v>
      </c>
      <c r="E2632" s="9" t="s">
        <v>22</v>
      </c>
      <c r="F2632" s="10">
        <v>25</v>
      </c>
      <c r="G2632" s="11">
        <v>7066664855</v>
      </c>
      <c r="H2632" s="10" t="s">
        <v>5842</v>
      </c>
      <c r="I2632" s="10" t="s">
        <v>27</v>
      </c>
      <c r="J2632" s="10" t="s">
        <v>94</v>
      </c>
      <c r="K2632" s="12">
        <v>46008</v>
      </c>
      <c r="L2632" s="28" t="s">
        <v>11</v>
      </c>
      <c r="M2632" s="14"/>
      <c r="N2632" s="10" t="s">
        <v>1028</v>
      </c>
    </row>
    <row r="2633" spans="1:14" ht="22.5" customHeight="1">
      <c r="A2633" s="8">
        <v>46008.04460465278</v>
      </c>
      <c r="B2633" s="9" t="s">
        <v>14</v>
      </c>
      <c r="C2633" s="9" t="s">
        <v>15</v>
      </c>
      <c r="D2633" s="10" t="s">
        <v>5843</v>
      </c>
      <c r="E2633" s="9" t="s">
        <v>22</v>
      </c>
      <c r="F2633" s="10">
        <v>52</v>
      </c>
      <c r="G2633" s="11">
        <v>803475875</v>
      </c>
      <c r="H2633" s="10" t="s">
        <v>5844</v>
      </c>
      <c r="I2633" s="10" t="s">
        <v>27</v>
      </c>
      <c r="J2633" s="10" t="s">
        <v>2858</v>
      </c>
      <c r="K2633" s="12">
        <v>46008</v>
      </c>
      <c r="L2633" s="28" t="s">
        <v>11</v>
      </c>
      <c r="M2633" s="14"/>
      <c r="N2633" s="10" t="s">
        <v>1028</v>
      </c>
    </row>
    <row r="2634" spans="1:14" ht="22.5" customHeight="1">
      <c r="A2634" s="8">
        <v>46008.045055821756</v>
      </c>
      <c r="B2634" s="9" t="s">
        <v>14</v>
      </c>
      <c r="C2634" s="9" t="s">
        <v>15</v>
      </c>
      <c r="D2634" s="10" t="s">
        <v>5845</v>
      </c>
      <c r="E2634" s="9" t="s">
        <v>22</v>
      </c>
      <c r="F2634" s="10">
        <v>22</v>
      </c>
      <c r="G2634" s="11">
        <v>8164198614</v>
      </c>
      <c r="H2634" s="10" t="s">
        <v>5846</v>
      </c>
      <c r="I2634" s="10" t="s">
        <v>27</v>
      </c>
      <c r="J2634" s="10" t="s">
        <v>3809</v>
      </c>
      <c r="K2634" s="12">
        <v>46008</v>
      </c>
      <c r="L2634" s="28" t="s">
        <v>11</v>
      </c>
      <c r="M2634" s="14"/>
      <c r="N2634" s="10" t="s">
        <v>1028</v>
      </c>
    </row>
    <row r="2635" spans="1:14" ht="22.5" customHeight="1">
      <c r="A2635" s="8">
        <v>46008.091585416667</v>
      </c>
      <c r="B2635" s="9" t="s">
        <v>14</v>
      </c>
      <c r="C2635" s="9" t="s">
        <v>15</v>
      </c>
      <c r="D2635" s="10" t="s">
        <v>5847</v>
      </c>
      <c r="E2635" s="9" t="s">
        <v>17</v>
      </c>
      <c r="F2635" s="10">
        <v>29</v>
      </c>
      <c r="G2635" s="11">
        <v>9075274014</v>
      </c>
      <c r="H2635" s="10" t="s">
        <v>5848</v>
      </c>
      <c r="I2635" s="10" t="s">
        <v>27</v>
      </c>
      <c r="J2635" s="10" t="s">
        <v>70</v>
      </c>
      <c r="K2635" s="12">
        <v>46008</v>
      </c>
      <c r="L2635" s="28" t="s">
        <v>11</v>
      </c>
      <c r="M2635" s="14"/>
      <c r="N2635" s="10" t="s">
        <v>1096</v>
      </c>
    </row>
    <row r="2636" spans="1:14" ht="22.5" customHeight="1">
      <c r="A2636" s="8">
        <v>46008.125474849541</v>
      </c>
      <c r="B2636" s="9" t="s">
        <v>14</v>
      </c>
      <c r="C2636" s="9" t="s">
        <v>15</v>
      </c>
      <c r="D2636" s="10" t="s">
        <v>5849</v>
      </c>
      <c r="E2636" s="9" t="s">
        <v>17</v>
      </c>
      <c r="F2636" s="10">
        <v>23</v>
      </c>
      <c r="G2636" s="11">
        <v>9133458629</v>
      </c>
      <c r="H2636" s="10" t="s">
        <v>5850</v>
      </c>
      <c r="I2636" s="10" t="s">
        <v>27</v>
      </c>
      <c r="J2636" s="10" t="s">
        <v>3189</v>
      </c>
      <c r="K2636" s="12">
        <v>46008</v>
      </c>
      <c r="L2636" s="28" t="s">
        <v>11</v>
      </c>
      <c r="M2636" s="14"/>
      <c r="N2636" s="10" t="s">
        <v>1028</v>
      </c>
    </row>
    <row r="2637" spans="1:14" ht="22.5" customHeight="1">
      <c r="A2637" s="8">
        <v>46008.137705810186</v>
      </c>
      <c r="B2637" s="9" t="s">
        <v>14</v>
      </c>
      <c r="C2637" s="9" t="s">
        <v>15</v>
      </c>
      <c r="D2637" s="10" t="s">
        <v>5851</v>
      </c>
      <c r="E2637" s="9" t="s">
        <v>17</v>
      </c>
      <c r="F2637" s="10">
        <v>26</v>
      </c>
      <c r="G2637" s="11">
        <v>7068828467</v>
      </c>
      <c r="H2637" s="10" t="s">
        <v>5852</v>
      </c>
      <c r="I2637" s="10" t="s">
        <v>31</v>
      </c>
      <c r="J2637" s="10" t="s">
        <v>32</v>
      </c>
      <c r="K2637" s="12">
        <v>46008</v>
      </c>
      <c r="L2637" s="28" t="s">
        <v>11</v>
      </c>
      <c r="M2637" s="14"/>
      <c r="N2637" s="10" t="s">
        <v>1028</v>
      </c>
    </row>
    <row r="2638" spans="1:14" ht="22.5" customHeight="1">
      <c r="A2638" s="8">
        <v>46008.143403078706</v>
      </c>
      <c r="B2638" s="9" t="s">
        <v>14</v>
      </c>
      <c r="C2638" s="9" t="s">
        <v>15</v>
      </c>
      <c r="D2638" s="10" t="s">
        <v>5853</v>
      </c>
      <c r="E2638" s="9" t="s">
        <v>22</v>
      </c>
      <c r="F2638" s="10">
        <v>31</v>
      </c>
      <c r="G2638" s="11">
        <v>8066502776</v>
      </c>
      <c r="H2638" s="10" t="s">
        <v>5854</v>
      </c>
      <c r="I2638" s="10" t="s">
        <v>27</v>
      </c>
      <c r="J2638" s="10" t="s">
        <v>172</v>
      </c>
      <c r="K2638" s="12">
        <v>46008</v>
      </c>
      <c r="L2638" s="28" t="s">
        <v>11</v>
      </c>
      <c r="M2638" s="14"/>
      <c r="N2638" s="10" t="s">
        <v>1028</v>
      </c>
    </row>
    <row r="2639" spans="1:14" ht="22.5" customHeight="1">
      <c r="A2639" s="8">
        <v>46008.154759618061</v>
      </c>
      <c r="B2639" s="9" t="s">
        <v>14</v>
      </c>
      <c r="C2639" s="9" t="s">
        <v>15</v>
      </c>
      <c r="D2639" s="10" t="s">
        <v>5855</v>
      </c>
      <c r="E2639" s="9" t="s">
        <v>17</v>
      </c>
      <c r="F2639" s="10">
        <v>33</v>
      </c>
      <c r="G2639" s="11">
        <v>8064592629</v>
      </c>
      <c r="H2639" s="10" t="s">
        <v>5856</v>
      </c>
      <c r="I2639" s="10" t="s">
        <v>31</v>
      </c>
      <c r="J2639" s="10" t="s">
        <v>5857</v>
      </c>
      <c r="K2639" s="12">
        <v>46008</v>
      </c>
      <c r="L2639" s="28" t="s">
        <v>11</v>
      </c>
      <c r="M2639" s="14"/>
      <c r="N2639" s="10" t="s">
        <v>1028</v>
      </c>
    </row>
    <row r="2640" spans="1:14" ht="22.5" customHeight="1">
      <c r="A2640" s="8">
        <v>46008.18609131944</v>
      </c>
      <c r="B2640" s="9" t="s">
        <v>14</v>
      </c>
      <c r="C2640" s="9" t="s">
        <v>15</v>
      </c>
      <c r="D2640" s="10" t="s">
        <v>5858</v>
      </c>
      <c r="E2640" s="9" t="s">
        <v>22</v>
      </c>
      <c r="F2640" s="10">
        <v>24</v>
      </c>
      <c r="G2640" s="11">
        <v>7069475300</v>
      </c>
      <c r="H2640" s="10" t="s">
        <v>5859</v>
      </c>
      <c r="I2640" s="10" t="s">
        <v>49</v>
      </c>
      <c r="J2640" s="10" t="s">
        <v>103</v>
      </c>
      <c r="K2640" s="12">
        <v>46008</v>
      </c>
      <c r="L2640" s="28" t="s">
        <v>11</v>
      </c>
      <c r="M2640" s="14"/>
      <c r="N2640" s="10" t="s">
        <v>1028</v>
      </c>
    </row>
    <row r="2641" spans="1:14" ht="22.5" customHeight="1">
      <c r="A2641" s="8">
        <v>46008.230211828704</v>
      </c>
      <c r="B2641" s="9" t="s">
        <v>14</v>
      </c>
      <c r="C2641" s="9" t="s">
        <v>15</v>
      </c>
      <c r="D2641" s="10" t="s">
        <v>5860</v>
      </c>
      <c r="E2641" s="9" t="s">
        <v>17</v>
      </c>
      <c r="F2641" s="10">
        <v>36</v>
      </c>
      <c r="G2641" s="11">
        <v>8062931878</v>
      </c>
      <c r="H2641" s="10" t="s">
        <v>5861</v>
      </c>
      <c r="I2641" s="10" t="s">
        <v>27</v>
      </c>
      <c r="J2641" s="10" t="s">
        <v>372</v>
      </c>
      <c r="K2641" s="12">
        <v>46008</v>
      </c>
      <c r="L2641" s="28" t="s">
        <v>11</v>
      </c>
      <c r="M2641" s="14"/>
      <c r="N2641" s="10" t="s">
        <v>1028</v>
      </c>
    </row>
    <row r="2642" spans="1:14" ht="22.5" customHeight="1">
      <c r="A2642" s="8">
        <v>46008.238746053241</v>
      </c>
      <c r="B2642" s="9" t="s">
        <v>14</v>
      </c>
      <c r="C2642" s="9" t="s">
        <v>15</v>
      </c>
      <c r="D2642" s="10" t="s">
        <v>5862</v>
      </c>
      <c r="E2642" s="9" t="s">
        <v>22</v>
      </c>
      <c r="F2642" s="10">
        <v>25</v>
      </c>
      <c r="G2642" s="11">
        <v>7038821200</v>
      </c>
      <c r="H2642" s="10" t="s">
        <v>5863</v>
      </c>
      <c r="I2642" s="10" t="s">
        <v>27</v>
      </c>
      <c r="J2642" s="10" t="s">
        <v>1456</v>
      </c>
      <c r="K2642" s="12">
        <v>46008</v>
      </c>
      <c r="L2642" s="28" t="s">
        <v>11</v>
      </c>
      <c r="M2642" s="14"/>
      <c r="N2642" s="10" t="s">
        <v>1028</v>
      </c>
    </row>
    <row r="2643" spans="1:14" ht="22.5" customHeight="1">
      <c r="A2643" s="8">
        <v>46008.240210532407</v>
      </c>
      <c r="B2643" s="9" t="s">
        <v>14</v>
      </c>
      <c r="C2643" s="9" t="s">
        <v>15</v>
      </c>
      <c r="D2643" s="10" t="s">
        <v>5864</v>
      </c>
      <c r="E2643" s="9" t="s">
        <v>22</v>
      </c>
      <c r="F2643" s="10">
        <v>29</v>
      </c>
      <c r="G2643" s="11">
        <v>9038475002</v>
      </c>
      <c r="H2643" s="10" t="s">
        <v>5865</v>
      </c>
      <c r="I2643" s="10" t="s">
        <v>27</v>
      </c>
      <c r="J2643" s="10" t="s">
        <v>70</v>
      </c>
      <c r="K2643" s="12">
        <v>46008</v>
      </c>
      <c r="L2643" s="28" t="s">
        <v>11</v>
      </c>
      <c r="M2643" s="14"/>
      <c r="N2643" s="10" t="s">
        <v>1028</v>
      </c>
    </row>
    <row r="2644" spans="1:14" ht="22.5" hidden="1" customHeight="1">
      <c r="A2644" s="8">
        <v>46008.241862615745</v>
      </c>
      <c r="B2644" s="9" t="s">
        <v>14</v>
      </c>
      <c r="C2644" s="9" t="s">
        <v>15</v>
      </c>
      <c r="D2644" s="10" t="s">
        <v>5866</v>
      </c>
      <c r="E2644" s="9" t="s">
        <v>22</v>
      </c>
      <c r="F2644" s="10">
        <v>23</v>
      </c>
      <c r="G2644" s="11">
        <v>9042636824</v>
      </c>
      <c r="H2644" s="10" t="s">
        <v>5867</v>
      </c>
      <c r="I2644" s="10" t="s">
        <v>19</v>
      </c>
      <c r="J2644" s="10" t="s">
        <v>3369</v>
      </c>
      <c r="K2644" s="12">
        <v>46008</v>
      </c>
      <c r="L2644" s="10" t="s">
        <v>441</v>
      </c>
      <c r="M2644" s="10" t="s">
        <v>1827</v>
      </c>
      <c r="N2644" s="10" t="s">
        <v>1028</v>
      </c>
    </row>
    <row r="2645" spans="1:14" ht="22.5" customHeight="1">
      <c r="A2645" s="8">
        <v>46008.256218773153</v>
      </c>
      <c r="B2645" s="9" t="s">
        <v>14</v>
      </c>
      <c r="C2645" s="9" t="s">
        <v>15</v>
      </c>
      <c r="D2645" s="10" t="s">
        <v>5868</v>
      </c>
      <c r="E2645" s="9" t="s">
        <v>22</v>
      </c>
      <c r="F2645" s="18">
        <v>24</v>
      </c>
      <c r="G2645" s="11">
        <v>8134180650</v>
      </c>
      <c r="H2645" s="10" t="s">
        <v>5869</v>
      </c>
      <c r="I2645" s="10" t="s">
        <v>19</v>
      </c>
      <c r="J2645" s="10" t="s">
        <v>5870</v>
      </c>
      <c r="K2645" s="12">
        <v>46008</v>
      </c>
      <c r="L2645" s="28" t="s">
        <v>11</v>
      </c>
      <c r="M2645" s="10"/>
      <c r="N2645" s="10" t="s">
        <v>1028</v>
      </c>
    </row>
    <row r="2646" spans="1:14" ht="22.5" customHeight="1">
      <c r="A2646" s="8">
        <v>46008.262473553244</v>
      </c>
      <c r="B2646" s="9" t="s">
        <v>14</v>
      </c>
      <c r="C2646" s="9" t="s">
        <v>15</v>
      </c>
      <c r="D2646" s="10" t="s">
        <v>5871</v>
      </c>
      <c r="E2646" s="9" t="s">
        <v>22</v>
      </c>
      <c r="F2646" s="10">
        <v>23</v>
      </c>
      <c r="G2646" s="11">
        <v>9074413230</v>
      </c>
      <c r="H2646" s="10" t="s">
        <v>5872</v>
      </c>
      <c r="I2646" s="10" t="s">
        <v>27</v>
      </c>
      <c r="J2646" s="10" t="s">
        <v>70</v>
      </c>
      <c r="K2646" s="12">
        <v>46008</v>
      </c>
      <c r="L2646" s="28" t="s">
        <v>11</v>
      </c>
      <c r="M2646" s="14"/>
      <c r="N2646" s="10" t="s">
        <v>1028</v>
      </c>
    </row>
    <row r="2647" spans="1:14" ht="22.5" customHeight="1">
      <c r="A2647" s="8">
        <v>46008.273250729166</v>
      </c>
      <c r="B2647" s="9" t="s">
        <v>14</v>
      </c>
      <c r="C2647" s="9" t="s">
        <v>15</v>
      </c>
      <c r="D2647" s="10" t="s">
        <v>5873</v>
      </c>
      <c r="E2647" s="9" t="s">
        <v>22</v>
      </c>
      <c r="F2647" s="10">
        <v>27</v>
      </c>
      <c r="G2647" s="11">
        <v>8165479702</v>
      </c>
      <c r="H2647" s="10" t="s">
        <v>5874</v>
      </c>
      <c r="I2647" s="10" t="s">
        <v>19</v>
      </c>
      <c r="J2647" s="10" t="s">
        <v>5875</v>
      </c>
      <c r="K2647" s="12">
        <v>46008</v>
      </c>
      <c r="L2647" s="28" t="s">
        <v>11</v>
      </c>
      <c r="M2647" s="14"/>
      <c r="N2647" s="10" t="s">
        <v>1028</v>
      </c>
    </row>
    <row r="2648" spans="1:14" ht="22.5" customHeight="1">
      <c r="A2648" s="8">
        <v>46008.282955717594</v>
      </c>
      <c r="B2648" s="9" t="s">
        <v>14</v>
      </c>
      <c r="C2648" s="9" t="s">
        <v>15</v>
      </c>
      <c r="D2648" s="10" t="s">
        <v>5876</v>
      </c>
      <c r="E2648" s="9" t="s">
        <v>22</v>
      </c>
      <c r="F2648" s="10">
        <v>28</v>
      </c>
      <c r="G2648" s="11">
        <f t="shared" ref="G2648" si="68">923256365859</f>
        <v>923256365859</v>
      </c>
      <c r="H2648" s="10" t="s">
        <v>5877</v>
      </c>
      <c r="I2648" s="10" t="s">
        <v>19</v>
      </c>
      <c r="J2648" s="10" t="s">
        <v>5878</v>
      </c>
      <c r="K2648" s="12">
        <v>46008</v>
      </c>
      <c r="L2648" s="28" t="s">
        <v>11</v>
      </c>
      <c r="M2648" s="14"/>
      <c r="N2648" s="10" t="s">
        <v>1563</v>
      </c>
    </row>
    <row r="2649" spans="1:14" ht="22.5" customHeight="1">
      <c r="A2649" s="8">
        <v>46008.291032118053</v>
      </c>
      <c r="B2649" s="9" t="s">
        <v>14</v>
      </c>
      <c r="C2649" s="9" t="s">
        <v>15</v>
      </c>
      <c r="D2649" s="10" t="s">
        <v>5879</v>
      </c>
      <c r="E2649" s="9" t="s">
        <v>17</v>
      </c>
      <c r="F2649" s="10">
        <v>30</v>
      </c>
      <c r="G2649" s="11">
        <v>705996597</v>
      </c>
      <c r="H2649" s="10" t="s">
        <v>5880</v>
      </c>
      <c r="I2649" s="10" t="s">
        <v>202</v>
      </c>
      <c r="J2649" s="10" t="s">
        <v>5881</v>
      </c>
      <c r="K2649" s="12">
        <v>46008</v>
      </c>
      <c r="L2649" s="28" t="s">
        <v>11</v>
      </c>
      <c r="M2649" s="14"/>
      <c r="N2649" s="10" t="s">
        <v>1209</v>
      </c>
    </row>
    <row r="2650" spans="1:14" ht="22.5" customHeight="1">
      <c r="A2650" s="8">
        <v>46008.292161319448</v>
      </c>
      <c r="B2650" s="9" t="s">
        <v>14</v>
      </c>
      <c r="C2650" s="9" t="s">
        <v>15</v>
      </c>
      <c r="D2650" s="10" t="s">
        <v>5882</v>
      </c>
      <c r="E2650" s="9" t="s">
        <v>22</v>
      </c>
      <c r="F2650" s="10">
        <v>31</v>
      </c>
      <c r="G2650" s="11">
        <v>9035011998</v>
      </c>
      <c r="H2650" s="10" t="s">
        <v>5883</v>
      </c>
      <c r="I2650" s="10" t="s">
        <v>27</v>
      </c>
      <c r="J2650" s="10" t="s">
        <v>2417</v>
      </c>
      <c r="K2650" s="12">
        <v>46008</v>
      </c>
      <c r="L2650" s="28" t="s">
        <v>11</v>
      </c>
      <c r="M2650" s="14"/>
      <c r="N2650" s="10" t="s">
        <v>1028</v>
      </c>
    </row>
    <row r="2651" spans="1:14" ht="22.5" customHeight="1">
      <c r="A2651" s="8">
        <v>46008.294492083332</v>
      </c>
      <c r="B2651" s="9" t="s">
        <v>14</v>
      </c>
      <c r="C2651" s="9" t="s">
        <v>15</v>
      </c>
      <c r="D2651" s="10" t="s">
        <v>5884</v>
      </c>
      <c r="E2651" s="9" t="s">
        <v>17</v>
      </c>
      <c r="F2651" s="10">
        <v>31</v>
      </c>
      <c r="G2651" s="11">
        <v>7033914358</v>
      </c>
      <c r="H2651" s="10" t="s">
        <v>5885</v>
      </c>
      <c r="I2651" s="10" t="s">
        <v>49</v>
      </c>
      <c r="J2651" s="10" t="s">
        <v>106</v>
      </c>
      <c r="K2651" s="12">
        <v>46008</v>
      </c>
      <c r="L2651" s="28" t="s">
        <v>11</v>
      </c>
      <c r="M2651" s="14"/>
      <c r="N2651" s="10" t="s">
        <v>1028</v>
      </c>
    </row>
    <row r="2652" spans="1:14" ht="22.5" customHeight="1">
      <c r="A2652" s="8">
        <v>46008.30439690972</v>
      </c>
      <c r="B2652" s="9" t="s">
        <v>14</v>
      </c>
      <c r="C2652" s="9" t="s">
        <v>15</v>
      </c>
      <c r="D2652" s="10" t="s">
        <v>5886</v>
      </c>
      <c r="E2652" s="9" t="s">
        <v>17</v>
      </c>
      <c r="F2652" s="10">
        <v>31</v>
      </c>
      <c r="G2652" s="11">
        <v>9097323632</v>
      </c>
      <c r="H2652" s="10" t="s">
        <v>5887</v>
      </c>
      <c r="I2652" s="10" t="s">
        <v>49</v>
      </c>
      <c r="J2652" s="10" t="s">
        <v>109</v>
      </c>
      <c r="K2652" s="12">
        <v>46008</v>
      </c>
      <c r="L2652" s="28" t="s">
        <v>11</v>
      </c>
      <c r="M2652" s="14"/>
      <c r="N2652" s="10" t="s">
        <v>1028</v>
      </c>
    </row>
    <row r="2653" spans="1:14" ht="22.5" customHeight="1">
      <c r="A2653" s="8">
        <v>46008.315544328703</v>
      </c>
      <c r="B2653" s="9" t="s">
        <v>14</v>
      </c>
      <c r="C2653" s="9" t="s">
        <v>15</v>
      </c>
      <c r="D2653" s="10" t="s">
        <v>5888</v>
      </c>
      <c r="E2653" s="9" t="s">
        <v>22</v>
      </c>
      <c r="F2653" s="10">
        <v>24</v>
      </c>
      <c r="G2653" s="11">
        <v>8130821824</v>
      </c>
      <c r="H2653" s="10" t="s">
        <v>5889</v>
      </c>
      <c r="I2653" s="10" t="s">
        <v>49</v>
      </c>
      <c r="J2653" s="10" t="s">
        <v>73</v>
      </c>
      <c r="K2653" s="12">
        <v>46008</v>
      </c>
      <c r="L2653" s="28" t="s">
        <v>11</v>
      </c>
      <c r="M2653" s="14"/>
      <c r="N2653" s="10" t="s">
        <v>1028</v>
      </c>
    </row>
    <row r="2654" spans="1:14" ht="22.5" customHeight="1">
      <c r="A2654" s="8">
        <v>46008.315622256945</v>
      </c>
      <c r="B2654" s="9" t="s">
        <v>14</v>
      </c>
      <c r="C2654" s="9" t="s">
        <v>15</v>
      </c>
      <c r="D2654" s="10" t="s">
        <v>5890</v>
      </c>
      <c r="E2654" s="9" t="s">
        <v>17</v>
      </c>
      <c r="F2654" s="10">
        <v>29</v>
      </c>
      <c r="G2654" s="11">
        <v>8108151459</v>
      </c>
      <c r="H2654" s="10" t="s">
        <v>5891</v>
      </c>
      <c r="I2654" s="10" t="s">
        <v>27</v>
      </c>
      <c r="J2654" s="10" t="s">
        <v>5892</v>
      </c>
      <c r="K2654" s="12">
        <v>46008</v>
      </c>
      <c r="L2654" s="28" t="s">
        <v>11</v>
      </c>
      <c r="M2654" s="14"/>
      <c r="N2654" s="10" t="s">
        <v>1028</v>
      </c>
    </row>
    <row r="2655" spans="1:14" ht="22.5" customHeight="1">
      <c r="A2655" s="8">
        <v>46008.325287071755</v>
      </c>
      <c r="B2655" s="9" t="s">
        <v>14</v>
      </c>
      <c r="C2655" s="9" t="s">
        <v>15</v>
      </c>
      <c r="D2655" s="10" t="s">
        <v>5893</v>
      </c>
      <c r="E2655" s="9" t="s">
        <v>17</v>
      </c>
      <c r="F2655" s="10">
        <v>25</v>
      </c>
      <c r="G2655" s="11">
        <v>9127072607</v>
      </c>
      <c r="H2655" s="10" t="s">
        <v>5894</v>
      </c>
      <c r="I2655" s="10" t="s">
        <v>202</v>
      </c>
      <c r="J2655" s="10" t="s">
        <v>203</v>
      </c>
      <c r="K2655" s="12">
        <v>46008</v>
      </c>
      <c r="L2655" s="28" t="s">
        <v>11</v>
      </c>
      <c r="M2655" s="14"/>
      <c r="N2655" s="10" t="s">
        <v>1028</v>
      </c>
    </row>
    <row r="2656" spans="1:14" ht="22.5" hidden="1" customHeight="1">
      <c r="A2656" s="8">
        <v>46008.348257708334</v>
      </c>
      <c r="B2656" s="9" t="s">
        <v>14</v>
      </c>
      <c r="C2656" s="9" t="s">
        <v>15</v>
      </c>
      <c r="D2656" s="10" t="s">
        <v>5895</v>
      </c>
      <c r="E2656" s="9" t="s">
        <v>17</v>
      </c>
      <c r="F2656" s="10">
        <v>23</v>
      </c>
      <c r="G2656" s="11">
        <v>7036178880</v>
      </c>
      <c r="H2656" s="10" t="s">
        <v>5896</v>
      </c>
      <c r="I2656" s="10" t="s">
        <v>27</v>
      </c>
      <c r="J2656" s="10" t="s">
        <v>2669</v>
      </c>
      <c r="K2656" s="12">
        <v>46008</v>
      </c>
      <c r="L2656" s="10" t="s">
        <v>441</v>
      </c>
      <c r="M2656" s="10" t="s">
        <v>5897</v>
      </c>
      <c r="N2656" s="10" t="s">
        <v>1028</v>
      </c>
    </row>
    <row r="2657" spans="1:20" ht="22.5" customHeight="1">
      <c r="A2657" s="8">
        <v>46008.358539201392</v>
      </c>
      <c r="B2657" s="9" t="s">
        <v>14</v>
      </c>
      <c r="C2657" s="9" t="s">
        <v>15</v>
      </c>
      <c r="D2657" s="10" t="s">
        <v>5898</v>
      </c>
      <c r="E2657" s="9" t="s">
        <v>17</v>
      </c>
      <c r="F2657" s="10">
        <v>35</v>
      </c>
      <c r="G2657" s="11">
        <v>8133723297</v>
      </c>
      <c r="H2657" s="10" t="s">
        <v>5899</v>
      </c>
      <c r="I2657" s="10" t="s">
        <v>202</v>
      </c>
      <c r="J2657" s="10" t="s">
        <v>1839</v>
      </c>
      <c r="K2657" s="12">
        <v>46008</v>
      </c>
      <c r="L2657" s="28" t="s">
        <v>11</v>
      </c>
      <c r="M2657" s="14"/>
      <c r="N2657" s="10" t="s">
        <v>1028</v>
      </c>
    </row>
    <row r="2658" spans="1:20" ht="22.5" customHeight="1">
      <c r="A2658" s="8">
        <v>46008.364793159722</v>
      </c>
      <c r="B2658" s="9" t="s">
        <v>14</v>
      </c>
      <c r="C2658" s="9" t="s">
        <v>15</v>
      </c>
      <c r="D2658" s="10" t="s">
        <v>5900</v>
      </c>
      <c r="E2658" s="9" t="s">
        <v>17</v>
      </c>
      <c r="F2658" s="10">
        <v>34</v>
      </c>
      <c r="G2658" s="11">
        <v>8071233089</v>
      </c>
      <c r="H2658" s="10" t="s">
        <v>5901</v>
      </c>
      <c r="I2658" s="10" t="s">
        <v>31</v>
      </c>
      <c r="J2658" s="10" t="s">
        <v>1582</v>
      </c>
      <c r="K2658" s="12">
        <v>46008</v>
      </c>
      <c r="L2658" s="28" t="s">
        <v>11</v>
      </c>
      <c r="M2658" s="14"/>
      <c r="N2658" s="10" t="s">
        <v>1028</v>
      </c>
    </row>
    <row r="2659" spans="1:20" ht="22.5" customHeight="1">
      <c r="A2659" s="8">
        <v>46008.369053634262</v>
      </c>
      <c r="B2659" s="9" t="s">
        <v>14</v>
      </c>
      <c r="C2659" s="9" t="s">
        <v>15</v>
      </c>
      <c r="D2659" s="10" t="s">
        <v>5902</v>
      </c>
      <c r="E2659" s="9" t="s">
        <v>17</v>
      </c>
      <c r="F2659" s="10">
        <v>33</v>
      </c>
      <c r="G2659" s="11">
        <v>7065621464</v>
      </c>
      <c r="H2659" s="10" t="s">
        <v>5903</v>
      </c>
      <c r="I2659" s="10" t="s">
        <v>19</v>
      </c>
      <c r="J2659" s="10" t="s">
        <v>812</v>
      </c>
      <c r="K2659" s="12">
        <v>46008</v>
      </c>
      <c r="L2659" s="28" t="s">
        <v>11</v>
      </c>
      <c r="M2659" s="14"/>
      <c r="N2659" s="10" t="s">
        <v>1028</v>
      </c>
      <c r="O2659" s="20"/>
      <c r="P2659" s="21"/>
      <c r="Q2659" s="21"/>
      <c r="R2659" s="21"/>
      <c r="S2659" s="21"/>
      <c r="T2659" s="21"/>
    </row>
    <row r="2660" spans="1:20" ht="22.5" customHeight="1">
      <c r="A2660" s="8">
        <v>46008.36964203704</v>
      </c>
      <c r="B2660" s="9" t="s">
        <v>14</v>
      </c>
      <c r="C2660" s="9" t="s">
        <v>15</v>
      </c>
      <c r="D2660" s="10" t="s">
        <v>5904</v>
      </c>
      <c r="E2660" s="9" t="s">
        <v>17</v>
      </c>
      <c r="F2660" s="10">
        <v>24</v>
      </c>
      <c r="G2660" s="11">
        <v>9067560158</v>
      </c>
      <c r="H2660" s="10" t="s">
        <v>5905</v>
      </c>
      <c r="I2660" s="10" t="s">
        <v>45</v>
      </c>
      <c r="J2660" s="10" t="s">
        <v>46</v>
      </c>
      <c r="K2660" s="12">
        <v>46008</v>
      </c>
      <c r="L2660" s="28" t="s">
        <v>11</v>
      </c>
      <c r="M2660" s="14"/>
      <c r="N2660" s="10" t="s">
        <v>1028</v>
      </c>
    </row>
    <row r="2661" spans="1:20" ht="22.5" customHeight="1">
      <c r="A2661" s="8">
        <v>46008.371751354163</v>
      </c>
      <c r="B2661" s="9" t="s">
        <v>14</v>
      </c>
      <c r="C2661" s="9" t="s">
        <v>15</v>
      </c>
      <c r="D2661" s="10" t="s">
        <v>5906</v>
      </c>
      <c r="E2661" s="9" t="s">
        <v>22</v>
      </c>
      <c r="F2661" s="10">
        <v>18</v>
      </c>
      <c r="G2661" s="11">
        <v>8140451659</v>
      </c>
      <c r="H2661" s="10" t="s">
        <v>5907</v>
      </c>
      <c r="I2661" s="10" t="s">
        <v>27</v>
      </c>
      <c r="J2661" s="10" t="s">
        <v>372</v>
      </c>
      <c r="K2661" s="12">
        <v>46008</v>
      </c>
      <c r="L2661" s="28" t="s">
        <v>11</v>
      </c>
      <c r="M2661" s="14"/>
      <c r="N2661" s="10" t="s">
        <v>1028</v>
      </c>
    </row>
    <row r="2662" spans="1:20" ht="22.5" customHeight="1">
      <c r="A2662" s="8">
        <v>46008.373921030092</v>
      </c>
      <c r="B2662" s="9" t="s">
        <v>14</v>
      </c>
      <c r="C2662" s="9" t="s">
        <v>15</v>
      </c>
      <c r="D2662" s="10" t="s">
        <v>5908</v>
      </c>
      <c r="E2662" s="9" t="s">
        <v>22</v>
      </c>
      <c r="F2662" s="10">
        <v>26</v>
      </c>
      <c r="G2662" s="11">
        <f>256746618014</f>
        <v>256746618014</v>
      </c>
      <c r="H2662" s="10" t="s">
        <v>5909</v>
      </c>
      <c r="I2662" s="10" t="s">
        <v>19</v>
      </c>
      <c r="J2662" s="10" t="s">
        <v>2307</v>
      </c>
      <c r="K2662" s="12">
        <v>46008</v>
      </c>
      <c r="L2662" s="28" t="s">
        <v>11</v>
      </c>
      <c r="M2662" s="14"/>
      <c r="N2662" s="10" t="s">
        <v>5910</v>
      </c>
    </row>
    <row r="2663" spans="1:20" ht="22.5" customHeight="1">
      <c r="A2663" s="8">
        <v>46008.390463553238</v>
      </c>
      <c r="B2663" s="9" t="s">
        <v>14</v>
      </c>
      <c r="C2663" s="9" t="s">
        <v>15</v>
      </c>
      <c r="D2663" s="10" t="s">
        <v>5911</v>
      </c>
      <c r="E2663" s="9" t="s">
        <v>17</v>
      </c>
      <c r="F2663" s="19">
        <v>28</v>
      </c>
      <c r="G2663" s="11">
        <v>8128529345</v>
      </c>
      <c r="H2663" s="10" t="s">
        <v>5912</v>
      </c>
      <c r="I2663" s="10" t="s">
        <v>202</v>
      </c>
      <c r="J2663" s="10" t="s">
        <v>4005</v>
      </c>
      <c r="K2663" s="12">
        <v>46008</v>
      </c>
      <c r="L2663" s="28" t="s">
        <v>11</v>
      </c>
      <c r="M2663" s="14"/>
      <c r="N2663" s="10" t="s">
        <v>1028</v>
      </c>
    </row>
    <row r="2664" spans="1:20" ht="22.5" customHeight="1">
      <c r="A2664" s="8">
        <v>46008.390672615744</v>
      </c>
      <c r="B2664" s="9" t="s">
        <v>14</v>
      </c>
      <c r="C2664" s="9" t="s">
        <v>15</v>
      </c>
      <c r="D2664" s="10" t="s">
        <v>5913</v>
      </c>
      <c r="E2664" s="9" t="s">
        <v>22</v>
      </c>
      <c r="F2664" s="10">
        <v>22</v>
      </c>
      <c r="G2664" s="11">
        <v>9157531650</v>
      </c>
      <c r="H2664" s="10" t="s">
        <v>5914</v>
      </c>
      <c r="I2664" s="10" t="s">
        <v>45</v>
      </c>
      <c r="J2664" s="10" t="s">
        <v>131</v>
      </c>
      <c r="K2664" s="12">
        <v>46008</v>
      </c>
      <c r="L2664" s="28" t="s">
        <v>11</v>
      </c>
      <c r="M2664" s="14"/>
      <c r="N2664" s="10" t="s">
        <v>1028</v>
      </c>
    </row>
    <row r="2665" spans="1:20" ht="22.5" customHeight="1">
      <c r="A2665" s="8">
        <v>46008.3909446412</v>
      </c>
      <c r="B2665" s="9" t="s">
        <v>14</v>
      </c>
      <c r="C2665" s="9" t="s">
        <v>15</v>
      </c>
      <c r="D2665" s="10" t="s">
        <v>5915</v>
      </c>
      <c r="E2665" s="9" t="s">
        <v>22</v>
      </c>
      <c r="F2665" s="10">
        <v>23</v>
      </c>
      <c r="G2665" s="11">
        <v>8130448070</v>
      </c>
      <c r="H2665" s="10" t="s">
        <v>5916</v>
      </c>
      <c r="I2665" s="10" t="s">
        <v>27</v>
      </c>
      <c r="J2665" s="10" t="s">
        <v>2031</v>
      </c>
      <c r="K2665" s="12">
        <v>46008</v>
      </c>
      <c r="L2665" s="28" t="s">
        <v>11</v>
      </c>
      <c r="M2665" s="14"/>
      <c r="N2665" s="10" t="s">
        <v>1028</v>
      </c>
    </row>
    <row r="2666" spans="1:20" ht="22.5" customHeight="1">
      <c r="A2666" s="8">
        <v>46008.407470949074</v>
      </c>
      <c r="B2666" s="9" t="s">
        <v>14</v>
      </c>
      <c r="C2666" s="9" t="s">
        <v>15</v>
      </c>
      <c r="D2666" s="10" t="s">
        <v>5917</v>
      </c>
      <c r="E2666" s="9" t="s">
        <v>17</v>
      </c>
      <c r="F2666" s="10">
        <v>27</v>
      </c>
      <c r="G2666" s="11">
        <v>8123067468</v>
      </c>
      <c r="H2666" s="10" t="s">
        <v>5918</v>
      </c>
      <c r="I2666" s="10" t="s">
        <v>202</v>
      </c>
      <c r="J2666" s="10" t="s">
        <v>4015</v>
      </c>
      <c r="K2666" s="12">
        <v>46008</v>
      </c>
      <c r="L2666" s="28" t="s">
        <v>11</v>
      </c>
      <c r="M2666" s="14"/>
      <c r="N2666" s="10" t="s">
        <v>1028</v>
      </c>
    </row>
    <row r="2667" spans="1:20" ht="22.5" customHeight="1">
      <c r="A2667" s="8">
        <v>46008.410890763887</v>
      </c>
      <c r="B2667" s="9" t="s">
        <v>14</v>
      </c>
      <c r="C2667" s="9" t="s">
        <v>15</v>
      </c>
      <c r="D2667" s="10" t="s">
        <v>5919</v>
      </c>
      <c r="E2667" s="9" t="s">
        <v>22</v>
      </c>
      <c r="F2667" s="10">
        <v>21</v>
      </c>
      <c r="G2667" s="11">
        <v>8147461559</v>
      </c>
      <c r="H2667" s="10" t="s">
        <v>5920</v>
      </c>
      <c r="I2667" s="10" t="s">
        <v>202</v>
      </c>
      <c r="J2667" s="10" t="s">
        <v>4005</v>
      </c>
      <c r="K2667" s="12">
        <v>46008</v>
      </c>
      <c r="L2667" s="28" t="s">
        <v>11</v>
      </c>
      <c r="M2667" s="14"/>
      <c r="N2667" s="10" t="s">
        <v>1028</v>
      </c>
    </row>
    <row r="2668" spans="1:20" ht="22.5" customHeight="1">
      <c r="A2668" s="8">
        <v>46008.412725196758</v>
      </c>
      <c r="B2668" s="9" t="s">
        <v>14</v>
      </c>
      <c r="C2668" s="9" t="s">
        <v>15</v>
      </c>
      <c r="D2668" s="10" t="s">
        <v>5921</v>
      </c>
      <c r="E2668" s="9" t="s">
        <v>17</v>
      </c>
      <c r="F2668" s="10">
        <v>32</v>
      </c>
      <c r="G2668" s="11">
        <v>9059562471</v>
      </c>
      <c r="H2668" s="10" t="s">
        <v>5922</v>
      </c>
      <c r="I2668" s="10" t="s">
        <v>202</v>
      </c>
      <c r="J2668" s="10" t="s">
        <v>4005</v>
      </c>
      <c r="K2668" s="12">
        <v>46008</v>
      </c>
      <c r="L2668" s="28" t="s">
        <v>11</v>
      </c>
      <c r="M2668" s="14"/>
      <c r="N2668" s="10" t="s">
        <v>1028</v>
      </c>
    </row>
    <row r="2669" spans="1:20" ht="22.5" hidden="1" customHeight="1">
      <c r="A2669" s="8">
        <v>46008.412903414355</v>
      </c>
      <c r="B2669" s="9" t="s">
        <v>14</v>
      </c>
      <c r="C2669" s="9" t="s">
        <v>15</v>
      </c>
      <c r="D2669" s="10" t="s">
        <v>5923</v>
      </c>
      <c r="E2669" s="9" t="s">
        <v>22</v>
      </c>
      <c r="F2669" s="10">
        <v>25</v>
      </c>
      <c r="G2669" s="11">
        <v>8023902061</v>
      </c>
      <c r="H2669" s="10" t="s">
        <v>5924</v>
      </c>
      <c r="I2669" s="10" t="s">
        <v>27</v>
      </c>
      <c r="J2669" s="10" t="s">
        <v>1559</v>
      </c>
      <c r="K2669" s="12">
        <v>46008</v>
      </c>
      <c r="L2669" s="10" t="s">
        <v>441</v>
      </c>
      <c r="M2669" s="10" t="s">
        <v>1356</v>
      </c>
      <c r="N2669" s="10" t="s">
        <v>1028</v>
      </c>
    </row>
    <row r="2670" spans="1:20" ht="22.5" customHeight="1">
      <c r="A2670" s="8">
        <v>46008.430884606481</v>
      </c>
      <c r="B2670" s="9" t="s">
        <v>14</v>
      </c>
      <c r="C2670" s="9" t="s">
        <v>15</v>
      </c>
      <c r="D2670" s="10" t="s">
        <v>5925</v>
      </c>
      <c r="E2670" s="9" t="s">
        <v>22</v>
      </c>
      <c r="F2670" s="10">
        <v>22</v>
      </c>
      <c r="G2670" s="11">
        <v>8108514948</v>
      </c>
      <c r="H2670" s="10" t="s">
        <v>5926</v>
      </c>
      <c r="I2670" s="10" t="s">
        <v>27</v>
      </c>
      <c r="J2670" s="10" t="s">
        <v>703</v>
      </c>
      <c r="K2670" s="12">
        <v>46008</v>
      </c>
      <c r="L2670" s="28" t="s">
        <v>11</v>
      </c>
      <c r="M2670" s="14"/>
      <c r="N2670" s="10" t="s">
        <v>1028</v>
      </c>
    </row>
    <row r="2671" spans="1:20" ht="22.5" customHeight="1">
      <c r="A2671" s="8">
        <v>46008.435027430554</v>
      </c>
      <c r="B2671" s="9" t="s">
        <v>14</v>
      </c>
      <c r="C2671" s="9" t="s">
        <v>15</v>
      </c>
      <c r="D2671" s="10" t="s">
        <v>5927</v>
      </c>
      <c r="E2671" s="9" t="s">
        <v>22</v>
      </c>
      <c r="F2671" s="10">
        <v>26</v>
      </c>
      <c r="G2671" s="11">
        <v>9076688877</v>
      </c>
      <c r="H2671" s="10" t="s">
        <v>5928</v>
      </c>
      <c r="I2671" s="10" t="s">
        <v>31</v>
      </c>
      <c r="J2671" s="10" t="s">
        <v>2358</v>
      </c>
      <c r="K2671" s="12">
        <v>46008</v>
      </c>
      <c r="L2671" s="28" t="s">
        <v>11</v>
      </c>
      <c r="M2671" s="14"/>
      <c r="N2671" s="10" t="s">
        <v>1028</v>
      </c>
    </row>
    <row r="2672" spans="1:20" ht="22.5" customHeight="1">
      <c r="A2672" s="8">
        <v>46008.437732395832</v>
      </c>
      <c r="B2672" s="9" t="s">
        <v>14</v>
      </c>
      <c r="C2672" s="9" t="s">
        <v>15</v>
      </c>
      <c r="D2672" s="10" t="s">
        <v>5929</v>
      </c>
      <c r="E2672" s="9" t="s">
        <v>17</v>
      </c>
      <c r="F2672" s="18">
        <v>34</v>
      </c>
      <c r="G2672" s="11">
        <v>8166926450</v>
      </c>
      <c r="H2672" s="10" t="s">
        <v>5930</v>
      </c>
      <c r="I2672" s="10" t="s">
        <v>27</v>
      </c>
      <c r="J2672" s="10" t="s">
        <v>5931</v>
      </c>
      <c r="K2672" s="12">
        <v>33393</v>
      </c>
      <c r="L2672" s="28" t="s">
        <v>11</v>
      </c>
      <c r="M2672" s="14"/>
      <c r="N2672" s="10" t="s">
        <v>1028</v>
      </c>
    </row>
    <row r="2673" spans="1:14" ht="22.5" customHeight="1">
      <c r="A2673" s="8">
        <v>46008.438937060186</v>
      </c>
      <c r="B2673" s="9" t="s">
        <v>14</v>
      </c>
      <c r="C2673" s="9" t="s">
        <v>15</v>
      </c>
      <c r="D2673" s="10" t="s">
        <v>5932</v>
      </c>
      <c r="E2673" s="9" t="s">
        <v>17</v>
      </c>
      <c r="F2673" s="10">
        <v>36</v>
      </c>
      <c r="G2673" s="11">
        <v>8138644964</v>
      </c>
      <c r="H2673" s="10" t="s">
        <v>5933</v>
      </c>
      <c r="I2673" s="10" t="s">
        <v>27</v>
      </c>
      <c r="J2673" s="10" t="s">
        <v>5934</v>
      </c>
      <c r="K2673" s="12">
        <v>46008</v>
      </c>
      <c r="L2673" s="28" t="s">
        <v>11</v>
      </c>
      <c r="M2673" s="14"/>
      <c r="N2673" s="10" t="s">
        <v>1028</v>
      </c>
    </row>
    <row r="2674" spans="1:14" ht="22.5" customHeight="1">
      <c r="A2674" s="8">
        <v>46008.460692141205</v>
      </c>
      <c r="B2674" s="9" t="s">
        <v>14</v>
      </c>
      <c r="C2674" s="9" t="s">
        <v>15</v>
      </c>
      <c r="D2674" s="10" t="s">
        <v>5935</v>
      </c>
      <c r="E2674" s="9" t="s">
        <v>22</v>
      </c>
      <c r="F2674" s="10">
        <v>25</v>
      </c>
      <c r="G2674" s="11">
        <v>8065664533</v>
      </c>
      <c r="H2674" s="10" t="s">
        <v>5936</v>
      </c>
      <c r="I2674" s="10" t="s">
        <v>27</v>
      </c>
      <c r="J2674" s="10" t="s">
        <v>42</v>
      </c>
      <c r="K2674" s="12">
        <v>46008</v>
      </c>
      <c r="L2674" s="28" t="s">
        <v>11</v>
      </c>
      <c r="M2674" s="14"/>
      <c r="N2674" s="10" t="s">
        <v>1028</v>
      </c>
    </row>
    <row r="2675" spans="1:14" ht="22.5" customHeight="1">
      <c r="A2675" s="8">
        <v>46008.465820729165</v>
      </c>
      <c r="B2675" s="9" t="s">
        <v>14</v>
      </c>
      <c r="C2675" s="9" t="s">
        <v>15</v>
      </c>
      <c r="D2675" s="10" t="s">
        <v>5937</v>
      </c>
      <c r="E2675" s="9" t="s">
        <v>17</v>
      </c>
      <c r="F2675" s="10">
        <v>29</v>
      </c>
      <c r="G2675" s="11">
        <v>9124850505</v>
      </c>
      <c r="H2675" s="10" t="s">
        <v>5938</v>
      </c>
      <c r="I2675" s="10" t="s">
        <v>202</v>
      </c>
      <c r="J2675" s="10" t="s">
        <v>4029</v>
      </c>
      <c r="K2675" s="12">
        <v>46008</v>
      </c>
      <c r="L2675" s="28" t="s">
        <v>11</v>
      </c>
      <c r="M2675" s="14"/>
      <c r="N2675" s="10" t="s">
        <v>1028</v>
      </c>
    </row>
    <row r="2676" spans="1:14" ht="22.5" customHeight="1">
      <c r="A2676" s="8">
        <v>46008.467594548609</v>
      </c>
      <c r="B2676" s="9" t="s">
        <v>14</v>
      </c>
      <c r="C2676" s="9" t="s">
        <v>15</v>
      </c>
      <c r="D2676" s="10" t="s">
        <v>5939</v>
      </c>
      <c r="E2676" s="9" t="s">
        <v>17</v>
      </c>
      <c r="F2676" s="10">
        <v>27</v>
      </c>
      <c r="G2676" s="11">
        <f t="shared" ref="G2676" si="69">2349036711336</f>
        <v>2349036711336</v>
      </c>
      <c r="H2676" s="10" t="s">
        <v>5940</v>
      </c>
      <c r="I2676" s="10" t="s">
        <v>27</v>
      </c>
      <c r="J2676" s="10" t="s">
        <v>70</v>
      </c>
      <c r="K2676" s="12">
        <v>46008</v>
      </c>
      <c r="L2676" s="28" t="s">
        <v>11</v>
      </c>
      <c r="M2676" s="14"/>
      <c r="N2676" s="10" t="s">
        <v>1028</v>
      </c>
    </row>
    <row r="2677" spans="1:14" ht="22.5" customHeight="1">
      <c r="A2677" s="8">
        <v>46008.468999965276</v>
      </c>
      <c r="B2677" s="9" t="s">
        <v>14</v>
      </c>
      <c r="C2677" s="9" t="s">
        <v>15</v>
      </c>
      <c r="D2677" s="10" t="s">
        <v>5941</v>
      </c>
      <c r="E2677" s="9" t="s">
        <v>17</v>
      </c>
      <c r="F2677" s="10">
        <v>26</v>
      </c>
      <c r="G2677" s="11">
        <v>7636007344</v>
      </c>
      <c r="H2677" s="10" t="s">
        <v>5942</v>
      </c>
      <c r="I2677" s="10" t="s">
        <v>19</v>
      </c>
      <c r="J2677" s="10" t="s">
        <v>4376</v>
      </c>
      <c r="K2677" s="12">
        <v>46008</v>
      </c>
      <c r="L2677" s="28" t="s">
        <v>11</v>
      </c>
      <c r="M2677" s="14"/>
      <c r="N2677" s="10" t="s">
        <v>1563</v>
      </c>
    </row>
    <row r="2678" spans="1:14" ht="22.5" customHeight="1">
      <c r="A2678" s="8">
        <v>46008.477562106476</v>
      </c>
      <c r="B2678" s="9" t="s">
        <v>14</v>
      </c>
      <c r="C2678" s="9" t="s">
        <v>15</v>
      </c>
      <c r="D2678" s="10" t="s">
        <v>5943</v>
      </c>
      <c r="E2678" s="9" t="s">
        <v>17</v>
      </c>
      <c r="F2678" s="10">
        <v>41</v>
      </c>
      <c r="G2678" s="11">
        <v>8035784449</v>
      </c>
      <c r="H2678" s="10" t="s">
        <v>5944</v>
      </c>
      <c r="I2678" s="10" t="s">
        <v>202</v>
      </c>
      <c r="J2678" s="10" t="s">
        <v>1839</v>
      </c>
      <c r="K2678" s="12">
        <v>46008</v>
      </c>
      <c r="L2678" s="28" t="s">
        <v>11</v>
      </c>
      <c r="M2678" s="14"/>
      <c r="N2678" s="10" t="s">
        <v>1028</v>
      </c>
    </row>
    <row r="2679" spans="1:14" ht="22.5" customHeight="1">
      <c r="A2679" s="8">
        <v>46008.492387719903</v>
      </c>
      <c r="B2679" s="9" t="s">
        <v>14</v>
      </c>
      <c r="C2679" s="9" t="s">
        <v>15</v>
      </c>
      <c r="D2679" s="10" t="s">
        <v>5945</v>
      </c>
      <c r="E2679" s="9" t="s">
        <v>22</v>
      </c>
      <c r="F2679" s="10">
        <v>27</v>
      </c>
      <c r="G2679" s="11">
        <v>8069611181</v>
      </c>
      <c r="H2679" s="10" t="s">
        <v>5946</v>
      </c>
      <c r="I2679" s="10" t="s">
        <v>27</v>
      </c>
      <c r="J2679" s="10" t="s">
        <v>2069</v>
      </c>
      <c r="K2679" s="12">
        <v>46008</v>
      </c>
      <c r="L2679" s="28" t="s">
        <v>11</v>
      </c>
      <c r="M2679" s="14"/>
      <c r="N2679" s="10" t="s">
        <v>1028</v>
      </c>
    </row>
    <row r="2680" spans="1:14" ht="22.5" customHeight="1">
      <c r="A2680" s="8">
        <v>46008.496373206013</v>
      </c>
      <c r="B2680" s="9" t="s">
        <v>14</v>
      </c>
      <c r="C2680" s="9" t="s">
        <v>15</v>
      </c>
      <c r="D2680" s="10" t="s">
        <v>5947</v>
      </c>
      <c r="E2680" s="9" t="s">
        <v>17</v>
      </c>
      <c r="F2680" s="10">
        <v>35</v>
      </c>
      <c r="G2680" s="11">
        <v>7063097249</v>
      </c>
      <c r="H2680" s="10" t="s">
        <v>5948</v>
      </c>
      <c r="I2680" s="10" t="s">
        <v>49</v>
      </c>
      <c r="J2680" s="10" t="s">
        <v>73</v>
      </c>
      <c r="K2680" s="12">
        <v>46008</v>
      </c>
      <c r="L2680" s="28" t="s">
        <v>11</v>
      </c>
      <c r="M2680" s="14"/>
      <c r="N2680" s="10" t="s">
        <v>1096</v>
      </c>
    </row>
    <row r="2681" spans="1:14" ht="22.5" customHeight="1">
      <c r="A2681" s="8">
        <v>46008.506134571755</v>
      </c>
      <c r="B2681" s="9" t="s">
        <v>14</v>
      </c>
      <c r="C2681" s="9" t="s">
        <v>15</v>
      </c>
      <c r="D2681" s="10" t="s">
        <v>5949</v>
      </c>
      <c r="E2681" s="9" t="s">
        <v>22</v>
      </c>
      <c r="F2681" s="10">
        <v>27</v>
      </c>
      <c r="G2681" s="11">
        <v>8143792302</v>
      </c>
      <c r="H2681" s="10" t="s">
        <v>5950</v>
      </c>
      <c r="I2681" s="10" t="s">
        <v>19</v>
      </c>
      <c r="J2681" s="10" t="s">
        <v>1845</v>
      </c>
      <c r="K2681" s="12">
        <v>46008</v>
      </c>
      <c r="L2681" s="28" t="s">
        <v>11</v>
      </c>
      <c r="M2681" s="14"/>
      <c r="N2681" s="10" t="s">
        <v>1028</v>
      </c>
    </row>
    <row r="2682" spans="1:14" ht="22.5" customHeight="1">
      <c r="A2682" s="8">
        <v>46008.510264074073</v>
      </c>
      <c r="B2682" s="9" t="s">
        <v>14</v>
      </c>
      <c r="C2682" s="9" t="s">
        <v>15</v>
      </c>
      <c r="D2682" s="10" t="s">
        <v>5951</v>
      </c>
      <c r="E2682" s="9" t="s">
        <v>17</v>
      </c>
      <c r="F2682" s="10">
        <v>32</v>
      </c>
      <c r="G2682" s="11">
        <v>7064347142</v>
      </c>
      <c r="H2682" s="10" t="s">
        <v>5952</v>
      </c>
      <c r="I2682" s="10" t="s">
        <v>49</v>
      </c>
      <c r="J2682" s="10" t="s">
        <v>109</v>
      </c>
      <c r="K2682" s="12">
        <v>46005</v>
      </c>
      <c r="L2682" s="28" t="s">
        <v>11</v>
      </c>
      <c r="M2682" s="14"/>
      <c r="N2682" s="10" t="s">
        <v>1096</v>
      </c>
    </row>
    <row r="2683" spans="1:14" ht="22.5" customHeight="1">
      <c r="A2683" s="8">
        <v>46008.516623541669</v>
      </c>
      <c r="B2683" s="9" t="s">
        <v>14</v>
      </c>
      <c r="C2683" s="9" t="s">
        <v>15</v>
      </c>
      <c r="D2683" s="10" t="s">
        <v>5953</v>
      </c>
      <c r="E2683" s="9" t="s">
        <v>22</v>
      </c>
      <c r="F2683" s="10">
        <v>24</v>
      </c>
      <c r="G2683" s="11">
        <v>7052870013</v>
      </c>
      <c r="H2683" s="10" t="s">
        <v>5954</v>
      </c>
      <c r="I2683" s="10" t="s">
        <v>45</v>
      </c>
      <c r="J2683" s="10" t="s">
        <v>5955</v>
      </c>
      <c r="K2683" s="12">
        <v>46008</v>
      </c>
      <c r="L2683" s="28" t="s">
        <v>11</v>
      </c>
      <c r="M2683" s="14"/>
      <c r="N2683" s="10" t="s">
        <v>1028</v>
      </c>
    </row>
    <row r="2684" spans="1:14" ht="22.5" customHeight="1">
      <c r="A2684" s="8">
        <v>46008.520081030088</v>
      </c>
      <c r="B2684" s="9" t="s">
        <v>14</v>
      </c>
      <c r="C2684" s="9" t="s">
        <v>15</v>
      </c>
      <c r="D2684" s="10" t="s">
        <v>5956</v>
      </c>
      <c r="E2684" s="9" t="s">
        <v>17</v>
      </c>
      <c r="F2684" s="10">
        <v>33</v>
      </c>
      <c r="G2684" s="11">
        <v>7035538927</v>
      </c>
      <c r="H2684" s="10" t="s">
        <v>5957</v>
      </c>
      <c r="I2684" s="10" t="s">
        <v>31</v>
      </c>
      <c r="J2684" s="10" t="s">
        <v>32</v>
      </c>
      <c r="K2684" s="12">
        <v>33798</v>
      </c>
      <c r="L2684" s="28" t="s">
        <v>11</v>
      </c>
      <c r="M2684" s="14"/>
      <c r="N2684" s="10" t="s">
        <v>1028</v>
      </c>
    </row>
    <row r="2685" spans="1:14" ht="22.5" customHeight="1">
      <c r="A2685" s="8">
        <v>46008.527619953704</v>
      </c>
      <c r="B2685" s="9" t="s">
        <v>14</v>
      </c>
      <c r="C2685" s="9" t="s">
        <v>15</v>
      </c>
      <c r="D2685" s="10" t="s">
        <v>5958</v>
      </c>
      <c r="E2685" s="9" t="s">
        <v>17</v>
      </c>
      <c r="F2685" s="10">
        <v>29</v>
      </c>
      <c r="G2685" s="11">
        <v>8146482112</v>
      </c>
      <c r="H2685" s="10" t="s">
        <v>5959</v>
      </c>
      <c r="I2685" s="10" t="s">
        <v>45</v>
      </c>
      <c r="J2685" s="10" t="s">
        <v>2072</v>
      </c>
      <c r="K2685" s="12">
        <v>46008</v>
      </c>
      <c r="L2685" s="28" t="s">
        <v>11</v>
      </c>
      <c r="M2685" s="14"/>
      <c r="N2685" s="10" t="s">
        <v>1028</v>
      </c>
    </row>
    <row r="2686" spans="1:14" ht="22.5" customHeight="1">
      <c r="A2686" s="8">
        <v>46008.540338217594</v>
      </c>
      <c r="B2686" s="9" t="s">
        <v>14</v>
      </c>
      <c r="C2686" s="9" t="s">
        <v>15</v>
      </c>
      <c r="D2686" s="10" t="s">
        <v>5960</v>
      </c>
      <c r="E2686" s="9" t="s">
        <v>22</v>
      </c>
      <c r="F2686" s="10">
        <v>34</v>
      </c>
      <c r="G2686" s="11">
        <v>8036043175</v>
      </c>
      <c r="H2686" s="10" t="s">
        <v>5961</v>
      </c>
      <c r="I2686" s="10" t="s">
        <v>27</v>
      </c>
      <c r="J2686" s="10" t="s">
        <v>94</v>
      </c>
      <c r="K2686" s="12">
        <v>46008</v>
      </c>
      <c r="L2686" s="28" t="s">
        <v>11</v>
      </c>
      <c r="M2686" s="14"/>
      <c r="N2686" s="10" t="s">
        <v>1028</v>
      </c>
    </row>
    <row r="2687" spans="1:14" ht="22.5" customHeight="1">
      <c r="A2687" s="8">
        <v>46008.540731412038</v>
      </c>
      <c r="B2687" s="9" t="s">
        <v>14</v>
      </c>
      <c r="C2687" s="9" t="s">
        <v>15</v>
      </c>
      <c r="D2687" s="10" t="s">
        <v>5962</v>
      </c>
      <c r="E2687" s="9" t="s">
        <v>22</v>
      </c>
      <c r="F2687" s="10">
        <v>26</v>
      </c>
      <c r="G2687" s="11">
        <v>8145695592</v>
      </c>
      <c r="H2687" s="10" t="s">
        <v>5963</v>
      </c>
      <c r="I2687" s="10" t="s">
        <v>45</v>
      </c>
      <c r="J2687" s="10" t="s">
        <v>46</v>
      </c>
      <c r="K2687" s="12">
        <v>46008</v>
      </c>
      <c r="L2687" s="28" t="s">
        <v>11</v>
      </c>
      <c r="M2687" s="14"/>
      <c r="N2687" s="10" t="s">
        <v>1028</v>
      </c>
    </row>
    <row r="2688" spans="1:14" ht="22.5" customHeight="1">
      <c r="A2688" s="8">
        <v>46008.546720810184</v>
      </c>
      <c r="B2688" s="9" t="s">
        <v>14</v>
      </c>
      <c r="C2688" s="9" t="s">
        <v>15</v>
      </c>
      <c r="D2688" s="10" t="s">
        <v>5964</v>
      </c>
      <c r="E2688" s="9" t="s">
        <v>17</v>
      </c>
      <c r="F2688" s="10">
        <v>26</v>
      </c>
      <c r="G2688" s="11">
        <v>8065194070</v>
      </c>
      <c r="H2688" s="10" t="s">
        <v>5965</v>
      </c>
      <c r="I2688" s="10" t="s">
        <v>49</v>
      </c>
      <c r="J2688" s="10" t="s">
        <v>157</v>
      </c>
      <c r="K2688" s="12">
        <v>46008</v>
      </c>
      <c r="L2688" s="28" t="s">
        <v>11</v>
      </c>
      <c r="M2688" s="14"/>
      <c r="N2688" s="10" t="s">
        <v>1028</v>
      </c>
    </row>
    <row r="2689" spans="1:14" ht="22.5" customHeight="1">
      <c r="A2689" s="8">
        <v>46008.562284652777</v>
      </c>
      <c r="B2689" s="9" t="s">
        <v>14</v>
      </c>
      <c r="C2689" s="9" t="s">
        <v>15</v>
      </c>
      <c r="D2689" s="10" t="s">
        <v>5966</v>
      </c>
      <c r="E2689" s="9" t="s">
        <v>22</v>
      </c>
      <c r="F2689" s="10">
        <v>39</v>
      </c>
      <c r="G2689" s="11">
        <v>8139030564</v>
      </c>
      <c r="H2689" s="10" t="s">
        <v>5967</v>
      </c>
      <c r="I2689" s="10" t="s">
        <v>202</v>
      </c>
      <c r="J2689" s="10" t="s">
        <v>3437</v>
      </c>
      <c r="K2689" s="12">
        <v>46008</v>
      </c>
      <c r="L2689" s="28" t="s">
        <v>11</v>
      </c>
      <c r="M2689" s="14"/>
      <c r="N2689" s="10" t="s">
        <v>1028</v>
      </c>
    </row>
    <row r="2690" spans="1:14" ht="22.5" customHeight="1">
      <c r="A2690" s="8">
        <v>46008.568222581016</v>
      </c>
      <c r="B2690" s="9" t="s">
        <v>14</v>
      </c>
      <c r="C2690" s="9" t="s">
        <v>15</v>
      </c>
      <c r="D2690" s="10" t="s">
        <v>5968</v>
      </c>
      <c r="E2690" s="9" t="s">
        <v>17</v>
      </c>
      <c r="F2690" s="10">
        <v>31</v>
      </c>
      <c r="G2690" s="11">
        <v>7035054957</v>
      </c>
      <c r="H2690" s="10" t="s">
        <v>5969</v>
      </c>
      <c r="I2690" s="10" t="s">
        <v>27</v>
      </c>
      <c r="J2690" s="10" t="s">
        <v>3763</v>
      </c>
      <c r="K2690" s="12">
        <v>46008</v>
      </c>
      <c r="L2690" s="28" t="s">
        <v>11</v>
      </c>
      <c r="M2690" s="14"/>
      <c r="N2690" s="10" t="s">
        <v>1028</v>
      </c>
    </row>
    <row r="2691" spans="1:14" ht="22.5" customHeight="1">
      <c r="A2691" s="8">
        <v>46008.586865613426</v>
      </c>
      <c r="B2691" s="9" t="s">
        <v>14</v>
      </c>
      <c r="C2691" s="9" t="s">
        <v>15</v>
      </c>
      <c r="D2691" s="10" t="s">
        <v>5970</v>
      </c>
      <c r="E2691" s="9" t="s">
        <v>17</v>
      </c>
      <c r="F2691" s="10">
        <v>30</v>
      </c>
      <c r="G2691" s="11">
        <v>8063139445</v>
      </c>
      <c r="H2691" s="10" t="s">
        <v>5971</v>
      </c>
      <c r="I2691" s="10" t="s">
        <v>27</v>
      </c>
      <c r="J2691" s="10" t="s">
        <v>5639</v>
      </c>
      <c r="K2691" s="12">
        <v>46008</v>
      </c>
      <c r="L2691" s="28" t="s">
        <v>11</v>
      </c>
      <c r="M2691" s="14"/>
      <c r="N2691" s="10" t="s">
        <v>1028</v>
      </c>
    </row>
    <row r="2692" spans="1:14" ht="22.5" customHeight="1">
      <c r="A2692" s="8">
        <v>46008.588660879628</v>
      </c>
      <c r="B2692" s="9" t="s">
        <v>14</v>
      </c>
      <c r="C2692" s="9" t="s">
        <v>15</v>
      </c>
      <c r="D2692" s="10" t="s">
        <v>5972</v>
      </c>
      <c r="E2692" s="9" t="s">
        <v>22</v>
      </c>
      <c r="F2692" s="10">
        <v>27</v>
      </c>
      <c r="G2692" s="11">
        <v>9015643525</v>
      </c>
      <c r="H2692" s="10" t="s">
        <v>5973</v>
      </c>
      <c r="I2692" s="10" t="s">
        <v>202</v>
      </c>
      <c r="J2692" s="10" t="s">
        <v>4005</v>
      </c>
      <c r="K2692" s="12">
        <v>46008</v>
      </c>
      <c r="L2692" s="28" t="s">
        <v>11</v>
      </c>
      <c r="M2692" s="14"/>
      <c r="N2692" s="10" t="s">
        <v>1028</v>
      </c>
    </row>
    <row r="2693" spans="1:14" ht="22.5" customHeight="1">
      <c r="A2693" s="8">
        <v>46008.591669560185</v>
      </c>
      <c r="B2693" s="9" t="s">
        <v>14</v>
      </c>
      <c r="C2693" s="9" t="s">
        <v>15</v>
      </c>
      <c r="D2693" s="10" t="s">
        <v>5974</v>
      </c>
      <c r="E2693" s="9" t="s">
        <v>22</v>
      </c>
      <c r="F2693" s="10">
        <v>28</v>
      </c>
      <c r="G2693" s="11">
        <v>9036227770</v>
      </c>
      <c r="H2693" s="10" t="s">
        <v>5975</v>
      </c>
      <c r="I2693" s="10" t="s">
        <v>202</v>
      </c>
      <c r="J2693" s="10" t="s">
        <v>4174</v>
      </c>
      <c r="K2693" s="12">
        <v>46008</v>
      </c>
      <c r="L2693" s="28" t="s">
        <v>11</v>
      </c>
      <c r="M2693" s="10"/>
      <c r="N2693" s="10" t="s">
        <v>1028</v>
      </c>
    </row>
    <row r="2694" spans="1:14" ht="22.5" customHeight="1">
      <c r="A2694" s="8">
        <v>46008.604870069445</v>
      </c>
      <c r="B2694" s="9" t="s">
        <v>14</v>
      </c>
      <c r="C2694" s="9" t="s">
        <v>15</v>
      </c>
      <c r="D2694" s="10" t="s">
        <v>5976</v>
      </c>
      <c r="E2694" s="9" t="s">
        <v>22</v>
      </c>
      <c r="F2694" s="10">
        <v>25</v>
      </c>
      <c r="G2694" s="11">
        <v>9056098337</v>
      </c>
      <c r="H2694" s="10" t="s">
        <v>5977</v>
      </c>
      <c r="I2694" s="10" t="s">
        <v>45</v>
      </c>
      <c r="J2694" s="10" t="s">
        <v>131</v>
      </c>
      <c r="K2694" s="12">
        <v>46008</v>
      </c>
      <c r="L2694" s="28" t="s">
        <v>11</v>
      </c>
      <c r="M2694" s="14"/>
      <c r="N2694" s="10" t="s">
        <v>1028</v>
      </c>
    </row>
    <row r="2695" spans="1:14" ht="22.5" customHeight="1">
      <c r="A2695" s="8">
        <v>46008.611995057872</v>
      </c>
      <c r="B2695" s="9" t="s">
        <v>14</v>
      </c>
      <c r="C2695" s="9" t="s">
        <v>15</v>
      </c>
      <c r="D2695" s="10" t="s">
        <v>5978</v>
      </c>
      <c r="E2695" s="9" t="s">
        <v>22</v>
      </c>
      <c r="F2695" s="10">
        <v>27</v>
      </c>
      <c r="G2695" s="11">
        <v>8165474804</v>
      </c>
      <c r="H2695" s="10" t="s">
        <v>5979</v>
      </c>
      <c r="I2695" s="10" t="s">
        <v>31</v>
      </c>
      <c r="J2695" s="10" t="s">
        <v>1808</v>
      </c>
      <c r="K2695" s="12">
        <v>46008</v>
      </c>
      <c r="L2695" s="28" t="s">
        <v>11</v>
      </c>
      <c r="M2695" s="14"/>
      <c r="N2695" s="10" t="s">
        <v>1028</v>
      </c>
    </row>
    <row r="2696" spans="1:14" ht="22.5" customHeight="1">
      <c r="A2696" s="8">
        <v>46008.631345347225</v>
      </c>
      <c r="B2696" s="9" t="s">
        <v>14</v>
      </c>
      <c r="C2696" s="9" t="s">
        <v>15</v>
      </c>
      <c r="D2696" s="10" t="s">
        <v>5980</v>
      </c>
      <c r="E2696" s="9" t="s">
        <v>17</v>
      </c>
      <c r="F2696" s="10">
        <v>26</v>
      </c>
      <c r="G2696" s="11">
        <v>7039654641</v>
      </c>
      <c r="H2696" s="10" t="s">
        <v>5981</v>
      </c>
      <c r="I2696" s="10" t="s">
        <v>45</v>
      </c>
      <c r="J2696" s="10" t="s">
        <v>901</v>
      </c>
      <c r="K2696" s="12">
        <v>46008</v>
      </c>
      <c r="L2696" s="28" t="s">
        <v>11</v>
      </c>
      <c r="M2696" s="14"/>
      <c r="N2696" s="10" t="s">
        <v>1096</v>
      </c>
    </row>
    <row r="2697" spans="1:14" ht="22.5" customHeight="1">
      <c r="A2697" s="8">
        <v>46008.63813259259</v>
      </c>
      <c r="B2697" s="9" t="s">
        <v>14</v>
      </c>
      <c r="C2697" s="9" t="s">
        <v>15</v>
      </c>
      <c r="D2697" s="10" t="s">
        <v>5982</v>
      </c>
      <c r="E2697" s="9" t="s">
        <v>17</v>
      </c>
      <c r="F2697" s="10">
        <v>27</v>
      </c>
      <c r="G2697" s="11">
        <v>9064792756</v>
      </c>
      <c r="H2697" s="10" t="s">
        <v>5983</v>
      </c>
      <c r="I2697" s="10" t="s">
        <v>45</v>
      </c>
      <c r="J2697" s="10" t="s">
        <v>46</v>
      </c>
      <c r="K2697" s="12">
        <v>46008</v>
      </c>
      <c r="L2697" s="28" t="s">
        <v>11</v>
      </c>
      <c r="M2697" s="14"/>
      <c r="N2697" s="10" t="s">
        <v>3750</v>
      </c>
    </row>
    <row r="2698" spans="1:14" ht="22.5" customHeight="1">
      <c r="A2698" s="8">
        <v>46008.63821524306</v>
      </c>
      <c r="B2698" s="9" t="s">
        <v>14</v>
      </c>
      <c r="C2698" s="9" t="s">
        <v>15</v>
      </c>
      <c r="D2698" s="10" t="s">
        <v>5984</v>
      </c>
      <c r="E2698" s="9" t="s">
        <v>17</v>
      </c>
      <c r="F2698" s="10">
        <v>32</v>
      </c>
      <c r="G2698" s="11">
        <v>9131915011</v>
      </c>
      <c r="H2698" s="10" t="s">
        <v>5985</v>
      </c>
      <c r="I2698" s="10" t="s">
        <v>45</v>
      </c>
      <c r="J2698" s="10" t="s">
        <v>5142</v>
      </c>
      <c r="K2698" s="12">
        <v>46008</v>
      </c>
      <c r="L2698" s="28" t="s">
        <v>11</v>
      </c>
      <c r="M2698" s="14"/>
      <c r="N2698" s="10" t="s">
        <v>1028</v>
      </c>
    </row>
    <row r="2699" spans="1:14" ht="22.5" customHeight="1">
      <c r="A2699" s="8">
        <v>46008.658792708331</v>
      </c>
      <c r="B2699" s="9" t="s">
        <v>14</v>
      </c>
      <c r="C2699" s="9" t="s">
        <v>15</v>
      </c>
      <c r="D2699" s="10" t="s">
        <v>5986</v>
      </c>
      <c r="E2699" s="9" t="s">
        <v>17</v>
      </c>
      <c r="F2699" s="10">
        <v>28</v>
      </c>
      <c r="G2699" s="11">
        <v>8081427410</v>
      </c>
      <c r="H2699" s="10" t="s">
        <v>5987</v>
      </c>
      <c r="I2699" s="10" t="s">
        <v>202</v>
      </c>
      <c r="J2699" s="10" t="s">
        <v>4632</v>
      </c>
      <c r="K2699" s="12">
        <v>46008</v>
      </c>
      <c r="L2699" s="28" t="s">
        <v>11</v>
      </c>
      <c r="M2699" s="14"/>
      <c r="N2699" s="10" t="s">
        <v>1028</v>
      </c>
    </row>
    <row r="2700" spans="1:14" ht="22.5" customHeight="1">
      <c r="A2700" s="8">
        <v>46008.659096840274</v>
      </c>
      <c r="B2700" s="9" t="s">
        <v>14</v>
      </c>
      <c r="C2700" s="9" t="s">
        <v>15</v>
      </c>
      <c r="D2700" s="10" t="s">
        <v>5988</v>
      </c>
      <c r="E2700" s="9" t="s">
        <v>22</v>
      </c>
      <c r="F2700" s="10">
        <v>23</v>
      </c>
      <c r="G2700" s="11">
        <v>8053375506</v>
      </c>
      <c r="H2700" s="10" t="s">
        <v>5989</v>
      </c>
      <c r="I2700" s="10" t="s">
        <v>45</v>
      </c>
      <c r="J2700" s="10" t="s">
        <v>46</v>
      </c>
      <c r="K2700" s="12">
        <v>46008</v>
      </c>
      <c r="L2700" s="28" t="s">
        <v>11</v>
      </c>
      <c r="M2700" s="14"/>
      <c r="N2700" s="10" t="s">
        <v>1096</v>
      </c>
    </row>
    <row r="2701" spans="1:14" ht="22.5" customHeight="1">
      <c r="A2701" s="8">
        <v>46008.663096747681</v>
      </c>
      <c r="B2701" s="9" t="s">
        <v>14</v>
      </c>
      <c r="C2701" s="9" t="s">
        <v>15</v>
      </c>
      <c r="D2701" s="10" t="s">
        <v>5990</v>
      </c>
      <c r="E2701" s="9" t="s">
        <v>22</v>
      </c>
      <c r="F2701" s="10">
        <v>30</v>
      </c>
      <c r="G2701" s="11">
        <v>8102300520</v>
      </c>
      <c r="H2701" s="10" t="s">
        <v>5991</v>
      </c>
      <c r="I2701" s="10" t="s">
        <v>31</v>
      </c>
      <c r="J2701" s="10" t="s">
        <v>32</v>
      </c>
      <c r="K2701" s="12">
        <v>46008</v>
      </c>
      <c r="L2701" s="28" t="s">
        <v>11</v>
      </c>
      <c r="M2701" s="14"/>
      <c r="N2701" s="10" t="s">
        <v>1028</v>
      </c>
    </row>
    <row r="2702" spans="1:14" ht="22.5" customHeight="1">
      <c r="A2702" s="8">
        <v>46008.6681784838</v>
      </c>
      <c r="B2702" s="9" t="s">
        <v>14</v>
      </c>
      <c r="C2702" s="9" t="s">
        <v>15</v>
      </c>
      <c r="D2702" s="10" t="s">
        <v>5992</v>
      </c>
      <c r="E2702" s="9" t="s">
        <v>22</v>
      </c>
      <c r="F2702" s="19">
        <v>33</v>
      </c>
      <c r="G2702" s="11">
        <v>8023206828</v>
      </c>
      <c r="H2702" s="10" t="s">
        <v>5993</v>
      </c>
      <c r="I2702" s="10" t="s">
        <v>31</v>
      </c>
      <c r="J2702" s="10" t="s">
        <v>2410</v>
      </c>
      <c r="K2702" s="12">
        <v>46008</v>
      </c>
      <c r="L2702" s="28" t="s">
        <v>11</v>
      </c>
      <c r="M2702" s="14"/>
      <c r="N2702" s="10" t="s">
        <v>1028</v>
      </c>
    </row>
    <row r="2703" spans="1:14" ht="22.5" customHeight="1">
      <c r="A2703" s="8">
        <v>46008.675747210647</v>
      </c>
      <c r="B2703" s="9" t="s">
        <v>14</v>
      </c>
      <c r="C2703" s="9" t="s">
        <v>15</v>
      </c>
      <c r="D2703" s="10" t="s">
        <v>5994</v>
      </c>
      <c r="E2703" s="9" t="s">
        <v>17</v>
      </c>
      <c r="F2703" s="10">
        <v>26</v>
      </c>
      <c r="G2703" s="11">
        <v>695493607</v>
      </c>
      <c r="H2703" s="10" t="s">
        <v>5995</v>
      </c>
      <c r="I2703" s="10" t="s">
        <v>19</v>
      </c>
      <c r="J2703" s="10" t="s">
        <v>5996</v>
      </c>
      <c r="K2703" s="12">
        <v>46008</v>
      </c>
      <c r="L2703" s="28" t="s">
        <v>11</v>
      </c>
      <c r="M2703" s="14"/>
      <c r="N2703" s="10" t="s">
        <v>1028</v>
      </c>
    </row>
    <row r="2704" spans="1:14" ht="22.5" customHeight="1">
      <c r="A2704" s="8">
        <v>46008.684238773145</v>
      </c>
      <c r="B2704" s="9" t="s">
        <v>14</v>
      </c>
      <c r="C2704" s="9" t="s">
        <v>15</v>
      </c>
      <c r="D2704" s="10" t="s">
        <v>5997</v>
      </c>
      <c r="E2704" s="9" t="s">
        <v>22</v>
      </c>
      <c r="F2704" s="10">
        <v>26</v>
      </c>
      <c r="G2704" s="11">
        <v>9075111203</v>
      </c>
      <c r="H2704" s="10" t="s">
        <v>5998</v>
      </c>
      <c r="I2704" s="10" t="s">
        <v>202</v>
      </c>
      <c r="J2704" s="10" t="s">
        <v>4651</v>
      </c>
      <c r="K2704" s="12">
        <v>46008</v>
      </c>
      <c r="L2704" s="28" t="s">
        <v>11</v>
      </c>
      <c r="M2704" s="14"/>
      <c r="N2704" s="10" t="s">
        <v>1028</v>
      </c>
    </row>
    <row r="2705" spans="1:14" ht="22.5" customHeight="1">
      <c r="A2705" s="8">
        <v>46008.689687754624</v>
      </c>
      <c r="B2705" s="9" t="s">
        <v>14</v>
      </c>
      <c r="C2705" s="9" t="s">
        <v>15</v>
      </c>
      <c r="D2705" s="10" t="s">
        <v>5999</v>
      </c>
      <c r="E2705" s="9" t="s">
        <v>17</v>
      </c>
      <c r="F2705" s="10">
        <v>32</v>
      </c>
      <c r="G2705" s="11">
        <v>9063702299</v>
      </c>
      <c r="H2705" s="10" t="s">
        <v>6000</v>
      </c>
      <c r="I2705" s="10" t="s">
        <v>19</v>
      </c>
      <c r="J2705" s="10" t="s">
        <v>6001</v>
      </c>
      <c r="K2705" s="12">
        <v>46008</v>
      </c>
      <c r="L2705" s="28" t="s">
        <v>11</v>
      </c>
      <c r="M2705" s="10"/>
      <c r="N2705" s="10" t="s">
        <v>1028</v>
      </c>
    </row>
    <row r="2706" spans="1:14" ht="22.5" customHeight="1">
      <c r="A2706" s="8">
        <v>46008.698325648147</v>
      </c>
      <c r="B2706" s="9" t="s">
        <v>14</v>
      </c>
      <c r="C2706" s="9" t="s">
        <v>15</v>
      </c>
      <c r="D2706" s="10" t="s">
        <v>6002</v>
      </c>
      <c r="E2706" s="9" t="s">
        <v>22</v>
      </c>
      <c r="F2706" s="10">
        <v>36</v>
      </c>
      <c r="G2706" s="11">
        <v>7063472812</v>
      </c>
      <c r="H2706" s="10" t="s">
        <v>6003</v>
      </c>
      <c r="I2706" s="10" t="s">
        <v>31</v>
      </c>
      <c r="J2706" s="10" t="s">
        <v>1808</v>
      </c>
      <c r="K2706" s="12">
        <v>46008</v>
      </c>
      <c r="L2706" s="28" t="s">
        <v>11</v>
      </c>
      <c r="M2706" s="14"/>
      <c r="N2706" s="10" t="s">
        <v>1028</v>
      </c>
    </row>
    <row r="2707" spans="1:14" ht="22.5" customHeight="1">
      <c r="A2707" s="8">
        <v>46008.711519710647</v>
      </c>
      <c r="B2707" s="9" t="s">
        <v>14</v>
      </c>
      <c r="C2707" s="9" t="s">
        <v>15</v>
      </c>
      <c r="D2707" s="10" t="s">
        <v>6004</v>
      </c>
      <c r="E2707" s="9" t="s">
        <v>17</v>
      </c>
      <c r="F2707" s="10">
        <v>24</v>
      </c>
      <c r="G2707" s="11">
        <v>263786544952</v>
      </c>
      <c r="H2707" s="10" t="s">
        <v>6005</v>
      </c>
      <c r="I2707" s="10" t="s">
        <v>19</v>
      </c>
      <c r="J2707" s="10" t="s">
        <v>2308</v>
      </c>
      <c r="K2707" s="12">
        <v>46008</v>
      </c>
      <c r="L2707" s="28" t="s">
        <v>11</v>
      </c>
      <c r="M2707" s="14"/>
      <c r="N2707" s="10" t="s">
        <v>1563</v>
      </c>
    </row>
    <row r="2708" spans="1:14" ht="22.5" customHeight="1">
      <c r="A2708" s="8">
        <v>46008.719665578705</v>
      </c>
      <c r="B2708" s="9" t="s">
        <v>14</v>
      </c>
      <c r="C2708" s="9" t="s">
        <v>15</v>
      </c>
      <c r="D2708" s="10" t="s">
        <v>6006</v>
      </c>
      <c r="E2708" s="9" t="s">
        <v>17</v>
      </c>
      <c r="F2708" s="10">
        <v>29</v>
      </c>
      <c r="G2708" s="11">
        <v>8066540055</v>
      </c>
      <c r="H2708" s="10" t="s">
        <v>6007</v>
      </c>
      <c r="I2708" s="10" t="s">
        <v>49</v>
      </c>
      <c r="J2708" s="10" t="s">
        <v>106</v>
      </c>
      <c r="K2708" s="12">
        <v>46008</v>
      </c>
      <c r="L2708" s="28" t="s">
        <v>11</v>
      </c>
      <c r="M2708" s="14"/>
      <c r="N2708" s="10" t="s">
        <v>4405</v>
      </c>
    </row>
    <row r="2709" spans="1:14" ht="22.5" customHeight="1">
      <c r="A2709" s="8">
        <v>46008.730491377311</v>
      </c>
      <c r="B2709" s="9" t="s">
        <v>14</v>
      </c>
      <c r="C2709" s="9" t="s">
        <v>15</v>
      </c>
      <c r="D2709" s="10" t="s">
        <v>6008</v>
      </c>
      <c r="E2709" s="9" t="s">
        <v>17</v>
      </c>
      <c r="F2709" s="10">
        <v>19</v>
      </c>
      <c r="G2709" s="11">
        <v>8147090610</v>
      </c>
      <c r="H2709" s="10" t="s">
        <v>6009</v>
      </c>
      <c r="I2709" s="10" t="s">
        <v>27</v>
      </c>
      <c r="J2709" s="10" t="s">
        <v>67</v>
      </c>
      <c r="K2709" s="12">
        <v>46008</v>
      </c>
      <c r="L2709" s="28" t="s">
        <v>11</v>
      </c>
      <c r="M2709" s="14"/>
      <c r="N2709" s="10" t="s">
        <v>1096</v>
      </c>
    </row>
    <row r="2710" spans="1:14" ht="22.5" customHeight="1">
      <c r="A2710" s="8">
        <v>46008.739399606478</v>
      </c>
      <c r="B2710" s="9" t="s">
        <v>14</v>
      </c>
      <c r="C2710" s="9" t="s">
        <v>15</v>
      </c>
      <c r="D2710" s="10" t="s">
        <v>6010</v>
      </c>
      <c r="E2710" s="9" t="s">
        <v>22</v>
      </c>
      <c r="F2710" s="10">
        <v>25</v>
      </c>
      <c r="G2710" s="11">
        <f t="shared" ref="G2710" si="70">447774384590</f>
        <v>447774384590</v>
      </c>
      <c r="H2710" s="10" t="s">
        <v>6011</v>
      </c>
      <c r="I2710" s="10" t="s">
        <v>49</v>
      </c>
      <c r="J2710" s="10" t="s">
        <v>1875</v>
      </c>
      <c r="K2710" s="12">
        <v>46008</v>
      </c>
      <c r="L2710" s="28" t="s">
        <v>11</v>
      </c>
      <c r="M2710" s="14"/>
      <c r="N2710" s="10" t="s">
        <v>1028</v>
      </c>
    </row>
    <row r="2711" spans="1:14" ht="22.5" customHeight="1">
      <c r="A2711" s="8">
        <v>46008.7510305787</v>
      </c>
      <c r="B2711" s="9" t="s">
        <v>14</v>
      </c>
      <c r="C2711" s="9" t="s">
        <v>15</v>
      </c>
      <c r="D2711" s="10" t="s">
        <v>6012</v>
      </c>
      <c r="E2711" s="9" t="s">
        <v>22</v>
      </c>
      <c r="F2711" s="10">
        <v>23</v>
      </c>
      <c r="G2711" s="11">
        <v>8162981277</v>
      </c>
      <c r="H2711" s="10" t="s">
        <v>6013</v>
      </c>
      <c r="I2711" s="10" t="s">
        <v>202</v>
      </c>
      <c r="J2711" s="10" t="s">
        <v>3482</v>
      </c>
      <c r="K2711" s="12">
        <v>46008</v>
      </c>
      <c r="L2711" s="28" t="s">
        <v>11</v>
      </c>
      <c r="M2711" s="14"/>
      <c r="N2711" s="10" t="s">
        <v>1028</v>
      </c>
    </row>
    <row r="2712" spans="1:14" ht="22.5" customHeight="1">
      <c r="A2712" s="8">
        <v>46008.758084791669</v>
      </c>
      <c r="B2712" s="9" t="s">
        <v>14</v>
      </c>
      <c r="C2712" s="9" t="s">
        <v>15</v>
      </c>
      <c r="D2712" s="10" t="s">
        <v>6014</v>
      </c>
      <c r="E2712" s="9" t="s">
        <v>17</v>
      </c>
      <c r="F2712" s="10">
        <v>20</v>
      </c>
      <c r="G2712" s="11">
        <v>8167764910</v>
      </c>
      <c r="H2712" s="10" t="s">
        <v>6015</v>
      </c>
      <c r="I2712" s="10" t="s">
        <v>27</v>
      </c>
      <c r="J2712" s="10" t="s">
        <v>2855</v>
      </c>
      <c r="K2712" s="12">
        <v>46008</v>
      </c>
      <c r="L2712" s="28" t="s">
        <v>11</v>
      </c>
      <c r="M2712" s="10"/>
      <c r="N2712" s="10" t="s">
        <v>1028</v>
      </c>
    </row>
    <row r="2713" spans="1:14" ht="22.5" customHeight="1">
      <c r="A2713" s="8">
        <v>46008.759503287038</v>
      </c>
      <c r="B2713" s="9" t="s">
        <v>14</v>
      </c>
      <c r="C2713" s="9" t="s">
        <v>15</v>
      </c>
      <c r="D2713" s="10" t="s">
        <v>6016</v>
      </c>
      <c r="E2713" s="9" t="s">
        <v>22</v>
      </c>
      <c r="F2713" s="10">
        <v>26</v>
      </c>
      <c r="G2713" s="11">
        <v>9023206069</v>
      </c>
      <c r="H2713" s="10" t="s">
        <v>6017</v>
      </c>
      <c r="I2713" s="10" t="s">
        <v>45</v>
      </c>
      <c r="J2713" s="10" t="s">
        <v>932</v>
      </c>
      <c r="K2713" s="12">
        <v>46008</v>
      </c>
      <c r="L2713" s="28" t="s">
        <v>11</v>
      </c>
      <c r="M2713" s="14"/>
      <c r="N2713" s="10" t="s">
        <v>1028</v>
      </c>
    </row>
    <row r="2714" spans="1:14" ht="22.5" customHeight="1">
      <c r="A2714" s="8">
        <v>46008.776069039348</v>
      </c>
      <c r="B2714" s="9" t="s">
        <v>14</v>
      </c>
      <c r="C2714" s="9" t="s">
        <v>15</v>
      </c>
      <c r="D2714" s="10" t="s">
        <v>6018</v>
      </c>
      <c r="E2714" s="9" t="s">
        <v>17</v>
      </c>
      <c r="F2714" s="10">
        <v>16</v>
      </c>
      <c r="G2714" s="11">
        <v>9136389734</v>
      </c>
      <c r="H2714" s="10" t="s">
        <v>6019</v>
      </c>
      <c r="I2714" s="10" t="s">
        <v>27</v>
      </c>
      <c r="J2714" s="10" t="s">
        <v>2258</v>
      </c>
      <c r="K2714" s="12">
        <v>46008</v>
      </c>
      <c r="L2714" s="28" t="s">
        <v>11</v>
      </c>
      <c r="M2714" s="14"/>
      <c r="N2714" s="10" t="s">
        <v>1028</v>
      </c>
    </row>
    <row r="2715" spans="1:14" ht="22.5" customHeight="1">
      <c r="A2715" s="8">
        <v>46008.77869363426</v>
      </c>
      <c r="B2715" s="9" t="s">
        <v>14</v>
      </c>
      <c r="C2715" s="9" t="s">
        <v>15</v>
      </c>
      <c r="D2715" s="10" t="s">
        <v>6020</v>
      </c>
      <c r="E2715" s="9" t="s">
        <v>17</v>
      </c>
      <c r="F2715" s="10">
        <v>33</v>
      </c>
      <c r="G2715" s="11">
        <v>9033462332</v>
      </c>
      <c r="H2715" s="10" t="s">
        <v>6021</v>
      </c>
      <c r="I2715" s="10" t="s">
        <v>27</v>
      </c>
      <c r="J2715" s="10" t="s">
        <v>172</v>
      </c>
      <c r="K2715" s="12">
        <v>46008</v>
      </c>
      <c r="L2715" s="28" t="s">
        <v>11</v>
      </c>
      <c r="M2715" s="14"/>
      <c r="N2715" s="10" t="s">
        <v>1028</v>
      </c>
    </row>
    <row r="2716" spans="1:14" ht="22.5" customHeight="1">
      <c r="A2716" s="8">
        <v>46008.786756550922</v>
      </c>
      <c r="B2716" s="9" t="s">
        <v>14</v>
      </c>
      <c r="C2716" s="9" t="s">
        <v>15</v>
      </c>
      <c r="D2716" s="10" t="s">
        <v>6022</v>
      </c>
      <c r="E2716" s="9" t="s">
        <v>22</v>
      </c>
      <c r="F2716" s="10">
        <v>25</v>
      </c>
      <c r="G2716" s="11">
        <v>9975198060</v>
      </c>
      <c r="H2716" s="10" t="s">
        <v>6023</v>
      </c>
      <c r="I2716" s="10" t="s">
        <v>27</v>
      </c>
      <c r="J2716" s="10" t="s">
        <v>70</v>
      </c>
      <c r="K2716" s="12">
        <v>46008</v>
      </c>
      <c r="L2716" s="28" t="s">
        <v>11</v>
      </c>
      <c r="M2716" s="14"/>
      <c r="N2716" s="10" t="s">
        <v>1028</v>
      </c>
    </row>
    <row r="2717" spans="1:14" ht="22.5" customHeight="1">
      <c r="A2717" s="8">
        <v>46008.800097708328</v>
      </c>
      <c r="B2717" s="9" t="s">
        <v>14</v>
      </c>
      <c r="C2717" s="9" t="s">
        <v>15</v>
      </c>
      <c r="D2717" s="10" t="s">
        <v>6024</v>
      </c>
      <c r="E2717" s="9" t="s">
        <v>22</v>
      </c>
      <c r="F2717" s="10">
        <v>34</v>
      </c>
      <c r="G2717" s="11">
        <v>7062031541</v>
      </c>
      <c r="H2717" s="10" t="s">
        <v>6025</v>
      </c>
      <c r="I2717" s="10" t="s">
        <v>31</v>
      </c>
      <c r="J2717" s="10" t="s">
        <v>1582</v>
      </c>
      <c r="K2717" s="12">
        <v>46008</v>
      </c>
      <c r="L2717" s="28" t="s">
        <v>11</v>
      </c>
      <c r="M2717" s="14"/>
      <c r="N2717" s="10" t="s">
        <v>1028</v>
      </c>
    </row>
    <row r="2718" spans="1:14" ht="22.5" customHeight="1">
      <c r="A2718" s="8">
        <v>46008.808226921297</v>
      </c>
      <c r="B2718" s="9" t="s">
        <v>14</v>
      </c>
      <c r="C2718" s="9" t="s">
        <v>15</v>
      </c>
      <c r="D2718" s="10" t="s">
        <v>6026</v>
      </c>
      <c r="E2718" s="9" t="s">
        <v>22</v>
      </c>
      <c r="F2718" s="10">
        <v>43</v>
      </c>
      <c r="G2718" s="11">
        <v>8069666103</v>
      </c>
      <c r="H2718" s="10" t="s">
        <v>6027</v>
      </c>
      <c r="I2718" s="10" t="s">
        <v>49</v>
      </c>
      <c r="J2718" s="10" t="s">
        <v>50</v>
      </c>
      <c r="K2718" s="12">
        <v>46008</v>
      </c>
      <c r="L2718" s="28" t="s">
        <v>11</v>
      </c>
      <c r="M2718" s="14"/>
      <c r="N2718" s="10" t="s">
        <v>1028</v>
      </c>
    </row>
    <row r="2719" spans="1:14" ht="22.5" customHeight="1">
      <c r="A2719" s="8">
        <v>46008.828789386578</v>
      </c>
      <c r="B2719" s="9" t="s">
        <v>14</v>
      </c>
      <c r="C2719" s="9" t="s">
        <v>15</v>
      </c>
      <c r="D2719" s="10" t="s">
        <v>6028</v>
      </c>
      <c r="E2719" s="9" t="s">
        <v>17</v>
      </c>
      <c r="F2719" s="10">
        <v>34</v>
      </c>
      <c r="G2719" s="11">
        <v>9067050020</v>
      </c>
      <c r="H2719" s="10" t="s">
        <v>6029</v>
      </c>
      <c r="I2719" s="10" t="s">
        <v>202</v>
      </c>
      <c r="J2719" s="10" t="s">
        <v>2059</v>
      </c>
      <c r="K2719" s="12">
        <v>46008</v>
      </c>
      <c r="L2719" s="28" t="s">
        <v>11</v>
      </c>
      <c r="M2719" s="14"/>
      <c r="N2719" s="10" t="s">
        <v>1028</v>
      </c>
    </row>
    <row r="2720" spans="1:14" ht="22.5" customHeight="1">
      <c r="A2720" s="8">
        <v>46008.840634143518</v>
      </c>
      <c r="B2720" s="9" t="s">
        <v>14</v>
      </c>
      <c r="C2720" s="9" t="s">
        <v>15</v>
      </c>
      <c r="D2720" s="10" t="s">
        <v>6030</v>
      </c>
      <c r="E2720" s="9" t="s">
        <v>22</v>
      </c>
      <c r="F2720" s="10">
        <v>23</v>
      </c>
      <c r="G2720" s="11">
        <v>8039886861</v>
      </c>
      <c r="H2720" s="10" t="s">
        <v>6031</v>
      </c>
      <c r="I2720" s="10" t="s">
        <v>49</v>
      </c>
      <c r="J2720" s="10" t="s">
        <v>106</v>
      </c>
      <c r="K2720" s="12">
        <v>46008</v>
      </c>
      <c r="L2720" s="28" t="s">
        <v>11</v>
      </c>
      <c r="M2720" s="14"/>
      <c r="N2720" s="10" t="s">
        <v>1028</v>
      </c>
    </row>
    <row r="2721" spans="1:14" ht="22.5" customHeight="1">
      <c r="A2721" s="8">
        <v>46008.88649675926</v>
      </c>
      <c r="B2721" s="9" t="s">
        <v>14</v>
      </c>
      <c r="C2721" s="9" t="s">
        <v>15</v>
      </c>
      <c r="D2721" s="10" t="s">
        <v>6032</v>
      </c>
      <c r="E2721" s="9" t="s">
        <v>17</v>
      </c>
      <c r="F2721" s="10">
        <v>35</v>
      </c>
      <c r="G2721" s="11">
        <v>9045735515</v>
      </c>
      <c r="H2721" s="10" t="s">
        <v>6033</v>
      </c>
      <c r="I2721" s="10" t="s">
        <v>202</v>
      </c>
      <c r="J2721" s="10" t="s">
        <v>4005</v>
      </c>
      <c r="K2721" s="12">
        <v>46008</v>
      </c>
      <c r="L2721" s="28" t="s">
        <v>11</v>
      </c>
      <c r="M2721" s="14"/>
      <c r="N2721" s="10" t="s">
        <v>1028</v>
      </c>
    </row>
    <row r="2722" spans="1:14" ht="22.5" customHeight="1">
      <c r="A2722" s="8">
        <v>46008.889270601852</v>
      </c>
      <c r="B2722" s="9" t="s">
        <v>14</v>
      </c>
      <c r="C2722" s="9" t="s">
        <v>15</v>
      </c>
      <c r="D2722" s="10" t="s">
        <v>6034</v>
      </c>
      <c r="E2722" s="9" t="s">
        <v>22</v>
      </c>
      <c r="F2722" s="10">
        <v>28</v>
      </c>
      <c r="G2722" s="11">
        <v>9032368765</v>
      </c>
      <c r="H2722" s="10" t="s">
        <v>6035</v>
      </c>
      <c r="I2722" s="10" t="s">
        <v>19</v>
      </c>
      <c r="J2722" s="10" t="s">
        <v>6036</v>
      </c>
      <c r="K2722" s="12">
        <v>46008</v>
      </c>
      <c r="L2722" s="28" t="s">
        <v>11</v>
      </c>
      <c r="M2722" s="14"/>
      <c r="N2722" s="10" t="s">
        <v>1028</v>
      </c>
    </row>
    <row r="2723" spans="1:14" ht="22.5" hidden="1" customHeight="1">
      <c r="A2723" s="8">
        <v>46008.896222708332</v>
      </c>
      <c r="B2723" s="9" t="s">
        <v>14</v>
      </c>
      <c r="C2723" s="9" t="s">
        <v>15</v>
      </c>
      <c r="D2723" s="10" t="s">
        <v>6037</v>
      </c>
      <c r="E2723" s="9" t="s">
        <v>17</v>
      </c>
      <c r="F2723" s="10">
        <v>25</v>
      </c>
      <c r="G2723" s="11">
        <f>2347018551935</f>
        <v>2347018551935</v>
      </c>
      <c r="H2723" s="10" t="s">
        <v>6038</v>
      </c>
      <c r="I2723" s="10" t="s">
        <v>202</v>
      </c>
      <c r="J2723" s="10" t="s">
        <v>4651</v>
      </c>
      <c r="K2723" s="12">
        <v>46008</v>
      </c>
      <c r="L2723" s="10" t="s">
        <v>441</v>
      </c>
      <c r="M2723" s="10" t="s">
        <v>1827</v>
      </c>
      <c r="N2723" s="10" t="s">
        <v>1028</v>
      </c>
    </row>
    <row r="2724" spans="1:14" ht="22.5" customHeight="1">
      <c r="A2724" s="8">
        <v>46008.917044814814</v>
      </c>
      <c r="B2724" s="9" t="s">
        <v>14</v>
      </c>
      <c r="C2724" s="9" t="s">
        <v>15</v>
      </c>
      <c r="D2724" s="10" t="s">
        <v>6039</v>
      </c>
      <c r="E2724" s="9" t="s">
        <v>22</v>
      </c>
      <c r="F2724" s="10">
        <v>22</v>
      </c>
      <c r="G2724" s="11">
        <v>8130027544</v>
      </c>
      <c r="H2724" s="10" t="s">
        <v>6040</v>
      </c>
      <c r="I2724" s="10" t="s">
        <v>202</v>
      </c>
      <c r="J2724" s="10" t="s">
        <v>4020</v>
      </c>
      <c r="K2724" s="12">
        <v>46008</v>
      </c>
      <c r="L2724" s="28" t="s">
        <v>11</v>
      </c>
      <c r="M2724" s="14"/>
      <c r="N2724" s="10" t="s">
        <v>1028</v>
      </c>
    </row>
    <row r="2725" spans="1:14" ht="22.5" customHeight="1">
      <c r="A2725" s="8">
        <v>46008.917257106485</v>
      </c>
      <c r="B2725" s="9" t="s">
        <v>14</v>
      </c>
      <c r="C2725" s="9" t="s">
        <v>15</v>
      </c>
      <c r="D2725" s="10" t="s">
        <v>6041</v>
      </c>
      <c r="E2725" s="9" t="s">
        <v>17</v>
      </c>
      <c r="F2725" s="10">
        <v>30</v>
      </c>
      <c r="G2725" s="11">
        <v>7060912699</v>
      </c>
      <c r="H2725" s="10" t="s">
        <v>6042</v>
      </c>
      <c r="I2725" s="10" t="s">
        <v>202</v>
      </c>
      <c r="J2725" s="10" t="s">
        <v>4651</v>
      </c>
      <c r="K2725" s="12">
        <v>34912</v>
      </c>
      <c r="L2725" s="28" t="s">
        <v>11</v>
      </c>
      <c r="M2725" s="14"/>
      <c r="N2725" s="10" t="s">
        <v>1028</v>
      </c>
    </row>
    <row r="2726" spans="1:14" ht="22.5" customHeight="1">
      <c r="A2726" s="8">
        <v>46008.917690833332</v>
      </c>
      <c r="B2726" s="9" t="s">
        <v>14</v>
      </c>
      <c r="C2726" s="9" t="s">
        <v>15</v>
      </c>
      <c r="D2726" s="10" t="s">
        <v>6043</v>
      </c>
      <c r="E2726" s="9" t="s">
        <v>17</v>
      </c>
      <c r="F2726" s="10">
        <v>26</v>
      </c>
      <c r="G2726" s="11">
        <v>8024267938</v>
      </c>
      <c r="H2726" s="10" t="s">
        <v>6044</v>
      </c>
      <c r="I2726" s="10" t="s">
        <v>202</v>
      </c>
      <c r="J2726" s="10" t="s">
        <v>6045</v>
      </c>
      <c r="K2726" s="12">
        <v>46008</v>
      </c>
      <c r="L2726" s="28" t="s">
        <v>11</v>
      </c>
      <c r="M2726" s="14"/>
      <c r="N2726" s="10" t="s">
        <v>1028</v>
      </c>
    </row>
    <row r="2727" spans="1:14" ht="22.5" customHeight="1">
      <c r="A2727" s="8">
        <v>46008.921287986115</v>
      </c>
      <c r="B2727" s="9" t="s">
        <v>14</v>
      </c>
      <c r="C2727" s="9" t="s">
        <v>15</v>
      </c>
      <c r="D2727" s="10" t="s">
        <v>6046</v>
      </c>
      <c r="E2727" s="9" t="s">
        <v>17</v>
      </c>
      <c r="F2727" s="18">
        <v>26</v>
      </c>
      <c r="G2727" s="11">
        <v>7045767862</v>
      </c>
      <c r="H2727" s="10" t="s">
        <v>6047</v>
      </c>
      <c r="I2727" s="10" t="s">
        <v>202</v>
      </c>
      <c r="J2727" s="10" t="s">
        <v>4651</v>
      </c>
      <c r="K2727" s="12">
        <v>36504</v>
      </c>
      <c r="L2727" s="28" t="s">
        <v>11</v>
      </c>
      <c r="M2727" s="14"/>
      <c r="N2727" s="10" t="s">
        <v>1028</v>
      </c>
    </row>
    <row r="2728" spans="1:14" ht="22.5" customHeight="1">
      <c r="A2728" s="8">
        <v>46008.924436678237</v>
      </c>
      <c r="B2728" s="9" t="s">
        <v>14</v>
      </c>
      <c r="C2728" s="9" t="s">
        <v>15</v>
      </c>
      <c r="D2728" s="10" t="s">
        <v>6048</v>
      </c>
      <c r="E2728" s="9" t="s">
        <v>17</v>
      </c>
      <c r="F2728" s="10">
        <v>30</v>
      </c>
      <c r="G2728" s="11">
        <v>9078336897</v>
      </c>
      <c r="H2728" s="10" t="s">
        <v>6049</v>
      </c>
      <c r="I2728" s="10" t="s">
        <v>202</v>
      </c>
      <c r="J2728" s="10" t="s">
        <v>4651</v>
      </c>
      <c r="K2728" s="12">
        <v>46008</v>
      </c>
      <c r="L2728" s="28" t="s">
        <v>11</v>
      </c>
      <c r="M2728" s="14"/>
      <c r="N2728" s="10" t="s">
        <v>1028</v>
      </c>
    </row>
    <row r="2729" spans="1:14" ht="22.5" customHeight="1">
      <c r="A2729" s="8">
        <v>46008.929874421301</v>
      </c>
      <c r="B2729" s="9" t="s">
        <v>14</v>
      </c>
      <c r="C2729" s="9" t="s">
        <v>15</v>
      </c>
      <c r="D2729" s="10" t="s">
        <v>6050</v>
      </c>
      <c r="E2729" s="9" t="s">
        <v>17</v>
      </c>
      <c r="F2729" s="10">
        <v>36</v>
      </c>
      <c r="G2729" s="11">
        <v>7032321218</v>
      </c>
      <c r="H2729" s="10" t="s">
        <v>6051</v>
      </c>
      <c r="I2729" s="10" t="s">
        <v>202</v>
      </c>
      <c r="J2729" s="10" t="s">
        <v>6045</v>
      </c>
      <c r="K2729" s="12">
        <v>46008</v>
      </c>
      <c r="L2729" s="28" t="s">
        <v>11</v>
      </c>
      <c r="M2729" s="14"/>
      <c r="N2729" s="10" t="s">
        <v>1028</v>
      </c>
    </row>
    <row r="2730" spans="1:14" ht="22.5" customHeight="1">
      <c r="A2730" s="8">
        <v>46008.930011747681</v>
      </c>
      <c r="B2730" s="9" t="s">
        <v>14</v>
      </c>
      <c r="C2730" s="9" t="s">
        <v>15</v>
      </c>
      <c r="D2730" s="10" t="s">
        <v>6052</v>
      </c>
      <c r="E2730" s="9" t="s">
        <v>22</v>
      </c>
      <c r="F2730" s="10">
        <v>22</v>
      </c>
      <c r="G2730" s="11">
        <v>8120886113</v>
      </c>
      <c r="H2730" s="10" t="s">
        <v>6053</v>
      </c>
      <c r="I2730" s="10" t="s">
        <v>202</v>
      </c>
      <c r="J2730" s="10" t="s">
        <v>6054</v>
      </c>
      <c r="K2730" s="12">
        <v>46008</v>
      </c>
      <c r="L2730" s="28" t="s">
        <v>11</v>
      </c>
      <c r="M2730" s="14"/>
      <c r="N2730" s="10" t="s">
        <v>1028</v>
      </c>
    </row>
    <row r="2731" spans="1:14" ht="22.5" customHeight="1">
      <c r="A2731" s="8">
        <v>46008.934468587962</v>
      </c>
      <c r="B2731" s="9" t="s">
        <v>14</v>
      </c>
      <c r="C2731" s="9" t="s">
        <v>15</v>
      </c>
      <c r="D2731" s="10" t="s">
        <v>6055</v>
      </c>
      <c r="E2731" s="9" t="s">
        <v>17</v>
      </c>
      <c r="F2731" s="10">
        <v>30</v>
      </c>
      <c r="G2731" s="11">
        <v>8149804627</v>
      </c>
      <c r="H2731" s="10" t="s">
        <v>6056</v>
      </c>
      <c r="I2731" s="10" t="s">
        <v>202</v>
      </c>
      <c r="J2731" s="10" t="s">
        <v>5573</v>
      </c>
      <c r="K2731" s="12">
        <v>46008</v>
      </c>
      <c r="L2731" s="28" t="s">
        <v>11</v>
      </c>
      <c r="M2731" s="14"/>
      <c r="N2731" s="10" t="s">
        <v>1028</v>
      </c>
    </row>
    <row r="2732" spans="1:14" ht="22.5" customHeight="1">
      <c r="A2732" s="8">
        <v>46008.940325034724</v>
      </c>
      <c r="B2732" s="9" t="s">
        <v>14</v>
      </c>
      <c r="C2732" s="9" t="s">
        <v>15</v>
      </c>
      <c r="D2732" s="10" t="s">
        <v>6057</v>
      </c>
      <c r="E2732" s="9" t="s">
        <v>17</v>
      </c>
      <c r="F2732" s="10">
        <v>26</v>
      </c>
      <c r="G2732" s="11">
        <v>8081759453</v>
      </c>
      <c r="H2732" s="10" t="s">
        <v>6058</v>
      </c>
      <c r="I2732" s="10" t="s">
        <v>202</v>
      </c>
      <c r="J2732" s="10" t="s">
        <v>4174</v>
      </c>
      <c r="K2732" s="12">
        <v>46008</v>
      </c>
      <c r="L2732" s="28" t="s">
        <v>11</v>
      </c>
      <c r="M2732" s="14"/>
      <c r="N2732" s="10" t="s">
        <v>1028</v>
      </c>
    </row>
    <row r="2733" spans="1:14" ht="22.5" customHeight="1">
      <c r="A2733" s="8">
        <v>46008.956981423617</v>
      </c>
      <c r="B2733" s="9" t="s">
        <v>14</v>
      </c>
      <c r="C2733" s="9" t="s">
        <v>15</v>
      </c>
      <c r="D2733" s="10" t="s">
        <v>6059</v>
      </c>
      <c r="E2733" s="9" t="s">
        <v>17</v>
      </c>
      <c r="F2733" s="10">
        <v>28</v>
      </c>
      <c r="G2733" s="11">
        <v>80637419115</v>
      </c>
      <c r="H2733" s="10" t="s">
        <v>6060</v>
      </c>
      <c r="I2733" s="10" t="s">
        <v>202</v>
      </c>
      <c r="J2733" s="10" t="s">
        <v>4632</v>
      </c>
      <c r="K2733" s="12">
        <v>46008</v>
      </c>
      <c r="L2733" s="28" t="s">
        <v>11</v>
      </c>
      <c r="M2733" s="14"/>
      <c r="N2733" s="10" t="s">
        <v>1028</v>
      </c>
    </row>
    <row r="2734" spans="1:14" ht="22.5" customHeight="1">
      <c r="A2734" s="8">
        <v>46008.963134270831</v>
      </c>
      <c r="B2734" s="9" t="s">
        <v>14</v>
      </c>
      <c r="C2734" s="9" t="s">
        <v>15</v>
      </c>
      <c r="D2734" s="10" t="s">
        <v>6061</v>
      </c>
      <c r="E2734" s="9" t="s">
        <v>17</v>
      </c>
      <c r="F2734" s="19">
        <v>25</v>
      </c>
      <c r="G2734" s="11">
        <v>8088898834</v>
      </c>
      <c r="H2734" s="10" t="s">
        <v>6062</v>
      </c>
      <c r="I2734" s="10" t="s">
        <v>202</v>
      </c>
      <c r="J2734" s="10" t="s">
        <v>4651</v>
      </c>
      <c r="K2734" s="12">
        <v>46008</v>
      </c>
      <c r="L2734" s="28" t="s">
        <v>11</v>
      </c>
      <c r="M2734" s="14"/>
      <c r="N2734" s="10" t="s">
        <v>1028</v>
      </c>
    </row>
    <row r="2735" spans="1:14" ht="22.5" customHeight="1">
      <c r="A2735" s="8">
        <v>46008.964952939816</v>
      </c>
      <c r="B2735" s="9" t="s">
        <v>14</v>
      </c>
      <c r="C2735" s="9" t="s">
        <v>15</v>
      </c>
      <c r="D2735" s="10" t="s">
        <v>6063</v>
      </c>
      <c r="E2735" s="9" t="s">
        <v>17</v>
      </c>
      <c r="F2735" s="10">
        <v>25</v>
      </c>
      <c r="G2735" s="11">
        <v>7018079898</v>
      </c>
      <c r="H2735" s="10" t="s">
        <v>6064</v>
      </c>
      <c r="I2735" s="10" t="s">
        <v>202</v>
      </c>
      <c r="J2735" s="10" t="s">
        <v>5573</v>
      </c>
      <c r="K2735" s="12">
        <v>46008</v>
      </c>
      <c r="L2735" s="28" t="s">
        <v>11</v>
      </c>
      <c r="M2735" s="14"/>
      <c r="N2735" s="10" t="s">
        <v>1028</v>
      </c>
    </row>
    <row r="2736" spans="1:14" ht="22.5" customHeight="1">
      <c r="A2736" s="8">
        <v>46008.96746162037</v>
      </c>
      <c r="B2736" s="9" t="s">
        <v>14</v>
      </c>
      <c r="C2736" s="9" t="s">
        <v>15</v>
      </c>
      <c r="D2736" s="10" t="s">
        <v>6065</v>
      </c>
      <c r="E2736" s="9" t="s">
        <v>17</v>
      </c>
      <c r="F2736" s="10">
        <v>35</v>
      </c>
      <c r="G2736" s="11">
        <v>7083087438</v>
      </c>
      <c r="H2736" s="10" t="s">
        <v>6066</v>
      </c>
      <c r="I2736" s="10" t="s">
        <v>202</v>
      </c>
      <c r="J2736" s="10" t="s">
        <v>4651</v>
      </c>
      <c r="K2736" s="12">
        <v>46008</v>
      </c>
      <c r="L2736" s="28" t="s">
        <v>11</v>
      </c>
      <c r="M2736" s="14"/>
      <c r="N2736" s="10" t="s">
        <v>1028</v>
      </c>
    </row>
    <row r="2737" spans="1:14" ht="22.5" hidden="1" customHeight="1">
      <c r="A2737" s="8">
        <v>46008.970699756945</v>
      </c>
      <c r="B2737" s="9" t="s">
        <v>14</v>
      </c>
      <c r="C2737" s="9" t="s">
        <v>15</v>
      </c>
      <c r="D2737" s="10" t="s">
        <v>6067</v>
      </c>
      <c r="E2737" s="9" t="s">
        <v>17</v>
      </c>
      <c r="F2737" s="10">
        <v>49</v>
      </c>
      <c r="G2737" s="11">
        <v>8131170666</v>
      </c>
      <c r="H2737" s="10" t="s">
        <v>6068</v>
      </c>
      <c r="I2737" s="10" t="s">
        <v>202</v>
      </c>
      <c r="J2737" s="10" t="s">
        <v>4632</v>
      </c>
      <c r="K2737" s="12">
        <v>46008</v>
      </c>
      <c r="L2737" s="10" t="s">
        <v>441</v>
      </c>
      <c r="M2737" s="14"/>
      <c r="N2737" s="10" t="s">
        <v>1028</v>
      </c>
    </row>
    <row r="2738" spans="1:14" ht="22.5" customHeight="1">
      <c r="A2738" s="8">
        <v>46008.97538984954</v>
      </c>
      <c r="B2738" s="9" t="s">
        <v>14</v>
      </c>
      <c r="C2738" s="9" t="s">
        <v>15</v>
      </c>
      <c r="D2738" s="10" t="s">
        <v>6069</v>
      </c>
      <c r="E2738" s="9" t="s">
        <v>22</v>
      </c>
      <c r="F2738" s="10">
        <v>23</v>
      </c>
      <c r="G2738" s="11">
        <v>9038779854</v>
      </c>
      <c r="H2738" s="10" t="s">
        <v>6070</v>
      </c>
      <c r="I2738" s="10" t="s">
        <v>202</v>
      </c>
      <c r="J2738" s="10" t="s">
        <v>5573</v>
      </c>
      <c r="K2738" s="12">
        <v>46008</v>
      </c>
      <c r="L2738" s="28" t="s">
        <v>11</v>
      </c>
      <c r="M2738" s="14"/>
      <c r="N2738" s="10" t="s">
        <v>1028</v>
      </c>
    </row>
    <row r="2739" spans="1:14" ht="22.5" customHeight="1">
      <c r="A2739" s="8">
        <v>46008.98106578704</v>
      </c>
      <c r="B2739" s="9" t="s">
        <v>14</v>
      </c>
      <c r="C2739" s="9" t="s">
        <v>15</v>
      </c>
      <c r="D2739" s="10" t="s">
        <v>6071</v>
      </c>
      <c r="E2739" s="9" t="s">
        <v>17</v>
      </c>
      <c r="F2739" s="10">
        <v>34</v>
      </c>
      <c r="G2739" s="11">
        <v>7063775448</v>
      </c>
      <c r="H2739" s="10" t="s">
        <v>6072</v>
      </c>
      <c r="I2739" s="10" t="s">
        <v>202</v>
      </c>
      <c r="J2739" s="10" t="s">
        <v>4651</v>
      </c>
      <c r="K2739" s="12">
        <v>46008</v>
      </c>
      <c r="L2739" s="28" t="s">
        <v>11</v>
      </c>
      <c r="M2739" s="14"/>
      <c r="N2739" s="10" t="s">
        <v>1028</v>
      </c>
    </row>
    <row r="2740" spans="1:14" ht="22.5" customHeight="1">
      <c r="A2740" s="8">
        <v>46008.983635833334</v>
      </c>
      <c r="B2740" s="9" t="s">
        <v>14</v>
      </c>
      <c r="C2740" s="9" t="s">
        <v>15</v>
      </c>
      <c r="D2740" s="10" t="s">
        <v>6073</v>
      </c>
      <c r="E2740" s="9" t="s">
        <v>22</v>
      </c>
      <c r="F2740" s="10">
        <v>28</v>
      </c>
      <c r="G2740" s="11">
        <v>9035445958</v>
      </c>
      <c r="H2740" s="10" t="s">
        <v>6074</v>
      </c>
      <c r="I2740" s="10" t="s">
        <v>27</v>
      </c>
      <c r="J2740" s="10" t="s">
        <v>94</v>
      </c>
      <c r="K2740" s="12">
        <v>46008</v>
      </c>
      <c r="L2740" s="28" t="s">
        <v>11</v>
      </c>
      <c r="M2740" s="14"/>
      <c r="N2740" s="10" t="s">
        <v>1028</v>
      </c>
    </row>
    <row r="2741" spans="1:14" ht="22.5" customHeight="1">
      <c r="A2741" s="8">
        <v>46009.007881458332</v>
      </c>
      <c r="B2741" s="9" t="s">
        <v>14</v>
      </c>
      <c r="C2741" s="9" t="s">
        <v>15</v>
      </c>
      <c r="D2741" s="10" t="s">
        <v>6075</v>
      </c>
      <c r="E2741" s="9" t="s">
        <v>17</v>
      </c>
      <c r="F2741" s="10">
        <v>30</v>
      </c>
      <c r="G2741" s="11">
        <v>7063126424</v>
      </c>
      <c r="H2741" s="10" t="s">
        <v>6076</v>
      </c>
      <c r="I2741" s="10" t="s">
        <v>19</v>
      </c>
      <c r="J2741" s="10" t="s">
        <v>3495</v>
      </c>
      <c r="K2741" s="12">
        <v>46009</v>
      </c>
      <c r="L2741" s="28" t="s">
        <v>11</v>
      </c>
      <c r="M2741" s="14"/>
      <c r="N2741" s="10" t="s">
        <v>1028</v>
      </c>
    </row>
    <row r="2742" spans="1:14" ht="22.5" customHeight="1">
      <c r="A2742" s="8">
        <v>46009.019937638892</v>
      </c>
      <c r="B2742" s="9" t="s">
        <v>14</v>
      </c>
      <c r="C2742" s="9" t="s">
        <v>15</v>
      </c>
      <c r="D2742" s="10" t="s">
        <v>6077</v>
      </c>
      <c r="E2742" s="9" t="s">
        <v>17</v>
      </c>
      <c r="F2742" s="10">
        <v>36</v>
      </c>
      <c r="G2742" s="11">
        <v>8101639791</v>
      </c>
      <c r="H2742" s="10" t="s">
        <v>6078</v>
      </c>
      <c r="I2742" s="10" t="s">
        <v>202</v>
      </c>
      <c r="J2742" s="10" t="s">
        <v>1619</v>
      </c>
      <c r="K2742" s="12">
        <v>46009</v>
      </c>
      <c r="L2742" s="28" t="s">
        <v>11</v>
      </c>
      <c r="M2742" s="14"/>
      <c r="N2742" s="10" t="s">
        <v>1028</v>
      </c>
    </row>
    <row r="2743" spans="1:14" ht="22.5" customHeight="1">
      <c r="A2743" s="8">
        <v>46009.127174942128</v>
      </c>
      <c r="B2743" s="9" t="s">
        <v>14</v>
      </c>
      <c r="C2743" s="9" t="s">
        <v>15</v>
      </c>
      <c r="D2743" s="10" t="s">
        <v>6079</v>
      </c>
      <c r="E2743" s="9" t="s">
        <v>17</v>
      </c>
      <c r="F2743" s="10">
        <v>22</v>
      </c>
      <c r="G2743" s="11">
        <v>9069571336</v>
      </c>
      <c r="H2743" s="10" t="s">
        <v>6080</v>
      </c>
      <c r="I2743" s="10" t="s">
        <v>27</v>
      </c>
      <c r="J2743" s="10" t="s">
        <v>6081</v>
      </c>
      <c r="K2743" s="12">
        <v>46009</v>
      </c>
      <c r="L2743" s="28" t="s">
        <v>11</v>
      </c>
      <c r="M2743" s="14"/>
      <c r="N2743" s="10" t="s">
        <v>1028</v>
      </c>
    </row>
    <row r="2744" spans="1:14" ht="22.5" customHeight="1">
      <c r="A2744" s="8">
        <v>46009.135510729167</v>
      </c>
      <c r="B2744" s="9" t="s">
        <v>14</v>
      </c>
      <c r="C2744" s="9" t="s">
        <v>15</v>
      </c>
      <c r="D2744" s="10" t="s">
        <v>6082</v>
      </c>
      <c r="E2744" s="9" t="s">
        <v>17</v>
      </c>
      <c r="F2744" s="10">
        <v>26</v>
      </c>
      <c r="G2744" s="11">
        <v>9073739351</v>
      </c>
      <c r="H2744" s="10" t="s">
        <v>6083</v>
      </c>
      <c r="I2744" s="10" t="s">
        <v>19</v>
      </c>
      <c r="J2744" s="10" t="s">
        <v>6084</v>
      </c>
      <c r="K2744" s="12">
        <v>46001</v>
      </c>
      <c r="L2744" s="28" t="s">
        <v>11</v>
      </c>
      <c r="M2744" s="14"/>
      <c r="N2744" s="10" t="s">
        <v>1096</v>
      </c>
    </row>
    <row r="2745" spans="1:14" ht="22.5" customHeight="1">
      <c r="A2745" s="8">
        <v>46009.175341296301</v>
      </c>
      <c r="B2745" s="9" t="s">
        <v>14</v>
      </c>
      <c r="C2745" s="9" t="s">
        <v>15</v>
      </c>
      <c r="D2745" s="10" t="s">
        <v>6085</v>
      </c>
      <c r="E2745" s="9" t="s">
        <v>22</v>
      </c>
      <c r="F2745" s="10">
        <v>43</v>
      </c>
      <c r="G2745" s="11">
        <v>8034863566</v>
      </c>
      <c r="H2745" s="10" t="s">
        <v>6086</v>
      </c>
      <c r="I2745" s="10" t="s">
        <v>202</v>
      </c>
      <c r="J2745" s="10" t="s">
        <v>4020</v>
      </c>
      <c r="K2745" s="12">
        <v>46009</v>
      </c>
      <c r="L2745" s="28" t="s">
        <v>11</v>
      </c>
      <c r="M2745" s="14"/>
      <c r="N2745" s="10" t="s">
        <v>1028</v>
      </c>
    </row>
    <row r="2746" spans="1:14" ht="22.5" customHeight="1">
      <c r="A2746" s="8">
        <v>46009.249182662039</v>
      </c>
      <c r="B2746" s="9" t="s">
        <v>14</v>
      </c>
      <c r="C2746" s="9" t="s">
        <v>15</v>
      </c>
      <c r="D2746" s="10" t="s">
        <v>6087</v>
      </c>
      <c r="E2746" s="9" t="s">
        <v>22</v>
      </c>
      <c r="F2746" s="10">
        <v>22</v>
      </c>
      <c r="G2746" s="11">
        <v>771494309</v>
      </c>
      <c r="H2746" s="10" t="s">
        <v>6088</v>
      </c>
      <c r="I2746" s="10" t="s">
        <v>19</v>
      </c>
      <c r="J2746" s="10" t="s">
        <v>4982</v>
      </c>
      <c r="K2746" s="12">
        <v>46009</v>
      </c>
      <c r="L2746" s="28" t="s">
        <v>11</v>
      </c>
      <c r="M2746" s="14"/>
      <c r="N2746" s="10" t="s">
        <v>1209</v>
      </c>
    </row>
    <row r="2747" spans="1:14" ht="22.5" customHeight="1">
      <c r="A2747" s="8">
        <v>46009.282118402778</v>
      </c>
      <c r="B2747" s="9" t="s">
        <v>14</v>
      </c>
      <c r="C2747" s="9" t="s">
        <v>15</v>
      </c>
      <c r="D2747" s="10" t="s">
        <v>6089</v>
      </c>
      <c r="E2747" s="9" t="s">
        <v>17</v>
      </c>
      <c r="F2747" s="10">
        <v>38</v>
      </c>
      <c r="G2747" s="11">
        <v>7087863304</v>
      </c>
      <c r="H2747" s="10" t="s">
        <v>6090</v>
      </c>
      <c r="I2747" s="10" t="s">
        <v>202</v>
      </c>
      <c r="J2747" s="10" t="s">
        <v>6091</v>
      </c>
      <c r="K2747" s="12">
        <v>46009</v>
      </c>
      <c r="L2747" s="28" t="s">
        <v>11</v>
      </c>
      <c r="M2747" s="14"/>
      <c r="N2747" s="10" t="s">
        <v>1028</v>
      </c>
    </row>
    <row r="2748" spans="1:14" ht="22.5" customHeight="1">
      <c r="A2748" s="8">
        <v>46009.283697199076</v>
      </c>
      <c r="B2748" s="9" t="s">
        <v>14</v>
      </c>
      <c r="C2748" s="9" t="s">
        <v>15</v>
      </c>
      <c r="D2748" s="10" t="s">
        <v>6092</v>
      </c>
      <c r="E2748" s="9" t="s">
        <v>22</v>
      </c>
      <c r="F2748" s="10">
        <v>33</v>
      </c>
      <c r="G2748" s="11">
        <v>8136729086</v>
      </c>
      <c r="H2748" s="10" t="s">
        <v>6093</v>
      </c>
      <c r="I2748" s="10" t="s">
        <v>202</v>
      </c>
      <c r="J2748" s="10" t="s">
        <v>4020</v>
      </c>
      <c r="K2748" s="12">
        <v>46009</v>
      </c>
      <c r="L2748" s="28" t="s">
        <v>11</v>
      </c>
      <c r="M2748" s="14"/>
      <c r="N2748" s="10" t="s">
        <v>1028</v>
      </c>
    </row>
    <row r="2749" spans="1:14" ht="22.5" customHeight="1">
      <c r="A2749" s="8">
        <v>46009.302723148146</v>
      </c>
      <c r="B2749" s="9" t="s">
        <v>14</v>
      </c>
      <c r="C2749" s="9" t="s">
        <v>15</v>
      </c>
      <c r="D2749" s="10" t="s">
        <v>6094</v>
      </c>
      <c r="E2749" s="9" t="s">
        <v>17</v>
      </c>
      <c r="F2749" s="10">
        <v>27</v>
      </c>
      <c r="G2749" s="11">
        <v>8131196533</v>
      </c>
      <c r="H2749" s="10" t="s">
        <v>6095</v>
      </c>
      <c r="I2749" s="10" t="s">
        <v>202</v>
      </c>
      <c r="J2749" s="10" t="s">
        <v>4632</v>
      </c>
      <c r="K2749" s="12">
        <v>46009</v>
      </c>
      <c r="L2749" s="28" t="s">
        <v>11</v>
      </c>
      <c r="M2749" s="14"/>
      <c r="N2749" s="10" t="s">
        <v>1028</v>
      </c>
    </row>
    <row r="2750" spans="1:14" ht="22.5" customHeight="1">
      <c r="A2750" s="8">
        <v>46009.303979490738</v>
      </c>
      <c r="B2750" s="9" t="s">
        <v>14</v>
      </c>
      <c r="C2750" s="9" t="s">
        <v>15</v>
      </c>
      <c r="D2750" s="10" t="s">
        <v>6096</v>
      </c>
      <c r="E2750" s="9" t="s">
        <v>22</v>
      </c>
      <c r="F2750" s="10">
        <v>27</v>
      </c>
      <c r="G2750" s="11">
        <v>8060880572</v>
      </c>
      <c r="H2750" s="10" t="s">
        <v>6097</v>
      </c>
      <c r="I2750" s="10" t="s">
        <v>202</v>
      </c>
      <c r="J2750" s="10" t="s">
        <v>4177</v>
      </c>
      <c r="K2750" s="12">
        <v>46009</v>
      </c>
      <c r="L2750" s="28" t="s">
        <v>11</v>
      </c>
      <c r="M2750" s="14"/>
      <c r="N2750" s="10" t="s">
        <v>1028</v>
      </c>
    </row>
    <row r="2751" spans="1:14" ht="22.5" customHeight="1">
      <c r="A2751" s="8">
        <v>46009.309185231483</v>
      </c>
      <c r="B2751" s="9" t="s">
        <v>14</v>
      </c>
      <c r="C2751" s="9" t="s">
        <v>15</v>
      </c>
      <c r="D2751" s="10" t="s">
        <v>6098</v>
      </c>
      <c r="E2751" s="9" t="s">
        <v>17</v>
      </c>
      <c r="F2751" s="10">
        <v>37</v>
      </c>
      <c r="G2751" s="11">
        <v>8037993032</v>
      </c>
      <c r="H2751" s="10" t="s">
        <v>3963</v>
      </c>
      <c r="I2751" s="10" t="s">
        <v>27</v>
      </c>
      <c r="J2751" s="10" t="s">
        <v>5395</v>
      </c>
      <c r="K2751" s="12">
        <v>32175</v>
      </c>
      <c r="L2751" s="28" t="s">
        <v>11</v>
      </c>
      <c r="M2751" s="14"/>
      <c r="N2751" s="10" t="s">
        <v>1028</v>
      </c>
    </row>
    <row r="2752" spans="1:14" ht="22.5" customHeight="1">
      <c r="A2752" s="8">
        <v>46009.316125902777</v>
      </c>
      <c r="B2752" s="9" t="s">
        <v>14</v>
      </c>
      <c r="C2752" s="9" t="s">
        <v>15</v>
      </c>
      <c r="D2752" s="10" t="s">
        <v>6099</v>
      </c>
      <c r="E2752" s="9" t="s">
        <v>17</v>
      </c>
      <c r="F2752" s="10">
        <v>35</v>
      </c>
      <c r="G2752" s="11">
        <v>8139754167</v>
      </c>
      <c r="H2752" s="10" t="s">
        <v>6100</v>
      </c>
      <c r="I2752" s="10" t="s">
        <v>45</v>
      </c>
      <c r="J2752" s="10" t="s">
        <v>287</v>
      </c>
      <c r="K2752" s="12">
        <v>33180</v>
      </c>
      <c r="L2752" s="28" t="s">
        <v>11</v>
      </c>
      <c r="M2752" s="14"/>
      <c r="N2752" s="10" t="s">
        <v>1028</v>
      </c>
    </row>
    <row r="2753" spans="1:14" ht="22.5" customHeight="1">
      <c r="A2753" s="8">
        <v>46009.333353275462</v>
      </c>
      <c r="B2753" s="9" t="s">
        <v>14</v>
      </c>
      <c r="C2753" s="9" t="s">
        <v>15</v>
      </c>
      <c r="D2753" s="10" t="s">
        <v>6101</v>
      </c>
      <c r="E2753" s="9" t="s">
        <v>22</v>
      </c>
      <c r="F2753" s="10">
        <v>30</v>
      </c>
      <c r="G2753" s="11">
        <v>753155198</v>
      </c>
      <c r="H2753" s="10" t="s">
        <v>6102</v>
      </c>
      <c r="I2753" s="10" t="s">
        <v>202</v>
      </c>
      <c r="J2753" s="10" t="s">
        <v>2307</v>
      </c>
      <c r="K2753" s="12">
        <v>46009</v>
      </c>
      <c r="L2753" s="28" t="s">
        <v>11</v>
      </c>
      <c r="M2753" s="14"/>
      <c r="N2753" s="10" t="s">
        <v>6103</v>
      </c>
    </row>
    <row r="2754" spans="1:14" ht="22.5" customHeight="1">
      <c r="A2754" s="8">
        <v>46009.337716944443</v>
      </c>
      <c r="B2754" s="9" t="s">
        <v>14</v>
      </c>
      <c r="C2754" s="9" t="s">
        <v>15</v>
      </c>
      <c r="D2754" s="10" t="s">
        <v>6104</v>
      </c>
      <c r="E2754" s="9" t="s">
        <v>17</v>
      </c>
      <c r="F2754" s="10">
        <v>48</v>
      </c>
      <c r="G2754" s="11">
        <v>8022226822</v>
      </c>
      <c r="H2754" s="10" t="s">
        <v>6105</v>
      </c>
      <c r="I2754" s="10" t="s">
        <v>202</v>
      </c>
      <c r="J2754" s="10" t="s">
        <v>3396</v>
      </c>
      <c r="K2754" s="12">
        <v>46009</v>
      </c>
      <c r="L2754" s="28" t="s">
        <v>11</v>
      </c>
      <c r="M2754" s="14"/>
      <c r="N2754" s="10" t="s">
        <v>1028</v>
      </c>
    </row>
    <row r="2755" spans="1:14" ht="22.5" customHeight="1">
      <c r="A2755" s="8">
        <v>46009.342367025463</v>
      </c>
      <c r="B2755" s="9" t="s">
        <v>14</v>
      </c>
      <c r="C2755" s="9" t="s">
        <v>15</v>
      </c>
      <c r="D2755" s="10" t="s">
        <v>6106</v>
      </c>
      <c r="E2755" s="9" t="s">
        <v>22</v>
      </c>
      <c r="F2755" s="10">
        <v>50</v>
      </c>
      <c r="G2755" s="11">
        <v>8055537923</v>
      </c>
      <c r="H2755" s="10" t="s">
        <v>6107</v>
      </c>
      <c r="I2755" s="10" t="s">
        <v>202</v>
      </c>
      <c r="J2755" s="10" t="s">
        <v>4029</v>
      </c>
      <c r="K2755" s="12">
        <v>46009</v>
      </c>
      <c r="L2755" s="28" t="s">
        <v>11</v>
      </c>
      <c r="M2755" s="14"/>
      <c r="N2755" s="10" t="s">
        <v>1028</v>
      </c>
    </row>
    <row r="2756" spans="1:14" ht="22.5" customHeight="1">
      <c r="A2756" s="8">
        <v>46009.344128182871</v>
      </c>
      <c r="B2756" s="9" t="s">
        <v>14</v>
      </c>
      <c r="C2756" s="9" t="s">
        <v>15</v>
      </c>
      <c r="D2756" s="10" t="s">
        <v>6108</v>
      </c>
      <c r="E2756" s="9" t="s">
        <v>17</v>
      </c>
      <c r="F2756" s="10">
        <v>48</v>
      </c>
      <c r="G2756" s="11">
        <v>8032572385</v>
      </c>
      <c r="H2756" s="10" t="s">
        <v>6109</v>
      </c>
      <c r="I2756" s="10" t="s">
        <v>202</v>
      </c>
      <c r="J2756" s="10" t="s">
        <v>1860</v>
      </c>
      <c r="K2756" s="12">
        <v>46009</v>
      </c>
      <c r="L2756" s="28" t="s">
        <v>11</v>
      </c>
      <c r="M2756" s="14"/>
      <c r="N2756" s="10" t="s">
        <v>1028</v>
      </c>
    </row>
    <row r="2757" spans="1:14" ht="22.5" customHeight="1">
      <c r="A2757" s="8">
        <v>46009.348824687499</v>
      </c>
      <c r="B2757" s="9" t="s">
        <v>14</v>
      </c>
      <c r="C2757" s="9" t="s">
        <v>15</v>
      </c>
      <c r="D2757" s="10" t="s">
        <v>6110</v>
      </c>
      <c r="E2757" s="9" t="s">
        <v>17</v>
      </c>
      <c r="F2757" s="10">
        <v>32</v>
      </c>
      <c r="G2757" s="11">
        <v>7081234912</v>
      </c>
      <c r="H2757" s="10" t="s">
        <v>6111</v>
      </c>
      <c r="I2757" s="10" t="s">
        <v>202</v>
      </c>
      <c r="J2757" s="10" t="s">
        <v>6091</v>
      </c>
      <c r="K2757" s="12">
        <v>46009</v>
      </c>
      <c r="L2757" s="28" t="s">
        <v>11</v>
      </c>
      <c r="M2757" s="14"/>
      <c r="N2757" s="10" t="s">
        <v>1028</v>
      </c>
    </row>
    <row r="2758" spans="1:14" ht="22.5" customHeight="1">
      <c r="A2758" s="8">
        <v>46009.353583229167</v>
      </c>
      <c r="B2758" s="9" t="s">
        <v>14</v>
      </c>
      <c r="C2758" s="9" t="s">
        <v>15</v>
      </c>
      <c r="D2758" s="10" t="s">
        <v>6112</v>
      </c>
      <c r="E2758" s="9" t="s">
        <v>17</v>
      </c>
      <c r="F2758" s="10">
        <v>30</v>
      </c>
      <c r="G2758" s="11">
        <v>9166998918</v>
      </c>
      <c r="H2758" s="10" t="s">
        <v>6113</v>
      </c>
      <c r="I2758" s="10" t="s">
        <v>202</v>
      </c>
      <c r="J2758" s="10" t="s">
        <v>6114</v>
      </c>
      <c r="K2758" s="12">
        <v>46009</v>
      </c>
      <c r="L2758" s="28" t="s">
        <v>11</v>
      </c>
      <c r="M2758" s="14"/>
      <c r="N2758" s="10" t="s">
        <v>1028</v>
      </c>
    </row>
    <row r="2759" spans="1:14" ht="22.5" customHeight="1">
      <c r="A2759" s="8">
        <v>46009.355128414347</v>
      </c>
      <c r="B2759" s="9" t="s">
        <v>14</v>
      </c>
      <c r="C2759" s="9" t="s">
        <v>15</v>
      </c>
      <c r="D2759" s="10" t="s">
        <v>6115</v>
      </c>
      <c r="E2759" s="9" t="s">
        <v>22</v>
      </c>
      <c r="F2759" s="10">
        <v>27</v>
      </c>
      <c r="G2759" s="11">
        <v>8143020885</v>
      </c>
      <c r="H2759" s="10" t="s">
        <v>6116</v>
      </c>
      <c r="I2759" s="10" t="s">
        <v>49</v>
      </c>
      <c r="J2759" s="10" t="s">
        <v>6117</v>
      </c>
      <c r="K2759" s="12">
        <v>46009</v>
      </c>
      <c r="L2759" s="28" t="s">
        <v>11</v>
      </c>
      <c r="M2759" s="14"/>
      <c r="N2759" s="10" t="s">
        <v>1209</v>
      </c>
    </row>
    <row r="2760" spans="1:14" ht="22.5" customHeight="1">
      <c r="A2760" s="8">
        <v>46009.358467303246</v>
      </c>
      <c r="B2760" s="9" t="s">
        <v>14</v>
      </c>
      <c r="C2760" s="9" t="s">
        <v>15</v>
      </c>
      <c r="D2760" s="10" t="s">
        <v>6118</v>
      </c>
      <c r="E2760" s="9" t="s">
        <v>22</v>
      </c>
      <c r="F2760" s="10">
        <v>27</v>
      </c>
      <c r="G2760" s="11">
        <v>7050537332</v>
      </c>
      <c r="H2760" s="10" t="s">
        <v>6119</v>
      </c>
      <c r="I2760" s="10" t="s">
        <v>45</v>
      </c>
      <c r="J2760" s="10" t="s">
        <v>5955</v>
      </c>
      <c r="K2760" s="12">
        <v>46009</v>
      </c>
      <c r="L2760" s="28" t="s">
        <v>11</v>
      </c>
      <c r="M2760" s="14"/>
      <c r="N2760" s="10" t="s">
        <v>1028</v>
      </c>
    </row>
    <row r="2761" spans="1:14" ht="22.5" customHeight="1">
      <c r="A2761" s="8">
        <v>46009.367526898146</v>
      </c>
      <c r="B2761" s="9" t="s">
        <v>14</v>
      </c>
      <c r="C2761" s="9" t="s">
        <v>15</v>
      </c>
      <c r="D2761" s="10" t="s">
        <v>6120</v>
      </c>
      <c r="E2761" s="9" t="s">
        <v>17</v>
      </c>
      <c r="F2761" s="10">
        <v>25</v>
      </c>
      <c r="G2761" s="11">
        <v>8161826316</v>
      </c>
      <c r="H2761" s="10" t="s">
        <v>6121</v>
      </c>
      <c r="I2761" s="10" t="s">
        <v>202</v>
      </c>
      <c r="J2761" s="10" t="s">
        <v>3895</v>
      </c>
      <c r="K2761" s="12">
        <v>46009</v>
      </c>
      <c r="L2761" s="28" t="s">
        <v>11</v>
      </c>
      <c r="M2761" s="14"/>
      <c r="N2761" s="10" t="s">
        <v>1028</v>
      </c>
    </row>
    <row r="2762" spans="1:14" ht="22.5" customHeight="1">
      <c r="A2762" s="8">
        <v>46009.369484328708</v>
      </c>
      <c r="B2762" s="9" t="s">
        <v>14</v>
      </c>
      <c r="C2762" s="9" t="s">
        <v>15</v>
      </c>
      <c r="D2762" s="10" t="s">
        <v>6122</v>
      </c>
      <c r="E2762" s="9" t="s">
        <v>17</v>
      </c>
      <c r="F2762" s="10">
        <v>32</v>
      </c>
      <c r="G2762" s="11">
        <v>8065411223</v>
      </c>
      <c r="H2762" s="10" t="s">
        <v>6123</v>
      </c>
      <c r="I2762" s="10" t="s">
        <v>49</v>
      </c>
      <c r="J2762" s="10" t="s">
        <v>106</v>
      </c>
      <c r="K2762" s="12">
        <v>46009</v>
      </c>
      <c r="L2762" s="28" t="s">
        <v>11</v>
      </c>
      <c r="M2762" s="14"/>
      <c r="N2762" s="10" t="s">
        <v>1028</v>
      </c>
    </row>
    <row r="2763" spans="1:14" ht="22.5" customHeight="1">
      <c r="A2763" s="8">
        <v>46009.380189189818</v>
      </c>
      <c r="B2763" s="9" t="s">
        <v>14</v>
      </c>
      <c r="C2763" s="9" t="s">
        <v>15</v>
      </c>
      <c r="D2763" s="10" t="s">
        <v>6124</v>
      </c>
      <c r="E2763" s="9" t="s">
        <v>17</v>
      </c>
      <c r="F2763" s="10">
        <v>26</v>
      </c>
      <c r="G2763" s="11">
        <v>7046187414</v>
      </c>
      <c r="H2763" s="10" t="s">
        <v>6125</v>
      </c>
      <c r="I2763" s="10" t="s">
        <v>202</v>
      </c>
      <c r="J2763" s="10" t="s">
        <v>4005</v>
      </c>
      <c r="K2763" s="12">
        <v>46009</v>
      </c>
      <c r="L2763" s="28" t="s">
        <v>11</v>
      </c>
      <c r="M2763" s="14"/>
      <c r="N2763" s="10" t="s">
        <v>1028</v>
      </c>
    </row>
    <row r="2764" spans="1:14" ht="22.5" customHeight="1">
      <c r="A2764" s="8">
        <v>46009.381921215274</v>
      </c>
      <c r="B2764" s="9" t="s">
        <v>14</v>
      </c>
      <c r="C2764" s="9" t="s">
        <v>15</v>
      </c>
      <c r="D2764" s="10" t="s">
        <v>6126</v>
      </c>
      <c r="E2764" s="9" t="s">
        <v>22</v>
      </c>
      <c r="F2764" s="10">
        <v>49</v>
      </c>
      <c r="G2764" s="11">
        <v>8165496329</v>
      </c>
      <c r="H2764" s="10" t="s">
        <v>6127</v>
      </c>
      <c r="I2764" s="10" t="s">
        <v>31</v>
      </c>
      <c r="J2764" s="10" t="s">
        <v>32</v>
      </c>
      <c r="K2764" s="12">
        <v>46009</v>
      </c>
      <c r="L2764" s="28" t="s">
        <v>11</v>
      </c>
      <c r="M2764" s="10"/>
      <c r="N2764" s="10" t="s">
        <v>1028</v>
      </c>
    </row>
    <row r="2765" spans="1:14" ht="22.5" customHeight="1">
      <c r="A2765" s="8">
        <v>46009.382596192125</v>
      </c>
      <c r="B2765" s="9" t="s">
        <v>14</v>
      </c>
      <c r="C2765" s="9" t="s">
        <v>15</v>
      </c>
      <c r="D2765" s="10" t="s">
        <v>6128</v>
      </c>
      <c r="E2765" s="9" t="s">
        <v>22</v>
      </c>
      <c r="F2765" s="10">
        <v>22</v>
      </c>
      <c r="G2765" s="11">
        <v>8059566201</v>
      </c>
      <c r="H2765" s="10" t="s">
        <v>6129</v>
      </c>
      <c r="I2765" s="10" t="s">
        <v>202</v>
      </c>
      <c r="J2765" s="10" t="s">
        <v>6130</v>
      </c>
      <c r="K2765" s="12">
        <v>46009</v>
      </c>
      <c r="L2765" s="28" t="s">
        <v>11</v>
      </c>
      <c r="M2765" s="14"/>
      <c r="N2765" s="10" t="s">
        <v>1028</v>
      </c>
    </row>
    <row r="2766" spans="1:14" ht="22.5" customHeight="1">
      <c r="A2766" s="8">
        <v>46009.382754768521</v>
      </c>
      <c r="B2766" s="9" t="s">
        <v>14</v>
      </c>
      <c r="C2766" s="9" t="s">
        <v>15</v>
      </c>
      <c r="D2766" s="10" t="s">
        <v>6131</v>
      </c>
      <c r="E2766" s="9" t="s">
        <v>22</v>
      </c>
      <c r="F2766" s="10">
        <v>29</v>
      </c>
      <c r="G2766" s="11">
        <v>8022244925</v>
      </c>
      <c r="H2766" s="10" t="s">
        <v>6132</v>
      </c>
      <c r="I2766" s="10" t="s">
        <v>202</v>
      </c>
      <c r="J2766" s="10" t="s">
        <v>3396</v>
      </c>
      <c r="K2766" s="12">
        <v>46009</v>
      </c>
      <c r="L2766" s="28" t="s">
        <v>11</v>
      </c>
      <c r="M2766" s="14"/>
      <c r="N2766" s="10" t="s">
        <v>1028</v>
      </c>
    </row>
    <row r="2767" spans="1:14" ht="22.5" customHeight="1">
      <c r="A2767" s="8">
        <v>46009.388499849534</v>
      </c>
      <c r="B2767" s="9" t="s">
        <v>14</v>
      </c>
      <c r="C2767" s="9" t="s">
        <v>15</v>
      </c>
      <c r="D2767" s="10" t="s">
        <v>6133</v>
      </c>
      <c r="E2767" s="9" t="s">
        <v>17</v>
      </c>
      <c r="F2767" s="10">
        <v>65</v>
      </c>
      <c r="G2767" s="11">
        <v>8035702980</v>
      </c>
      <c r="H2767" s="10" t="s">
        <v>6134</v>
      </c>
      <c r="I2767" s="10" t="s">
        <v>202</v>
      </c>
      <c r="J2767" s="10" t="s">
        <v>6135</v>
      </c>
      <c r="K2767" s="12">
        <v>46009</v>
      </c>
      <c r="L2767" s="28" t="s">
        <v>11</v>
      </c>
      <c r="M2767" s="14"/>
      <c r="N2767" s="10" t="s">
        <v>1096</v>
      </c>
    </row>
    <row r="2768" spans="1:14" ht="22.5" customHeight="1">
      <c r="A2768" s="8">
        <v>46009.394952187504</v>
      </c>
      <c r="B2768" s="9" t="s">
        <v>14</v>
      </c>
      <c r="C2768" s="9" t="s">
        <v>15</v>
      </c>
      <c r="D2768" s="10" t="s">
        <v>6136</v>
      </c>
      <c r="E2768" s="9" t="s">
        <v>22</v>
      </c>
      <c r="F2768" s="10">
        <v>46</v>
      </c>
      <c r="G2768" s="11">
        <v>8035485309</v>
      </c>
      <c r="H2768" s="10" t="s">
        <v>6137</v>
      </c>
      <c r="I2768" s="10" t="s">
        <v>31</v>
      </c>
      <c r="J2768" s="10" t="s">
        <v>32</v>
      </c>
      <c r="K2768" s="12">
        <v>46009</v>
      </c>
      <c r="L2768" s="28" t="s">
        <v>11</v>
      </c>
      <c r="M2768" s="14"/>
      <c r="N2768" s="10" t="s">
        <v>1028</v>
      </c>
    </row>
    <row r="2769" spans="1:14" ht="22.5" customHeight="1">
      <c r="A2769" s="8">
        <v>46009.396429062501</v>
      </c>
      <c r="B2769" s="9" t="s">
        <v>14</v>
      </c>
      <c r="C2769" s="9" t="s">
        <v>15</v>
      </c>
      <c r="D2769" s="10" t="s">
        <v>6138</v>
      </c>
      <c r="E2769" s="9" t="s">
        <v>22</v>
      </c>
      <c r="F2769" s="10">
        <v>34</v>
      </c>
      <c r="G2769" s="11">
        <v>8033263157</v>
      </c>
      <c r="H2769" s="10" t="s">
        <v>4359</v>
      </c>
      <c r="I2769" s="10" t="s">
        <v>27</v>
      </c>
      <c r="J2769" s="10" t="s">
        <v>2417</v>
      </c>
      <c r="K2769" s="12">
        <v>46009</v>
      </c>
      <c r="L2769" s="28" t="s">
        <v>11</v>
      </c>
      <c r="M2769" s="14"/>
      <c r="N2769" s="10" t="s">
        <v>1028</v>
      </c>
    </row>
    <row r="2770" spans="1:14" ht="22.5" customHeight="1">
      <c r="A2770" s="8">
        <v>46009.403769050929</v>
      </c>
      <c r="B2770" s="9" t="s">
        <v>14</v>
      </c>
      <c r="C2770" s="9" t="s">
        <v>15</v>
      </c>
      <c r="D2770" s="10" t="s">
        <v>6139</v>
      </c>
      <c r="E2770" s="9" t="s">
        <v>17</v>
      </c>
      <c r="F2770" s="10">
        <v>33</v>
      </c>
      <c r="G2770" s="11">
        <v>9055025105</v>
      </c>
      <c r="H2770" s="10" t="s">
        <v>6140</v>
      </c>
      <c r="I2770" s="10" t="s">
        <v>49</v>
      </c>
      <c r="J2770" s="10" t="s">
        <v>1853</v>
      </c>
      <c r="K2770" s="12">
        <v>33878</v>
      </c>
      <c r="L2770" s="28" t="s">
        <v>11</v>
      </c>
      <c r="M2770" s="14"/>
      <c r="N2770" s="10" t="s">
        <v>1028</v>
      </c>
    </row>
    <row r="2771" spans="1:14" ht="22.5" customHeight="1">
      <c r="A2771" s="8">
        <v>46009.41714056713</v>
      </c>
      <c r="B2771" s="9" t="s">
        <v>14</v>
      </c>
      <c r="C2771" s="9" t="s">
        <v>15</v>
      </c>
      <c r="D2771" s="10" t="s">
        <v>6141</v>
      </c>
      <c r="E2771" s="9" t="s">
        <v>17</v>
      </c>
      <c r="F2771" s="10">
        <v>30</v>
      </c>
      <c r="G2771" s="11">
        <v>8167602445</v>
      </c>
      <c r="H2771" s="10" t="s">
        <v>6142</v>
      </c>
      <c r="I2771" s="10" t="s">
        <v>45</v>
      </c>
      <c r="J2771" s="10" t="s">
        <v>46</v>
      </c>
      <c r="K2771" s="12">
        <v>46009</v>
      </c>
      <c r="L2771" s="28" t="s">
        <v>11</v>
      </c>
      <c r="M2771" s="14"/>
      <c r="N2771" s="10" t="s">
        <v>1096</v>
      </c>
    </row>
    <row r="2772" spans="1:14" ht="22.5" customHeight="1">
      <c r="A2772" s="8">
        <v>46009.420491979166</v>
      </c>
      <c r="B2772" s="9" t="s">
        <v>14</v>
      </c>
      <c r="C2772" s="9" t="s">
        <v>15</v>
      </c>
      <c r="D2772" s="10" t="s">
        <v>6143</v>
      </c>
      <c r="E2772" s="9" t="s">
        <v>17</v>
      </c>
      <c r="F2772" s="10">
        <v>25</v>
      </c>
      <c r="G2772" s="11">
        <v>9020389342</v>
      </c>
      <c r="H2772" s="10" t="s">
        <v>6144</v>
      </c>
      <c r="I2772" s="10" t="s">
        <v>27</v>
      </c>
      <c r="J2772" s="10" t="s">
        <v>6145</v>
      </c>
      <c r="K2772" s="12">
        <v>46009</v>
      </c>
      <c r="L2772" s="28" t="s">
        <v>11</v>
      </c>
      <c r="M2772" s="14"/>
      <c r="N2772" s="10" t="s">
        <v>1028</v>
      </c>
    </row>
    <row r="2773" spans="1:14" ht="22.5" customHeight="1">
      <c r="A2773" s="8">
        <v>46009.421728726855</v>
      </c>
      <c r="B2773" s="9" t="s">
        <v>14</v>
      </c>
      <c r="C2773" s="9" t="s">
        <v>15</v>
      </c>
      <c r="D2773" s="10" t="s">
        <v>6146</v>
      </c>
      <c r="E2773" s="9" t="s">
        <v>17</v>
      </c>
      <c r="F2773" s="10">
        <v>27</v>
      </c>
      <c r="G2773" s="11">
        <v>7012014656</v>
      </c>
      <c r="H2773" s="10" t="s">
        <v>6147</v>
      </c>
      <c r="I2773" s="10" t="s">
        <v>202</v>
      </c>
      <c r="J2773" s="10" t="s">
        <v>2059</v>
      </c>
      <c r="K2773" s="12">
        <v>46009</v>
      </c>
      <c r="L2773" s="28" t="s">
        <v>11</v>
      </c>
      <c r="M2773" s="14"/>
      <c r="N2773" s="10" t="s">
        <v>1028</v>
      </c>
    </row>
    <row r="2774" spans="1:14" ht="22.5" customHeight="1">
      <c r="A2774" s="8">
        <v>46009.422859583334</v>
      </c>
      <c r="B2774" s="9" t="s">
        <v>14</v>
      </c>
      <c r="C2774" s="9" t="s">
        <v>15</v>
      </c>
      <c r="D2774" s="10" t="s">
        <v>6148</v>
      </c>
      <c r="E2774" s="9" t="s">
        <v>17</v>
      </c>
      <c r="F2774" s="10">
        <v>37</v>
      </c>
      <c r="G2774" s="11">
        <v>7030994367</v>
      </c>
      <c r="H2774" s="10" t="s">
        <v>6149</v>
      </c>
      <c r="I2774" s="10" t="s">
        <v>202</v>
      </c>
      <c r="J2774" s="10" t="s">
        <v>4005</v>
      </c>
      <c r="K2774" s="12">
        <v>46009</v>
      </c>
      <c r="L2774" s="28" t="s">
        <v>11</v>
      </c>
      <c r="M2774" s="14"/>
      <c r="N2774" s="10" t="s">
        <v>1028</v>
      </c>
    </row>
    <row r="2775" spans="1:14" ht="22.5" hidden="1" customHeight="1">
      <c r="A2775" s="8">
        <v>46009.422981793978</v>
      </c>
      <c r="B2775" s="9" t="s">
        <v>14</v>
      </c>
      <c r="C2775" s="9" t="s">
        <v>15</v>
      </c>
      <c r="D2775" s="10" t="s">
        <v>6150</v>
      </c>
      <c r="E2775" s="9" t="s">
        <v>17</v>
      </c>
      <c r="F2775" s="18">
        <v>21</v>
      </c>
      <c r="G2775" s="11">
        <v>153089022</v>
      </c>
      <c r="H2775" s="10" t="s">
        <v>6151</v>
      </c>
      <c r="I2775" s="10" t="s">
        <v>19</v>
      </c>
      <c r="J2775" s="10" t="s">
        <v>6152</v>
      </c>
      <c r="K2775" s="12">
        <v>46009</v>
      </c>
      <c r="L2775" s="10" t="s">
        <v>441</v>
      </c>
      <c r="M2775" s="10" t="s">
        <v>1161</v>
      </c>
      <c r="N2775" s="10" t="s">
        <v>1028</v>
      </c>
    </row>
    <row r="2776" spans="1:14" ht="22.5" customHeight="1">
      <c r="A2776" s="8">
        <v>46009.439291736111</v>
      </c>
      <c r="B2776" s="9" t="s">
        <v>14</v>
      </c>
      <c r="C2776" s="9" t="s">
        <v>15</v>
      </c>
      <c r="D2776" s="10" t="s">
        <v>6153</v>
      </c>
      <c r="E2776" s="9" t="s">
        <v>17</v>
      </c>
      <c r="F2776" s="10">
        <v>27</v>
      </c>
      <c r="G2776" s="11">
        <v>8084941596</v>
      </c>
      <c r="H2776" s="10" t="s">
        <v>6154</v>
      </c>
      <c r="I2776" s="10" t="s">
        <v>202</v>
      </c>
      <c r="J2776" s="10" t="s">
        <v>3396</v>
      </c>
      <c r="K2776" s="12">
        <v>46009</v>
      </c>
      <c r="L2776" s="28" t="s">
        <v>11</v>
      </c>
      <c r="M2776" s="14"/>
      <c r="N2776" s="10" t="s">
        <v>1028</v>
      </c>
    </row>
    <row r="2777" spans="1:14" ht="22.5" customHeight="1">
      <c r="A2777" s="8">
        <v>46009.44453581018</v>
      </c>
      <c r="B2777" s="9" t="s">
        <v>14</v>
      </c>
      <c r="C2777" s="9" t="s">
        <v>15</v>
      </c>
      <c r="D2777" s="10" t="s">
        <v>6155</v>
      </c>
      <c r="E2777" s="9" t="s">
        <v>17</v>
      </c>
      <c r="F2777" s="10">
        <v>26</v>
      </c>
      <c r="G2777" s="11">
        <v>9028067227</v>
      </c>
      <c r="H2777" s="10" t="s">
        <v>6156</v>
      </c>
      <c r="I2777" s="10" t="s">
        <v>27</v>
      </c>
      <c r="J2777" s="10" t="s">
        <v>1456</v>
      </c>
      <c r="K2777" s="12">
        <v>46009</v>
      </c>
      <c r="L2777" s="28" t="s">
        <v>11</v>
      </c>
      <c r="M2777" s="14"/>
      <c r="N2777" s="10" t="s">
        <v>1028</v>
      </c>
    </row>
    <row r="2778" spans="1:14" ht="22.5" customHeight="1">
      <c r="A2778" s="8">
        <v>46009.450340902782</v>
      </c>
      <c r="B2778" s="9" t="s">
        <v>14</v>
      </c>
      <c r="C2778" s="9" t="s">
        <v>15</v>
      </c>
      <c r="D2778" s="10" t="s">
        <v>6157</v>
      </c>
      <c r="E2778" s="9" t="s">
        <v>22</v>
      </c>
      <c r="F2778" s="10">
        <v>30</v>
      </c>
      <c r="G2778" s="11">
        <v>9031373880</v>
      </c>
      <c r="H2778" s="10" t="s">
        <v>6158</v>
      </c>
      <c r="I2778" s="10" t="s">
        <v>49</v>
      </c>
      <c r="J2778" s="10" t="s">
        <v>109</v>
      </c>
      <c r="K2778" s="12">
        <v>46009</v>
      </c>
      <c r="L2778" s="28" t="s">
        <v>11</v>
      </c>
      <c r="M2778" s="14"/>
      <c r="N2778" s="10" t="s">
        <v>1028</v>
      </c>
    </row>
    <row r="2779" spans="1:14" ht="22.5" customHeight="1">
      <c r="A2779" s="8">
        <v>46009.451240509261</v>
      </c>
      <c r="B2779" s="9" t="s">
        <v>14</v>
      </c>
      <c r="C2779" s="9" t="s">
        <v>15</v>
      </c>
      <c r="D2779" s="10" t="s">
        <v>6159</v>
      </c>
      <c r="E2779" s="9" t="s">
        <v>17</v>
      </c>
      <c r="F2779" s="10">
        <v>33</v>
      </c>
      <c r="G2779" s="11">
        <v>8065900601</v>
      </c>
      <c r="H2779" s="10" t="s">
        <v>6160</v>
      </c>
      <c r="I2779" s="10" t="s">
        <v>202</v>
      </c>
      <c r="J2779" s="10" t="s">
        <v>4005</v>
      </c>
      <c r="K2779" s="12">
        <v>46009</v>
      </c>
      <c r="L2779" s="28" t="s">
        <v>11</v>
      </c>
      <c r="M2779" s="14"/>
      <c r="N2779" s="10" t="s">
        <v>1028</v>
      </c>
    </row>
    <row r="2780" spans="1:14" ht="22.5" customHeight="1">
      <c r="A2780" s="8">
        <v>46009.457221851852</v>
      </c>
      <c r="B2780" s="9" t="s">
        <v>14</v>
      </c>
      <c r="C2780" s="9" t="s">
        <v>15</v>
      </c>
      <c r="D2780" s="10" t="s">
        <v>6161</v>
      </c>
      <c r="E2780" s="9" t="s">
        <v>17</v>
      </c>
      <c r="F2780" s="10">
        <v>26</v>
      </c>
      <c r="G2780" s="11">
        <v>8121891123</v>
      </c>
      <c r="H2780" s="10" t="s">
        <v>6162</v>
      </c>
      <c r="I2780" s="10" t="s">
        <v>202</v>
      </c>
      <c r="J2780" s="10" t="s">
        <v>3895</v>
      </c>
      <c r="K2780" s="12">
        <v>46009</v>
      </c>
      <c r="L2780" s="28" t="s">
        <v>11</v>
      </c>
      <c r="M2780" s="14"/>
      <c r="N2780" s="10" t="s">
        <v>1028</v>
      </c>
    </row>
    <row r="2781" spans="1:14" ht="22.5" customHeight="1">
      <c r="A2781" s="8">
        <v>46009.461124895832</v>
      </c>
      <c r="B2781" s="9" t="s">
        <v>14</v>
      </c>
      <c r="C2781" s="9" t="s">
        <v>15</v>
      </c>
      <c r="D2781" s="10" t="s">
        <v>6163</v>
      </c>
      <c r="E2781" s="9" t="s">
        <v>17</v>
      </c>
      <c r="F2781" s="10">
        <v>38</v>
      </c>
      <c r="G2781" s="11">
        <v>8068091684</v>
      </c>
      <c r="H2781" s="10" t="s">
        <v>6164</v>
      </c>
      <c r="I2781" s="10" t="s">
        <v>31</v>
      </c>
      <c r="J2781" s="10" t="s">
        <v>32</v>
      </c>
      <c r="K2781" s="12">
        <v>46009</v>
      </c>
      <c r="L2781" s="28" t="s">
        <v>11</v>
      </c>
      <c r="M2781" s="14"/>
      <c r="N2781" s="10" t="s">
        <v>1028</v>
      </c>
    </row>
    <row r="2782" spans="1:14" ht="22.5" customHeight="1">
      <c r="A2782" s="8">
        <v>46009.461198460645</v>
      </c>
      <c r="B2782" s="9" t="s">
        <v>14</v>
      </c>
      <c r="C2782" s="9" t="s">
        <v>15</v>
      </c>
      <c r="D2782" s="10" t="s">
        <v>6165</v>
      </c>
      <c r="E2782" s="9" t="s">
        <v>17</v>
      </c>
      <c r="F2782" s="10">
        <v>34</v>
      </c>
      <c r="G2782" s="11">
        <v>8166126549</v>
      </c>
      <c r="H2782" s="10" t="s">
        <v>6166</v>
      </c>
      <c r="I2782" s="10" t="s">
        <v>49</v>
      </c>
      <c r="J2782" s="10" t="s">
        <v>106</v>
      </c>
      <c r="K2782" s="12">
        <v>46009</v>
      </c>
      <c r="L2782" s="28" t="s">
        <v>11</v>
      </c>
      <c r="M2782" s="14"/>
      <c r="N2782" s="10" t="s">
        <v>1028</v>
      </c>
    </row>
    <row r="2783" spans="1:14" ht="22.5" customHeight="1">
      <c r="A2783" s="8">
        <v>46009.46281582176</v>
      </c>
      <c r="B2783" s="9" t="s">
        <v>14</v>
      </c>
      <c r="C2783" s="9" t="s">
        <v>15</v>
      </c>
      <c r="D2783" s="10" t="s">
        <v>6167</v>
      </c>
      <c r="E2783" s="9" t="s">
        <v>22</v>
      </c>
      <c r="F2783" s="10">
        <v>29</v>
      </c>
      <c r="G2783" s="11">
        <v>7063601667</v>
      </c>
      <c r="H2783" s="10" t="s">
        <v>6168</v>
      </c>
      <c r="I2783" s="10" t="s">
        <v>27</v>
      </c>
      <c r="J2783" s="10" t="s">
        <v>172</v>
      </c>
      <c r="K2783" s="12">
        <v>46009</v>
      </c>
      <c r="L2783" s="28" t="s">
        <v>11</v>
      </c>
      <c r="M2783" s="14"/>
      <c r="N2783" s="10" t="s">
        <v>1028</v>
      </c>
    </row>
    <row r="2784" spans="1:14" ht="22.5" customHeight="1">
      <c r="A2784" s="8">
        <v>46009.467809050926</v>
      </c>
      <c r="B2784" s="9" t="s">
        <v>14</v>
      </c>
      <c r="C2784" s="9" t="s">
        <v>15</v>
      </c>
      <c r="D2784" s="10" t="s">
        <v>6169</v>
      </c>
      <c r="E2784" s="9" t="s">
        <v>17</v>
      </c>
      <c r="F2784" s="10">
        <v>35</v>
      </c>
      <c r="G2784" s="11">
        <v>8037709427</v>
      </c>
      <c r="H2784" s="10" t="s">
        <v>6170</v>
      </c>
      <c r="I2784" s="10" t="s">
        <v>31</v>
      </c>
      <c r="J2784" s="10" t="s">
        <v>32</v>
      </c>
      <c r="K2784" s="12">
        <v>46009</v>
      </c>
      <c r="L2784" s="28" t="s">
        <v>11</v>
      </c>
      <c r="M2784" s="14"/>
      <c r="N2784" s="10" t="s">
        <v>1028</v>
      </c>
    </row>
    <row r="2785" spans="1:14" ht="22.5" customHeight="1">
      <c r="A2785" s="8">
        <v>46009.47186795139</v>
      </c>
      <c r="B2785" s="9" t="s">
        <v>14</v>
      </c>
      <c r="C2785" s="9" t="s">
        <v>15</v>
      </c>
      <c r="D2785" s="10" t="s">
        <v>6171</v>
      </c>
      <c r="E2785" s="9" t="s">
        <v>22</v>
      </c>
      <c r="F2785" s="10">
        <v>28</v>
      </c>
      <c r="G2785" s="11">
        <v>7088624543</v>
      </c>
      <c r="H2785" s="10" t="s">
        <v>6172</v>
      </c>
      <c r="I2785" s="10" t="s">
        <v>202</v>
      </c>
      <c r="J2785" s="10" t="s">
        <v>6173</v>
      </c>
      <c r="K2785" s="12">
        <v>46009</v>
      </c>
      <c r="L2785" s="28" t="s">
        <v>11</v>
      </c>
      <c r="M2785" s="10"/>
      <c r="N2785" s="10" t="s">
        <v>1028</v>
      </c>
    </row>
    <row r="2786" spans="1:14" ht="22.5" customHeight="1">
      <c r="A2786" s="8">
        <v>46009.482519016208</v>
      </c>
      <c r="B2786" s="9" t="s">
        <v>14</v>
      </c>
      <c r="C2786" s="9" t="s">
        <v>15</v>
      </c>
      <c r="D2786" s="10" t="s">
        <v>6174</v>
      </c>
      <c r="E2786" s="9" t="s">
        <v>17</v>
      </c>
      <c r="F2786" s="10">
        <v>28</v>
      </c>
      <c r="G2786" s="11">
        <v>8167958080</v>
      </c>
      <c r="H2786" s="10" t="s">
        <v>6175</v>
      </c>
      <c r="I2786" s="10" t="s">
        <v>31</v>
      </c>
      <c r="J2786" s="10" t="s">
        <v>32</v>
      </c>
      <c r="K2786" s="12">
        <v>46009</v>
      </c>
      <c r="L2786" s="28" t="s">
        <v>11</v>
      </c>
      <c r="M2786" s="14"/>
      <c r="N2786" s="10" t="s">
        <v>1028</v>
      </c>
    </row>
    <row r="2787" spans="1:14" ht="22.5" customHeight="1">
      <c r="A2787" s="8">
        <v>46009.486112199069</v>
      </c>
      <c r="B2787" s="9" t="s">
        <v>14</v>
      </c>
      <c r="C2787" s="9" t="s">
        <v>15</v>
      </c>
      <c r="D2787" s="10" t="s">
        <v>6176</v>
      </c>
      <c r="E2787" s="9" t="s">
        <v>17</v>
      </c>
      <c r="F2787" s="10">
        <v>37</v>
      </c>
      <c r="G2787" s="11">
        <v>806545412</v>
      </c>
      <c r="H2787" s="10" t="s">
        <v>6177</v>
      </c>
      <c r="I2787" s="10" t="s">
        <v>202</v>
      </c>
      <c r="J2787" s="10" t="s">
        <v>2059</v>
      </c>
      <c r="K2787" s="12">
        <v>46009</v>
      </c>
      <c r="L2787" s="28" t="s">
        <v>11</v>
      </c>
      <c r="M2787" s="14"/>
      <c r="N2787" s="10" t="s">
        <v>1028</v>
      </c>
    </row>
    <row r="2788" spans="1:14" ht="22.5" customHeight="1">
      <c r="A2788" s="8">
        <v>46009.486423761569</v>
      </c>
      <c r="B2788" s="9" t="s">
        <v>14</v>
      </c>
      <c r="C2788" s="9" t="s">
        <v>15</v>
      </c>
      <c r="D2788" s="10" t="s">
        <v>6178</v>
      </c>
      <c r="E2788" s="9" t="s">
        <v>17</v>
      </c>
      <c r="F2788" s="10">
        <v>38</v>
      </c>
      <c r="G2788" s="11">
        <v>7038081833</v>
      </c>
      <c r="H2788" s="10" t="s">
        <v>6179</v>
      </c>
      <c r="I2788" s="10" t="s">
        <v>202</v>
      </c>
      <c r="J2788" s="10" t="s">
        <v>4005</v>
      </c>
      <c r="K2788" s="12">
        <v>46009</v>
      </c>
      <c r="L2788" s="28" t="s">
        <v>11</v>
      </c>
      <c r="M2788" s="14"/>
      <c r="N2788" s="10" t="s">
        <v>1028</v>
      </c>
    </row>
    <row r="2789" spans="1:14" ht="22.5" customHeight="1">
      <c r="A2789" s="8">
        <v>46009.495037789355</v>
      </c>
      <c r="B2789" s="9" t="s">
        <v>14</v>
      </c>
      <c r="C2789" s="9" t="s">
        <v>15</v>
      </c>
      <c r="D2789" s="10" t="s">
        <v>6180</v>
      </c>
      <c r="E2789" s="9" t="s">
        <v>22</v>
      </c>
      <c r="F2789" s="10">
        <v>31</v>
      </c>
      <c r="G2789" s="11">
        <v>7033150409</v>
      </c>
      <c r="H2789" s="10" t="s">
        <v>6181</v>
      </c>
      <c r="I2789" s="10" t="s">
        <v>27</v>
      </c>
      <c r="J2789" s="10" t="s">
        <v>6182</v>
      </c>
      <c r="K2789" s="12">
        <v>46009</v>
      </c>
      <c r="L2789" s="28" t="s">
        <v>11</v>
      </c>
      <c r="M2789" s="14"/>
      <c r="N2789" s="10" t="s">
        <v>1028</v>
      </c>
    </row>
    <row r="2790" spans="1:14" ht="22.5" customHeight="1">
      <c r="A2790" s="8">
        <v>46009.495188113426</v>
      </c>
      <c r="B2790" s="9" t="s">
        <v>14</v>
      </c>
      <c r="C2790" s="9" t="s">
        <v>15</v>
      </c>
      <c r="D2790" s="10" t="s">
        <v>6183</v>
      </c>
      <c r="E2790" s="9" t="s">
        <v>17</v>
      </c>
      <c r="F2790" s="10">
        <v>29</v>
      </c>
      <c r="G2790" s="11">
        <v>7081138399</v>
      </c>
      <c r="H2790" s="10" t="s">
        <v>6184</v>
      </c>
      <c r="I2790" s="10" t="s">
        <v>202</v>
      </c>
      <c r="J2790" s="10" t="s">
        <v>6185</v>
      </c>
      <c r="K2790" s="12">
        <v>35161</v>
      </c>
      <c r="L2790" s="28" t="s">
        <v>11</v>
      </c>
      <c r="M2790" s="14"/>
      <c r="N2790" s="10" t="s">
        <v>1028</v>
      </c>
    </row>
    <row r="2791" spans="1:14" ht="22.5" customHeight="1">
      <c r="A2791" s="8">
        <v>46009.496053043986</v>
      </c>
      <c r="B2791" s="9" t="s">
        <v>14</v>
      </c>
      <c r="C2791" s="9" t="s">
        <v>15</v>
      </c>
      <c r="D2791" s="10" t="s">
        <v>6186</v>
      </c>
      <c r="E2791" s="9" t="s">
        <v>17</v>
      </c>
      <c r="F2791" s="10">
        <v>37</v>
      </c>
      <c r="G2791" s="11">
        <v>7031921772</v>
      </c>
      <c r="H2791" s="10" t="s">
        <v>6187</v>
      </c>
      <c r="I2791" s="10" t="s">
        <v>202</v>
      </c>
      <c r="J2791" s="10" t="s">
        <v>1860</v>
      </c>
      <c r="K2791" s="12">
        <v>46009</v>
      </c>
      <c r="L2791" s="28" t="s">
        <v>11</v>
      </c>
      <c r="M2791" s="14"/>
      <c r="N2791" s="10" t="s">
        <v>1028</v>
      </c>
    </row>
    <row r="2792" spans="1:14" ht="22.5" customHeight="1">
      <c r="A2792" s="8">
        <v>46009.504950208335</v>
      </c>
      <c r="B2792" s="9" t="s">
        <v>14</v>
      </c>
      <c r="C2792" s="9" t="s">
        <v>15</v>
      </c>
      <c r="D2792" s="10" t="s">
        <v>6188</v>
      </c>
      <c r="E2792" s="9" t="s">
        <v>17</v>
      </c>
      <c r="F2792" s="10">
        <v>20</v>
      </c>
      <c r="G2792" s="11">
        <v>7062792433</v>
      </c>
      <c r="H2792" s="10" t="s">
        <v>6189</v>
      </c>
      <c r="I2792" s="10" t="s">
        <v>45</v>
      </c>
      <c r="J2792" s="10" t="s">
        <v>6190</v>
      </c>
      <c r="K2792" s="12">
        <v>46009</v>
      </c>
      <c r="L2792" s="28" t="s">
        <v>11</v>
      </c>
      <c r="M2792" s="14"/>
      <c r="N2792" s="10" t="s">
        <v>1028</v>
      </c>
    </row>
    <row r="2793" spans="1:14" ht="22.5" customHeight="1">
      <c r="A2793" s="8">
        <v>46009.51226831018</v>
      </c>
      <c r="B2793" s="9" t="s">
        <v>14</v>
      </c>
      <c r="C2793" s="9" t="s">
        <v>15</v>
      </c>
      <c r="D2793" s="10" t="s">
        <v>6191</v>
      </c>
      <c r="E2793" s="9" t="s">
        <v>22</v>
      </c>
      <c r="F2793" s="10">
        <v>47</v>
      </c>
      <c r="G2793" s="11">
        <v>7040182195</v>
      </c>
      <c r="H2793" s="10" t="s">
        <v>6181</v>
      </c>
      <c r="I2793" s="10" t="s">
        <v>202</v>
      </c>
      <c r="J2793" s="10" t="s">
        <v>6045</v>
      </c>
      <c r="K2793" s="12">
        <v>46009</v>
      </c>
      <c r="L2793" s="28" t="s">
        <v>11</v>
      </c>
      <c r="M2793" s="14"/>
      <c r="N2793" s="10" t="s">
        <v>1028</v>
      </c>
    </row>
    <row r="2794" spans="1:14" ht="22.5" customHeight="1">
      <c r="A2794" s="8">
        <v>46009.51844028935</v>
      </c>
      <c r="B2794" s="9" t="s">
        <v>14</v>
      </c>
      <c r="C2794" s="9" t="s">
        <v>15</v>
      </c>
      <c r="D2794" s="10" t="s">
        <v>6192</v>
      </c>
      <c r="E2794" s="9" t="s">
        <v>17</v>
      </c>
      <c r="F2794" s="19">
        <v>35</v>
      </c>
      <c r="G2794" s="11">
        <v>8038459002</v>
      </c>
      <c r="H2794" s="10" t="s">
        <v>6193</v>
      </c>
      <c r="I2794" s="10" t="s">
        <v>49</v>
      </c>
      <c r="J2794" s="10" t="s">
        <v>73</v>
      </c>
      <c r="K2794" s="12">
        <v>46009</v>
      </c>
      <c r="L2794" s="28" t="s">
        <v>11</v>
      </c>
      <c r="M2794" s="14"/>
      <c r="N2794" s="10" t="s">
        <v>1028</v>
      </c>
    </row>
    <row r="2795" spans="1:14" ht="22.5" customHeight="1">
      <c r="A2795" s="8">
        <v>46009.522687939811</v>
      </c>
      <c r="B2795" s="9" t="s">
        <v>14</v>
      </c>
      <c r="C2795" s="9" t="s">
        <v>15</v>
      </c>
      <c r="D2795" s="10" t="s">
        <v>6194</v>
      </c>
      <c r="E2795" s="9" t="s">
        <v>17</v>
      </c>
      <c r="F2795" s="10">
        <v>24</v>
      </c>
      <c r="G2795" s="11">
        <v>9075283774</v>
      </c>
      <c r="H2795" s="10" t="s">
        <v>6195</v>
      </c>
      <c r="I2795" s="10" t="s">
        <v>202</v>
      </c>
      <c r="J2795" s="10" t="s">
        <v>5573</v>
      </c>
      <c r="K2795" s="12">
        <v>46009</v>
      </c>
      <c r="L2795" s="28" t="s">
        <v>11</v>
      </c>
      <c r="M2795" s="14"/>
      <c r="N2795" s="10" t="s">
        <v>1028</v>
      </c>
    </row>
    <row r="2796" spans="1:14" ht="22.5" customHeight="1">
      <c r="A2796" s="8">
        <v>46009.523803090276</v>
      </c>
      <c r="B2796" s="9" t="s">
        <v>14</v>
      </c>
      <c r="C2796" s="9" t="s">
        <v>15</v>
      </c>
      <c r="D2796" s="10" t="s">
        <v>6196</v>
      </c>
      <c r="E2796" s="9" t="s">
        <v>17</v>
      </c>
      <c r="F2796" s="10">
        <v>26</v>
      </c>
      <c r="G2796" s="11">
        <v>7031846977</v>
      </c>
      <c r="H2796" s="10" t="s">
        <v>6197</v>
      </c>
      <c r="I2796" s="10" t="s">
        <v>27</v>
      </c>
      <c r="J2796" s="10" t="s">
        <v>70</v>
      </c>
      <c r="K2796" s="12">
        <v>46009</v>
      </c>
      <c r="L2796" s="28" t="s">
        <v>11</v>
      </c>
      <c r="M2796" s="14"/>
      <c r="N2796" s="10" t="s">
        <v>1096</v>
      </c>
    </row>
    <row r="2797" spans="1:14" ht="22.5" hidden="1" customHeight="1">
      <c r="A2797" s="8">
        <v>46009.530221168985</v>
      </c>
      <c r="B2797" s="9" t="s">
        <v>14</v>
      </c>
      <c r="C2797" s="9" t="s">
        <v>15</v>
      </c>
      <c r="D2797" s="10" t="s">
        <v>6198</v>
      </c>
      <c r="E2797" s="9" t="s">
        <v>22</v>
      </c>
      <c r="F2797" s="10">
        <v>32</v>
      </c>
      <c r="G2797" s="11">
        <v>8169064000</v>
      </c>
      <c r="H2797" s="10" t="s">
        <v>6199</v>
      </c>
      <c r="I2797" s="10" t="s">
        <v>202</v>
      </c>
      <c r="J2797" s="10" t="s">
        <v>1860</v>
      </c>
      <c r="K2797" s="12">
        <v>46009</v>
      </c>
      <c r="L2797" s="10" t="s">
        <v>441</v>
      </c>
      <c r="M2797" s="10" t="s">
        <v>1361</v>
      </c>
      <c r="N2797" s="10" t="s">
        <v>1028</v>
      </c>
    </row>
    <row r="2798" spans="1:14" ht="22.5" customHeight="1">
      <c r="A2798" s="8">
        <v>46009.531917152781</v>
      </c>
      <c r="B2798" s="9" t="s">
        <v>14</v>
      </c>
      <c r="C2798" s="9" t="s">
        <v>15</v>
      </c>
      <c r="D2798" s="10" t="s">
        <v>6200</v>
      </c>
      <c r="E2798" s="9" t="s">
        <v>22</v>
      </c>
      <c r="F2798" s="18">
        <v>27</v>
      </c>
      <c r="G2798" s="11">
        <v>8123533145</v>
      </c>
      <c r="H2798" s="10" t="s">
        <v>6201</v>
      </c>
      <c r="I2798" s="10" t="s">
        <v>202</v>
      </c>
      <c r="J2798" s="10" t="s">
        <v>3437</v>
      </c>
      <c r="K2798" s="12">
        <v>46009</v>
      </c>
      <c r="L2798" s="28" t="s">
        <v>11</v>
      </c>
      <c r="M2798" s="14"/>
      <c r="N2798" s="10" t="s">
        <v>1028</v>
      </c>
    </row>
    <row r="2799" spans="1:14" ht="22.5" customHeight="1">
      <c r="A2799" s="8">
        <v>46009.53301042824</v>
      </c>
      <c r="B2799" s="9" t="s">
        <v>14</v>
      </c>
      <c r="C2799" s="9" t="s">
        <v>15</v>
      </c>
      <c r="D2799" s="10" t="s">
        <v>6202</v>
      </c>
      <c r="E2799" s="9" t="s">
        <v>22</v>
      </c>
      <c r="F2799" s="10">
        <v>33</v>
      </c>
      <c r="G2799" s="11">
        <v>9165402386</v>
      </c>
      <c r="H2799" s="10" t="s">
        <v>6203</v>
      </c>
      <c r="I2799" s="10" t="s">
        <v>27</v>
      </c>
      <c r="J2799" s="10" t="s">
        <v>94</v>
      </c>
      <c r="K2799" s="12">
        <v>46003</v>
      </c>
      <c r="L2799" s="28" t="s">
        <v>11</v>
      </c>
      <c r="M2799" s="10"/>
      <c r="N2799" s="10" t="s">
        <v>6204</v>
      </c>
    </row>
    <row r="2800" spans="1:14" ht="22.5" customHeight="1">
      <c r="A2800" s="8">
        <v>46009.547654606482</v>
      </c>
      <c r="B2800" s="9" t="s">
        <v>14</v>
      </c>
      <c r="C2800" s="9" t="s">
        <v>15</v>
      </c>
      <c r="D2800" s="10" t="s">
        <v>6205</v>
      </c>
      <c r="E2800" s="9" t="s">
        <v>17</v>
      </c>
      <c r="F2800" s="10">
        <v>25</v>
      </c>
      <c r="G2800" s="11">
        <v>9138354013</v>
      </c>
      <c r="H2800" s="10" t="s">
        <v>6206</v>
      </c>
      <c r="I2800" s="10" t="s">
        <v>145</v>
      </c>
      <c r="J2800" s="10" t="s">
        <v>3614</v>
      </c>
      <c r="K2800" s="12">
        <v>46009</v>
      </c>
      <c r="L2800" s="28" t="s">
        <v>11</v>
      </c>
      <c r="M2800" s="14"/>
      <c r="N2800" s="10" t="s">
        <v>1028</v>
      </c>
    </row>
    <row r="2801" spans="1:14" ht="22.5" customHeight="1">
      <c r="A2801" s="8">
        <v>46009.554496550925</v>
      </c>
      <c r="B2801" s="9" t="s">
        <v>14</v>
      </c>
      <c r="C2801" s="9" t="s">
        <v>15</v>
      </c>
      <c r="D2801" s="10" t="s">
        <v>6207</v>
      </c>
      <c r="E2801" s="9" t="s">
        <v>17</v>
      </c>
      <c r="F2801" s="10">
        <v>23</v>
      </c>
      <c r="G2801" s="11">
        <v>9045527586</v>
      </c>
      <c r="H2801" s="10" t="s">
        <v>6208</v>
      </c>
      <c r="I2801" s="10" t="s">
        <v>27</v>
      </c>
      <c r="J2801" s="10" t="s">
        <v>42</v>
      </c>
      <c r="K2801" s="12">
        <v>46009</v>
      </c>
      <c r="L2801" s="28" t="s">
        <v>11</v>
      </c>
      <c r="M2801" s="14"/>
      <c r="N2801" s="10" t="s">
        <v>1028</v>
      </c>
    </row>
    <row r="2802" spans="1:14" ht="22.5" customHeight="1">
      <c r="A2802" s="8">
        <v>46009.560105462966</v>
      </c>
      <c r="B2802" s="9" t="s">
        <v>14</v>
      </c>
      <c r="C2802" s="9" t="s">
        <v>15</v>
      </c>
      <c r="D2802" s="10" t="s">
        <v>6209</v>
      </c>
      <c r="E2802" s="9" t="s">
        <v>22</v>
      </c>
      <c r="F2802" s="10">
        <v>33</v>
      </c>
      <c r="G2802" s="11">
        <v>8034181003</v>
      </c>
      <c r="H2802" s="10" t="s">
        <v>6210</v>
      </c>
      <c r="I2802" s="10" t="s">
        <v>27</v>
      </c>
      <c r="J2802" s="10" t="s">
        <v>6211</v>
      </c>
      <c r="K2802" s="12">
        <v>46009</v>
      </c>
      <c r="L2802" s="28" t="s">
        <v>11</v>
      </c>
      <c r="M2802" s="14"/>
      <c r="N2802" s="10" t="s">
        <v>1028</v>
      </c>
    </row>
    <row r="2803" spans="1:14" ht="22.5" customHeight="1">
      <c r="A2803" s="8">
        <v>46009.564523032408</v>
      </c>
      <c r="B2803" s="9" t="s">
        <v>14</v>
      </c>
      <c r="C2803" s="9" t="s">
        <v>15</v>
      </c>
      <c r="D2803" s="10" t="s">
        <v>6212</v>
      </c>
      <c r="E2803" s="9" t="s">
        <v>22</v>
      </c>
      <c r="F2803" s="10">
        <v>29</v>
      </c>
      <c r="G2803" s="11">
        <v>8063383033</v>
      </c>
      <c r="H2803" s="10" t="s">
        <v>6213</v>
      </c>
      <c r="I2803" s="10" t="s">
        <v>27</v>
      </c>
      <c r="J2803" s="10" t="s">
        <v>703</v>
      </c>
      <c r="K2803" s="12">
        <v>46009</v>
      </c>
      <c r="L2803" s="28" t="s">
        <v>11</v>
      </c>
      <c r="M2803" s="14"/>
      <c r="N2803" s="10" t="s">
        <v>1028</v>
      </c>
    </row>
    <row r="2804" spans="1:14" ht="22.5" customHeight="1">
      <c r="A2804" s="8">
        <v>46009.573290590277</v>
      </c>
      <c r="B2804" s="9" t="s">
        <v>14</v>
      </c>
      <c r="C2804" s="9" t="s">
        <v>15</v>
      </c>
      <c r="D2804" s="10" t="s">
        <v>6214</v>
      </c>
      <c r="E2804" s="9" t="s">
        <v>17</v>
      </c>
      <c r="F2804" s="10">
        <v>27</v>
      </c>
      <c r="G2804" s="11">
        <v>8029053413</v>
      </c>
      <c r="H2804" s="10" t="s">
        <v>6215</v>
      </c>
      <c r="I2804" s="10" t="s">
        <v>27</v>
      </c>
      <c r="J2804" s="10" t="s">
        <v>70</v>
      </c>
      <c r="K2804" s="12">
        <v>46009</v>
      </c>
      <c r="L2804" s="28" t="s">
        <v>11</v>
      </c>
      <c r="M2804" s="14"/>
      <c r="N2804" s="10" t="s">
        <v>1096</v>
      </c>
    </row>
    <row r="2805" spans="1:14" ht="22.5" customHeight="1">
      <c r="A2805" s="8">
        <v>46009.575460983797</v>
      </c>
      <c r="B2805" s="9" t="s">
        <v>14</v>
      </c>
      <c r="C2805" s="9" t="s">
        <v>15</v>
      </c>
      <c r="D2805" s="10" t="s">
        <v>6216</v>
      </c>
      <c r="E2805" s="9" t="s">
        <v>17</v>
      </c>
      <c r="F2805" s="10">
        <v>25</v>
      </c>
      <c r="G2805" s="11">
        <v>7030664984</v>
      </c>
      <c r="H2805" s="10" t="s">
        <v>6217</v>
      </c>
      <c r="I2805" s="10" t="s">
        <v>27</v>
      </c>
      <c r="J2805" s="10" t="s">
        <v>67</v>
      </c>
      <c r="K2805" s="12">
        <v>46009</v>
      </c>
      <c r="L2805" s="28" t="s">
        <v>11</v>
      </c>
      <c r="M2805" s="14"/>
      <c r="N2805" s="10" t="s">
        <v>1028</v>
      </c>
    </row>
    <row r="2806" spans="1:14" ht="22.5" customHeight="1">
      <c r="A2806" s="8">
        <v>46009.576248784724</v>
      </c>
      <c r="B2806" s="9" t="s">
        <v>14</v>
      </c>
      <c r="C2806" s="9" t="s">
        <v>15</v>
      </c>
      <c r="D2806" s="10" t="s">
        <v>6218</v>
      </c>
      <c r="E2806" s="9" t="s">
        <v>22</v>
      </c>
      <c r="F2806" s="10">
        <v>22</v>
      </c>
      <c r="G2806" s="11">
        <v>8088907427</v>
      </c>
      <c r="H2806" s="10" t="s">
        <v>6219</v>
      </c>
      <c r="I2806" s="10" t="s">
        <v>202</v>
      </c>
      <c r="J2806" s="10" t="s">
        <v>4005</v>
      </c>
      <c r="K2806" s="12">
        <v>46009</v>
      </c>
      <c r="L2806" s="28" t="s">
        <v>11</v>
      </c>
      <c r="M2806" s="14"/>
      <c r="N2806" s="10" t="s">
        <v>1028</v>
      </c>
    </row>
    <row r="2807" spans="1:14" ht="22.5" customHeight="1">
      <c r="A2807" s="8">
        <v>46009.577180208333</v>
      </c>
      <c r="B2807" s="9" t="s">
        <v>14</v>
      </c>
      <c r="C2807" s="9" t="s">
        <v>15</v>
      </c>
      <c r="D2807" s="10" t="s">
        <v>6220</v>
      </c>
      <c r="E2807" s="9" t="s">
        <v>22</v>
      </c>
      <c r="F2807" s="10">
        <v>23</v>
      </c>
      <c r="G2807" s="11">
        <v>7040753199</v>
      </c>
      <c r="H2807" s="10" t="s">
        <v>6221</v>
      </c>
      <c r="I2807" s="10" t="s">
        <v>19</v>
      </c>
      <c r="J2807" s="10" t="s">
        <v>1845</v>
      </c>
      <c r="K2807" s="12">
        <v>46009</v>
      </c>
      <c r="L2807" s="28" t="s">
        <v>11</v>
      </c>
      <c r="M2807" s="14"/>
      <c r="N2807" s="10" t="s">
        <v>1028</v>
      </c>
    </row>
    <row r="2808" spans="1:14" ht="22.5" customHeight="1">
      <c r="A2808" s="8">
        <v>46009.578020000001</v>
      </c>
      <c r="B2808" s="9" t="s">
        <v>14</v>
      </c>
      <c r="C2808" s="9" t="s">
        <v>15</v>
      </c>
      <c r="D2808" s="10" t="s">
        <v>6222</v>
      </c>
      <c r="E2808" s="9" t="s">
        <v>22</v>
      </c>
      <c r="F2808" s="10">
        <v>27</v>
      </c>
      <c r="G2808" s="11">
        <v>8069067658</v>
      </c>
      <c r="H2808" s="10" t="s">
        <v>6223</v>
      </c>
      <c r="I2808" s="10" t="s">
        <v>27</v>
      </c>
      <c r="J2808" s="10" t="s">
        <v>1890</v>
      </c>
      <c r="K2808" s="12">
        <v>46009</v>
      </c>
      <c r="L2808" s="28" t="s">
        <v>11</v>
      </c>
      <c r="M2808" s="14"/>
      <c r="N2808" s="10" t="s">
        <v>1028</v>
      </c>
    </row>
    <row r="2809" spans="1:14" ht="22.5" customHeight="1">
      <c r="A2809" s="8">
        <v>46009.58374321759</v>
      </c>
      <c r="B2809" s="9" t="s">
        <v>14</v>
      </c>
      <c r="C2809" s="9" t="s">
        <v>15</v>
      </c>
      <c r="D2809" s="10" t="s">
        <v>6224</v>
      </c>
      <c r="E2809" s="9" t="s">
        <v>22</v>
      </c>
      <c r="F2809" s="10">
        <v>24</v>
      </c>
      <c r="G2809" s="11">
        <v>5138302086</v>
      </c>
      <c r="H2809" s="10" t="s">
        <v>6225</v>
      </c>
      <c r="I2809" s="10" t="s">
        <v>45</v>
      </c>
      <c r="J2809" s="10" t="s">
        <v>2761</v>
      </c>
      <c r="K2809" s="12">
        <v>37243</v>
      </c>
      <c r="L2809" s="28" t="s">
        <v>11</v>
      </c>
      <c r="M2809" s="14"/>
      <c r="N2809" s="10" t="s">
        <v>2186</v>
      </c>
    </row>
    <row r="2810" spans="1:14" ht="22.5" customHeight="1">
      <c r="A2810" s="8">
        <v>46009.605212731476</v>
      </c>
      <c r="B2810" s="9" t="s">
        <v>14</v>
      </c>
      <c r="C2810" s="9" t="s">
        <v>15</v>
      </c>
      <c r="D2810" s="10" t="s">
        <v>6226</v>
      </c>
      <c r="E2810" s="9" t="s">
        <v>17</v>
      </c>
      <c r="F2810" s="10">
        <v>33</v>
      </c>
      <c r="G2810" s="11">
        <v>9131304445</v>
      </c>
      <c r="H2810" s="10" t="s">
        <v>6227</v>
      </c>
      <c r="I2810" s="10" t="s">
        <v>27</v>
      </c>
      <c r="J2810" s="10" t="s">
        <v>1514</v>
      </c>
      <c r="K2810" s="12">
        <v>46009</v>
      </c>
      <c r="L2810" s="28" t="s">
        <v>11</v>
      </c>
      <c r="M2810" s="10"/>
      <c r="N2810" s="10" t="s">
        <v>1028</v>
      </c>
    </row>
    <row r="2811" spans="1:14" ht="22.5" customHeight="1">
      <c r="A2811" s="8">
        <v>46009.611609791667</v>
      </c>
      <c r="B2811" s="9" t="s">
        <v>14</v>
      </c>
      <c r="C2811" s="9" t="s">
        <v>15</v>
      </c>
      <c r="D2811" s="10" t="s">
        <v>6228</v>
      </c>
      <c r="E2811" s="9" t="s">
        <v>22</v>
      </c>
      <c r="F2811" s="10">
        <v>31</v>
      </c>
      <c r="G2811" s="11">
        <v>9060498057</v>
      </c>
      <c r="H2811" s="10" t="s">
        <v>6229</v>
      </c>
      <c r="I2811" s="10" t="s">
        <v>202</v>
      </c>
      <c r="J2811" s="10" t="s">
        <v>6091</v>
      </c>
      <c r="K2811" s="12">
        <v>46009</v>
      </c>
      <c r="L2811" s="28" t="s">
        <v>11</v>
      </c>
      <c r="M2811" s="14"/>
      <c r="N2811" s="10" t="s">
        <v>1028</v>
      </c>
    </row>
    <row r="2812" spans="1:14" ht="22.5" customHeight="1">
      <c r="A2812" s="8">
        <v>46009.616784305559</v>
      </c>
      <c r="B2812" s="9" t="s">
        <v>14</v>
      </c>
      <c r="C2812" s="9" t="s">
        <v>15</v>
      </c>
      <c r="D2812" s="10" t="s">
        <v>6230</v>
      </c>
      <c r="E2812" s="9" t="s">
        <v>17</v>
      </c>
      <c r="F2812" s="10">
        <v>29</v>
      </c>
      <c r="G2812" s="11">
        <v>9168521182</v>
      </c>
      <c r="H2812" s="10" t="s">
        <v>6231</v>
      </c>
      <c r="I2812" s="10" t="s">
        <v>202</v>
      </c>
      <c r="J2812" s="10" t="s">
        <v>4005</v>
      </c>
      <c r="K2812" s="12">
        <v>46009</v>
      </c>
      <c r="L2812" s="28" t="s">
        <v>11</v>
      </c>
      <c r="M2812" s="10"/>
      <c r="N2812" s="10" t="s">
        <v>1209</v>
      </c>
    </row>
    <row r="2813" spans="1:14" ht="22.5" customHeight="1">
      <c r="A2813" s="8">
        <v>46009.621300729166</v>
      </c>
      <c r="B2813" s="9" t="s">
        <v>14</v>
      </c>
      <c r="C2813" s="9" t="s">
        <v>15</v>
      </c>
      <c r="D2813" s="10" t="s">
        <v>6232</v>
      </c>
      <c r="E2813" s="9" t="s">
        <v>22</v>
      </c>
      <c r="F2813" s="10">
        <v>26</v>
      </c>
      <c r="G2813" s="11">
        <v>9076073309</v>
      </c>
      <c r="H2813" s="10" t="s">
        <v>6233</v>
      </c>
      <c r="I2813" s="10" t="s">
        <v>202</v>
      </c>
      <c r="J2813" s="10" t="s">
        <v>2059</v>
      </c>
      <c r="K2813" s="12">
        <v>36405</v>
      </c>
      <c r="L2813" s="28" t="s">
        <v>11</v>
      </c>
      <c r="M2813" s="14"/>
      <c r="N2813" s="10" t="s">
        <v>1028</v>
      </c>
    </row>
    <row r="2814" spans="1:14" ht="22.5" customHeight="1">
      <c r="A2814" s="8">
        <v>46009.623631342591</v>
      </c>
      <c r="B2814" s="9" t="s">
        <v>14</v>
      </c>
      <c r="C2814" s="9" t="s">
        <v>15</v>
      </c>
      <c r="D2814" s="10" t="s">
        <v>6234</v>
      </c>
      <c r="E2814" s="9" t="s">
        <v>17</v>
      </c>
      <c r="F2814" s="10">
        <v>30</v>
      </c>
      <c r="G2814" s="11">
        <v>8088500491</v>
      </c>
      <c r="H2814" s="10" t="s">
        <v>6235</v>
      </c>
      <c r="I2814" s="10" t="s">
        <v>202</v>
      </c>
      <c r="J2814" s="10" t="s">
        <v>2059</v>
      </c>
      <c r="K2814" s="12">
        <v>34952</v>
      </c>
      <c r="L2814" s="28" t="s">
        <v>11</v>
      </c>
      <c r="M2814" s="14"/>
      <c r="N2814" s="10" t="s">
        <v>1028</v>
      </c>
    </row>
    <row r="2815" spans="1:14" ht="22.5" customHeight="1">
      <c r="A2815" s="8">
        <v>46009.625100011574</v>
      </c>
      <c r="B2815" s="9" t="s">
        <v>14</v>
      </c>
      <c r="C2815" s="9" t="s">
        <v>15</v>
      </c>
      <c r="D2815" s="10" t="s">
        <v>6236</v>
      </c>
      <c r="E2815" s="9" t="s">
        <v>22</v>
      </c>
      <c r="F2815" s="10">
        <v>25</v>
      </c>
      <c r="G2815" s="11">
        <v>8164255526</v>
      </c>
      <c r="H2815" s="10" t="s">
        <v>6237</v>
      </c>
      <c r="I2815" s="10" t="s">
        <v>45</v>
      </c>
      <c r="J2815" s="10" t="s">
        <v>178</v>
      </c>
      <c r="K2815" s="12">
        <v>46009</v>
      </c>
      <c r="L2815" s="28" t="s">
        <v>11</v>
      </c>
      <c r="M2815" s="14"/>
      <c r="N2815" s="10" t="s">
        <v>1028</v>
      </c>
    </row>
    <row r="2816" spans="1:14" ht="22.5" customHeight="1">
      <c r="A2816" s="8">
        <v>46009.625410474539</v>
      </c>
      <c r="B2816" s="9" t="s">
        <v>14</v>
      </c>
      <c r="C2816" s="9" t="s">
        <v>15</v>
      </c>
      <c r="D2816" s="10" t="s">
        <v>6238</v>
      </c>
      <c r="E2816" s="9" t="s">
        <v>22</v>
      </c>
      <c r="F2816" s="10">
        <v>43</v>
      </c>
      <c r="G2816" s="11">
        <v>7032126155</v>
      </c>
      <c r="H2816" s="10" t="s">
        <v>6239</v>
      </c>
      <c r="I2816" s="10" t="s">
        <v>31</v>
      </c>
      <c r="J2816" s="10" t="s">
        <v>3940</v>
      </c>
      <c r="K2816" s="12">
        <v>46009</v>
      </c>
      <c r="L2816" s="28" t="s">
        <v>11</v>
      </c>
      <c r="M2816" s="14"/>
      <c r="N2816" s="10" t="s">
        <v>1028</v>
      </c>
    </row>
    <row r="2817" spans="1:14" ht="22.5" customHeight="1">
      <c r="A2817" s="8">
        <v>46009.633031192134</v>
      </c>
      <c r="B2817" s="9" t="s">
        <v>14</v>
      </c>
      <c r="C2817" s="9" t="s">
        <v>15</v>
      </c>
      <c r="D2817" s="10" t="s">
        <v>6240</v>
      </c>
      <c r="E2817" s="9" t="s">
        <v>17</v>
      </c>
      <c r="F2817" s="10">
        <v>25</v>
      </c>
      <c r="G2817" s="11">
        <v>7025414343</v>
      </c>
      <c r="H2817" s="10" t="s">
        <v>6241</v>
      </c>
      <c r="I2817" s="10" t="s">
        <v>202</v>
      </c>
      <c r="J2817" s="10" t="s">
        <v>3437</v>
      </c>
      <c r="K2817" s="12">
        <v>46009</v>
      </c>
      <c r="L2817" s="28" t="s">
        <v>11</v>
      </c>
      <c r="M2817" s="14"/>
      <c r="N2817" s="10" t="s">
        <v>1028</v>
      </c>
    </row>
    <row r="2818" spans="1:14" ht="22.5" customHeight="1">
      <c r="A2818" s="8">
        <v>46009.633279074071</v>
      </c>
      <c r="B2818" s="9" t="s">
        <v>14</v>
      </c>
      <c r="C2818" s="9" t="s">
        <v>15</v>
      </c>
      <c r="D2818" s="10" t="s">
        <v>6242</v>
      </c>
      <c r="E2818" s="9" t="s">
        <v>22</v>
      </c>
      <c r="F2818" s="10">
        <v>32</v>
      </c>
      <c r="G2818" s="11">
        <v>8061415349</v>
      </c>
      <c r="H2818" s="10" t="s">
        <v>6243</v>
      </c>
      <c r="I2818" s="10" t="s">
        <v>202</v>
      </c>
      <c r="J2818" s="10" t="s">
        <v>4005</v>
      </c>
      <c r="K2818" s="12">
        <v>46009</v>
      </c>
      <c r="L2818" s="28" t="s">
        <v>11</v>
      </c>
      <c r="M2818" s="14"/>
      <c r="N2818" s="10" t="s">
        <v>1028</v>
      </c>
    </row>
    <row r="2819" spans="1:14" ht="22.5" customHeight="1">
      <c r="A2819" s="8">
        <v>46009.64742543982</v>
      </c>
      <c r="B2819" s="9" t="s">
        <v>14</v>
      </c>
      <c r="C2819" s="9" t="s">
        <v>15</v>
      </c>
      <c r="D2819" s="10" t="s">
        <v>6244</v>
      </c>
      <c r="E2819" s="9" t="s">
        <v>17</v>
      </c>
      <c r="F2819" s="10">
        <v>33</v>
      </c>
      <c r="G2819" s="11">
        <v>8034548130</v>
      </c>
      <c r="H2819" s="10" t="s">
        <v>6245</v>
      </c>
      <c r="I2819" s="10" t="s">
        <v>27</v>
      </c>
      <c r="J2819" s="10" t="s">
        <v>172</v>
      </c>
      <c r="K2819" s="12">
        <v>46009</v>
      </c>
      <c r="L2819" s="28" t="s">
        <v>11</v>
      </c>
      <c r="M2819" s="14"/>
      <c r="N2819" s="10" t="s">
        <v>1028</v>
      </c>
    </row>
    <row r="2820" spans="1:14" ht="22.5" customHeight="1">
      <c r="A2820" s="8">
        <v>46009.657660960649</v>
      </c>
      <c r="B2820" s="9" t="s">
        <v>14</v>
      </c>
      <c r="C2820" s="9" t="s">
        <v>15</v>
      </c>
      <c r="D2820" s="10" t="s">
        <v>6246</v>
      </c>
      <c r="E2820" s="9" t="s">
        <v>17</v>
      </c>
      <c r="F2820" s="10">
        <v>24</v>
      </c>
      <c r="G2820" s="11">
        <v>7031642992</v>
      </c>
      <c r="H2820" s="10" t="s">
        <v>6247</v>
      </c>
      <c r="I2820" s="10" t="s">
        <v>27</v>
      </c>
      <c r="J2820" s="10" t="s">
        <v>67</v>
      </c>
      <c r="K2820" s="12">
        <v>46009</v>
      </c>
      <c r="L2820" s="28" t="s">
        <v>11</v>
      </c>
      <c r="M2820" s="14"/>
      <c r="N2820" s="10" t="s">
        <v>1028</v>
      </c>
    </row>
    <row r="2821" spans="1:14" ht="22.5" customHeight="1">
      <c r="A2821" s="8">
        <v>46009.659257326392</v>
      </c>
      <c r="B2821" s="9" t="s">
        <v>14</v>
      </c>
      <c r="C2821" s="9" t="s">
        <v>15</v>
      </c>
      <c r="D2821" s="10" t="s">
        <v>6248</v>
      </c>
      <c r="E2821" s="9" t="s">
        <v>17</v>
      </c>
      <c r="F2821" s="10">
        <v>30</v>
      </c>
      <c r="G2821" s="11">
        <v>8064432176</v>
      </c>
      <c r="H2821" s="10" t="s">
        <v>6249</v>
      </c>
      <c r="I2821" s="10" t="s">
        <v>19</v>
      </c>
      <c r="J2821" s="10" t="s">
        <v>5064</v>
      </c>
      <c r="K2821" s="12">
        <v>46009</v>
      </c>
      <c r="L2821" s="28" t="s">
        <v>11</v>
      </c>
      <c r="M2821" s="14"/>
      <c r="N2821" s="10" t="s">
        <v>1028</v>
      </c>
    </row>
    <row r="2822" spans="1:14" ht="22.5" customHeight="1">
      <c r="A2822" s="8">
        <v>46009.664647256941</v>
      </c>
      <c r="B2822" s="9" t="s">
        <v>14</v>
      </c>
      <c r="C2822" s="9" t="s">
        <v>15</v>
      </c>
      <c r="D2822" s="10" t="s">
        <v>6250</v>
      </c>
      <c r="E2822" s="9" t="s">
        <v>22</v>
      </c>
      <c r="F2822" s="10">
        <v>25</v>
      </c>
      <c r="G2822" s="11">
        <v>7068368451</v>
      </c>
      <c r="H2822" s="10" t="s">
        <v>6251</v>
      </c>
      <c r="I2822" s="10" t="s">
        <v>45</v>
      </c>
      <c r="J2822" s="10" t="s">
        <v>178</v>
      </c>
      <c r="K2822" s="12">
        <v>46009</v>
      </c>
      <c r="L2822" s="28" t="s">
        <v>11</v>
      </c>
      <c r="M2822" s="14"/>
      <c r="N2822" s="10" t="s">
        <v>1028</v>
      </c>
    </row>
    <row r="2823" spans="1:14" ht="22.5" customHeight="1">
      <c r="A2823" s="8">
        <v>46009.685938483795</v>
      </c>
      <c r="B2823" s="9" t="s">
        <v>14</v>
      </c>
      <c r="C2823" s="9" t="s">
        <v>15</v>
      </c>
      <c r="D2823" s="10" t="s">
        <v>6252</v>
      </c>
      <c r="E2823" s="9" t="s">
        <v>17</v>
      </c>
      <c r="F2823" s="10">
        <v>35</v>
      </c>
      <c r="G2823" s="11">
        <v>8101270713</v>
      </c>
      <c r="H2823" s="10" t="s">
        <v>6253</v>
      </c>
      <c r="I2823" s="10" t="s">
        <v>202</v>
      </c>
      <c r="J2823" s="10" t="s">
        <v>4005</v>
      </c>
      <c r="K2823" s="12">
        <v>33393</v>
      </c>
      <c r="L2823" s="28" t="s">
        <v>11</v>
      </c>
      <c r="M2823" s="14"/>
      <c r="N2823" s="10" t="s">
        <v>1028</v>
      </c>
    </row>
    <row r="2824" spans="1:14" ht="22.5" customHeight="1">
      <c r="A2824" s="8">
        <v>46009.688493530091</v>
      </c>
      <c r="B2824" s="9" t="s">
        <v>14</v>
      </c>
      <c r="C2824" s="9" t="s">
        <v>15</v>
      </c>
      <c r="D2824" s="10" t="s">
        <v>6254</v>
      </c>
      <c r="E2824" s="9" t="s">
        <v>17</v>
      </c>
      <c r="F2824" s="10">
        <v>29</v>
      </c>
      <c r="G2824" s="11">
        <f t="shared" ref="G2824" si="71">2348106474562</f>
        <v>2348106474562</v>
      </c>
      <c r="H2824" s="10" t="s">
        <v>6255</v>
      </c>
      <c r="I2824" s="10" t="s">
        <v>27</v>
      </c>
      <c r="J2824" s="10" t="s">
        <v>6256</v>
      </c>
      <c r="K2824" s="12">
        <v>46009</v>
      </c>
      <c r="L2824" s="28" t="s">
        <v>11</v>
      </c>
      <c r="M2824" s="14"/>
      <c r="N2824" s="10" t="s">
        <v>1028</v>
      </c>
    </row>
    <row r="2825" spans="1:14" ht="22.5" customHeight="1">
      <c r="A2825" s="8">
        <v>46009.69527895833</v>
      </c>
      <c r="B2825" s="9" t="s">
        <v>14</v>
      </c>
      <c r="C2825" s="9" t="s">
        <v>15</v>
      </c>
      <c r="D2825" s="10" t="s">
        <v>6257</v>
      </c>
      <c r="E2825" s="9" t="s">
        <v>22</v>
      </c>
      <c r="F2825" s="10">
        <v>24</v>
      </c>
      <c r="G2825" s="11">
        <v>7054499870</v>
      </c>
      <c r="H2825" s="10" t="s">
        <v>6258</v>
      </c>
      <c r="I2825" s="10" t="s">
        <v>31</v>
      </c>
      <c r="J2825" s="10" t="s">
        <v>6259</v>
      </c>
      <c r="K2825" s="12">
        <v>46009</v>
      </c>
      <c r="L2825" s="28" t="s">
        <v>11</v>
      </c>
      <c r="M2825" s="14"/>
      <c r="N2825" s="10" t="s">
        <v>1028</v>
      </c>
    </row>
    <row r="2826" spans="1:14" ht="22.5" customHeight="1">
      <c r="A2826" s="8">
        <v>46009.697759189818</v>
      </c>
      <c r="B2826" s="9" t="s">
        <v>14</v>
      </c>
      <c r="C2826" s="9" t="s">
        <v>15</v>
      </c>
      <c r="D2826" s="10" t="s">
        <v>6260</v>
      </c>
      <c r="E2826" s="9" t="s">
        <v>22</v>
      </c>
      <c r="F2826" s="10">
        <v>23</v>
      </c>
      <c r="G2826" s="11">
        <v>7030770713</v>
      </c>
      <c r="H2826" s="10" t="s">
        <v>6261</v>
      </c>
      <c r="I2826" s="10" t="s">
        <v>202</v>
      </c>
      <c r="J2826" s="10" t="s">
        <v>6262</v>
      </c>
      <c r="K2826" s="12">
        <v>46009</v>
      </c>
      <c r="L2826" s="28" t="s">
        <v>11</v>
      </c>
      <c r="M2826" s="14"/>
      <c r="N2826" s="10" t="s">
        <v>1028</v>
      </c>
    </row>
    <row r="2827" spans="1:14" ht="22.5" customHeight="1">
      <c r="A2827" s="8">
        <v>46009.708801111112</v>
      </c>
      <c r="B2827" s="9" t="s">
        <v>14</v>
      </c>
      <c r="C2827" s="9" t="s">
        <v>15</v>
      </c>
      <c r="D2827" s="10" t="s">
        <v>6263</v>
      </c>
      <c r="E2827" s="9" t="s">
        <v>22</v>
      </c>
      <c r="F2827" s="10">
        <v>24</v>
      </c>
      <c r="G2827" s="11">
        <v>9133098017</v>
      </c>
      <c r="H2827" s="10" t="s">
        <v>6264</v>
      </c>
      <c r="I2827" s="10" t="s">
        <v>31</v>
      </c>
      <c r="J2827" s="10" t="s">
        <v>6265</v>
      </c>
      <c r="K2827" s="12">
        <v>46009</v>
      </c>
      <c r="L2827" s="28" t="s">
        <v>11</v>
      </c>
      <c r="M2827" s="14"/>
      <c r="N2827" s="10" t="s">
        <v>1028</v>
      </c>
    </row>
    <row r="2828" spans="1:14" ht="22.5" customHeight="1">
      <c r="A2828" s="8">
        <v>46009.71103633102</v>
      </c>
      <c r="B2828" s="9" t="s">
        <v>14</v>
      </c>
      <c r="C2828" s="9" t="s">
        <v>15</v>
      </c>
      <c r="D2828" s="10" t="s">
        <v>6266</v>
      </c>
      <c r="E2828" s="9" t="s">
        <v>17</v>
      </c>
      <c r="F2828" s="10">
        <v>31</v>
      </c>
      <c r="G2828" s="11">
        <v>7068842528</v>
      </c>
      <c r="H2828" s="10" t="s">
        <v>6267</v>
      </c>
      <c r="I2828" s="10" t="s">
        <v>27</v>
      </c>
      <c r="J2828" s="10" t="s">
        <v>1194</v>
      </c>
      <c r="K2828" s="12">
        <v>46009</v>
      </c>
      <c r="L2828" s="28" t="s">
        <v>11</v>
      </c>
      <c r="M2828" s="14"/>
      <c r="N2828" s="10" t="s">
        <v>1028</v>
      </c>
    </row>
    <row r="2829" spans="1:14" ht="22.5" customHeight="1">
      <c r="A2829" s="8">
        <v>46009.711200335645</v>
      </c>
      <c r="B2829" s="9" t="s">
        <v>14</v>
      </c>
      <c r="C2829" s="9" t="s">
        <v>15</v>
      </c>
      <c r="D2829" s="10" t="s">
        <v>6268</v>
      </c>
      <c r="E2829" s="9" t="s">
        <v>17</v>
      </c>
      <c r="F2829" s="19">
        <v>29</v>
      </c>
      <c r="G2829" s="11">
        <v>9061399261</v>
      </c>
      <c r="H2829" s="10" t="s">
        <v>6269</v>
      </c>
      <c r="I2829" s="10" t="s">
        <v>49</v>
      </c>
      <c r="J2829" s="10" t="s">
        <v>282</v>
      </c>
      <c r="K2829" s="12">
        <v>45993</v>
      </c>
      <c r="L2829" s="28" t="s">
        <v>11</v>
      </c>
      <c r="M2829" s="14"/>
      <c r="N2829" s="10" t="s">
        <v>1028</v>
      </c>
    </row>
    <row r="2830" spans="1:14" ht="22.5" customHeight="1">
      <c r="A2830" s="8">
        <v>46009.712227986107</v>
      </c>
      <c r="B2830" s="9" t="s">
        <v>14</v>
      </c>
      <c r="C2830" s="9" t="s">
        <v>15</v>
      </c>
      <c r="D2830" s="10" t="s">
        <v>6270</v>
      </c>
      <c r="E2830" s="9" t="s">
        <v>22</v>
      </c>
      <c r="F2830" s="10">
        <v>27</v>
      </c>
      <c r="G2830" s="11">
        <v>7088923283</v>
      </c>
      <c r="H2830" s="10" t="s">
        <v>6271</v>
      </c>
      <c r="I2830" s="10" t="s">
        <v>202</v>
      </c>
      <c r="J2830" s="10" t="s">
        <v>4632</v>
      </c>
      <c r="K2830" s="12">
        <v>46009</v>
      </c>
      <c r="L2830" s="28" t="s">
        <v>11</v>
      </c>
      <c r="M2830" s="14"/>
      <c r="N2830" s="10" t="s">
        <v>1028</v>
      </c>
    </row>
    <row r="2831" spans="1:14" ht="22.5" customHeight="1">
      <c r="A2831" s="8">
        <v>46009.714791597224</v>
      </c>
      <c r="B2831" s="9" t="s">
        <v>14</v>
      </c>
      <c r="C2831" s="9" t="s">
        <v>15</v>
      </c>
      <c r="D2831" s="10" t="s">
        <v>6272</v>
      </c>
      <c r="E2831" s="9" t="s">
        <v>22</v>
      </c>
      <c r="F2831" s="10">
        <v>29</v>
      </c>
      <c r="G2831" s="11">
        <v>8060001238</v>
      </c>
      <c r="H2831" s="10" t="s">
        <v>6273</v>
      </c>
      <c r="I2831" s="10" t="s">
        <v>27</v>
      </c>
      <c r="J2831" s="10" t="s">
        <v>172</v>
      </c>
      <c r="K2831" s="12">
        <v>46009</v>
      </c>
      <c r="L2831" s="28" t="s">
        <v>11</v>
      </c>
      <c r="M2831" s="14"/>
      <c r="N2831" s="10" t="s">
        <v>1028</v>
      </c>
    </row>
    <row r="2832" spans="1:14" ht="22.5" customHeight="1">
      <c r="A2832" s="8">
        <v>46009.720350891206</v>
      </c>
      <c r="B2832" s="9" t="s">
        <v>14</v>
      </c>
      <c r="C2832" s="9" t="s">
        <v>15</v>
      </c>
      <c r="D2832" s="10" t="s">
        <v>6274</v>
      </c>
      <c r="E2832" s="9" t="s">
        <v>22</v>
      </c>
      <c r="F2832" s="10">
        <v>34</v>
      </c>
      <c r="G2832" s="11">
        <v>8071373556</v>
      </c>
      <c r="H2832" s="10" t="s">
        <v>6275</v>
      </c>
      <c r="I2832" s="10" t="s">
        <v>202</v>
      </c>
      <c r="J2832" s="10" t="s">
        <v>4005</v>
      </c>
      <c r="K2832" s="12">
        <v>46009</v>
      </c>
      <c r="L2832" s="28" t="s">
        <v>11</v>
      </c>
      <c r="M2832" s="14"/>
      <c r="N2832" s="10" t="s">
        <v>1563</v>
      </c>
    </row>
    <row r="2833" spans="1:14" ht="22.5" customHeight="1">
      <c r="A2833" s="8">
        <v>46009.727162418982</v>
      </c>
      <c r="B2833" s="9" t="s">
        <v>14</v>
      </c>
      <c r="C2833" s="9" t="s">
        <v>15</v>
      </c>
      <c r="D2833" s="10" t="s">
        <v>6276</v>
      </c>
      <c r="E2833" s="9" t="s">
        <v>22</v>
      </c>
      <c r="F2833" s="10">
        <v>21</v>
      </c>
      <c r="G2833" s="11">
        <v>9133316125</v>
      </c>
      <c r="H2833" s="10" t="s">
        <v>6277</v>
      </c>
      <c r="I2833" s="10" t="s">
        <v>27</v>
      </c>
      <c r="J2833" s="10" t="s">
        <v>3399</v>
      </c>
      <c r="K2833" s="12">
        <v>46009</v>
      </c>
      <c r="L2833" s="28" t="s">
        <v>11</v>
      </c>
      <c r="M2833" s="14"/>
      <c r="N2833" s="10" t="s">
        <v>1028</v>
      </c>
    </row>
    <row r="2834" spans="1:14" ht="22.5" customHeight="1">
      <c r="A2834" s="8">
        <v>46009.732548194443</v>
      </c>
      <c r="B2834" s="9" t="s">
        <v>14</v>
      </c>
      <c r="C2834" s="9" t="s">
        <v>15</v>
      </c>
      <c r="D2834" s="10" t="s">
        <v>6278</v>
      </c>
      <c r="E2834" s="9" t="s">
        <v>17</v>
      </c>
      <c r="F2834" s="10">
        <v>25</v>
      </c>
      <c r="G2834" s="11">
        <v>9052195594</v>
      </c>
      <c r="H2834" s="10" t="s">
        <v>6279</v>
      </c>
      <c r="I2834" s="10" t="s">
        <v>45</v>
      </c>
      <c r="J2834" s="10" t="s">
        <v>932</v>
      </c>
      <c r="K2834" s="12">
        <v>46009</v>
      </c>
      <c r="L2834" s="28" t="s">
        <v>11</v>
      </c>
      <c r="M2834" s="14"/>
      <c r="N2834" s="10" t="s">
        <v>1035</v>
      </c>
    </row>
    <row r="2835" spans="1:14" ht="22.5" customHeight="1">
      <c r="A2835" s="8">
        <v>46009.737029942131</v>
      </c>
      <c r="B2835" s="9" t="s">
        <v>14</v>
      </c>
      <c r="C2835" s="9" t="s">
        <v>15</v>
      </c>
      <c r="D2835" s="10" t="s">
        <v>6280</v>
      </c>
      <c r="E2835" s="9" t="s">
        <v>17</v>
      </c>
      <c r="F2835" s="10">
        <v>29</v>
      </c>
      <c r="G2835" s="11">
        <v>8039247151</v>
      </c>
      <c r="H2835" s="10" t="s">
        <v>6281</v>
      </c>
      <c r="I2835" s="10" t="s">
        <v>27</v>
      </c>
      <c r="J2835" s="10" t="s">
        <v>1514</v>
      </c>
      <c r="K2835" s="12">
        <v>46009</v>
      </c>
      <c r="L2835" s="28" t="s">
        <v>11</v>
      </c>
      <c r="M2835" s="14"/>
      <c r="N2835" s="10" t="s">
        <v>1028</v>
      </c>
    </row>
    <row r="2836" spans="1:14" ht="22.5" customHeight="1">
      <c r="A2836" s="8">
        <v>46009.740074918984</v>
      </c>
      <c r="B2836" s="9" t="s">
        <v>14</v>
      </c>
      <c r="C2836" s="9" t="s">
        <v>15</v>
      </c>
      <c r="D2836" s="10" t="s">
        <v>6282</v>
      </c>
      <c r="E2836" s="9" t="s">
        <v>22</v>
      </c>
      <c r="F2836" s="10">
        <v>22</v>
      </c>
      <c r="G2836" s="11">
        <v>7073683082</v>
      </c>
      <c r="H2836" s="10" t="s">
        <v>6283</v>
      </c>
      <c r="I2836" s="10" t="s">
        <v>19</v>
      </c>
      <c r="J2836" s="10" t="s">
        <v>3369</v>
      </c>
      <c r="K2836" s="12">
        <v>46009</v>
      </c>
      <c r="L2836" s="28" t="s">
        <v>11</v>
      </c>
      <c r="M2836" s="14"/>
      <c r="N2836" s="10" t="s">
        <v>1028</v>
      </c>
    </row>
    <row r="2837" spans="1:14" ht="22.5" customHeight="1">
      <c r="A2837" s="8">
        <v>46009.740771342593</v>
      </c>
      <c r="B2837" s="9" t="s">
        <v>14</v>
      </c>
      <c r="C2837" s="9" t="s">
        <v>15</v>
      </c>
      <c r="D2837" s="10" t="s">
        <v>6284</v>
      </c>
      <c r="E2837" s="9" t="s">
        <v>22</v>
      </c>
      <c r="F2837" s="10">
        <v>19</v>
      </c>
      <c r="G2837" s="11">
        <v>7075896462</v>
      </c>
      <c r="H2837" s="10" t="s">
        <v>6285</v>
      </c>
      <c r="I2837" s="10" t="s">
        <v>45</v>
      </c>
      <c r="J2837" s="10" t="s">
        <v>46</v>
      </c>
      <c r="K2837" s="12">
        <v>46009</v>
      </c>
      <c r="L2837" s="28" t="s">
        <v>11</v>
      </c>
      <c r="M2837" s="14"/>
      <c r="N2837" s="10" t="s">
        <v>1028</v>
      </c>
    </row>
    <row r="2838" spans="1:14" ht="22.5" customHeight="1">
      <c r="A2838" s="8">
        <v>46009.745817384261</v>
      </c>
      <c r="B2838" s="9" t="s">
        <v>14</v>
      </c>
      <c r="C2838" s="9" t="s">
        <v>15</v>
      </c>
      <c r="D2838" s="10" t="s">
        <v>6286</v>
      </c>
      <c r="E2838" s="9" t="s">
        <v>17</v>
      </c>
      <c r="F2838" s="10">
        <v>34</v>
      </c>
      <c r="G2838" s="11">
        <v>8037383545</v>
      </c>
      <c r="H2838" s="10" t="s">
        <v>6287</v>
      </c>
      <c r="I2838" s="10" t="s">
        <v>27</v>
      </c>
      <c r="J2838" s="10" t="s">
        <v>372</v>
      </c>
      <c r="K2838" s="12">
        <v>46009</v>
      </c>
      <c r="L2838" s="28" t="s">
        <v>11</v>
      </c>
      <c r="M2838" s="14"/>
      <c r="N2838" s="10" t="s">
        <v>1028</v>
      </c>
    </row>
    <row r="2839" spans="1:14" ht="22.5" customHeight="1">
      <c r="A2839" s="8">
        <v>46009.747104050926</v>
      </c>
      <c r="B2839" s="9" t="s">
        <v>14</v>
      </c>
      <c r="C2839" s="9" t="s">
        <v>15</v>
      </c>
      <c r="D2839" s="10" t="s">
        <v>6288</v>
      </c>
      <c r="E2839" s="9" t="s">
        <v>17</v>
      </c>
      <c r="F2839" s="10">
        <v>35</v>
      </c>
      <c r="G2839" s="11">
        <v>8036812079</v>
      </c>
      <c r="H2839" s="10" t="s">
        <v>6289</v>
      </c>
      <c r="I2839" s="10" t="s">
        <v>202</v>
      </c>
      <c r="J2839" s="10" t="s">
        <v>6091</v>
      </c>
      <c r="K2839" s="12">
        <v>46009</v>
      </c>
      <c r="L2839" s="28" t="s">
        <v>11</v>
      </c>
      <c r="M2839" s="14"/>
      <c r="N2839" s="10" t="s">
        <v>1028</v>
      </c>
    </row>
    <row r="2840" spans="1:14" ht="22.5" customHeight="1">
      <c r="A2840" s="8">
        <v>46009.750488483798</v>
      </c>
      <c r="B2840" s="9" t="s">
        <v>14</v>
      </c>
      <c r="C2840" s="9" t="s">
        <v>15</v>
      </c>
      <c r="D2840" s="10" t="s">
        <v>6290</v>
      </c>
      <c r="E2840" s="9" t="s">
        <v>17</v>
      </c>
      <c r="F2840" s="10">
        <v>29</v>
      </c>
      <c r="G2840" s="11">
        <v>8109894732</v>
      </c>
      <c r="H2840" s="10" t="s">
        <v>6291</v>
      </c>
      <c r="I2840" s="10" t="s">
        <v>31</v>
      </c>
      <c r="J2840" s="10" t="s">
        <v>32</v>
      </c>
      <c r="K2840" s="12">
        <v>35378</v>
      </c>
      <c r="L2840" s="28" t="s">
        <v>11</v>
      </c>
      <c r="M2840" s="14"/>
      <c r="N2840" s="10" t="s">
        <v>1028</v>
      </c>
    </row>
    <row r="2841" spans="1:14" ht="22.5" customHeight="1">
      <c r="A2841" s="8">
        <v>46009.758806203703</v>
      </c>
      <c r="B2841" s="9" t="s">
        <v>14</v>
      </c>
      <c r="C2841" s="9" t="s">
        <v>15</v>
      </c>
      <c r="D2841" s="10" t="s">
        <v>6292</v>
      </c>
      <c r="E2841" s="9" t="s">
        <v>22</v>
      </c>
      <c r="F2841" s="10">
        <v>25</v>
      </c>
      <c r="G2841" s="11">
        <v>8039542273</v>
      </c>
      <c r="H2841" s="10" t="s">
        <v>6293</v>
      </c>
      <c r="I2841" s="10" t="s">
        <v>27</v>
      </c>
      <c r="J2841" s="10" t="s">
        <v>70</v>
      </c>
      <c r="K2841" s="12">
        <v>46009</v>
      </c>
      <c r="L2841" s="28" t="s">
        <v>11</v>
      </c>
      <c r="M2841" s="10"/>
      <c r="N2841" s="10" t="s">
        <v>1028</v>
      </c>
    </row>
    <row r="2842" spans="1:14" ht="22.5" customHeight="1">
      <c r="A2842" s="8">
        <v>46009.761748078701</v>
      </c>
      <c r="B2842" s="9" t="s">
        <v>14</v>
      </c>
      <c r="C2842" s="9" t="s">
        <v>15</v>
      </c>
      <c r="D2842" s="10" t="s">
        <v>6294</v>
      </c>
      <c r="E2842" s="9" t="s">
        <v>17</v>
      </c>
      <c r="F2842" s="10">
        <v>25</v>
      </c>
      <c r="G2842" s="11">
        <v>8135685406</v>
      </c>
      <c r="H2842" s="10" t="s">
        <v>6295</v>
      </c>
      <c r="I2842" s="10" t="s">
        <v>45</v>
      </c>
      <c r="J2842" s="10" t="s">
        <v>6296</v>
      </c>
      <c r="K2842" s="12">
        <v>46009</v>
      </c>
      <c r="L2842" s="28" t="s">
        <v>11</v>
      </c>
      <c r="M2842" s="14"/>
      <c r="N2842" s="10" t="s">
        <v>1096</v>
      </c>
    </row>
    <row r="2843" spans="1:14" ht="22.5" customHeight="1">
      <c r="A2843" s="8">
        <v>46009.769407337968</v>
      </c>
      <c r="B2843" s="9" t="s">
        <v>14</v>
      </c>
      <c r="C2843" s="9" t="s">
        <v>15</v>
      </c>
      <c r="D2843" s="10" t="s">
        <v>6297</v>
      </c>
      <c r="E2843" s="9" t="s">
        <v>17</v>
      </c>
      <c r="F2843" s="10">
        <v>35</v>
      </c>
      <c r="G2843" s="11">
        <v>8065544350</v>
      </c>
      <c r="H2843" s="10" t="s">
        <v>6298</v>
      </c>
      <c r="I2843" s="10" t="s">
        <v>45</v>
      </c>
      <c r="J2843" s="10" t="s">
        <v>1675</v>
      </c>
      <c r="K2843" s="12">
        <v>46009</v>
      </c>
      <c r="L2843" s="28" t="s">
        <v>11</v>
      </c>
      <c r="M2843" s="14"/>
      <c r="N2843" s="10" t="s">
        <v>1028</v>
      </c>
    </row>
    <row r="2844" spans="1:14" ht="22.5" customHeight="1">
      <c r="A2844" s="8">
        <v>46009.787623321754</v>
      </c>
      <c r="B2844" s="9" t="s">
        <v>14</v>
      </c>
      <c r="C2844" s="9" t="s">
        <v>15</v>
      </c>
      <c r="D2844" s="10" t="s">
        <v>6299</v>
      </c>
      <c r="E2844" s="9" t="s">
        <v>22</v>
      </c>
      <c r="F2844" s="10">
        <v>20</v>
      </c>
      <c r="G2844" s="11">
        <v>8117657015</v>
      </c>
      <c r="H2844" s="10" t="s">
        <v>6300</v>
      </c>
      <c r="I2844" s="10" t="s">
        <v>49</v>
      </c>
      <c r="J2844" s="10" t="s">
        <v>215</v>
      </c>
      <c r="K2844" s="12">
        <v>46009</v>
      </c>
      <c r="L2844" s="28" t="s">
        <v>11</v>
      </c>
      <c r="M2844" s="14"/>
      <c r="N2844" s="10" t="s">
        <v>1028</v>
      </c>
    </row>
    <row r="2845" spans="1:14" ht="22.5" customHeight="1">
      <c r="A2845" s="8">
        <v>46009.792219421295</v>
      </c>
      <c r="B2845" s="9" t="s">
        <v>14</v>
      </c>
      <c r="C2845" s="9" t="s">
        <v>15</v>
      </c>
      <c r="D2845" s="10" t="s">
        <v>6301</v>
      </c>
      <c r="E2845" s="9" t="s">
        <v>17</v>
      </c>
      <c r="F2845" s="10">
        <v>34</v>
      </c>
      <c r="G2845" s="11">
        <v>8066327983</v>
      </c>
      <c r="H2845" s="10" t="s">
        <v>6302</v>
      </c>
      <c r="I2845" s="10" t="s">
        <v>27</v>
      </c>
      <c r="J2845" s="10" t="s">
        <v>1511</v>
      </c>
      <c r="K2845" s="12">
        <v>46009</v>
      </c>
      <c r="L2845" s="28" t="s">
        <v>11</v>
      </c>
      <c r="M2845" s="14"/>
      <c r="N2845" s="10" t="s">
        <v>1028</v>
      </c>
    </row>
    <row r="2846" spans="1:14" ht="22.5" customHeight="1">
      <c r="A2846" s="8">
        <v>46009.804684583331</v>
      </c>
      <c r="B2846" s="9" t="s">
        <v>14</v>
      </c>
      <c r="C2846" s="9" t="s">
        <v>15</v>
      </c>
      <c r="D2846" s="10" t="s">
        <v>6303</v>
      </c>
      <c r="E2846" s="9" t="s">
        <v>17</v>
      </c>
      <c r="F2846" s="10">
        <v>33</v>
      </c>
      <c r="G2846" s="11">
        <v>38205998</v>
      </c>
      <c r="H2846" s="10" t="s">
        <v>6304</v>
      </c>
      <c r="I2846" s="10" t="s">
        <v>19</v>
      </c>
      <c r="J2846" s="10" t="s">
        <v>6305</v>
      </c>
      <c r="K2846" s="12">
        <v>46003</v>
      </c>
      <c r="L2846" s="28" t="s">
        <v>11</v>
      </c>
      <c r="M2846" s="14"/>
      <c r="N2846" s="10" t="s">
        <v>1028</v>
      </c>
    </row>
    <row r="2847" spans="1:14" ht="22.5" customHeight="1">
      <c r="A2847" s="8">
        <v>46009.815739699072</v>
      </c>
      <c r="B2847" s="9" t="s">
        <v>14</v>
      </c>
      <c r="C2847" s="9" t="s">
        <v>15</v>
      </c>
      <c r="D2847" s="10" t="s">
        <v>6306</v>
      </c>
      <c r="E2847" s="9" t="s">
        <v>17</v>
      </c>
      <c r="F2847" s="10">
        <v>31</v>
      </c>
      <c r="G2847" s="11">
        <v>96856613</v>
      </c>
      <c r="H2847" s="10" t="s">
        <v>6307</v>
      </c>
      <c r="I2847" s="10" t="s">
        <v>49</v>
      </c>
      <c r="J2847" s="10" t="s">
        <v>6308</v>
      </c>
      <c r="K2847" s="12">
        <v>34622</v>
      </c>
      <c r="L2847" s="28" t="s">
        <v>11</v>
      </c>
      <c r="M2847" s="14"/>
      <c r="N2847" s="10" t="s">
        <v>1209</v>
      </c>
    </row>
    <row r="2848" spans="1:14" ht="22.5" customHeight="1">
      <c r="A2848" s="8">
        <v>46009.817669849537</v>
      </c>
      <c r="B2848" s="9" t="s">
        <v>14</v>
      </c>
      <c r="C2848" s="9" t="s">
        <v>15</v>
      </c>
      <c r="D2848" s="10" t="s">
        <v>2024</v>
      </c>
      <c r="E2848" s="9" t="s">
        <v>17</v>
      </c>
      <c r="F2848" s="10">
        <v>22</v>
      </c>
      <c r="G2848" s="11">
        <v>9076358412</v>
      </c>
      <c r="H2848" s="10" t="s">
        <v>2025</v>
      </c>
      <c r="I2848" s="10" t="s">
        <v>45</v>
      </c>
      <c r="J2848" s="10" t="s">
        <v>1191</v>
      </c>
      <c r="K2848" s="12">
        <v>46009</v>
      </c>
      <c r="L2848" s="28" t="s">
        <v>11</v>
      </c>
      <c r="M2848" s="14"/>
      <c r="N2848" s="10" t="s">
        <v>1028</v>
      </c>
    </row>
    <row r="2849" spans="1:14" ht="22.5" customHeight="1">
      <c r="A2849" s="8">
        <v>46009.826482731485</v>
      </c>
      <c r="B2849" s="9" t="s">
        <v>14</v>
      </c>
      <c r="C2849" s="9" t="s">
        <v>15</v>
      </c>
      <c r="D2849" s="10" t="s">
        <v>6309</v>
      </c>
      <c r="E2849" s="9" t="s">
        <v>22</v>
      </c>
      <c r="F2849" s="10">
        <v>27</v>
      </c>
      <c r="G2849" s="11">
        <v>9063103108</v>
      </c>
      <c r="H2849" s="10" t="s">
        <v>6310</v>
      </c>
      <c r="I2849" s="10" t="s">
        <v>45</v>
      </c>
      <c r="J2849" s="10" t="s">
        <v>1919</v>
      </c>
      <c r="K2849" s="12">
        <v>46009</v>
      </c>
      <c r="L2849" s="28" t="s">
        <v>11</v>
      </c>
      <c r="M2849" s="14"/>
      <c r="N2849" s="10" t="s">
        <v>1028</v>
      </c>
    </row>
    <row r="2850" spans="1:14" ht="22.5" customHeight="1">
      <c r="A2850" s="8">
        <v>46009.83036547454</v>
      </c>
      <c r="B2850" s="9" t="s">
        <v>14</v>
      </c>
      <c r="C2850" s="9" t="s">
        <v>15</v>
      </c>
      <c r="D2850" s="10" t="s">
        <v>6311</v>
      </c>
      <c r="E2850" s="9" t="s">
        <v>17</v>
      </c>
      <c r="F2850" s="10">
        <v>23</v>
      </c>
      <c r="G2850" s="11">
        <v>8020617153</v>
      </c>
      <c r="H2850" s="10" t="s">
        <v>6312</v>
      </c>
      <c r="I2850" s="10" t="s">
        <v>202</v>
      </c>
      <c r="J2850" s="10" t="s">
        <v>6313</v>
      </c>
      <c r="K2850" s="12">
        <v>46009</v>
      </c>
      <c r="L2850" s="28" t="s">
        <v>11</v>
      </c>
      <c r="M2850" s="14"/>
      <c r="N2850" s="10" t="s">
        <v>1028</v>
      </c>
    </row>
    <row r="2851" spans="1:14" ht="22.5" customHeight="1">
      <c r="A2851" s="8">
        <v>46009.834353136575</v>
      </c>
      <c r="B2851" s="9" t="s">
        <v>14</v>
      </c>
      <c r="C2851" s="9" t="s">
        <v>15</v>
      </c>
      <c r="D2851" s="10" t="s">
        <v>6314</v>
      </c>
      <c r="E2851" s="9" t="s">
        <v>17</v>
      </c>
      <c r="F2851" s="10">
        <v>25</v>
      </c>
      <c r="G2851" s="11">
        <v>7067965910</v>
      </c>
      <c r="H2851" s="10" t="s">
        <v>6315</v>
      </c>
      <c r="I2851" s="10" t="s">
        <v>27</v>
      </c>
      <c r="J2851" s="10" t="s">
        <v>4338</v>
      </c>
      <c r="K2851" s="12">
        <v>46009</v>
      </c>
      <c r="L2851" s="28" t="s">
        <v>11</v>
      </c>
      <c r="M2851" s="14"/>
      <c r="N2851" s="10" t="s">
        <v>1028</v>
      </c>
    </row>
    <row r="2852" spans="1:14" ht="22.5" customHeight="1">
      <c r="A2852" s="8">
        <v>46009.840799293983</v>
      </c>
      <c r="B2852" s="9" t="s">
        <v>14</v>
      </c>
      <c r="C2852" s="9" t="s">
        <v>15</v>
      </c>
      <c r="D2852" s="10" t="s">
        <v>6316</v>
      </c>
      <c r="E2852" s="9" t="s">
        <v>17</v>
      </c>
      <c r="F2852" s="10">
        <v>18</v>
      </c>
      <c r="G2852" s="11">
        <v>9159204497</v>
      </c>
      <c r="H2852" s="10" t="s">
        <v>6317</v>
      </c>
      <c r="I2852" s="10" t="s">
        <v>145</v>
      </c>
      <c r="J2852" s="10" t="s">
        <v>5038</v>
      </c>
      <c r="K2852" s="12">
        <v>46009</v>
      </c>
      <c r="L2852" s="28" t="s">
        <v>11</v>
      </c>
      <c r="M2852" s="14"/>
      <c r="N2852" s="10" t="s">
        <v>1028</v>
      </c>
    </row>
    <row r="2853" spans="1:14" ht="22.5" customHeight="1">
      <c r="A2853" s="8">
        <v>46009.869721817129</v>
      </c>
      <c r="B2853" s="9" t="s">
        <v>14</v>
      </c>
      <c r="C2853" s="9" t="s">
        <v>15</v>
      </c>
      <c r="D2853" s="10" t="s">
        <v>6318</v>
      </c>
      <c r="E2853" s="9" t="s">
        <v>22</v>
      </c>
      <c r="F2853" s="10">
        <v>24</v>
      </c>
      <c r="G2853" s="11">
        <f t="shared" ref="G2853" si="72">2348103407988</f>
        <v>2348103407988</v>
      </c>
      <c r="H2853" s="10" t="s">
        <v>6319</v>
      </c>
      <c r="I2853" s="10" t="s">
        <v>45</v>
      </c>
      <c r="J2853" s="10" t="s">
        <v>6320</v>
      </c>
      <c r="K2853" s="12">
        <v>46009</v>
      </c>
      <c r="L2853" s="28" t="s">
        <v>11</v>
      </c>
      <c r="M2853" s="14"/>
      <c r="N2853" s="10" t="s">
        <v>1028</v>
      </c>
    </row>
    <row r="2854" spans="1:14" ht="22.5" customHeight="1">
      <c r="A2854" s="8">
        <v>46009.879625844907</v>
      </c>
      <c r="B2854" s="9" t="s">
        <v>14</v>
      </c>
      <c r="C2854" s="9" t="s">
        <v>15</v>
      </c>
      <c r="D2854" s="10" t="s">
        <v>6321</v>
      </c>
      <c r="E2854" s="9" t="s">
        <v>17</v>
      </c>
      <c r="F2854" s="10">
        <v>30</v>
      </c>
      <c r="G2854" s="11">
        <v>7014648176</v>
      </c>
      <c r="H2854" s="10" t="s">
        <v>6322</v>
      </c>
      <c r="I2854" s="10" t="s">
        <v>202</v>
      </c>
      <c r="J2854" s="10" t="s">
        <v>4005</v>
      </c>
      <c r="K2854" s="12">
        <v>46009</v>
      </c>
      <c r="L2854" s="28" t="s">
        <v>11</v>
      </c>
      <c r="M2854" s="14"/>
      <c r="N2854" s="10" t="s">
        <v>1563</v>
      </c>
    </row>
    <row r="2855" spans="1:14" ht="22.5" customHeight="1">
      <c r="A2855" s="8">
        <v>46009.884939594907</v>
      </c>
      <c r="B2855" s="9" t="s">
        <v>14</v>
      </c>
      <c r="C2855" s="9" t="s">
        <v>15</v>
      </c>
      <c r="D2855" s="10" t="s">
        <v>6323</v>
      </c>
      <c r="E2855" s="9" t="s">
        <v>17</v>
      </c>
      <c r="F2855" s="10">
        <v>19</v>
      </c>
      <c r="G2855" s="11">
        <v>8117361641</v>
      </c>
      <c r="H2855" s="10" t="s">
        <v>6324</v>
      </c>
      <c r="I2855" s="10" t="s">
        <v>145</v>
      </c>
      <c r="J2855" s="10" t="s">
        <v>6325</v>
      </c>
      <c r="K2855" s="12">
        <v>46009</v>
      </c>
      <c r="L2855" s="28" t="s">
        <v>11</v>
      </c>
      <c r="M2855" s="10"/>
      <c r="N2855" s="10" t="s">
        <v>6326</v>
      </c>
    </row>
    <row r="2856" spans="1:14" ht="22.5" customHeight="1">
      <c r="A2856" s="8">
        <v>46009.88990101852</v>
      </c>
      <c r="B2856" s="9" t="s">
        <v>14</v>
      </c>
      <c r="C2856" s="9" t="s">
        <v>15</v>
      </c>
      <c r="D2856" s="10" t="s">
        <v>6327</v>
      </c>
      <c r="E2856" s="9" t="s">
        <v>17</v>
      </c>
      <c r="F2856" s="10">
        <v>23</v>
      </c>
      <c r="G2856" s="11">
        <v>9032262607</v>
      </c>
      <c r="H2856" s="10" t="s">
        <v>6328</v>
      </c>
      <c r="I2856" s="10" t="s">
        <v>49</v>
      </c>
      <c r="J2856" s="10" t="s">
        <v>6329</v>
      </c>
      <c r="K2856" s="12">
        <v>46009</v>
      </c>
      <c r="L2856" s="28" t="s">
        <v>11</v>
      </c>
      <c r="M2856" s="14"/>
      <c r="N2856" s="10" t="s">
        <v>1028</v>
      </c>
    </row>
    <row r="2857" spans="1:14" ht="22.5" customHeight="1">
      <c r="A2857" s="8">
        <v>46009.898177442126</v>
      </c>
      <c r="B2857" s="9" t="s">
        <v>14</v>
      </c>
      <c r="C2857" s="9" t="s">
        <v>15</v>
      </c>
      <c r="D2857" s="10" t="s">
        <v>6330</v>
      </c>
      <c r="E2857" s="9" t="s">
        <v>17</v>
      </c>
      <c r="F2857" s="10">
        <v>33</v>
      </c>
      <c r="G2857" s="11">
        <v>8166176916</v>
      </c>
      <c r="H2857" s="10" t="s">
        <v>6331</v>
      </c>
      <c r="I2857" s="10" t="s">
        <v>202</v>
      </c>
      <c r="J2857" s="10" t="s">
        <v>4632</v>
      </c>
      <c r="K2857" s="12">
        <v>46009</v>
      </c>
      <c r="L2857" s="28" t="s">
        <v>11</v>
      </c>
      <c r="M2857" s="14"/>
      <c r="N2857" s="10" t="s">
        <v>1028</v>
      </c>
    </row>
    <row r="2858" spans="1:14" ht="22.5" customHeight="1">
      <c r="A2858" s="8">
        <v>46009.899253206022</v>
      </c>
      <c r="B2858" s="9" t="s">
        <v>14</v>
      </c>
      <c r="C2858" s="9" t="s">
        <v>15</v>
      </c>
      <c r="D2858" s="10" t="s">
        <v>6332</v>
      </c>
      <c r="E2858" s="9" t="s">
        <v>22</v>
      </c>
      <c r="F2858" s="10">
        <v>24</v>
      </c>
      <c r="G2858" s="11">
        <v>8088594510</v>
      </c>
      <c r="H2858" s="10" t="s">
        <v>6333</v>
      </c>
      <c r="I2858" s="10" t="s">
        <v>27</v>
      </c>
      <c r="J2858" s="10" t="s">
        <v>2031</v>
      </c>
      <c r="K2858" s="12">
        <v>46009</v>
      </c>
      <c r="L2858" s="28" t="s">
        <v>11</v>
      </c>
      <c r="M2858" s="14"/>
      <c r="N2858" s="10" t="s">
        <v>1096</v>
      </c>
    </row>
    <row r="2859" spans="1:14" ht="22.5" customHeight="1">
      <c r="A2859" s="8">
        <v>46009.91053734954</v>
      </c>
      <c r="B2859" s="9" t="s">
        <v>14</v>
      </c>
      <c r="C2859" s="9" t="s">
        <v>15</v>
      </c>
      <c r="D2859" s="10" t="s">
        <v>6334</v>
      </c>
      <c r="E2859" s="9" t="s">
        <v>17</v>
      </c>
      <c r="F2859" s="10">
        <v>31</v>
      </c>
      <c r="G2859" s="11">
        <f>32272606308</f>
        <v>32272606308</v>
      </c>
      <c r="H2859" s="10" t="s">
        <v>6335</v>
      </c>
      <c r="I2859" s="10" t="s">
        <v>202</v>
      </c>
      <c r="J2859" s="10" t="s">
        <v>6336</v>
      </c>
      <c r="K2859" s="12">
        <v>46009</v>
      </c>
      <c r="L2859" s="28" t="s">
        <v>11</v>
      </c>
      <c r="M2859" s="14"/>
      <c r="N2859" s="10" t="s">
        <v>1028</v>
      </c>
    </row>
    <row r="2860" spans="1:14" ht="22.5" customHeight="1">
      <c r="A2860" s="8">
        <v>46009.922930613422</v>
      </c>
      <c r="B2860" s="9" t="s">
        <v>14</v>
      </c>
      <c r="C2860" s="9" t="s">
        <v>15</v>
      </c>
      <c r="D2860" s="10" t="s">
        <v>6337</v>
      </c>
      <c r="E2860" s="9" t="s">
        <v>22</v>
      </c>
      <c r="F2860" s="10">
        <v>31</v>
      </c>
      <c r="G2860" s="11">
        <v>7061932024</v>
      </c>
      <c r="H2860" s="10" t="s">
        <v>6338</v>
      </c>
      <c r="I2860" s="10" t="s">
        <v>202</v>
      </c>
      <c r="J2860" s="10" t="s">
        <v>3904</v>
      </c>
      <c r="K2860" s="12">
        <v>46009</v>
      </c>
      <c r="L2860" s="28" t="s">
        <v>11</v>
      </c>
      <c r="M2860" s="14"/>
      <c r="N2860" s="10" t="s">
        <v>1028</v>
      </c>
    </row>
    <row r="2861" spans="1:14" ht="22.5" customHeight="1">
      <c r="A2861" s="8">
        <v>46009.932934652781</v>
      </c>
      <c r="B2861" s="9" t="s">
        <v>14</v>
      </c>
      <c r="C2861" s="9" t="s">
        <v>15</v>
      </c>
      <c r="D2861" s="10" t="s">
        <v>1705</v>
      </c>
      <c r="E2861" s="9" t="s">
        <v>17</v>
      </c>
      <c r="F2861" s="10">
        <v>35</v>
      </c>
      <c r="G2861" s="11">
        <v>8029190501</v>
      </c>
      <c r="H2861" s="10" t="s">
        <v>6339</v>
      </c>
      <c r="I2861" s="10" t="s">
        <v>27</v>
      </c>
      <c r="J2861" s="10" t="s">
        <v>703</v>
      </c>
      <c r="K2861" s="12">
        <v>46009</v>
      </c>
      <c r="L2861" s="28" t="s">
        <v>11</v>
      </c>
      <c r="M2861" s="14"/>
      <c r="N2861" s="10" t="s">
        <v>1028</v>
      </c>
    </row>
    <row r="2862" spans="1:14" ht="22.5" customHeight="1">
      <c r="A2862" s="8">
        <v>46009.933392789353</v>
      </c>
      <c r="B2862" s="9" t="s">
        <v>14</v>
      </c>
      <c r="C2862" s="9" t="s">
        <v>15</v>
      </c>
      <c r="D2862" s="10" t="s">
        <v>6340</v>
      </c>
      <c r="E2862" s="9" t="s">
        <v>17</v>
      </c>
      <c r="F2862" s="10">
        <v>27</v>
      </c>
      <c r="G2862" s="11">
        <v>7069763766</v>
      </c>
      <c r="H2862" s="10" t="s">
        <v>6341</v>
      </c>
      <c r="I2862" s="10" t="s">
        <v>45</v>
      </c>
      <c r="J2862" s="10" t="s">
        <v>901</v>
      </c>
      <c r="K2862" s="12">
        <v>36254</v>
      </c>
      <c r="L2862" s="28" t="s">
        <v>11</v>
      </c>
      <c r="M2862" s="14"/>
      <c r="N2862" s="10" t="s">
        <v>1096</v>
      </c>
    </row>
    <row r="2863" spans="1:14" ht="22.5" hidden="1" customHeight="1">
      <c r="A2863" s="8">
        <v>46009.94176987269</v>
      </c>
      <c r="B2863" s="9" t="s">
        <v>14</v>
      </c>
      <c r="C2863" s="9" t="s">
        <v>15</v>
      </c>
      <c r="D2863" s="10" t="s">
        <v>6342</v>
      </c>
      <c r="E2863" s="9" t="s">
        <v>17</v>
      </c>
      <c r="F2863" s="10">
        <v>35</v>
      </c>
      <c r="G2863" s="11">
        <v>8035350909</v>
      </c>
      <c r="H2863" s="10" t="s">
        <v>6343</v>
      </c>
      <c r="I2863" s="10" t="s">
        <v>27</v>
      </c>
      <c r="J2863" s="10" t="s">
        <v>1559</v>
      </c>
      <c r="K2863" s="12">
        <v>46009</v>
      </c>
      <c r="L2863" s="10" t="s">
        <v>441</v>
      </c>
      <c r="M2863" s="14"/>
      <c r="N2863" s="10" t="s">
        <v>1028</v>
      </c>
    </row>
    <row r="2864" spans="1:14" ht="22.5" customHeight="1">
      <c r="A2864" s="8">
        <v>46009.951512500003</v>
      </c>
      <c r="B2864" s="9" t="s">
        <v>14</v>
      </c>
      <c r="C2864" s="9" t="s">
        <v>15</v>
      </c>
      <c r="D2864" s="10" t="s">
        <v>6344</v>
      </c>
      <c r="E2864" s="9" t="s">
        <v>22</v>
      </c>
      <c r="F2864" s="10">
        <v>21</v>
      </c>
      <c r="G2864" s="11">
        <v>7041911871</v>
      </c>
      <c r="H2864" s="10" t="s">
        <v>6345</v>
      </c>
      <c r="I2864" s="10" t="s">
        <v>27</v>
      </c>
      <c r="J2864" s="10" t="s">
        <v>172</v>
      </c>
      <c r="K2864" s="12">
        <v>46009</v>
      </c>
      <c r="L2864" s="28" t="s">
        <v>11</v>
      </c>
      <c r="M2864" s="14"/>
      <c r="N2864" s="10" t="s">
        <v>1209</v>
      </c>
    </row>
    <row r="2865" spans="1:14" ht="22.5" customHeight="1">
      <c r="A2865" s="8">
        <v>46009.955190381945</v>
      </c>
      <c r="B2865" s="9" t="s">
        <v>14</v>
      </c>
      <c r="C2865" s="9" t="s">
        <v>15</v>
      </c>
      <c r="D2865" s="10" t="s">
        <v>6346</v>
      </c>
      <c r="E2865" s="9" t="s">
        <v>22</v>
      </c>
      <c r="F2865" s="10">
        <v>27</v>
      </c>
      <c r="G2865" s="11">
        <v>9032250073</v>
      </c>
      <c r="H2865" s="10" t="s">
        <v>6347</v>
      </c>
      <c r="I2865" s="10" t="s">
        <v>27</v>
      </c>
      <c r="J2865" s="10" t="s">
        <v>172</v>
      </c>
      <c r="K2865" s="12">
        <v>46009</v>
      </c>
      <c r="L2865" s="28" t="s">
        <v>11</v>
      </c>
      <c r="M2865" s="14"/>
      <c r="N2865" s="10" t="s">
        <v>1028</v>
      </c>
    </row>
    <row r="2866" spans="1:14" ht="22.5" customHeight="1">
      <c r="A2866" s="8">
        <v>46009.957274618057</v>
      </c>
      <c r="B2866" s="9" t="s">
        <v>14</v>
      </c>
      <c r="C2866" s="9" t="s">
        <v>15</v>
      </c>
      <c r="D2866" s="10" t="s">
        <v>6348</v>
      </c>
      <c r="E2866" s="9" t="s">
        <v>17</v>
      </c>
      <c r="F2866" s="10">
        <v>32</v>
      </c>
      <c r="G2866" s="11">
        <v>8166651430</v>
      </c>
      <c r="H2866" s="10" t="s">
        <v>6349</v>
      </c>
      <c r="I2866" s="10" t="s">
        <v>31</v>
      </c>
      <c r="J2866" s="10" t="s">
        <v>2358</v>
      </c>
      <c r="K2866" s="12">
        <v>46009</v>
      </c>
      <c r="L2866" s="28" t="s">
        <v>11</v>
      </c>
      <c r="M2866" s="14"/>
      <c r="N2866" s="10" t="s">
        <v>1028</v>
      </c>
    </row>
    <row r="2867" spans="1:14" ht="22.5" customHeight="1">
      <c r="A2867" s="8">
        <v>46009.966573379628</v>
      </c>
      <c r="B2867" s="9" t="s">
        <v>14</v>
      </c>
      <c r="C2867" s="9" t="s">
        <v>15</v>
      </c>
      <c r="D2867" s="10" t="s">
        <v>6350</v>
      </c>
      <c r="E2867" s="9" t="s">
        <v>22</v>
      </c>
      <c r="F2867" s="10">
        <v>27</v>
      </c>
      <c r="G2867" s="11">
        <v>8057585309</v>
      </c>
      <c r="H2867" s="10" t="s">
        <v>6351</v>
      </c>
      <c r="I2867" s="10" t="s">
        <v>45</v>
      </c>
      <c r="J2867" s="10" t="s">
        <v>1592</v>
      </c>
      <c r="K2867" s="12">
        <v>46009</v>
      </c>
      <c r="L2867" s="28" t="s">
        <v>11</v>
      </c>
      <c r="M2867" s="14"/>
      <c r="N2867" s="10" t="s">
        <v>1028</v>
      </c>
    </row>
    <row r="2868" spans="1:14" ht="22.5" customHeight="1">
      <c r="A2868" s="8">
        <v>46009.971532418982</v>
      </c>
      <c r="B2868" s="9" t="s">
        <v>14</v>
      </c>
      <c r="C2868" s="9" t="s">
        <v>15</v>
      </c>
      <c r="D2868" s="10" t="s">
        <v>6352</v>
      </c>
      <c r="E2868" s="9" t="s">
        <v>17</v>
      </c>
      <c r="F2868" s="10">
        <v>24</v>
      </c>
      <c r="G2868" s="11">
        <v>9069482882</v>
      </c>
      <c r="H2868" s="10" t="s">
        <v>6353</v>
      </c>
      <c r="I2868" s="10" t="s">
        <v>45</v>
      </c>
      <c r="J2868" s="10" t="s">
        <v>4074</v>
      </c>
      <c r="K2868" s="12">
        <v>46009</v>
      </c>
      <c r="L2868" s="28" t="s">
        <v>11</v>
      </c>
      <c r="M2868" s="14"/>
      <c r="N2868" s="10" t="s">
        <v>1096</v>
      </c>
    </row>
    <row r="2869" spans="1:14" ht="22.5" customHeight="1">
      <c r="A2869" s="8">
        <v>46009.983416296294</v>
      </c>
      <c r="B2869" s="9" t="s">
        <v>14</v>
      </c>
      <c r="C2869" s="9" t="s">
        <v>15</v>
      </c>
      <c r="D2869" s="10" t="s">
        <v>6354</v>
      </c>
      <c r="E2869" s="9" t="s">
        <v>17</v>
      </c>
      <c r="F2869" s="10">
        <v>37</v>
      </c>
      <c r="G2869" s="11">
        <v>8157345939</v>
      </c>
      <c r="H2869" s="10" t="s">
        <v>6355</v>
      </c>
      <c r="I2869" s="10" t="s">
        <v>202</v>
      </c>
      <c r="J2869" s="10" t="s">
        <v>1839</v>
      </c>
      <c r="K2869" s="12">
        <v>46009</v>
      </c>
      <c r="L2869" s="28" t="s">
        <v>11</v>
      </c>
      <c r="M2869" s="14"/>
      <c r="N2869" s="10" t="s">
        <v>1028</v>
      </c>
    </row>
    <row r="2870" spans="1:14" ht="22.5" customHeight="1">
      <c r="A2870" s="8">
        <v>46010.001007500003</v>
      </c>
      <c r="B2870" s="9" t="s">
        <v>14</v>
      </c>
      <c r="C2870" s="9" t="s">
        <v>15</v>
      </c>
      <c r="D2870" s="10" t="s">
        <v>6356</v>
      </c>
      <c r="E2870" s="9" t="s">
        <v>17</v>
      </c>
      <c r="F2870" s="10">
        <v>28</v>
      </c>
      <c r="G2870" s="11">
        <v>8105625428</v>
      </c>
      <c r="H2870" s="10" t="s">
        <v>6357</v>
      </c>
      <c r="I2870" s="10" t="s">
        <v>45</v>
      </c>
      <c r="J2870" s="10" t="s">
        <v>287</v>
      </c>
      <c r="K2870" s="12">
        <v>46010</v>
      </c>
      <c r="L2870" s="28" t="s">
        <v>11</v>
      </c>
      <c r="M2870" s="14"/>
      <c r="N2870" s="10" t="s">
        <v>1028</v>
      </c>
    </row>
    <row r="2871" spans="1:14" ht="22.5" customHeight="1">
      <c r="A2871" s="8">
        <v>46010.028910821755</v>
      </c>
      <c r="B2871" s="9" t="s">
        <v>14</v>
      </c>
      <c r="C2871" s="9" t="s">
        <v>15</v>
      </c>
      <c r="D2871" s="10" t="s">
        <v>6358</v>
      </c>
      <c r="E2871" s="9" t="s">
        <v>22</v>
      </c>
      <c r="F2871" s="10">
        <v>23</v>
      </c>
      <c r="G2871" s="11">
        <v>7067532497</v>
      </c>
      <c r="H2871" s="10" t="s">
        <v>6359</v>
      </c>
      <c r="I2871" s="10" t="s">
        <v>19</v>
      </c>
      <c r="J2871" s="10" t="s">
        <v>1664</v>
      </c>
      <c r="K2871" s="12">
        <v>37426</v>
      </c>
      <c r="L2871" s="28" t="s">
        <v>11</v>
      </c>
      <c r="M2871" s="14"/>
      <c r="N2871" s="10" t="s">
        <v>1028</v>
      </c>
    </row>
    <row r="2872" spans="1:14" ht="22.5" customHeight="1">
      <c r="A2872" s="8">
        <v>46010.058998715278</v>
      </c>
      <c r="B2872" s="9" t="s">
        <v>14</v>
      </c>
      <c r="C2872" s="9" t="s">
        <v>15</v>
      </c>
      <c r="D2872" s="10" t="s">
        <v>6360</v>
      </c>
      <c r="E2872" s="9" t="s">
        <v>17</v>
      </c>
      <c r="F2872" s="10">
        <v>25</v>
      </c>
      <c r="G2872" s="11">
        <v>9077654409</v>
      </c>
      <c r="H2872" s="10" t="s">
        <v>6361</v>
      </c>
      <c r="I2872" s="10" t="s">
        <v>27</v>
      </c>
      <c r="J2872" s="10" t="s">
        <v>94</v>
      </c>
      <c r="K2872" s="12">
        <v>46010</v>
      </c>
      <c r="L2872" s="28" t="s">
        <v>11</v>
      </c>
      <c r="M2872" s="14"/>
      <c r="N2872" s="10" t="s">
        <v>1489</v>
      </c>
    </row>
    <row r="2873" spans="1:14" ht="22.5" customHeight="1">
      <c r="A2873" s="8">
        <v>46010.194927777775</v>
      </c>
      <c r="B2873" s="9" t="s">
        <v>14</v>
      </c>
      <c r="C2873" s="9" t="s">
        <v>15</v>
      </c>
      <c r="D2873" s="10" t="s">
        <v>6362</v>
      </c>
      <c r="E2873" s="9" t="s">
        <v>17</v>
      </c>
      <c r="F2873" s="10">
        <v>29</v>
      </c>
      <c r="G2873" s="11">
        <v>786740877</v>
      </c>
      <c r="H2873" s="10" t="s">
        <v>6363</v>
      </c>
      <c r="I2873" s="10" t="s">
        <v>27</v>
      </c>
      <c r="J2873" s="10" t="s">
        <v>27</v>
      </c>
      <c r="K2873" s="12">
        <v>46010</v>
      </c>
      <c r="L2873" s="28" t="s">
        <v>11</v>
      </c>
      <c r="M2873" s="14"/>
      <c r="N2873" s="10" t="s">
        <v>1563</v>
      </c>
    </row>
    <row r="2874" spans="1:14" ht="22.5" customHeight="1">
      <c r="A2874" s="8">
        <v>46010.260409641203</v>
      </c>
      <c r="B2874" s="9" t="s">
        <v>14</v>
      </c>
      <c r="C2874" s="9" t="s">
        <v>15</v>
      </c>
      <c r="D2874" s="10" t="s">
        <v>6364</v>
      </c>
      <c r="E2874" s="9" t="s">
        <v>22</v>
      </c>
      <c r="F2874" s="10">
        <v>29</v>
      </c>
      <c r="G2874" s="11">
        <v>7035155624</v>
      </c>
      <c r="H2874" s="10" t="s">
        <v>6365</v>
      </c>
      <c r="I2874" s="10" t="s">
        <v>27</v>
      </c>
      <c r="J2874" s="10" t="s">
        <v>94</v>
      </c>
      <c r="K2874" s="12">
        <v>46010</v>
      </c>
      <c r="L2874" s="28" t="s">
        <v>11</v>
      </c>
      <c r="M2874" s="14"/>
      <c r="N2874" s="10" t="s">
        <v>1028</v>
      </c>
    </row>
    <row r="2875" spans="1:14" ht="22.5" customHeight="1">
      <c r="A2875" s="8">
        <v>46010.266173206022</v>
      </c>
      <c r="B2875" s="9" t="s">
        <v>14</v>
      </c>
      <c r="C2875" s="9" t="s">
        <v>15</v>
      </c>
      <c r="D2875" s="10" t="s">
        <v>6366</v>
      </c>
      <c r="E2875" s="9" t="s">
        <v>22</v>
      </c>
      <c r="F2875" s="10">
        <v>34</v>
      </c>
      <c r="G2875" s="11">
        <v>8030738225</v>
      </c>
      <c r="H2875" s="10" t="s">
        <v>6367</v>
      </c>
      <c r="I2875" s="10" t="s">
        <v>27</v>
      </c>
      <c r="J2875" s="10" t="s">
        <v>703</v>
      </c>
      <c r="K2875" s="12">
        <v>46010</v>
      </c>
      <c r="L2875" s="28" t="s">
        <v>11</v>
      </c>
      <c r="M2875" s="14"/>
      <c r="N2875" s="10" t="s">
        <v>1028</v>
      </c>
    </row>
    <row r="2876" spans="1:14" ht="22.5" customHeight="1">
      <c r="A2876" s="8">
        <v>46010.291964629629</v>
      </c>
      <c r="B2876" s="9" t="s">
        <v>14</v>
      </c>
      <c r="C2876" s="9" t="s">
        <v>15</v>
      </c>
      <c r="D2876" s="10" t="s">
        <v>6368</v>
      </c>
      <c r="E2876" s="9" t="s">
        <v>17</v>
      </c>
      <c r="F2876" s="10">
        <v>32</v>
      </c>
      <c r="G2876" s="11">
        <f t="shared" ref="G2876" si="73">2348032451025</f>
        <v>2348032451025</v>
      </c>
      <c r="H2876" s="10" t="s">
        <v>6369</v>
      </c>
      <c r="I2876" s="10" t="s">
        <v>45</v>
      </c>
      <c r="J2876" s="10" t="s">
        <v>892</v>
      </c>
      <c r="K2876" s="12">
        <v>46010</v>
      </c>
      <c r="L2876" s="28" t="s">
        <v>11</v>
      </c>
      <c r="M2876" s="14"/>
      <c r="N2876" s="10" t="s">
        <v>1028</v>
      </c>
    </row>
    <row r="2877" spans="1:14" ht="22.5" customHeight="1">
      <c r="A2877" s="8">
        <v>46010.297760300928</v>
      </c>
      <c r="B2877" s="9" t="s">
        <v>14</v>
      </c>
      <c r="C2877" s="9" t="s">
        <v>15</v>
      </c>
      <c r="D2877" s="10" t="s">
        <v>6370</v>
      </c>
      <c r="E2877" s="9" t="s">
        <v>22</v>
      </c>
      <c r="F2877" s="10">
        <v>26</v>
      </c>
      <c r="G2877" s="11">
        <v>8063375478</v>
      </c>
      <c r="H2877" s="10" t="s">
        <v>6371</v>
      </c>
      <c r="I2877" s="10" t="s">
        <v>27</v>
      </c>
      <c r="J2877" s="10" t="s">
        <v>2069</v>
      </c>
      <c r="K2877" s="12">
        <v>46010</v>
      </c>
      <c r="L2877" s="28" t="s">
        <v>11</v>
      </c>
      <c r="M2877" s="14"/>
      <c r="N2877" s="10" t="s">
        <v>1096</v>
      </c>
    </row>
    <row r="2878" spans="1:14" ht="22.5" customHeight="1">
      <c r="A2878" s="8">
        <v>46010.307462453704</v>
      </c>
      <c r="B2878" s="9" t="s">
        <v>14</v>
      </c>
      <c r="C2878" s="9" t="s">
        <v>15</v>
      </c>
      <c r="D2878" s="10" t="s">
        <v>6372</v>
      </c>
      <c r="E2878" s="9" t="s">
        <v>17</v>
      </c>
      <c r="F2878" s="10">
        <v>30</v>
      </c>
      <c r="G2878" s="11">
        <v>7014656336</v>
      </c>
      <c r="H2878" s="10" t="s">
        <v>6373</v>
      </c>
      <c r="I2878" s="10" t="s">
        <v>202</v>
      </c>
      <c r="J2878" s="10" t="s">
        <v>5573</v>
      </c>
      <c r="K2878" s="12">
        <v>46010</v>
      </c>
      <c r="L2878" s="28" t="s">
        <v>11</v>
      </c>
      <c r="M2878" s="14"/>
      <c r="N2878" s="10" t="s">
        <v>1028</v>
      </c>
    </row>
    <row r="2879" spans="1:14" ht="22.5" customHeight="1">
      <c r="A2879" s="8">
        <v>46010.314142986113</v>
      </c>
      <c r="B2879" s="9" t="s">
        <v>14</v>
      </c>
      <c r="C2879" s="9" t="s">
        <v>15</v>
      </c>
      <c r="D2879" s="10" t="s">
        <v>6374</v>
      </c>
      <c r="E2879" s="9" t="s">
        <v>22</v>
      </c>
      <c r="F2879" s="10">
        <v>23</v>
      </c>
      <c r="G2879" s="11">
        <v>9160752296</v>
      </c>
      <c r="H2879" s="10" t="s">
        <v>6375</v>
      </c>
      <c r="I2879" s="10" t="s">
        <v>45</v>
      </c>
      <c r="J2879" s="10" t="s">
        <v>521</v>
      </c>
      <c r="K2879" s="12">
        <v>46010</v>
      </c>
      <c r="L2879" s="28" t="s">
        <v>11</v>
      </c>
      <c r="M2879" s="14"/>
      <c r="N2879" s="10" t="s">
        <v>3750</v>
      </c>
    </row>
    <row r="2880" spans="1:14" ht="22.5" customHeight="1">
      <c r="A2880" s="8">
        <v>46010.318271550925</v>
      </c>
      <c r="B2880" s="9" t="s">
        <v>14</v>
      </c>
      <c r="C2880" s="9" t="s">
        <v>15</v>
      </c>
      <c r="D2880" s="10" t="s">
        <v>6376</v>
      </c>
      <c r="E2880" s="9" t="s">
        <v>22</v>
      </c>
      <c r="F2880" s="10">
        <v>21</v>
      </c>
      <c r="G2880" s="11">
        <v>7019510172</v>
      </c>
      <c r="H2880" s="10" t="s">
        <v>5191</v>
      </c>
      <c r="I2880" s="10" t="s">
        <v>27</v>
      </c>
      <c r="J2880" s="10" t="s">
        <v>70</v>
      </c>
      <c r="K2880" s="12">
        <v>46006</v>
      </c>
      <c r="L2880" s="28" t="s">
        <v>11</v>
      </c>
      <c r="M2880" s="14"/>
      <c r="N2880" s="10" t="s">
        <v>1028</v>
      </c>
    </row>
    <row r="2881" spans="1:14" ht="22.5" customHeight="1">
      <c r="A2881" s="8">
        <v>46010.335711226857</v>
      </c>
      <c r="B2881" s="9" t="s">
        <v>14</v>
      </c>
      <c r="C2881" s="9" t="s">
        <v>15</v>
      </c>
      <c r="D2881" s="10" t="s">
        <v>6377</v>
      </c>
      <c r="E2881" s="9" t="s">
        <v>17</v>
      </c>
      <c r="F2881" s="10">
        <v>27</v>
      </c>
      <c r="G2881" s="11">
        <v>9032311121</v>
      </c>
      <c r="H2881" s="10" t="s">
        <v>6378</v>
      </c>
      <c r="I2881" s="10" t="s">
        <v>202</v>
      </c>
      <c r="J2881" s="10" t="s">
        <v>4174</v>
      </c>
      <c r="K2881" s="12">
        <v>46010</v>
      </c>
      <c r="L2881" s="28" t="s">
        <v>11</v>
      </c>
      <c r="M2881" s="14"/>
      <c r="N2881" s="10" t="s">
        <v>1028</v>
      </c>
    </row>
    <row r="2882" spans="1:14" ht="22.5" customHeight="1">
      <c r="A2882" s="8">
        <v>46010.338807615743</v>
      </c>
      <c r="B2882" s="9" t="s">
        <v>14</v>
      </c>
      <c r="C2882" s="9" t="s">
        <v>15</v>
      </c>
      <c r="D2882" s="10" t="s">
        <v>6379</v>
      </c>
      <c r="E2882" s="9" t="s">
        <v>17</v>
      </c>
      <c r="F2882" s="10">
        <v>29</v>
      </c>
      <c r="G2882" s="11">
        <v>7031015940</v>
      </c>
      <c r="H2882" s="10" t="s">
        <v>6380</v>
      </c>
      <c r="I2882" s="10" t="s">
        <v>27</v>
      </c>
      <c r="J2882" s="10" t="s">
        <v>2196</v>
      </c>
      <c r="K2882" s="12">
        <v>46010</v>
      </c>
      <c r="L2882" s="28" t="s">
        <v>11</v>
      </c>
      <c r="M2882" s="14"/>
      <c r="N2882" s="10" t="s">
        <v>1028</v>
      </c>
    </row>
    <row r="2883" spans="1:14" ht="22.5" customHeight="1">
      <c r="A2883" s="8">
        <v>46010.343806215278</v>
      </c>
      <c r="B2883" s="9" t="s">
        <v>14</v>
      </c>
      <c r="C2883" s="9" t="s">
        <v>15</v>
      </c>
      <c r="D2883" s="10" t="s">
        <v>6381</v>
      </c>
      <c r="E2883" s="9" t="s">
        <v>17</v>
      </c>
      <c r="F2883" s="10">
        <v>41</v>
      </c>
      <c r="G2883" s="11">
        <v>7068403024</v>
      </c>
      <c r="H2883" s="10" t="s">
        <v>6382</v>
      </c>
      <c r="I2883" s="10" t="s">
        <v>45</v>
      </c>
      <c r="J2883" s="10" t="s">
        <v>46</v>
      </c>
      <c r="K2883" s="12">
        <v>46010</v>
      </c>
      <c r="L2883" s="28" t="s">
        <v>11</v>
      </c>
      <c r="M2883" s="14"/>
      <c r="N2883" s="10" t="s">
        <v>1028</v>
      </c>
    </row>
    <row r="2884" spans="1:14" ht="22.5" customHeight="1">
      <c r="A2884" s="8">
        <v>46010.346328148153</v>
      </c>
      <c r="B2884" s="9" t="s">
        <v>14</v>
      </c>
      <c r="C2884" s="9" t="s">
        <v>15</v>
      </c>
      <c r="D2884" s="10" t="s">
        <v>6383</v>
      </c>
      <c r="E2884" s="9" t="s">
        <v>22</v>
      </c>
      <c r="F2884" s="10">
        <v>21</v>
      </c>
      <c r="G2884" s="11">
        <v>9064378497</v>
      </c>
      <c r="H2884" s="10" t="s">
        <v>6384</v>
      </c>
      <c r="I2884" s="10" t="s">
        <v>202</v>
      </c>
      <c r="J2884" s="10" t="s">
        <v>3895</v>
      </c>
      <c r="K2884" s="12">
        <v>46010</v>
      </c>
      <c r="L2884" s="28" t="s">
        <v>11</v>
      </c>
      <c r="M2884" s="14"/>
      <c r="N2884" s="10" t="s">
        <v>1028</v>
      </c>
    </row>
    <row r="2885" spans="1:14" ht="22.5" customHeight="1">
      <c r="A2885" s="8">
        <v>46010.347395520832</v>
      </c>
      <c r="B2885" s="9" t="s">
        <v>14</v>
      </c>
      <c r="C2885" s="9" t="s">
        <v>15</v>
      </c>
      <c r="D2885" s="10" t="s">
        <v>6385</v>
      </c>
      <c r="E2885" s="9" t="s">
        <v>17</v>
      </c>
      <c r="F2885" s="10">
        <v>31</v>
      </c>
      <c r="G2885" s="11">
        <v>7088931304</v>
      </c>
      <c r="H2885" s="10" t="s">
        <v>6386</v>
      </c>
      <c r="I2885" s="10" t="s">
        <v>45</v>
      </c>
      <c r="J2885" s="10" t="s">
        <v>178</v>
      </c>
      <c r="K2885" s="12">
        <v>46010</v>
      </c>
      <c r="L2885" s="28" t="s">
        <v>11</v>
      </c>
      <c r="M2885" s="14"/>
      <c r="N2885" s="10" t="s">
        <v>6387</v>
      </c>
    </row>
    <row r="2886" spans="1:14" ht="22.5" customHeight="1">
      <c r="A2886" s="8">
        <v>46010.357376550921</v>
      </c>
      <c r="B2886" s="9" t="s">
        <v>14</v>
      </c>
      <c r="C2886" s="9" t="s">
        <v>15</v>
      </c>
      <c r="D2886" s="10" t="s">
        <v>6388</v>
      </c>
      <c r="E2886" s="9" t="s">
        <v>17</v>
      </c>
      <c r="F2886" s="10">
        <v>28</v>
      </c>
      <c r="G2886" s="11">
        <v>8035162913</v>
      </c>
      <c r="H2886" s="10" t="s">
        <v>6389</v>
      </c>
      <c r="I2886" s="10" t="s">
        <v>27</v>
      </c>
      <c r="J2886" s="10" t="s">
        <v>6390</v>
      </c>
      <c r="K2886" s="12">
        <v>46010</v>
      </c>
      <c r="L2886" s="28" t="s">
        <v>11</v>
      </c>
      <c r="M2886" s="14"/>
      <c r="N2886" s="10" t="s">
        <v>1096</v>
      </c>
    </row>
    <row r="2887" spans="1:14" ht="22.5" customHeight="1">
      <c r="A2887" s="8">
        <v>46010.358908310183</v>
      </c>
      <c r="B2887" s="9" t="s">
        <v>14</v>
      </c>
      <c r="C2887" s="9" t="s">
        <v>15</v>
      </c>
      <c r="D2887" s="10" t="s">
        <v>6391</v>
      </c>
      <c r="E2887" s="9" t="s">
        <v>17</v>
      </c>
      <c r="F2887" s="10">
        <v>25</v>
      </c>
      <c r="G2887" s="11">
        <f>2349161119990</f>
        <v>2349161119990</v>
      </c>
      <c r="H2887" s="10" t="s">
        <v>6392</v>
      </c>
      <c r="I2887" s="10" t="s">
        <v>27</v>
      </c>
      <c r="J2887" s="10" t="s">
        <v>1559</v>
      </c>
      <c r="K2887" s="12">
        <v>46010</v>
      </c>
      <c r="L2887" s="28" t="s">
        <v>11</v>
      </c>
      <c r="M2887" s="14"/>
      <c r="N2887" s="10" t="s">
        <v>1028</v>
      </c>
    </row>
    <row r="2888" spans="1:14" ht="22.5" customHeight="1">
      <c r="A2888" s="8">
        <v>46010.371644398147</v>
      </c>
      <c r="B2888" s="9" t="s">
        <v>14</v>
      </c>
      <c r="C2888" s="9" t="s">
        <v>15</v>
      </c>
      <c r="D2888" s="10" t="s">
        <v>6393</v>
      </c>
      <c r="E2888" s="9" t="s">
        <v>22</v>
      </c>
      <c r="F2888" s="10">
        <v>30</v>
      </c>
      <c r="G2888" s="11">
        <v>8105316507</v>
      </c>
      <c r="H2888" s="10" t="s">
        <v>6394</v>
      </c>
      <c r="I2888" s="10" t="s">
        <v>31</v>
      </c>
      <c r="J2888" s="10" t="s">
        <v>6395</v>
      </c>
      <c r="K2888" s="12">
        <v>46010</v>
      </c>
      <c r="L2888" s="28" t="s">
        <v>11</v>
      </c>
      <c r="M2888" s="14"/>
      <c r="N2888" s="10" t="s">
        <v>1028</v>
      </c>
    </row>
    <row r="2889" spans="1:14" ht="22.5" customHeight="1">
      <c r="A2889" s="8">
        <v>46010.385792847221</v>
      </c>
      <c r="B2889" s="9" t="s">
        <v>14</v>
      </c>
      <c r="C2889" s="9" t="s">
        <v>15</v>
      </c>
      <c r="D2889" s="10" t="s">
        <v>6396</v>
      </c>
      <c r="E2889" s="9" t="s">
        <v>17</v>
      </c>
      <c r="F2889" s="10">
        <v>28</v>
      </c>
      <c r="G2889" s="11">
        <v>8120725718</v>
      </c>
      <c r="H2889" s="10" t="s">
        <v>6397</v>
      </c>
      <c r="I2889" s="10" t="s">
        <v>27</v>
      </c>
      <c r="J2889" s="10" t="s">
        <v>5137</v>
      </c>
      <c r="K2889" s="12">
        <v>46010</v>
      </c>
      <c r="L2889" s="28" t="s">
        <v>11</v>
      </c>
      <c r="M2889" s="14"/>
      <c r="N2889" s="10" t="s">
        <v>1096</v>
      </c>
    </row>
    <row r="2890" spans="1:14" ht="22.5" customHeight="1">
      <c r="A2890" s="8">
        <v>46010.386897256947</v>
      </c>
      <c r="B2890" s="9" t="s">
        <v>14</v>
      </c>
      <c r="C2890" s="9" t="s">
        <v>15</v>
      </c>
      <c r="D2890" s="10" t="s">
        <v>6398</v>
      </c>
      <c r="E2890" s="9" t="s">
        <v>17</v>
      </c>
      <c r="F2890" s="10">
        <v>27</v>
      </c>
      <c r="G2890" s="11">
        <v>8143247600</v>
      </c>
      <c r="H2890" s="10" t="s">
        <v>6399</v>
      </c>
      <c r="I2890" s="10" t="s">
        <v>27</v>
      </c>
      <c r="J2890" s="10" t="s">
        <v>172</v>
      </c>
      <c r="K2890" s="12">
        <v>46010</v>
      </c>
      <c r="L2890" s="28" t="s">
        <v>11</v>
      </c>
      <c r="M2890" s="14"/>
      <c r="N2890" s="10" t="s">
        <v>1028</v>
      </c>
    </row>
    <row r="2891" spans="1:14" ht="22.5" customHeight="1">
      <c r="A2891" s="8">
        <v>46010.394563136579</v>
      </c>
      <c r="B2891" s="9" t="s">
        <v>14</v>
      </c>
      <c r="C2891" s="9" t="s">
        <v>15</v>
      </c>
      <c r="D2891" s="10" t="s">
        <v>6400</v>
      </c>
      <c r="E2891" s="9" t="s">
        <v>17</v>
      </c>
      <c r="F2891" s="10">
        <v>27</v>
      </c>
      <c r="G2891" s="11">
        <v>8050902915</v>
      </c>
      <c r="H2891" s="10" t="s">
        <v>6401</v>
      </c>
      <c r="I2891" s="10" t="s">
        <v>49</v>
      </c>
      <c r="J2891" s="10" t="s">
        <v>73</v>
      </c>
      <c r="K2891" s="12">
        <v>46010</v>
      </c>
      <c r="L2891" s="28" t="s">
        <v>11</v>
      </c>
      <c r="M2891" s="14"/>
      <c r="N2891" s="10" t="s">
        <v>1028</v>
      </c>
    </row>
    <row r="2892" spans="1:14" ht="22.5" customHeight="1">
      <c r="A2892" s="8">
        <v>46010.422358877317</v>
      </c>
      <c r="B2892" s="9" t="s">
        <v>14</v>
      </c>
      <c r="C2892" s="9" t="s">
        <v>15</v>
      </c>
      <c r="D2892" s="10" t="s">
        <v>6402</v>
      </c>
      <c r="E2892" s="9" t="s">
        <v>17</v>
      </c>
      <c r="F2892" s="10">
        <v>25</v>
      </c>
      <c r="G2892" s="11">
        <v>9026635710</v>
      </c>
      <c r="H2892" s="10" t="s">
        <v>6403</v>
      </c>
      <c r="I2892" s="10" t="s">
        <v>49</v>
      </c>
      <c r="J2892" s="10" t="s">
        <v>50</v>
      </c>
      <c r="K2892" s="12">
        <v>46010</v>
      </c>
      <c r="L2892" s="28" t="s">
        <v>11</v>
      </c>
      <c r="M2892" s="14"/>
      <c r="N2892" s="10" t="s">
        <v>1028</v>
      </c>
    </row>
    <row r="2893" spans="1:14" ht="22.5" customHeight="1">
      <c r="A2893" s="8">
        <v>46010.429096284723</v>
      </c>
      <c r="B2893" s="9" t="s">
        <v>14</v>
      </c>
      <c r="C2893" s="9" t="s">
        <v>15</v>
      </c>
      <c r="D2893" s="10" t="s">
        <v>6404</v>
      </c>
      <c r="E2893" s="9" t="s">
        <v>17</v>
      </c>
      <c r="F2893" s="10">
        <v>25</v>
      </c>
      <c r="G2893" s="11">
        <v>9052076932</v>
      </c>
      <c r="H2893" s="10" t="s">
        <v>6405</v>
      </c>
      <c r="I2893" s="10" t="s">
        <v>19</v>
      </c>
      <c r="J2893" s="10" t="s">
        <v>6406</v>
      </c>
      <c r="K2893" s="12">
        <v>46010</v>
      </c>
      <c r="L2893" s="28" t="s">
        <v>11</v>
      </c>
      <c r="M2893" s="14"/>
      <c r="N2893" s="10" t="s">
        <v>1028</v>
      </c>
    </row>
    <row r="2894" spans="1:14" ht="22.5" customHeight="1">
      <c r="A2894" s="8">
        <v>46010.433109745369</v>
      </c>
      <c r="B2894" s="9" t="s">
        <v>14</v>
      </c>
      <c r="C2894" s="9" t="s">
        <v>15</v>
      </c>
      <c r="D2894" s="10" t="s">
        <v>6407</v>
      </c>
      <c r="E2894" s="9" t="s">
        <v>17</v>
      </c>
      <c r="F2894" s="10">
        <v>33</v>
      </c>
      <c r="G2894" s="11">
        <v>9165446243</v>
      </c>
      <c r="H2894" s="10" t="s">
        <v>6408</v>
      </c>
      <c r="I2894" s="10" t="s">
        <v>202</v>
      </c>
      <c r="J2894" s="10" t="s">
        <v>3396</v>
      </c>
      <c r="K2894" s="12">
        <v>46010</v>
      </c>
      <c r="L2894" s="28" t="s">
        <v>11</v>
      </c>
      <c r="M2894" s="14"/>
      <c r="N2894" s="10" t="s">
        <v>1028</v>
      </c>
    </row>
    <row r="2895" spans="1:14" ht="22.5" customHeight="1">
      <c r="A2895" s="8">
        <v>46010.433970625003</v>
      </c>
      <c r="B2895" s="9" t="s">
        <v>14</v>
      </c>
      <c r="C2895" s="9" t="s">
        <v>15</v>
      </c>
      <c r="D2895" s="10" t="s">
        <v>5925</v>
      </c>
      <c r="E2895" s="9" t="s">
        <v>22</v>
      </c>
      <c r="F2895" s="10">
        <v>22</v>
      </c>
      <c r="G2895" s="11">
        <v>8108514948</v>
      </c>
      <c r="H2895" s="10" t="s">
        <v>6409</v>
      </c>
      <c r="I2895" s="10" t="s">
        <v>27</v>
      </c>
      <c r="J2895" s="10" t="s">
        <v>703</v>
      </c>
      <c r="K2895" s="12">
        <v>46010</v>
      </c>
      <c r="L2895" s="28" t="s">
        <v>11</v>
      </c>
      <c r="M2895" s="14"/>
      <c r="N2895" s="10" t="s">
        <v>1028</v>
      </c>
    </row>
    <row r="2896" spans="1:14" ht="22.5" customHeight="1">
      <c r="A2896" s="8">
        <v>46010.437608263892</v>
      </c>
      <c r="B2896" s="9" t="s">
        <v>14</v>
      </c>
      <c r="C2896" s="9" t="s">
        <v>15</v>
      </c>
      <c r="D2896" s="10" t="s">
        <v>6410</v>
      </c>
      <c r="E2896" s="9" t="s">
        <v>22</v>
      </c>
      <c r="F2896" s="10">
        <v>43</v>
      </c>
      <c r="G2896" s="11">
        <v>7032666915</v>
      </c>
      <c r="H2896" s="10" t="s">
        <v>6411</v>
      </c>
      <c r="I2896" s="10" t="s">
        <v>202</v>
      </c>
      <c r="J2896" s="10" t="s">
        <v>6412</v>
      </c>
      <c r="K2896" s="12">
        <v>46010</v>
      </c>
      <c r="L2896" s="28" t="s">
        <v>11</v>
      </c>
      <c r="M2896" s="14"/>
      <c r="N2896" s="10" t="s">
        <v>1028</v>
      </c>
    </row>
    <row r="2897" spans="1:14" ht="22.5" customHeight="1">
      <c r="A2897" s="8">
        <v>46010.444868715276</v>
      </c>
      <c r="B2897" s="9" t="s">
        <v>14</v>
      </c>
      <c r="C2897" s="9" t="s">
        <v>15</v>
      </c>
      <c r="D2897" s="10" t="s">
        <v>6413</v>
      </c>
      <c r="E2897" s="9" t="s">
        <v>17</v>
      </c>
      <c r="F2897" s="10">
        <v>27</v>
      </c>
      <c r="G2897" s="11">
        <v>8138079314</v>
      </c>
      <c r="H2897" s="10" t="s">
        <v>6414</v>
      </c>
      <c r="I2897" s="10" t="s">
        <v>202</v>
      </c>
      <c r="J2897" s="10" t="s">
        <v>4005</v>
      </c>
      <c r="K2897" s="12">
        <v>46010</v>
      </c>
      <c r="L2897" s="28" t="s">
        <v>11</v>
      </c>
      <c r="M2897" s="14"/>
      <c r="N2897" s="10" t="s">
        <v>1563</v>
      </c>
    </row>
    <row r="2898" spans="1:14" ht="22.5" customHeight="1">
      <c r="A2898" s="8">
        <v>46010.445157847222</v>
      </c>
      <c r="B2898" s="9" t="s">
        <v>14</v>
      </c>
      <c r="C2898" s="9" t="s">
        <v>15</v>
      </c>
      <c r="D2898" s="10" t="s">
        <v>6415</v>
      </c>
      <c r="E2898" s="9" t="s">
        <v>22</v>
      </c>
      <c r="F2898" s="10">
        <v>27</v>
      </c>
      <c r="G2898" s="11">
        <v>7068820937</v>
      </c>
      <c r="H2898" s="10" t="s">
        <v>6416</v>
      </c>
      <c r="I2898" s="10" t="s">
        <v>27</v>
      </c>
      <c r="J2898" s="10" t="s">
        <v>1890</v>
      </c>
      <c r="K2898" s="12">
        <v>46010</v>
      </c>
      <c r="L2898" s="28" t="s">
        <v>11</v>
      </c>
      <c r="M2898" s="14"/>
      <c r="N2898" s="10" t="s">
        <v>1028</v>
      </c>
    </row>
    <row r="2899" spans="1:14" ht="22.5" customHeight="1">
      <c r="A2899" s="8">
        <v>46010.448511770832</v>
      </c>
      <c r="B2899" s="9" t="s">
        <v>14</v>
      </c>
      <c r="C2899" s="9" t="s">
        <v>15</v>
      </c>
      <c r="D2899" s="10" t="s">
        <v>6417</v>
      </c>
      <c r="E2899" s="9" t="s">
        <v>17</v>
      </c>
      <c r="F2899" s="10">
        <v>26</v>
      </c>
      <c r="G2899" s="11">
        <v>7034640284</v>
      </c>
      <c r="H2899" s="10" t="s">
        <v>6418</v>
      </c>
      <c r="I2899" s="10" t="s">
        <v>27</v>
      </c>
      <c r="J2899" s="10" t="s">
        <v>42</v>
      </c>
      <c r="K2899" s="12">
        <v>34982</v>
      </c>
      <c r="L2899" s="28" t="s">
        <v>11</v>
      </c>
      <c r="M2899" s="14"/>
      <c r="N2899" s="10" t="s">
        <v>1028</v>
      </c>
    </row>
    <row r="2900" spans="1:14" ht="22.5" customHeight="1">
      <c r="A2900" s="8">
        <v>46010.450332696761</v>
      </c>
      <c r="B2900" s="9" t="s">
        <v>14</v>
      </c>
      <c r="C2900" s="9" t="s">
        <v>15</v>
      </c>
      <c r="D2900" s="10" t="s">
        <v>6419</v>
      </c>
      <c r="E2900" s="9" t="s">
        <v>17</v>
      </c>
      <c r="F2900" s="10">
        <v>25</v>
      </c>
      <c r="G2900" s="11">
        <v>9132308485</v>
      </c>
      <c r="H2900" s="10" t="s">
        <v>6420</v>
      </c>
      <c r="I2900" s="10" t="s">
        <v>49</v>
      </c>
      <c r="J2900" s="10" t="s">
        <v>50</v>
      </c>
      <c r="K2900" s="12">
        <v>46010</v>
      </c>
      <c r="L2900" s="28" t="s">
        <v>11</v>
      </c>
      <c r="M2900" s="14"/>
      <c r="N2900" s="10" t="s">
        <v>1028</v>
      </c>
    </row>
    <row r="2901" spans="1:14" ht="22.5" customHeight="1">
      <c r="A2901" s="8">
        <v>46010.471023645834</v>
      </c>
      <c r="B2901" s="9" t="s">
        <v>14</v>
      </c>
      <c r="C2901" s="9" t="s">
        <v>15</v>
      </c>
      <c r="D2901" s="10" t="s">
        <v>6421</v>
      </c>
      <c r="E2901" s="9" t="s">
        <v>17</v>
      </c>
      <c r="F2901" s="10">
        <v>31</v>
      </c>
      <c r="G2901" s="11">
        <v>8065231983</v>
      </c>
      <c r="H2901" s="10" t="s">
        <v>6422</v>
      </c>
      <c r="I2901" s="10" t="s">
        <v>27</v>
      </c>
      <c r="J2901" s="10" t="s">
        <v>1559</v>
      </c>
      <c r="K2901" s="12">
        <v>46010</v>
      </c>
      <c r="L2901" s="28" t="s">
        <v>11</v>
      </c>
      <c r="M2901" s="14"/>
      <c r="N2901" s="10" t="s">
        <v>1028</v>
      </c>
    </row>
    <row r="2902" spans="1:14" ht="22.5" customHeight="1">
      <c r="A2902" s="8">
        <v>46010.474462800921</v>
      </c>
      <c r="B2902" s="9" t="s">
        <v>14</v>
      </c>
      <c r="C2902" s="9" t="s">
        <v>15</v>
      </c>
      <c r="D2902" s="10" t="s">
        <v>6423</v>
      </c>
      <c r="E2902" s="9" t="s">
        <v>17</v>
      </c>
      <c r="F2902" s="10">
        <v>39</v>
      </c>
      <c r="G2902" s="11">
        <v>8061382770</v>
      </c>
      <c r="H2902" s="10" t="s">
        <v>6424</v>
      </c>
      <c r="I2902" s="10" t="s">
        <v>27</v>
      </c>
      <c r="J2902" s="10" t="s">
        <v>5011</v>
      </c>
      <c r="K2902" s="12">
        <v>46010</v>
      </c>
      <c r="L2902" s="28" t="s">
        <v>11</v>
      </c>
      <c r="M2902" s="14"/>
      <c r="N2902" s="10" t="s">
        <v>1028</v>
      </c>
    </row>
    <row r="2903" spans="1:14" ht="22.5" customHeight="1">
      <c r="A2903" s="8">
        <v>46010.48854366898</v>
      </c>
      <c r="B2903" s="9" t="s">
        <v>14</v>
      </c>
      <c r="C2903" s="9" t="s">
        <v>15</v>
      </c>
      <c r="D2903" s="10" t="s">
        <v>6425</v>
      </c>
      <c r="E2903" s="9" t="s">
        <v>17</v>
      </c>
      <c r="F2903" s="10">
        <v>43</v>
      </c>
      <c r="G2903" s="11">
        <v>9162331416</v>
      </c>
      <c r="H2903" s="10" t="s">
        <v>6426</v>
      </c>
      <c r="I2903" s="10" t="s">
        <v>202</v>
      </c>
      <c r="J2903" s="10" t="s">
        <v>6185</v>
      </c>
      <c r="K2903" s="12">
        <v>46010</v>
      </c>
      <c r="L2903" s="28" t="s">
        <v>11</v>
      </c>
      <c r="M2903" s="14"/>
      <c r="N2903" s="10" t="s">
        <v>1563</v>
      </c>
    </row>
    <row r="2904" spans="1:14" ht="22.5" customHeight="1">
      <c r="A2904" s="8">
        <v>46010.491270416664</v>
      </c>
      <c r="B2904" s="9" t="s">
        <v>14</v>
      </c>
      <c r="C2904" s="9" t="s">
        <v>15</v>
      </c>
      <c r="D2904" s="10" t="s">
        <v>6427</v>
      </c>
      <c r="E2904" s="9" t="s">
        <v>22</v>
      </c>
      <c r="F2904" s="10">
        <v>24</v>
      </c>
      <c r="G2904" s="11">
        <v>7059374116</v>
      </c>
      <c r="H2904" s="10" t="s">
        <v>6428</v>
      </c>
      <c r="I2904" s="10" t="s">
        <v>27</v>
      </c>
      <c r="J2904" s="10" t="s">
        <v>703</v>
      </c>
      <c r="K2904" s="12">
        <v>46010</v>
      </c>
      <c r="L2904" s="28" t="s">
        <v>11</v>
      </c>
      <c r="M2904" s="14"/>
      <c r="N2904" s="10" t="s">
        <v>1028</v>
      </c>
    </row>
    <row r="2905" spans="1:14" ht="22.5" hidden="1" customHeight="1">
      <c r="A2905" s="8">
        <v>46010.505644456018</v>
      </c>
      <c r="B2905" s="9" t="s">
        <v>14</v>
      </c>
      <c r="C2905" s="9" t="s">
        <v>15</v>
      </c>
      <c r="D2905" s="10" t="s">
        <v>6429</v>
      </c>
      <c r="E2905" s="9" t="s">
        <v>17</v>
      </c>
      <c r="F2905" s="10">
        <v>42</v>
      </c>
      <c r="G2905" s="11">
        <v>8065849755</v>
      </c>
      <c r="H2905" s="10" t="s">
        <v>6430</v>
      </c>
      <c r="I2905" s="10" t="s">
        <v>27</v>
      </c>
      <c r="J2905" s="10" t="s">
        <v>5053</v>
      </c>
      <c r="K2905" s="12">
        <v>46010</v>
      </c>
      <c r="L2905" s="10" t="s">
        <v>441</v>
      </c>
      <c r="M2905" s="10" t="s">
        <v>1356</v>
      </c>
      <c r="N2905" s="10" t="s">
        <v>1028</v>
      </c>
    </row>
    <row r="2906" spans="1:14" ht="22.5" customHeight="1">
      <c r="A2906" s="8">
        <v>46010.513825810187</v>
      </c>
      <c r="B2906" s="9" t="s">
        <v>14</v>
      </c>
      <c r="C2906" s="9" t="s">
        <v>15</v>
      </c>
      <c r="D2906" s="10" t="s">
        <v>6431</v>
      </c>
      <c r="E2906" s="9" t="s">
        <v>17</v>
      </c>
      <c r="F2906" s="10">
        <v>29</v>
      </c>
      <c r="G2906" s="11">
        <v>8142677069</v>
      </c>
      <c r="H2906" s="10" t="s">
        <v>6432</v>
      </c>
      <c r="I2906" s="10" t="s">
        <v>49</v>
      </c>
      <c r="J2906" s="10" t="s">
        <v>215</v>
      </c>
      <c r="K2906" s="12">
        <v>46010</v>
      </c>
      <c r="L2906" s="28" t="s">
        <v>11</v>
      </c>
      <c r="M2906" s="14"/>
      <c r="N2906" s="10" t="s">
        <v>1028</v>
      </c>
    </row>
    <row r="2907" spans="1:14" ht="22.5" customHeight="1">
      <c r="A2907" s="8">
        <v>46010.560893622685</v>
      </c>
      <c r="B2907" s="9" t="s">
        <v>14</v>
      </c>
      <c r="C2907" s="9" t="s">
        <v>15</v>
      </c>
      <c r="D2907" s="10" t="s">
        <v>6433</v>
      </c>
      <c r="E2907" s="9" t="s">
        <v>17</v>
      </c>
      <c r="F2907" s="10">
        <v>35</v>
      </c>
      <c r="G2907" s="11">
        <v>8060496096</v>
      </c>
      <c r="H2907" s="10" t="s">
        <v>6434</v>
      </c>
      <c r="I2907" s="10" t="s">
        <v>27</v>
      </c>
      <c r="J2907" s="10" t="s">
        <v>703</v>
      </c>
      <c r="K2907" s="12">
        <v>46010</v>
      </c>
      <c r="L2907" s="28" t="s">
        <v>11</v>
      </c>
      <c r="M2907" s="14"/>
      <c r="N2907" s="10" t="s">
        <v>1028</v>
      </c>
    </row>
    <row r="2908" spans="1:14" ht="22.5" customHeight="1">
      <c r="A2908" s="8">
        <v>46010.565392673612</v>
      </c>
      <c r="B2908" s="9" t="s">
        <v>14</v>
      </c>
      <c r="C2908" s="9" t="s">
        <v>15</v>
      </c>
      <c r="D2908" s="10" t="s">
        <v>6435</v>
      </c>
      <c r="E2908" s="9" t="s">
        <v>17</v>
      </c>
      <c r="F2908" s="10">
        <v>31</v>
      </c>
      <c r="G2908" s="11">
        <v>9114367567</v>
      </c>
      <c r="H2908" s="10" t="s">
        <v>6436</v>
      </c>
      <c r="I2908" s="10" t="s">
        <v>19</v>
      </c>
      <c r="J2908" s="10" t="s">
        <v>5064</v>
      </c>
      <c r="K2908" s="12">
        <v>46010</v>
      </c>
      <c r="L2908" s="28" t="s">
        <v>11</v>
      </c>
      <c r="M2908" s="14"/>
      <c r="N2908" s="10" t="s">
        <v>1028</v>
      </c>
    </row>
    <row r="2909" spans="1:14" ht="22.5" customHeight="1">
      <c r="A2909" s="8">
        <v>46010.56959856482</v>
      </c>
      <c r="B2909" s="9" t="s">
        <v>14</v>
      </c>
      <c r="C2909" s="9" t="s">
        <v>15</v>
      </c>
      <c r="D2909" s="10" t="s">
        <v>6437</v>
      </c>
      <c r="E2909" s="9" t="s">
        <v>17</v>
      </c>
      <c r="F2909" s="10">
        <v>30</v>
      </c>
      <c r="G2909" s="11">
        <v>7032856764</v>
      </c>
      <c r="H2909" s="10" t="s">
        <v>6438</v>
      </c>
      <c r="I2909" s="10" t="s">
        <v>45</v>
      </c>
      <c r="J2909" s="10" t="s">
        <v>6439</v>
      </c>
      <c r="K2909" s="12">
        <v>46010</v>
      </c>
      <c r="L2909" s="28" t="s">
        <v>11</v>
      </c>
      <c r="M2909" s="14"/>
      <c r="N2909" s="10" t="s">
        <v>1028</v>
      </c>
    </row>
    <row r="2910" spans="1:14" ht="22.5" customHeight="1">
      <c r="A2910" s="8">
        <v>46010.592320543983</v>
      </c>
      <c r="B2910" s="9" t="s">
        <v>14</v>
      </c>
      <c r="C2910" s="9" t="s">
        <v>15</v>
      </c>
      <c r="D2910" s="10" t="s">
        <v>6440</v>
      </c>
      <c r="E2910" s="9" t="s">
        <v>17</v>
      </c>
      <c r="F2910" s="10">
        <v>30</v>
      </c>
      <c r="G2910" s="11">
        <f t="shared" ref="G2910" si="74">2349030376207</f>
        <v>2349030376207</v>
      </c>
      <c r="H2910" s="10" t="s">
        <v>6441</v>
      </c>
      <c r="I2910" s="10" t="s">
        <v>49</v>
      </c>
      <c r="J2910" s="10" t="s">
        <v>246</v>
      </c>
      <c r="K2910" s="12">
        <v>46010</v>
      </c>
      <c r="L2910" s="28" t="s">
        <v>11</v>
      </c>
      <c r="M2910" s="14"/>
      <c r="N2910" s="10" t="s">
        <v>1028</v>
      </c>
    </row>
    <row r="2911" spans="1:14" ht="22.5" customHeight="1">
      <c r="A2911" s="8">
        <v>46010.597186851854</v>
      </c>
      <c r="B2911" s="9" t="s">
        <v>14</v>
      </c>
      <c r="C2911" s="9" t="s">
        <v>15</v>
      </c>
      <c r="D2911" s="10" t="s">
        <v>6442</v>
      </c>
      <c r="E2911" s="9" t="s">
        <v>17</v>
      </c>
      <c r="F2911" s="18">
        <v>30</v>
      </c>
      <c r="G2911" s="11">
        <v>9031861840</v>
      </c>
      <c r="H2911" s="10" t="s">
        <v>6443</v>
      </c>
      <c r="I2911" s="10" t="s">
        <v>202</v>
      </c>
      <c r="J2911" s="10" t="s">
        <v>4005</v>
      </c>
      <c r="K2911" s="12">
        <v>46010</v>
      </c>
      <c r="L2911" s="28" t="s">
        <v>11</v>
      </c>
      <c r="M2911" s="14"/>
      <c r="N2911" s="10" t="s">
        <v>1028</v>
      </c>
    </row>
    <row r="2912" spans="1:14" ht="22.5" customHeight="1">
      <c r="A2912" s="8">
        <v>46010.601418900464</v>
      </c>
      <c r="B2912" s="9" t="s">
        <v>14</v>
      </c>
      <c r="C2912" s="9" t="s">
        <v>15</v>
      </c>
      <c r="D2912" s="10" t="s">
        <v>6444</v>
      </c>
      <c r="E2912" s="9" t="s">
        <v>17</v>
      </c>
      <c r="F2912" s="10">
        <v>28</v>
      </c>
      <c r="G2912" s="11">
        <f t="shared" ref="G2912" si="75">256750127077</f>
        <v>256750127077</v>
      </c>
      <c r="H2912" s="10" t="s">
        <v>6445</v>
      </c>
      <c r="I2912" s="10" t="s">
        <v>19</v>
      </c>
      <c r="J2912" s="10" t="s">
        <v>6446</v>
      </c>
      <c r="K2912" s="12">
        <v>46010</v>
      </c>
      <c r="L2912" s="28" t="s">
        <v>11</v>
      </c>
      <c r="M2912" s="14"/>
      <c r="N2912" s="10" t="s">
        <v>1028</v>
      </c>
    </row>
    <row r="2913" spans="1:14" ht="22.5" customHeight="1">
      <c r="A2913" s="8">
        <v>46010.601450624999</v>
      </c>
      <c r="B2913" s="9" t="s">
        <v>14</v>
      </c>
      <c r="C2913" s="9" t="s">
        <v>15</v>
      </c>
      <c r="D2913" s="10" t="s">
        <v>6447</v>
      </c>
      <c r="E2913" s="9" t="s">
        <v>22</v>
      </c>
      <c r="F2913" s="10">
        <v>27</v>
      </c>
      <c r="G2913" s="11">
        <v>7067934412</v>
      </c>
      <c r="H2913" s="10" t="s">
        <v>6448</v>
      </c>
      <c r="I2913" s="10" t="s">
        <v>19</v>
      </c>
      <c r="J2913" s="10" t="s">
        <v>3466</v>
      </c>
      <c r="K2913" s="12">
        <v>46010</v>
      </c>
      <c r="L2913" s="28" t="s">
        <v>11</v>
      </c>
      <c r="M2913" s="14"/>
      <c r="N2913" s="10" t="s">
        <v>1028</v>
      </c>
    </row>
    <row r="2914" spans="1:14" ht="22.5" customHeight="1">
      <c r="A2914" s="8">
        <v>46010.603442835651</v>
      </c>
      <c r="B2914" s="9" t="s">
        <v>14</v>
      </c>
      <c r="C2914" s="9" t="s">
        <v>15</v>
      </c>
      <c r="D2914" s="10" t="s">
        <v>6449</v>
      </c>
      <c r="E2914" s="9" t="s">
        <v>22</v>
      </c>
      <c r="F2914" s="10">
        <v>30</v>
      </c>
      <c r="G2914" s="11">
        <v>8062529133</v>
      </c>
      <c r="H2914" s="10" t="s">
        <v>6450</v>
      </c>
      <c r="I2914" s="10" t="s">
        <v>27</v>
      </c>
      <c r="J2914" s="10" t="s">
        <v>1559</v>
      </c>
      <c r="K2914" s="12">
        <v>46010</v>
      </c>
      <c r="L2914" s="28" t="s">
        <v>11</v>
      </c>
      <c r="M2914" s="14"/>
      <c r="N2914" s="10" t="s">
        <v>1028</v>
      </c>
    </row>
    <row r="2915" spans="1:14" ht="22.5" hidden="1" customHeight="1">
      <c r="A2915" s="8">
        <v>46010.60699403935</v>
      </c>
      <c r="B2915" s="9" t="s">
        <v>14</v>
      </c>
      <c r="C2915" s="9" t="s">
        <v>15</v>
      </c>
      <c r="D2915" s="10" t="s">
        <v>6451</v>
      </c>
      <c r="E2915" s="9" t="s">
        <v>17</v>
      </c>
      <c r="F2915" s="10">
        <v>38</v>
      </c>
      <c r="G2915" s="11">
        <v>8062538455</v>
      </c>
      <c r="H2915" s="10" t="s">
        <v>6452</v>
      </c>
      <c r="I2915" s="10" t="s">
        <v>27</v>
      </c>
      <c r="J2915" s="10" t="s">
        <v>3992</v>
      </c>
      <c r="K2915" s="12">
        <v>46010</v>
      </c>
      <c r="L2915" s="10" t="s">
        <v>441</v>
      </c>
      <c r="M2915" s="10" t="s">
        <v>1361</v>
      </c>
      <c r="N2915" s="10" t="s">
        <v>1028</v>
      </c>
    </row>
    <row r="2916" spans="1:14" ht="22.5" customHeight="1">
      <c r="A2916" s="8">
        <v>46010.654589502316</v>
      </c>
      <c r="B2916" s="9" t="s">
        <v>14</v>
      </c>
      <c r="C2916" s="9" t="s">
        <v>15</v>
      </c>
      <c r="D2916" s="10" t="s">
        <v>6453</v>
      </c>
      <c r="E2916" s="9" t="s">
        <v>17</v>
      </c>
      <c r="F2916" s="10">
        <v>20</v>
      </c>
      <c r="G2916" s="11">
        <v>9055335365</v>
      </c>
      <c r="H2916" s="10" t="s">
        <v>6454</v>
      </c>
      <c r="I2916" s="10" t="s">
        <v>27</v>
      </c>
      <c r="J2916" s="10" t="s">
        <v>172</v>
      </c>
      <c r="K2916" s="12">
        <v>46010</v>
      </c>
      <c r="L2916" s="28" t="s">
        <v>11</v>
      </c>
      <c r="M2916" s="14"/>
      <c r="N2916" s="10" t="s">
        <v>1028</v>
      </c>
    </row>
    <row r="2917" spans="1:14" ht="22.5" customHeight="1">
      <c r="A2917" s="8">
        <v>46010.671780868055</v>
      </c>
      <c r="B2917" s="9" t="s">
        <v>14</v>
      </c>
      <c r="C2917" s="9" t="s">
        <v>15</v>
      </c>
      <c r="D2917" s="10" t="s">
        <v>6455</v>
      </c>
      <c r="E2917" s="9" t="s">
        <v>17</v>
      </c>
      <c r="F2917" s="19">
        <v>18</v>
      </c>
      <c r="G2917" s="11">
        <v>7017641893</v>
      </c>
      <c r="H2917" s="10" t="s">
        <v>6456</v>
      </c>
      <c r="I2917" s="10" t="s">
        <v>202</v>
      </c>
      <c r="J2917" s="10" t="s">
        <v>4005</v>
      </c>
      <c r="K2917" s="12">
        <v>46010</v>
      </c>
      <c r="L2917" s="28" t="s">
        <v>11</v>
      </c>
      <c r="M2917" s="14"/>
      <c r="N2917" s="10" t="s">
        <v>1028</v>
      </c>
    </row>
    <row r="2918" spans="1:14" ht="22.5" customHeight="1">
      <c r="A2918" s="8">
        <v>46010.690018530091</v>
      </c>
      <c r="B2918" s="9" t="s">
        <v>14</v>
      </c>
      <c r="C2918" s="9" t="s">
        <v>15</v>
      </c>
      <c r="D2918" s="10" t="s">
        <v>6457</v>
      </c>
      <c r="E2918" s="9" t="s">
        <v>22</v>
      </c>
      <c r="F2918" s="10">
        <v>30</v>
      </c>
      <c r="G2918" s="11">
        <v>8163044469</v>
      </c>
      <c r="H2918" s="10" t="s">
        <v>6458</v>
      </c>
      <c r="I2918" s="10" t="s">
        <v>45</v>
      </c>
      <c r="J2918" s="10" t="s">
        <v>6459</v>
      </c>
      <c r="K2918" s="12">
        <v>46010</v>
      </c>
      <c r="L2918" s="28" t="s">
        <v>11</v>
      </c>
      <c r="M2918" s="14"/>
      <c r="N2918" s="10" t="s">
        <v>1096</v>
      </c>
    </row>
    <row r="2919" spans="1:14" ht="22.5" customHeight="1">
      <c r="A2919" s="8">
        <v>46010.692853819448</v>
      </c>
      <c r="B2919" s="9" t="s">
        <v>14</v>
      </c>
      <c r="C2919" s="9" t="s">
        <v>15</v>
      </c>
      <c r="D2919" s="10" t="s">
        <v>6460</v>
      </c>
      <c r="E2919" s="9" t="s">
        <v>17</v>
      </c>
      <c r="F2919" s="10">
        <v>42</v>
      </c>
      <c r="G2919" s="11">
        <v>7068896447</v>
      </c>
      <c r="H2919" s="10" t="s">
        <v>6461</v>
      </c>
      <c r="I2919" s="10" t="s">
        <v>27</v>
      </c>
      <c r="J2919" s="10" t="s">
        <v>1570</v>
      </c>
      <c r="K2919" s="12">
        <v>30653</v>
      </c>
      <c r="L2919" s="28" t="s">
        <v>11</v>
      </c>
      <c r="M2919" s="14"/>
      <c r="N2919" s="10" t="s">
        <v>1028</v>
      </c>
    </row>
    <row r="2920" spans="1:14" ht="22.5" customHeight="1">
      <c r="A2920" s="8">
        <v>46010.699213009255</v>
      </c>
      <c r="B2920" s="9" t="s">
        <v>14</v>
      </c>
      <c r="C2920" s="9" t="s">
        <v>15</v>
      </c>
      <c r="D2920" s="10" t="s">
        <v>6462</v>
      </c>
      <c r="E2920" s="9" t="s">
        <v>22</v>
      </c>
      <c r="F2920" s="18">
        <v>32</v>
      </c>
      <c r="G2920" s="11">
        <v>9031861840</v>
      </c>
      <c r="H2920" s="10" t="s">
        <v>6463</v>
      </c>
      <c r="I2920" s="10" t="s">
        <v>202</v>
      </c>
      <c r="J2920" s="10" t="s">
        <v>4005</v>
      </c>
      <c r="K2920" s="12">
        <v>46010</v>
      </c>
      <c r="L2920" s="28" t="s">
        <v>11</v>
      </c>
      <c r="M2920" s="14"/>
      <c r="N2920" s="10" t="s">
        <v>1028</v>
      </c>
    </row>
    <row r="2921" spans="1:14" ht="22.5" customHeight="1">
      <c r="A2921" s="8">
        <v>46010.721160231478</v>
      </c>
      <c r="B2921" s="9" t="s">
        <v>14</v>
      </c>
      <c r="C2921" s="9" t="s">
        <v>15</v>
      </c>
      <c r="D2921" s="10" t="s">
        <v>6464</v>
      </c>
      <c r="E2921" s="9" t="s">
        <v>17</v>
      </c>
      <c r="F2921" s="10">
        <v>24</v>
      </c>
      <c r="G2921" s="11">
        <v>7033133930</v>
      </c>
      <c r="H2921" s="10" t="s">
        <v>6465</v>
      </c>
      <c r="I2921" s="10" t="s">
        <v>27</v>
      </c>
      <c r="J2921" s="10" t="s">
        <v>2734</v>
      </c>
      <c r="K2921" s="12">
        <v>46010</v>
      </c>
      <c r="L2921" s="28" t="s">
        <v>11</v>
      </c>
      <c r="M2921" s="14"/>
      <c r="N2921" s="10" t="s">
        <v>1028</v>
      </c>
    </row>
    <row r="2922" spans="1:14" ht="22.5" customHeight="1">
      <c r="A2922" s="8">
        <v>46010.730061631941</v>
      </c>
      <c r="B2922" s="9" t="s">
        <v>14</v>
      </c>
      <c r="C2922" s="9" t="s">
        <v>15</v>
      </c>
      <c r="D2922" s="10" t="s">
        <v>6466</v>
      </c>
      <c r="E2922" s="9" t="s">
        <v>17</v>
      </c>
      <c r="F2922" s="10">
        <v>30</v>
      </c>
      <c r="G2922" s="11">
        <v>8022709379</v>
      </c>
      <c r="H2922" s="10" t="s">
        <v>6467</v>
      </c>
      <c r="I2922" s="10" t="s">
        <v>202</v>
      </c>
      <c r="J2922" s="10" t="s">
        <v>4005</v>
      </c>
      <c r="K2922" s="12">
        <v>46010</v>
      </c>
      <c r="L2922" s="28" t="s">
        <v>11</v>
      </c>
      <c r="M2922" s="14"/>
      <c r="N2922" s="10" t="s">
        <v>1028</v>
      </c>
    </row>
    <row r="2923" spans="1:14" ht="22.5" customHeight="1">
      <c r="A2923" s="8">
        <v>46010.75001476852</v>
      </c>
      <c r="B2923" s="9" t="s">
        <v>14</v>
      </c>
      <c r="C2923" s="9" t="s">
        <v>15</v>
      </c>
      <c r="D2923" s="10" t="s">
        <v>6468</v>
      </c>
      <c r="E2923" s="9" t="s">
        <v>17</v>
      </c>
      <c r="F2923" s="10">
        <v>29</v>
      </c>
      <c r="G2923" s="11">
        <v>2348168209666</v>
      </c>
      <c r="H2923" s="10" t="s">
        <v>6469</v>
      </c>
      <c r="I2923" s="10" t="s">
        <v>45</v>
      </c>
      <c r="J2923" s="10" t="s">
        <v>46</v>
      </c>
      <c r="K2923" s="12">
        <v>46010</v>
      </c>
      <c r="L2923" s="28" t="s">
        <v>11</v>
      </c>
      <c r="M2923" s="14"/>
      <c r="N2923" s="10" t="s">
        <v>1028</v>
      </c>
    </row>
    <row r="2924" spans="1:14" ht="22.5" customHeight="1">
      <c r="A2924" s="8">
        <v>46010.761661122684</v>
      </c>
      <c r="B2924" s="9" t="s">
        <v>14</v>
      </c>
      <c r="C2924" s="9" t="s">
        <v>15</v>
      </c>
      <c r="D2924" s="10" t="s">
        <v>6470</v>
      </c>
      <c r="E2924" s="9" t="s">
        <v>17</v>
      </c>
      <c r="F2924" s="10">
        <v>39</v>
      </c>
      <c r="G2924" s="11">
        <v>8140399532</v>
      </c>
      <c r="H2924" s="10" t="s">
        <v>6471</v>
      </c>
      <c r="I2924" s="10" t="s">
        <v>202</v>
      </c>
      <c r="J2924" s="10" t="s">
        <v>4005</v>
      </c>
      <c r="K2924" s="12">
        <v>46010</v>
      </c>
      <c r="L2924" s="28" t="s">
        <v>11</v>
      </c>
      <c r="M2924" s="14"/>
      <c r="N2924" s="10" t="s">
        <v>1028</v>
      </c>
    </row>
    <row r="2925" spans="1:14" ht="22.5" customHeight="1">
      <c r="A2925" s="8">
        <v>46010.766904594908</v>
      </c>
      <c r="B2925" s="9" t="s">
        <v>14</v>
      </c>
      <c r="C2925" s="9" t="s">
        <v>15</v>
      </c>
      <c r="D2925" s="10" t="s">
        <v>6472</v>
      </c>
      <c r="E2925" s="9" t="s">
        <v>17</v>
      </c>
      <c r="F2925" s="10">
        <v>28</v>
      </c>
      <c r="G2925" s="11">
        <v>8147937228</v>
      </c>
      <c r="H2925" s="10" t="s">
        <v>6473</v>
      </c>
      <c r="I2925" s="10" t="s">
        <v>49</v>
      </c>
      <c r="J2925" s="10" t="s">
        <v>109</v>
      </c>
      <c r="K2925" s="12">
        <v>46010</v>
      </c>
      <c r="L2925" s="28" t="s">
        <v>11</v>
      </c>
      <c r="M2925" s="14"/>
      <c r="N2925" s="10" t="s">
        <v>1028</v>
      </c>
    </row>
    <row r="2926" spans="1:14" ht="22.5" customHeight="1">
      <c r="A2926" s="8">
        <v>46010.771788796294</v>
      </c>
      <c r="B2926" s="9" t="s">
        <v>14</v>
      </c>
      <c r="C2926" s="9" t="s">
        <v>15</v>
      </c>
      <c r="D2926" s="10" t="s">
        <v>6474</v>
      </c>
      <c r="E2926" s="9" t="s">
        <v>22</v>
      </c>
      <c r="F2926" s="10">
        <v>25</v>
      </c>
      <c r="G2926" s="11">
        <v>8140249789</v>
      </c>
      <c r="H2926" s="10" t="s">
        <v>6475</v>
      </c>
      <c r="I2926" s="10" t="s">
        <v>45</v>
      </c>
      <c r="J2926" s="10" t="s">
        <v>509</v>
      </c>
      <c r="K2926" s="12">
        <v>46010</v>
      </c>
      <c r="L2926" s="28" t="s">
        <v>11</v>
      </c>
      <c r="M2926" s="14"/>
      <c r="N2926" s="10" t="s">
        <v>1096</v>
      </c>
    </row>
    <row r="2927" spans="1:14" ht="22.5" customHeight="1">
      <c r="A2927" s="8">
        <v>46010.807984803236</v>
      </c>
      <c r="B2927" s="9" t="s">
        <v>14</v>
      </c>
      <c r="C2927" s="9" t="s">
        <v>15</v>
      </c>
      <c r="D2927" s="10" t="s">
        <v>6476</v>
      </c>
      <c r="E2927" s="9" t="s">
        <v>17</v>
      </c>
      <c r="F2927" s="10">
        <v>29</v>
      </c>
      <c r="G2927" s="11">
        <v>8101381618</v>
      </c>
      <c r="H2927" s="10" t="s">
        <v>6477</v>
      </c>
      <c r="I2927" s="10" t="s">
        <v>202</v>
      </c>
      <c r="J2927" s="10" t="s">
        <v>6091</v>
      </c>
      <c r="K2927" s="12">
        <v>46010</v>
      </c>
      <c r="L2927" s="28" t="s">
        <v>11</v>
      </c>
      <c r="M2927" s="14"/>
      <c r="N2927" s="10" t="s">
        <v>1028</v>
      </c>
    </row>
    <row r="2928" spans="1:14" ht="22.5" customHeight="1">
      <c r="A2928" s="8">
        <v>46010.84200300926</v>
      </c>
      <c r="B2928" s="9" t="s">
        <v>14</v>
      </c>
      <c r="C2928" s="9" t="s">
        <v>15</v>
      </c>
      <c r="D2928" s="10" t="s">
        <v>6478</v>
      </c>
      <c r="E2928" s="9" t="s">
        <v>22</v>
      </c>
      <c r="F2928" s="10">
        <v>35</v>
      </c>
      <c r="G2928" s="11">
        <v>8057841830</v>
      </c>
      <c r="H2928" s="10" t="s">
        <v>6479</v>
      </c>
      <c r="I2928" s="10" t="s">
        <v>45</v>
      </c>
      <c r="J2928" s="10" t="s">
        <v>901</v>
      </c>
      <c r="K2928" s="12">
        <v>46010</v>
      </c>
      <c r="L2928" s="28" t="s">
        <v>11</v>
      </c>
      <c r="M2928" s="14"/>
      <c r="N2928" s="10" t="s">
        <v>1028</v>
      </c>
    </row>
    <row r="2929" spans="1:14" ht="22.5" customHeight="1">
      <c r="A2929" s="8">
        <v>46010.892065613429</v>
      </c>
      <c r="B2929" s="9" t="s">
        <v>14</v>
      </c>
      <c r="C2929" s="9" t="s">
        <v>15</v>
      </c>
      <c r="D2929" s="10" t="s">
        <v>6480</v>
      </c>
      <c r="E2929" s="9" t="s">
        <v>22</v>
      </c>
      <c r="F2929" s="10">
        <v>24</v>
      </c>
      <c r="G2929" s="11">
        <f>2348067923896</f>
        <v>2348067923896</v>
      </c>
      <c r="H2929" s="10" t="s">
        <v>6481</v>
      </c>
      <c r="I2929" s="10" t="s">
        <v>27</v>
      </c>
      <c r="J2929" s="10" t="s">
        <v>94</v>
      </c>
      <c r="K2929" s="12">
        <v>46010</v>
      </c>
      <c r="L2929" s="28" t="s">
        <v>11</v>
      </c>
      <c r="M2929" s="14"/>
      <c r="N2929" s="10" t="s">
        <v>1028</v>
      </c>
    </row>
    <row r="2930" spans="1:14" ht="22.5" customHeight="1">
      <c r="A2930" s="8">
        <v>46010.892306284717</v>
      </c>
      <c r="B2930" s="9" t="s">
        <v>14</v>
      </c>
      <c r="C2930" s="9" t="s">
        <v>15</v>
      </c>
      <c r="D2930" s="10" t="s">
        <v>6482</v>
      </c>
      <c r="E2930" s="9" t="s">
        <v>17</v>
      </c>
      <c r="F2930" s="10">
        <v>21</v>
      </c>
      <c r="G2930" s="11">
        <v>9060540790</v>
      </c>
      <c r="H2930" s="10" t="s">
        <v>6483</v>
      </c>
      <c r="I2930" s="10" t="s">
        <v>27</v>
      </c>
      <c r="J2930" s="10" t="s">
        <v>1735</v>
      </c>
      <c r="K2930" s="12">
        <v>46010</v>
      </c>
      <c r="L2930" s="28" t="s">
        <v>11</v>
      </c>
      <c r="M2930" s="14"/>
      <c r="N2930" s="10" t="s">
        <v>1028</v>
      </c>
    </row>
    <row r="2931" spans="1:14" ht="22.5" customHeight="1">
      <c r="A2931" s="8">
        <v>46010.894248750003</v>
      </c>
      <c r="B2931" s="9" t="s">
        <v>14</v>
      </c>
      <c r="C2931" s="9" t="s">
        <v>15</v>
      </c>
      <c r="D2931" s="10" t="s">
        <v>6484</v>
      </c>
      <c r="E2931" s="9" t="s">
        <v>17</v>
      </c>
      <c r="F2931" s="10">
        <v>30</v>
      </c>
      <c r="G2931" s="11">
        <v>7012939265</v>
      </c>
      <c r="H2931" s="10" t="s">
        <v>6485</v>
      </c>
      <c r="I2931" s="10" t="s">
        <v>31</v>
      </c>
      <c r="J2931" s="10" t="s">
        <v>2358</v>
      </c>
      <c r="K2931" s="12">
        <v>46010</v>
      </c>
      <c r="L2931" s="28" t="s">
        <v>11</v>
      </c>
      <c r="M2931" s="14"/>
      <c r="N2931" s="10" t="s">
        <v>1028</v>
      </c>
    </row>
    <row r="2932" spans="1:14" ht="22.5" customHeight="1">
      <c r="A2932" s="8">
        <v>46010.905446018514</v>
      </c>
      <c r="B2932" s="9" t="s">
        <v>14</v>
      </c>
      <c r="C2932" s="9" t="s">
        <v>15</v>
      </c>
      <c r="D2932" s="10" t="s">
        <v>6486</v>
      </c>
      <c r="E2932" s="9" t="s">
        <v>22</v>
      </c>
      <c r="F2932" s="10">
        <v>35</v>
      </c>
      <c r="G2932" s="11">
        <v>7064236135</v>
      </c>
      <c r="H2932" s="10" t="s">
        <v>6487</v>
      </c>
      <c r="I2932" s="10" t="s">
        <v>49</v>
      </c>
      <c r="J2932" s="10" t="s">
        <v>6488</v>
      </c>
      <c r="K2932" s="12">
        <v>46010</v>
      </c>
      <c r="L2932" s="28" t="s">
        <v>11</v>
      </c>
      <c r="M2932" s="14"/>
      <c r="N2932" s="10" t="s">
        <v>1028</v>
      </c>
    </row>
    <row r="2933" spans="1:14" ht="22.5" customHeight="1">
      <c r="A2933" s="8">
        <v>46010.914380011571</v>
      </c>
      <c r="B2933" s="9" t="s">
        <v>14</v>
      </c>
      <c r="C2933" s="9" t="s">
        <v>15</v>
      </c>
      <c r="D2933" s="10" t="s">
        <v>6489</v>
      </c>
      <c r="E2933" s="9" t="s">
        <v>22</v>
      </c>
      <c r="F2933" s="10">
        <v>33</v>
      </c>
      <c r="G2933" s="11">
        <v>8037491454</v>
      </c>
      <c r="H2933" s="10" t="s">
        <v>6490</v>
      </c>
      <c r="I2933" s="10" t="s">
        <v>49</v>
      </c>
      <c r="J2933" s="10" t="s">
        <v>73</v>
      </c>
      <c r="K2933" s="12">
        <v>46010</v>
      </c>
      <c r="L2933" s="28" t="s">
        <v>11</v>
      </c>
      <c r="M2933" s="14"/>
      <c r="N2933" s="10" t="s">
        <v>1028</v>
      </c>
    </row>
    <row r="2934" spans="1:14" ht="22.5" customHeight="1">
      <c r="A2934" s="8">
        <v>46010.923243680554</v>
      </c>
      <c r="B2934" s="9" t="s">
        <v>14</v>
      </c>
      <c r="C2934" s="9" t="s">
        <v>15</v>
      </c>
      <c r="D2934" s="10" t="s">
        <v>6491</v>
      </c>
      <c r="E2934" s="9" t="s">
        <v>17</v>
      </c>
      <c r="F2934" s="10">
        <v>26</v>
      </c>
      <c r="G2934" s="11">
        <v>8108663292</v>
      </c>
      <c r="H2934" s="10" t="s">
        <v>6492</v>
      </c>
      <c r="I2934" s="10" t="s">
        <v>45</v>
      </c>
      <c r="J2934" s="10" t="s">
        <v>932</v>
      </c>
      <c r="K2934" s="12">
        <v>46010</v>
      </c>
      <c r="L2934" s="28" t="s">
        <v>11</v>
      </c>
      <c r="M2934" s="14"/>
      <c r="N2934" s="10" t="s">
        <v>1028</v>
      </c>
    </row>
    <row r="2935" spans="1:14" ht="22.5" customHeight="1">
      <c r="A2935" s="8">
        <v>46010.923644525465</v>
      </c>
      <c r="B2935" s="9" t="s">
        <v>14</v>
      </c>
      <c r="C2935" s="9" t="s">
        <v>15</v>
      </c>
      <c r="D2935" s="10" t="s">
        <v>6493</v>
      </c>
      <c r="E2935" s="9" t="s">
        <v>17</v>
      </c>
      <c r="F2935" s="10">
        <v>24</v>
      </c>
      <c r="G2935" s="11">
        <v>9076020755</v>
      </c>
      <c r="H2935" s="10" t="s">
        <v>6494</v>
      </c>
      <c r="I2935" s="10" t="s">
        <v>45</v>
      </c>
      <c r="J2935" s="10" t="s">
        <v>1919</v>
      </c>
      <c r="K2935" s="12">
        <v>37112</v>
      </c>
      <c r="L2935" s="28" t="s">
        <v>11</v>
      </c>
      <c r="M2935" s="14"/>
      <c r="N2935" s="10" t="s">
        <v>1028</v>
      </c>
    </row>
    <row r="2936" spans="1:14" ht="22.5" customHeight="1">
      <c r="A2936" s="8">
        <v>46010.940238506941</v>
      </c>
      <c r="B2936" s="9" t="s">
        <v>14</v>
      </c>
      <c r="C2936" s="9" t="s">
        <v>15</v>
      </c>
      <c r="D2936" s="10" t="s">
        <v>6495</v>
      </c>
      <c r="E2936" s="9" t="s">
        <v>22</v>
      </c>
      <c r="F2936" s="10">
        <v>22</v>
      </c>
      <c r="G2936" s="11">
        <v>7043491898</v>
      </c>
      <c r="H2936" s="10" t="s">
        <v>6496</v>
      </c>
      <c r="I2936" s="10" t="s">
        <v>27</v>
      </c>
      <c r="J2936" s="10" t="s">
        <v>172</v>
      </c>
      <c r="K2936" s="12">
        <v>46010</v>
      </c>
      <c r="L2936" s="28" t="s">
        <v>11</v>
      </c>
      <c r="M2936" s="14"/>
      <c r="N2936" s="10" t="s">
        <v>1096</v>
      </c>
    </row>
    <row r="2937" spans="1:14" ht="22.5" customHeight="1">
      <c r="A2937" s="8">
        <v>46010.943157395828</v>
      </c>
      <c r="B2937" s="9" t="s">
        <v>14</v>
      </c>
      <c r="C2937" s="9" t="s">
        <v>15</v>
      </c>
      <c r="D2937" s="10" t="s">
        <v>6497</v>
      </c>
      <c r="E2937" s="9" t="s">
        <v>17</v>
      </c>
      <c r="F2937" s="10">
        <v>27</v>
      </c>
      <c r="G2937" s="11">
        <v>7065771584</v>
      </c>
      <c r="H2937" s="10" t="s">
        <v>6498</v>
      </c>
      <c r="I2937" s="10" t="s">
        <v>27</v>
      </c>
      <c r="J2937" s="10" t="s">
        <v>42</v>
      </c>
      <c r="K2937" s="12">
        <v>46010</v>
      </c>
      <c r="L2937" s="28" t="s">
        <v>11</v>
      </c>
      <c r="M2937" s="14"/>
      <c r="N2937" s="10" t="s">
        <v>1096</v>
      </c>
    </row>
    <row r="2938" spans="1:14" ht="22.5" customHeight="1">
      <c r="A2938" s="8">
        <v>46010.974110243056</v>
      </c>
      <c r="B2938" s="9" t="s">
        <v>14</v>
      </c>
      <c r="C2938" s="9" t="s">
        <v>15</v>
      </c>
      <c r="D2938" s="10" t="s">
        <v>6499</v>
      </c>
      <c r="E2938" s="9" t="s">
        <v>17</v>
      </c>
      <c r="F2938" s="10">
        <v>31</v>
      </c>
      <c r="G2938" s="11">
        <v>7061347149</v>
      </c>
      <c r="H2938" s="10" t="s">
        <v>6500</v>
      </c>
      <c r="I2938" s="10" t="s">
        <v>27</v>
      </c>
      <c r="J2938" s="10" t="s">
        <v>2258</v>
      </c>
      <c r="K2938" s="12">
        <v>46010</v>
      </c>
      <c r="L2938" s="28" t="s">
        <v>11</v>
      </c>
      <c r="M2938" s="14"/>
      <c r="N2938" s="10" t="s">
        <v>1028</v>
      </c>
    </row>
    <row r="2939" spans="1:14" ht="22.5" customHeight="1">
      <c r="A2939" s="8">
        <v>46010.974628912038</v>
      </c>
      <c r="B2939" s="9" t="s">
        <v>14</v>
      </c>
      <c r="C2939" s="9" t="s">
        <v>15</v>
      </c>
      <c r="D2939" s="10" t="s">
        <v>6501</v>
      </c>
      <c r="E2939" s="9" t="s">
        <v>22</v>
      </c>
      <c r="F2939" s="10">
        <v>32</v>
      </c>
      <c r="G2939" s="11">
        <v>7032024248</v>
      </c>
      <c r="H2939" s="10" t="s">
        <v>6502</v>
      </c>
      <c r="I2939" s="10" t="s">
        <v>49</v>
      </c>
      <c r="J2939" s="10" t="s">
        <v>109</v>
      </c>
      <c r="K2939" s="12">
        <v>46010</v>
      </c>
      <c r="L2939" s="28" t="s">
        <v>11</v>
      </c>
      <c r="M2939" s="14"/>
      <c r="N2939" s="10" t="s">
        <v>1096</v>
      </c>
    </row>
    <row r="2940" spans="1:14" ht="22.5" customHeight="1">
      <c r="A2940" s="8">
        <v>46010.995039062502</v>
      </c>
      <c r="B2940" s="9" t="s">
        <v>14</v>
      </c>
      <c r="C2940" s="9" t="s">
        <v>15</v>
      </c>
      <c r="D2940" s="10" t="s">
        <v>6503</v>
      </c>
      <c r="E2940" s="9" t="s">
        <v>22</v>
      </c>
      <c r="F2940" s="19">
        <v>27</v>
      </c>
      <c r="G2940" s="11">
        <v>8144791196</v>
      </c>
      <c r="H2940" s="10" t="s">
        <v>6504</v>
      </c>
      <c r="I2940" s="10" t="s">
        <v>202</v>
      </c>
      <c r="J2940" s="10" t="s">
        <v>3904</v>
      </c>
      <c r="K2940" s="12">
        <v>46010</v>
      </c>
      <c r="L2940" s="28" t="s">
        <v>11</v>
      </c>
      <c r="M2940" s="14"/>
      <c r="N2940" s="10" t="s">
        <v>1028</v>
      </c>
    </row>
    <row r="2941" spans="1:14" ht="22.5" customHeight="1">
      <c r="A2941" s="8">
        <v>46011.028164351854</v>
      </c>
      <c r="B2941" s="9" t="s">
        <v>14</v>
      </c>
      <c r="C2941" s="9" t="s">
        <v>15</v>
      </c>
      <c r="D2941" s="10" t="s">
        <v>6505</v>
      </c>
      <c r="E2941" s="9" t="s">
        <v>17</v>
      </c>
      <c r="F2941" s="10">
        <v>18</v>
      </c>
      <c r="G2941" s="11">
        <v>7083050834</v>
      </c>
      <c r="H2941" s="10" t="s">
        <v>6506</v>
      </c>
      <c r="I2941" s="10" t="s">
        <v>27</v>
      </c>
      <c r="J2941" s="10" t="s">
        <v>53</v>
      </c>
      <c r="K2941" s="12">
        <v>46011</v>
      </c>
      <c r="L2941" s="28" t="s">
        <v>11</v>
      </c>
      <c r="M2941" s="14"/>
      <c r="N2941" s="10" t="s">
        <v>1096</v>
      </c>
    </row>
    <row r="2942" spans="1:14" ht="22.5" hidden="1" customHeight="1">
      <c r="A2942" s="8">
        <v>46011.035745532412</v>
      </c>
      <c r="B2942" s="9" t="s">
        <v>14</v>
      </c>
      <c r="C2942" s="9" t="s">
        <v>15</v>
      </c>
      <c r="D2942" s="10" t="s">
        <v>6507</v>
      </c>
      <c r="E2942" s="9" t="s">
        <v>17</v>
      </c>
      <c r="F2942" s="10">
        <v>27</v>
      </c>
      <c r="G2942" s="11">
        <f>256706064025</f>
        <v>256706064025</v>
      </c>
      <c r="H2942" s="10" t="s">
        <v>6508</v>
      </c>
      <c r="I2942" s="10" t="s">
        <v>31</v>
      </c>
      <c r="J2942" s="10" t="s">
        <v>3443</v>
      </c>
      <c r="K2942" s="12">
        <v>46011</v>
      </c>
      <c r="L2942" s="10" t="s">
        <v>441</v>
      </c>
      <c r="M2942" s="10" t="s">
        <v>1356</v>
      </c>
      <c r="N2942" s="10" t="s">
        <v>3443</v>
      </c>
    </row>
    <row r="2943" spans="1:14" ht="22.5" customHeight="1">
      <c r="A2943" s="8">
        <v>46011.16382386574</v>
      </c>
      <c r="B2943" s="9" t="s">
        <v>14</v>
      </c>
      <c r="C2943" s="9" t="s">
        <v>15</v>
      </c>
      <c r="D2943" s="10" t="s">
        <v>6509</v>
      </c>
      <c r="E2943" s="9" t="s">
        <v>17</v>
      </c>
      <c r="F2943" s="18">
        <v>25</v>
      </c>
      <c r="G2943" s="11">
        <v>9023740509</v>
      </c>
      <c r="H2943" s="10" t="s">
        <v>6510</v>
      </c>
      <c r="I2943" s="10" t="s">
        <v>27</v>
      </c>
      <c r="J2943" s="10" t="s">
        <v>172</v>
      </c>
      <c r="K2943" s="12">
        <v>46011</v>
      </c>
      <c r="L2943" s="28" t="s">
        <v>11</v>
      </c>
      <c r="M2943" s="14"/>
      <c r="N2943" s="10" t="s">
        <v>1028</v>
      </c>
    </row>
    <row r="2944" spans="1:14" ht="22.5" customHeight="1">
      <c r="A2944" s="8">
        <v>46011.187276446755</v>
      </c>
      <c r="B2944" s="9" t="s">
        <v>14</v>
      </c>
      <c r="C2944" s="9" t="s">
        <v>15</v>
      </c>
      <c r="D2944" s="10" t="s">
        <v>6511</v>
      </c>
      <c r="E2944" s="9" t="s">
        <v>17</v>
      </c>
      <c r="F2944" s="10">
        <v>28</v>
      </c>
      <c r="G2944" s="11">
        <v>9060658489</v>
      </c>
      <c r="H2944" s="10" t="s">
        <v>6512</v>
      </c>
      <c r="I2944" s="10" t="s">
        <v>27</v>
      </c>
      <c r="J2944" s="10" t="s">
        <v>94</v>
      </c>
      <c r="K2944" s="12">
        <v>35890</v>
      </c>
      <c r="L2944" s="28" t="s">
        <v>11</v>
      </c>
      <c r="M2944" s="14"/>
      <c r="N2944" s="10" t="s">
        <v>1028</v>
      </c>
    </row>
    <row r="2945" spans="1:14" ht="22.5" customHeight="1">
      <c r="A2945" s="8">
        <v>46011.243547523147</v>
      </c>
      <c r="B2945" s="9" t="s">
        <v>14</v>
      </c>
      <c r="C2945" s="9" t="s">
        <v>15</v>
      </c>
      <c r="D2945" s="10" t="s">
        <v>6513</v>
      </c>
      <c r="E2945" s="9" t="s">
        <v>22</v>
      </c>
      <c r="F2945" s="10">
        <v>30</v>
      </c>
      <c r="G2945" s="11">
        <v>8136752329</v>
      </c>
      <c r="H2945" s="10" t="s">
        <v>6514</v>
      </c>
      <c r="I2945" s="10" t="s">
        <v>27</v>
      </c>
      <c r="J2945" s="10" t="s">
        <v>6515</v>
      </c>
      <c r="K2945" s="12">
        <v>46011</v>
      </c>
      <c r="L2945" s="28" t="s">
        <v>11</v>
      </c>
      <c r="M2945" s="14"/>
      <c r="N2945" s="10" t="s">
        <v>1028</v>
      </c>
    </row>
    <row r="2946" spans="1:14" ht="22.5" customHeight="1">
      <c r="A2946" s="8">
        <v>46011.248065798616</v>
      </c>
      <c r="B2946" s="9" t="s">
        <v>14</v>
      </c>
      <c r="C2946" s="9" t="s">
        <v>15</v>
      </c>
      <c r="D2946" s="10" t="s">
        <v>6516</v>
      </c>
      <c r="E2946" s="9" t="s">
        <v>17</v>
      </c>
      <c r="F2946" s="10">
        <v>40</v>
      </c>
      <c r="G2946" s="11">
        <v>8066161413</v>
      </c>
      <c r="H2946" s="10" t="s">
        <v>6517</v>
      </c>
      <c r="I2946" s="10" t="s">
        <v>45</v>
      </c>
      <c r="J2946" s="10" t="s">
        <v>901</v>
      </c>
      <c r="K2946" s="12">
        <v>46011</v>
      </c>
      <c r="L2946" s="28" t="s">
        <v>11</v>
      </c>
      <c r="M2946" s="14"/>
      <c r="N2946" s="10" t="s">
        <v>1096</v>
      </c>
    </row>
    <row r="2947" spans="1:14" ht="22.5" customHeight="1">
      <c r="A2947" s="8">
        <v>46011.264766793982</v>
      </c>
      <c r="B2947" s="9" t="s">
        <v>14</v>
      </c>
      <c r="C2947" s="9" t="s">
        <v>15</v>
      </c>
      <c r="D2947" s="10" t="s">
        <v>6518</v>
      </c>
      <c r="E2947" s="9" t="s">
        <v>17</v>
      </c>
      <c r="F2947" s="10">
        <v>31</v>
      </c>
      <c r="G2947" s="11">
        <v>8133534893</v>
      </c>
      <c r="H2947" s="10" t="s">
        <v>6519</v>
      </c>
      <c r="I2947" s="10" t="s">
        <v>31</v>
      </c>
      <c r="J2947" s="10" t="s">
        <v>2358</v>
      </c>
      <c r="K2947" s="12">
        <v>46011</v>
      </c>
      <c r="L2947" s="28" t="s">
        <v>11</v>
      </c>
      <c r="M2947" s="14"/>
      <c r="N2947" s="10" t="s">
        <v>1028</v>
      </c>
    </row>
    <row r="2948" spans="1:14" ht="22.5" customHeight="1">
      <c r="A2948" s="8">
        <v>46011.265069490742</v>
      </c>
      <c r="B2948" s="9" t="s">
        <v>14</v>
      </c>
      <c r="C2948" s="9" t="s">
        <v>15</v>
      </c>
      <c r="D2948" s="10" t="s">
        <v>6520</v>
      </c>
      <c r="E2948" s="9" t="s">
        <v>17</v>
      </c>
      <c r="F2948" s="10">
        <v>24</v>
      </c>
      <c r="G2948" s="11">
        <v>8166728970</v>
      </c>
      <c r="H2948" s="10" t="s">
        <v>6521</v>
      </c>
      <c r="I2948" s="10" t="s">
        <v>27</v>
      </c>
      <c r="J2948" s="10" t="s">
        <v>2591</v>
      </c>
      <c r="K2948" s="12">
        <v>46011</v>
      </c>
      <c r="L2948" s="28" t="s">
        <v>11</v>
      </c>
      <c r="M2948" s="14"/>
      <c r="N2948" s="10" t="s">
        <v>1718</v>
      </c>
    </row>
    <row r="2949" spans="1:14" ht="22.5" customHeight="1">
      <c r="A2949" s="8">
        <v>46011.277250763887</v>
      </c>
      <c r="B2949" s="9" t="s">
        <v>14</v>
      </c>
      <c r="C2949" s="9" t="s">
        <v>15</v>
      </c>
      <c r="D2949" s="10" t="s">
        <v>6522</v>
      </c>
      <c r="E2949" s="9" t="s">
        <v>17</v>
      </c>
      <c r="F2949" s="10">
        <v>26</v>
      </c>
      <c r="G2949" s="11">
        <v>8026663744</v>
      </c>
      <c r="H2949" s="10" t="s">
        <v>6523</v>
      </c>
      <c r="I2949" s="10" t="s">
        <v>27</v>
      </c>
      <c r="J2949" s="10" t="s">
        <v>172</v>
      </c>
      <c r="K2949" s="12">
        <v>46011</v>
      </c>
      <c r="L2949" s="28" t="s">
        <v>11</v>
      </c>
      <c r="M2949" s="14"/>
      <c r="N2949" s="10" t="s">
        <v>1028</v>
      </c>
    </row>
    <row r="2950" spans="1:14" ht="22.5" customHeight="1">
      <c r="A2950" s="8">
        <v>46011.290126643522</v>
      </c>
      <c r="B2950" s="9" t="s">
        <v>14</v>
      </c>
      <c r="C2950" s="9" t="s">
        <v>15</v>
      </c>
      <c r="D2950" s="10" t="s">
        <v>6524</v>
      </c>
      <c r="E2950" s="9" t="s">
        <v>22</v>
      </c>
      <c r="F2950" s="10">
        <v>20</v>
      </c>
      <c r="G2950" s="11">
        <v>9011806599</v>
      </c>
      <c r="H2950" s="10" t="s">
        <v>6525</v>
      </c>
      <c r="I2950" s="10" t="s">
        <v>27</v>
      </c>
      <c r="J2950" s="10" t="s">
        <v>172</v>
      </c>
      <c r="K2950" s="12">
        <v>46011</v>
      </c>
      <c r="L2950" s="28" t="s">
        <v>11</v>
      </c>
      <c r="M2950" s="10"/>
      <c r="N2950" s="10" t="s">
        <v>845</v>
      </c>
    </row>
    <row r="2951" spans="1:14" ht="22.5" customHeight="1">
      <c r="A2951" s="8">
        <v>46011.292230752311</v>
      </c>
      <c r="B2951" s="9" t="s">
        <v>14</v>
      </c>
      <c r="C2951" s="9" t="s">
        <v>15</v>
      </c>
      <c r="D2951" s="10" t="s">
        <v>6526</v>
      </c>
      <c r="E2951" s="9" t="s">
        <v>17</v>
      </c>
      <c r="F2951" s="10">
        <v>37</v>
      </c>
      <c r="G2951" s="11">
        <f t="shared" ref="G2951" si="76">923352221228</f>
        <v>923352221228</v>
      </c>
      <c r="H2951" s="10" t="s">
        <v>6527</v>
      </c>
      <c r="I2951" s="10" t="s">
        <v>19</v>
      </c>
      <c r="J2951" s="10" t="s">
        <v>6528</v>
      </c>
      <c r="K2951" s="12">
        <v>46011</v>
      </c>
      <c r="L2951" s="28" t="s">
        <v>11</v>
      </c>
      <c r="M2951" s="10"/>
      <c r="N2951" s="10" t="s">
        <v>6529</v>
      </c>
    </row>
    <row r="2952" spans="1:14" ht="22.5" hidden="1" customHeight="1">
      <c r="A2952" s="8">
        <v>46011.293514687495</v>
      </c>
      <c r="B2952" s="9" t="s">
        <v>14</v>
      </c>
      <c r="C2952" s="9" t="s">
        <v>15</v>
      </c>
      <c r="D2952" s="10" t="s">
        <v>6530</v>
      </c>
      <c r="E2952" s="9" t="s">
        <v>22</v>
      </c>
      <c r="F2952" s="10">
        <v>25</v>
      </c>
      <c r="G2952" s="11">
        <v>8064917339</v>
      </c>
      <c r="H2952" s="10" t="s">
        <v>6531</v>
      </c>
      <c r="I2952" s="10" t="s">
        <v>27</v>
      </c>
      <c r="J2952" s="10" t="s">
        <v>94</v>
      </c>
      <c r="K2952" s="12">
        <v>46011</v>
      </c>
      <c r="L2952" s="10" t="s">
        <v>441</v>
      </c>
      <c r="M2952" s="10" t="s">
        <v>1562</v>
      </c>
      <c r="N2952" s="10" t="s">
        <v>1028</v>
      </c>
    </row>
    <row r="2953" spans="1:14" ht="22.5" customHeight="1">
      <c r="A2953" s="8">
        <v>46011.296624560186</v>
      </c>
      <c r="B2953" s="9" t="s">
        <v>14</v>
      </c>
      <c r="C2953" s="9" t="s">
        <v>15</v>
      </c>
      <c r="D2953" s="10" t="s">
        <v>6532</v>
      </c>
      <c r="E2953" s="9" t="s">
        <v>22</v>
      </c>
      <c r="F2953" s="10">
        <v>26</v>
      </c>
      <c r="G2953" s="11">
        <v>7067773813</v>
      </c>
      <c r="H2953" s="10" t="s">
        <v>6525</v>
      </c>
      <c r="I2953" s="10" t="s">
        <v>27</v>
      </c>
      <c r="J2953" s="10" t="s">
        <v>172</v>
      </c>
      <c r="K2953" s="12">
        <v>46011</v>
      </c>
      <c r="L2953" s="28" t="s">
        <v>11</v>
      </c>
      <c r="M2953" s="10"/>
      <c r="N2953" s="10" t="s">
        <v>845</v>
      </c>
    </row>
    <row r="2954" spans="1:14" ht="22.5" customHeight="1">
      <c r="A2954" s="8">
        <v>46011.302953796301</v>
      </c>
      <c r="B2954" s="9" t="s">
        <v>14</v>
      </c>
      <c r="C2954" s="9" t="s">
        <v>15</v>
      </c>
      <c r="D2954" s="10" t="s">
        <v>6533</v>
      </c>
      <c r="E2954" s="9" t="s">
        <v>17</v>
      </c>
      <c r="F2954" s="10">
        <v>24</v>
      </c>
      <c r="G2954" s="11">
        <v>7083569024</v>
      </c>
      <c r="H2954" s="10" t="s">
        <v>6534</v>
      </c>
      <c r="I2954" s="10" t="s">
        <v>27</v>
      </c>
      <c r="J2954" s="10" t="s">
        <v>172</v>
      </c>
      <c r="K2954" s="12">
        <v>46011</v>
      </c>
      <c r="L2954" s="28" t="s">
        <v>11</v>
      </c>
      <c r="M2954" s="14"/>
      <c r="N2954" s="10" t="s">
        <v>1028</v>
      </c>
    </row>
    <row r="2955" spans="1:14" ht="22.5" customHeight="1">
      <c r="A2955" s="8">
        <v>46011.317219930555</v>
      </c>
      <c r="B2955" s="9" t="s">
        <v>14</v>
      </c>
      <c r="C2955" s="9" t="s">
        <v>15</v>
      </c>
      <c r="D2955" s="10" t="s">
        <v>6535</v>
      </c>
      <c r="E2955" s="9" t="s">
        <v>22</v>
      </c>
      <c r="F2955" s="10">
        <v>26</v>
      </c>
      <c r="G2955" s="11">
        <v>7037170532</v>
      </c>
      <c r="H2955" s="10" t="s">
        <v>6536</v>
      </c>
      <c r="I2955" s="10" t="s">
        <v>45</v>
      </c>
      <c r="J2955" s="10" t="s">
        <v>521</v>
      </c>
      <c r="K2955" s="12">
        <v>46011</v>
      </c>
      <c r="L2955" s="28" t="s">
        <v>11</v>
      </c>
      <c r="M2955" s="14"/>
      <c r="N2955" s="10" t="s">
        <v>1028</v>
      </c>
    </row>
    <row r="2956" spans="1:14" ht="22.5" customHeight="1">
      <c r="A2956" s="8">
        <v>46011.322414166665</v>
      </c>
      <c r="B2956" s="9" t="s">
        <v>14</v>
      </c>
      <c r="C2956" s="9" t="s">
        <v>15</v>
      </c>
      <c r="D2956" s="10" t="s">
        <v>6537</v>
      </c>
      <c r="E2956" s="9" t="s">
        <v>17</v>
      </c>
      <c r="F2956" s="19">
        <v>27</v>
      </c>
      <c r="G2956" s="11">
        <v>8147432288</v>
      </c>
      <c r="H2956" s="10" t="s">
        <v>6538</v>
      </c>
      <c r="I2956" s="10" t="s">
        <v>27</v>
      </c>
      <c r="J2956" s="10" t="s">
        <v>42</v>
      </c>
      <c r="K2956" s="12">
        <v>46011</v>
      </c>
      <c r="L2956" s="28" t="s">
        <v>11</v>
      </c>
      <c r="M2956" s="14"/>
      <c r="N2956" s="10" t="s">
        <v>1096</v>
      </c>
    </row>
    <row r="2957" spans="1:14" ht="22.5" customHeight="1">
      <c r="A2957" s="8">
        <v>46011.324582222223</v>
      </c>
      <c r="B2957" s="9" t="s">
        <v>14</v>
      </c>
      <c r="C2957" s="9" t="s">
        <v>15</v>
      </c>
      <c r="D2957" s="10" t="s">
        <v>6539</v>
      </c>
      <c r="E2957" s="9" t="s">
        <v>17</v>
      </c>
      <c r="F2957" s="18">
        <v>45</v>
      </c>
      <c r="G2957" s="11">
        <v>9030718505</v>
      </c>
      <c r="H2957" s="10" t="s">
        <v>6540</v>
      </c>
      <c r="I2957" s="10" t="s">
        <v>45</v>
      </c>
      <c r="J2957" s="10" t="s">
        <v>3654</v>
      </c>
      <c r="K2957" s="12">
        <v>46011</v>
      </c>
      <c r="L2957" s="28" t="s">
        <v>11</v>
      </c>
      <c r="M2957" s="14"/>
      <c r="N2957" s="10" t="s">
        <v>1028</v>
      </c>
    </row>
    <row r="2958" spans="1:14" ht="22.5" customHeight="1">
      <c r="A2958" s="8">
        <v>46011.325481724532</v>
      </c>
      <c r="B2958" s="9" t="s">
        <v>14</v>
      </c>
      <c r="C2958" s="9" t="s">
        <v>15</v>
      </c>
      <c r="D2958" s="10" t="s">
        <v>6541</v>
      </c>
      <c r="E2958" s="9" t="s">
        <v>17</v>
      </c>
      <c r="F2958" s="10">
        <v>26</v>
      </c>
      <c r="G2958" s="11">
        <v>8145423946</v>
      </c>
      <c r="H2958" s="10" t="s">
        <v>6542</v>
      </c>
      <c r="I2958" s="10" t="s">
        <v>27</v>
      </c>
      <c r="J2958" s="10" t="s">
        <v>6543</v>
      </c>
      <c r="K2958" s="12">
        <v>46011</v>
      </c>
      <c r="L2958" s="28" t="s">
        <v>11</v>
      </c>
      <c r="M2958" s="10"/>
      <c r="N2958" s="10" t="s">
        <v>1035</v>
      </c>
    </row>
    <row r="2959" spans="1:14" ht="22.5" customHeight="1">
      <c r="A2959" s="8">
        <v>46011.330636909726</v>
      </c>
      <c r="B2959" s="9" t="s">
        <v>14</v>
      </c>
      <c r="C2959" s="9" t="s">
        <v>15</v>
      </c>
      <c r="D2959" s="10" t="s">
        <v>6544</v>
      </c>
      <c r="E2959" s="9" t="s">
        <v>22</v>
      </c>
      <c r="F2959" s="10">
        <v>28</v>
      </c>
      <c r="G2959" s="11">
        <v>8103932251</v>
      </c>
      <c r="H2959" s="10" t="s">
        <v>6545</v>
      </c>
      <c r="I2959" s="10" t="s">
        <v>49</v>
      </c>
      <c r="J2959" s="10" t="s">
        <v>109</v>
      </c>
      <c r="K2959" s="12">
        <v>46011</v>
      </c>
      <c r="L2959" s="28" t="s">
        <v>11</v>
      </c>
      <c r="M2959" s="14"/>
      <c r="N2959" s="10" t="s">
        <v>1028</v>
      </c>
    </row>
    <row r="2960" spans="1:14" ht="22.5" customHeight="1">
      <c r="A2960" s="8">
        <v>46011.330714895834</v>
      </c>
      <c r="B2960" s="9" t="s">
        <v>14</v>
      </c>
      <c r="C2960" s="9" t="s">
        <v>15</v>
      </c>
      <c r="D2960" s="10" t="s">
        <v>6546</v>
      </c>
      <c r="E2960" s="9" t="s">
        <v>17</v>
      </c>
      <c r="F2960" s="10">
        <v>25</v>
      </c>
      <c r="G2960" s="11">
        <v>7034413286</v>
      </c>
      <c r="H2960" s="10" t="s">
        <v>6547</v>
      </c>
      <c r="I2960" s="10" t="s">
        <v>27</v>
      </c>
      <c r="J2960" s="10" t="s">
        <v>42</v>
      </c>
      <c r="K2960" s="12">
        <v>46011</v>
      </c>
      <c r="L2960" s="28" t="s">
        <v>11</v>
      </c>
      <c r="M2960" s="14"/>
      <c r="N2960" s="10" t="s">
        <v>1028</v>
      </c>
    </row>
    <row r="2961" spans="1:14" ht="22.5" customHeight="1">
      <c r="A2961" s="8">
        <v>46011.332354629631</v>
      </c>
      <c r="B2961" s="9" t="s">
        <v>14</v>
      </c>
      <c r="C2961" s="9" t="s">
        <v>15</v>
      </c>
      <c r="D2961" s="10" t="s">
        <v>6548</v>
      </c>
      <c r="E2961" s="9" t="s">
        <v>22</v>
      </c>
      <c r="F2961" s="19">
        <v>23</v>
      </c>
      <c r="G2961" s="11">
        <v>8164403373</v>
      </c>
      <c r="H2961" s="10" t="s">
        <v>6549</v>
      </c>
      <c r="I2961" s="10" t="s">
        <v>27</v>
      </c>
      <c r="J2961" s="10" t="s">
        <v>2734</v>
      </c>
      <c r="K2961" s="12">
        <v>46011</v>
      </c>
      <c r="L2961" s="28" t="s">
        <v>11</v>
      </c>
      <c r="M2961" s="14"/>
      <c r="N2961" s="10" t="s">
        <v>1028</v>
      </c>
    </row>
    <row r="2962" spans="1:14" ht="22.5" customHeight="1">
      <c r="A2962" s="8">
        <v>46011.332542280092</v>
      </c>
      <c r="B2962" s="9" t="s">
        <v>14</v>
      </c>
      <c r="C2962" s="9" t="s">
        <v>15</v>
      </c>
      <c r="D2962" s="10" t="s">
        <v>6550</v>
      </c>
      <c r="E2962" s="9" t="s">
        <v>17</v>
      </c>
      <c r="F2962" s="10">
        <v>20</v>
      </c>
      <c r="G2962" s="11">
        <v>8064582266</v>
      </c>
      <c r="H2962" s="10" t="s">
        <v>6551</v>
      </c>
      <c r="I2962" s="10" t="s">
        <v>27</v>
      </c>
      <c r="J2962" s="10" t="s">
        <v>28</v>
      </c>
      <c r="K2962" s="12">
        <v>46011</v>
      </c>
      <c r="L2962" s="28" t="s">
        <v>11</v>
      </c>
      <c r="M2962" s="14"/>
      <c r="N2962" s="10" t="s">
        <v>1028</v>
      </c>
    </row>
    <row r="2963" spans="1:14" ht="22.5" customHeight="1">
      <c r="A2963" s="8">
        <v>46011.332642766203</v>
      </c>
      <c r="B2963" s="9" t="s">
        <v>14</v>
      </c>
      <c r="C2963" s="9" t="s">
        <v>15</v>
      </c>
      <c r="D2963" s="10" t="s">
        <v>6552</v>
      </c>
      <c r="E2963" s="9" t="s">
        <v>17</v>
      </c>
      <c r="F2963" s="10">
        <v>26</v>
      </c>
      <c r="G2963" s="11">
        <v>8066011754</v>
      </c>
      <c r="H2963" s="10" t="s">
        <v>6553</v>
      </c>
      <c r="I2963" s="10" t="s">
        <v>27</v>
      </c>
      <c r="J2963" s="10" t="s">
        <v>703</v>
      </c>
      <c r="K2963" s="12">
        <v>46011</v>
      </c>
      <c r="L2963" s="28" t="s">
        <v>11</v>
      </c>
      <c r="M2963" s="14"/>
      <c r="N2963" s="10" t="s">
        <v>1096</v>
      </c>
    </row>
    <row r="2964" spans="1:14" ht="22.5" customHeight="1">
      <c r="A2964" s="8">
        <v>46011.355792627313</v>
      </c>
      <c r="B2964" s="9" t="s">
        <v>14</v>
      </c>
      <c r="C2964" s="9" t="s">
        <v>15</v>
      </c>
      <c r="D2964" s="10" t="s">
        <v>6554</v>
      </c>
      <c r="E2964" s="9" t="s">
        <v>17</v>
      </c>
      <c r="F2964" s="10">
        <v>26</v>
      </c>
      <c r="G2964" s="11">
        <v>8165657356</v>
      </c>
      <c r="H2964" s="10" t="s">
        <v>6555</v>
      </c>
      <c r="I2964" s="10" t="s">
        <v>27</v>
      </c>
      <c r="J2964" s="10" t="s">
        <v>1314</v>
      </c>
      <c r="K2964" s="12">
        <v>46011</v>
      </c>
      <c r="L2964" s="28" t="s">
        <v>11</v>
      </c>
      <c r="M2964" s="14"/>
      <c r="N2964" s="10" t="s">
        <v>1028</v>
      </c>
    </row>
    <row r="2965" spans="1:14" ht="22.5" customHeight="1">
      <c r="A2965" s="8">
        <v>46011.360892442128</v>
      </c>
      <c r="B2965" s="9" t="s">
        <v>14</v>
      </c>
      <c r="C2965" s="9" t="s">
        <v>15</v>
      </c>
      <c r="D2965" s="10" t="s">
        <v>6556</v>
      </c>
      <c r="E2965" s="9" t="s">
        <v>17</v>
      </c>
      <c r="F2965" s="10">
        <v>24</v>
      </c>
      <c r="G2965" s="11">
        <v>7048337176</v>
      </c>
      <c r="H2965" s="10" t="s">
        <v>6557</v>
      </c>
      <c r="I2965" s="10" t="s">
        <v>27</v>
      </c>
      <c r="J2965" s="10" t="s">
        <v>703</v>
      </c>
      <c r="K2965" s="12">
        <v>46011</v>
      </c>
      <c r="L2965" s="28" t="s">
        <v>11</v>
      </c>
      <c r="M2965" s="14"/>
      <c r="N2965" s="10" t="s">
        <v>1028</v>
      </c>
    </row>
    <row r="2966" spans="1:14" ht="22.5" customHeight="1">
      <c r="A2966" s="8">
        <v>46011.360940266204</v>
      </c>
      <c r="B2966" s="9" t="s">
        <v>14</v>
      </c>
      <c r="C2966" s="9" t="s">
        <v>15</v>
      </c>
      <c r="D2966" s="10" t="s">
        <v>6558</v>
      </c>
      <c r="E2966" s="9" t="s">
        <v>17</v>
      </c>
      <c r="F2966" s="10">
        <v>30</v>
      </c>
      <c r="G2966" s="11">
        <v>7043444401</v>
      </c>
      <c r="H2966" s="10" t="s">
        <v>6559</v>
      </c>
      <c r="I2966" s="10" t="s">
        <v>27</v>
      </c>
      <c r="J2966" s="10" t="s">
        <v>1559</v>
      </c>
      <c r="K2966" s="12">
        <v>46011</v>
      </c>
      <c r="L2966" s="28" t="s">
        <v>11</v>
      </c>
      <c r="M2966" s="14"/>
      <c r="N2966" s="10" t="s">
        <v>1028</v>
      </c>
    </row>
    <row r="2967" spans="1:14" ht="22.5" customHeight="1">
      <c r="A2967" s="8">
        <v>46011.372313414351</v>
      </c>
      <c r="B2967" s="9" t="s">
        <v>14</v>
      </c>
      <c r="C2967" s="9" t="s">
        <v>15</v>
      </c>
      <c r="D2967" s="10" t="s">
        <v>6560</v>
      </c>
      <c r="E2967" s="9" t="s">
        <v>22</v>
      </c>
      <c r="F2967" s="10">
        <v>21</v>
      </c>
      <c r="G2967" s="11">
        <v>9128036070</v>
      </c>
      <c r="H2967" s="10" t="s">
        <v>6561</v>
      </c>
      <c r="I2967" s="10" t="s">
        <v>45</v>
      </c>
      <c r="J2967" s="10" t="s">
        <v>131</v>
      </c>
      <c r="K2967" s="12">
        <v>46011</v>
      </c>
      <c r="L2967" s="28" t="s">
        <v>11</v>
      </c>
      <c r="M2967" s="14"/>
      <c r="N2967" s="10" t="s">
        <v>1028</v>
      </c>
    </row>
    <row r="2968" spans="1:14" ht="22.5" customHeight="1">
      <c r="A2968" s="8">
        <v>46011.387154293981</v>
      </c>
      <c r="B2968" s="9" t="s">
        <v>14</v>
      </c>
      <c r="C2968" s="9" t="s">
        <v>15</v>
      </c>
      <c r="D2968" s="10" t="s">
        <v>6562</v>
      </c>
      <c r="E2968" s="9" t="s">
        <v>22</v>
      </c>
      <c r="F2968" s="10">
        <v>33</v>
      </c>
      <c r="G2968" s="11">
        <v>8166641362</v>
      </c>
      <c r="H2968" s="10" t="s">
        <v>6563</v>
      </c>
      <c r="I2968" s="10" t="s">
        <v>31</v>
      </c>
      <c r="J2968" s="10" t="s">
        <v>32</v>
      </c>
      <c r="K2968" s="12">
        <v>46011</v>
      </c>
      <c r="L2968" s="28" t="s">
        <v>11</v>
      </c>
      <c r="M2968" s="14"/>
      <c r="N2968" s="10" t="s">
        <v>1028</v>
      </c>
    </row>
    <row r="2969" spans="1:14" ht="22.5" customHeight="1">
      <c r="A2969" s="8">
        <v>46011.394891724536</v>
      </c>
      <c r="B2969" s="9" t="s">
        <v>14</v>
      </c>
      <c r="C2969" s="9" t="s">
        <v>15</v>
      </c>
      <c r="D2969" s="10" t="s">
        <v>6564</v>
      </c>
      <c r="E2969" s="9" t="s">
        <v>17</v>
      </c>
      <c r="F2969" s="10">
        <v>31</v>
      </c>
      <c r="G2969" s="11">
        <v>9034427795</v>
      </c>
      <c r="H2969" s="10" t="s">
        <v>6565</v>
      </c>
      <c r="I2969" s="10" t="s">
        <v>202</v>
      </c>
      <c r="J2969" s="10" t="s">
        <v>4174</v>
      </c>
      <c r="K2969" s="12">
        <v>46011</v>
      </c>
      <c r="L2969" s="28" t="s">
        <v>11</v>
      </c>
      <c r="M2969" s="14"/>
      <c r="N2969" s="10" t="s">
        <v>1028</v>
      </c>
    </row>
    <row r="2970" spans="1:14" ht="22.5" customHeight="1">
      <c r="A2970" s="8">
        <v>46011.40210042824</v>
      </c>
      <c r="B2970" s="9" t="s">
        <v>14</v>
      </c>
      <c r="C2970" s="9" t="s">
        <v>15</v>
      </c>
      <c r="D2970" s="10" t="s">
        <v>6566</v>
      </c>
      <c r="E2970" s="9" t="s">
        <v>17</v>
      </c>
      <c r="F2970" s="10">
        <v>33</v>
      </c>
      <c r="G2970" s="11">
        <v>8067115166</v>
      </c>
      <c r="H2970" s="10" t="s">
        <v>6567</v>
      </c>
      <c r="I2970" s="10" t="s">
        <v>27</v>
      </c>
      <c r="J2970" s="10" t="s">
        <v>1456</v>
      </c>
      <c r="K2970" s="12">
        <v>46011</v>
      </c>
      <c r="L2970" s="28" t="s">
        <v>11</v>
      </c>
      <c r="M2970" s="14"/>
      <c r="N2970" s="10" t="s">
        <v>1028</v>
      </c>
    </row>
    <row r="2971" spans="1:14" ht="22.5" customHeight="1">
      <c r="A2971" s="8">
        <v>46011.409502175928</v>
      </c>
      <c r="B2971" s="9" t="s">
        <v>14</v>
      </c>
      <c r="C2971" s="9" t="s">
        <v>15</v>
      </c>
      <c r="D2971" s="10" t="s">
        <v>6568</v>
      </c>
      <c r="E2971" s="9" t="s">
        <v>17</v>
      </c>
      <c r="F2971" s="10">
        <v>21</v>
      </c>
      <c r="G2971" s="11">
        <v>9037563013</v>
      </c>
      <c r="H2971" s="10" t="s">
        <v>6569</v>
      </c>
      <c r="I2971" s="10" t="s">
        <v>45</v>
      </c>
      <c r="J2971" s="10" t="s">
        <v>901</v>
      </c>
      <c r="K2971" s="12">
        <v>46011</v>
      </c>
      <c r="L2971" s="28" t="s">
        <v>11</v>
      </c>
      <c r="M2971" s="14"/>
      <c r="N2971" s="10" t="s">
        <v>1096</v>
      </c>
    </row>
    <row r="2972" spans="1:14" ht="22.5" customHeight="1">
      <c r="A2972" s="8">
        <v>46011.415532418978</v>
      </c>
      <c r="B2972" s="9" t="s">
        <v>14</v>
      </c>
      <c r="C2972" s="9" t="s">
        <v>15</v>
      </c>
      <c r="D2972" s="10" t="s">
        <v>6570</v>
      </c>
      <c r="E2972" s="9" t="s">
        <v>17</v>
      </c>
      <c r="F2972" s="10">
        <v>27</v>
      </c>
      <c r="G2972" s="11">
        <v>8077546666</v>
      </c>
      <c r="H2972" s="10" t="s">
        <v>6571</v>
      </c>
      <c r="I2972" s="10" t="s">
        <v>45</v>
      </c>
      <c r="J2972" s="10" t="s">
        <v>1769</v>
      </c>
      <c r="K2972" s="12">
        <v>46011</v>
      </c>
      <c r="L2972" s="28" t="s">
        <v>11</v>
      </c>
      <c r="M2972" s="14"/>
      <c r="N2972" s="10" t="s">
        <v>1028</v>
      </c>
    </row>
    <row r="2973" spans="1:14" ht="22.5" customHeight="1">
      <c r="A2973" s="8">
        <v>46011.420638842596</v>
      </c>
      <c r="B2973" s="9" t="s">
        <v>14</v>
      </c>
      <c r="C2973" s="9" t="s">
        <v>15</v>
      </c>
      <c r="D2973" s="10" t="s">
        <v>6572</v>
      </c>
      <c r="E2973" s="9" t="s">
        <v>17</v>
      </c>
      <c r="F2973" s="10">
        <v>28</v>
      </c>
      <c r="G2973" s="11">
        <v>9030268647</v>
      </c>
      <c r="H2973" s="10" t="s">
        <v>6573</v>
      </c>
      <c r="I2973" s="10" t="s">
        <v>45</v>
      </c>
      <c r="J2973" s="10" t="s">
        <v>901</v>
      </c>
      <c r="K2973" s="12">
        <v>46011</v>
      </c>
      <c r="L2973" s="28" t="s">
        <v>11</v>
      </c>
      <c r="M2973" s="14"/>
      <c r="N2973" s="10" t="s">
        <v>1096</v>
      </c>
    </row>
    <row r="2974" spans="1:14" ht="22.5" customHeight="1">
      <c r="A2974" s="8">
        <v>46011.420710127313</v>
      </c>
      <c r="B2974" s="9" t="s">
        <v>14</v>
      </c>
      <c r="C2974" s="9" t="s">
        <v>15</v>
      </c>
      <c r="D2974" s="10" t="s">
        <v>6574</v>
      </c>
      <c r="E2974" s="9" t="s">
        <v>17</v>
      </c>
      <c r="F2974" s="10">
        <v>35</v>
      </c>
      <c r="G2974" s="11">
        <v>8060928159</v>
      </c>
      <c r="H2974" s="10" t="s">
        <v>6575</v>
      </c>
      <c r="I2974" s="10" t="s">
        <v>27</v>
      </c>
      <c r="J2974" s="10" t="s">
        <v>3118</v>
      </c>
      <c r="K2974" s="12">
        <v>46011</v>
      </c>
      <c r="L2974" s="28" t="s">
        <v>11</v>
      </c>
      <c r="M2974" s="14"/>
      <c r="N2974" s="10" t="s">
        <v>1028</v>
      </c>
    </row>
    <row r="2975" spans="1:14" ht="22.5" customHeight="1">
      <c r="A2975" s="8">
        <v>46011.421368252311</v>
      </c>
      <c r="B2975" s="9" t="s">
        <v>14</v>
      </c>
      <c r="C2975" s="9" t="s">
        <v>15</v>
      </c>
      <c r="D2975" s="10" t="s">
        <v>6576</v>
      </c>
      <c r="E2975" s="9" t="s">
        <v>17</v>
      </c>
      <c r="F2975" s="10">
        <v>29</v>
      </c>
      <c r="G2975" s="11">
        <v>8169487211</v>
      </c>
      <c r="H2975" s="10" t="s">
        <v>6577</v>
      </c>
      <c r="I2975" s="10" t="s">
        <v>45</v>
      </c>
      <c r="J2975" s="10" t="s">
        <v>6578</v>
      </c>
      <c r="K2975" s="12">
        <v>46011</v>
      </c>
      <c r="L2975" s="28" t="s">
        <v>11</v>
      </c>
      <c r="M2975" s="14"/>
      <c r="N2975" s="10" t="s">
        <v>150</v>
      </c>
    </row>
    <row r="2976" spans="1:14" ht="22.5" customHeight="1">
      <c r="A2976" s="8">
        <v>46011.430812615741</v>
      </c>
      <c r="B2976" s="9" t="s">
        <v>14</v>
      </c>
      <c r="C2976" s="9" t="s">
        <v>15</v>
      </c>
      <c r="D2976" s="10" t="s">
        <v>6579</v>
      </c>
      <c r="E2976" s="9" t="s">
        <v>17</v>
      </c>
      <c r="F2976" s="10">
        <v>27</v>
      </c>
      <c r="G2976" s="11">
        <v>7047061675</v>
      </c>
      <c r="H2976" s="10" t="s">
        <v>6580</v>
      </c>
      <c r="I2976" s="10" t="s">
        <v>27</v>
      </c>
      <c r="J2976" s="10" t="s">
        <v>70</v>
      </c>
      <c r="K2976" s="12">
        <v>46011</v>
      </c>
      <c r="L2976" s="28" t="s">
        <v>11</v>
      </c>
      <c r="M2976" s="14"/>
      <c r="N2976" s="10" t="s">
        <v>1028</v>
      </c>
    </row>
    <row r="2977" spans="1:14" ht="22.5" customHeight="1">
      <c r="A2977" s="8">
        <v>46011.43103975695</v>
      </c>
      <c r="B2977" s="9" t="s">
        <v>14</v>
      </c>
      <c r="C2977" s="9" t="s">
        <v>15</v>
      </c>
      <c r="D2977" s="10" t="s">
        <v>6581</v>
      </c>
      <c r="E2977" s="9" t="s">
        <v>22</v>
      </c>
      <c r="F2977" s="10">
        <v>26</v>
      </c>
      <c r="G2977" s="11">
        <v>2348115248177</v>
      </c>
      <c r="H2977" s="10" t="s">
        <v>6582</v>
      </c>
      <c r="I2977" s="10" t="s">
        <v>45</v>
      </c>
      <c r="J2977" s="10" t="s">
        <v>131</v>
      </c>
      <c r="K2977" s="12">
        <v>46009</v>
      </c>
      <c r="L2977" s="28" t="s">
        <v>11</v>
      </c>
      <c r="M2977" s="14"/>
      <c r="N2977" s="10" t="s">
        <v>1035</v>
      </c>
    </row>
    <row r="2978" spans="1:14" ht="22.5" customHeight="1">
      <c r="A2978" s="8">
        <v>46011.431188726856</v>
      </c>
      <c r="B2978" s="9" t="s">
        <v>14</v>
      </c>
      <c r="C2978" s="9" t="s">
        <v>15</v>
      </c>
      <c r="D2978" s="10" t="s">
        <v>6583</v>
      </c>
      <c r="E2978" s="9" t="s">
        <v>17</v>
      </c>
      <c r="F2978" s="10">
        <v>29</v>
      </c>
      <c r="G2978" s="11">
        <v>7034694374</v>
      </c>
      <c r="H2978" s="10" t="s">
        <v>6584</v>
      </c>
      <c r="I2978" s="10" t="s">
        <v>27</v>
      </c>
      <c r="J2978" s="10" t="s">
        <v>1895</v>
      </c>
      <c r="K2978" s="12">
        <v>46011</v>
      </c>
      <c r="L2978" s="28" t="s">
        <v>11</v>
      </c>
      <c r="M2978" s="14"/>
      <c r="N2978" s="10" t="s">
        <v>1028</v>
      </c>
    </row>
    <row r="2979" spans="1:14" ht="22.5" customHeight="1">
      <c r="A2979" s="8">
        <v>46011.432435983792</v>
      </c>
      <c r="B2979" s="9" t="s">
        <v>14</v>
      </c>
      <c r="C2979" s="9" t="s">
        <v>15</v>
      </c>
      <c r="D2979" s="10" t="s">
        <v>6585</v>
      </c>
      <c r="E2979" s="9" t="s">
        <v>17</v>
      </c>
      <c r="F2979" s="10">
        <v>24</v>
      </c>
      <c r="G2979" s="11">
        <v>8140531774</v>
      </c>
      <c r="H2979" s="10" t="s">
        <v>6586</v>
      </c>
      <c r="I2979" s="10" t="s">
        <v>27</v>
      </c>
      <c r="J2979" s="10" t="s">
        <v>2734</v>
      </c>
      <c r="K2979" s="12">
        <v>46011</v>
      </c>
      <c r="L2979" s="28" t="s">
        <v>11</v>
      </c>
      <c r="M2979" s="14"/>
      <c r="N2979" s="10" t="s">
        <v>1028</v>
      </c>
    </row>
    <row r="2980" spans="1:14" ht="22.5" customHeight="1">
      <c r="A2980" s="8">
        <v>46011.440640659726</v>
      </c>
      <c r="B2980" s="9" t="s">
        <v>14</v>
      </c>
      <c r="C2980" s="9" t="s">
        <v>15</v>
      </c>
      <c r="D2980" s="10" t="s">
        <v>6587</v>
      </c>
      <c r="E2980" s="9" t="s">
        <v>17</v>
      </c>
      <c r="F2980" s="10">
        <v>28</v>
      </c>
      <c r="G2980" s="11">
        <v>8067350599</v>
      </c>
      <c r="H2980" s="10" t="s">
        <v>6588</v>
      </c>
      <c r="I2980" s="10" t="s">
        <v>27</v>
      </c>
      <c r="J2980" s="10" t="s">
        <v>4338</v>
      </c>
      <c r="K2980" s="12">
        <v>35503</v>
      </c>
      <c r="L2980" s="28" t="s">
        <v>11</v>
      </c>
      <c r="M2980" s="14"/>
      <c r="N2980" s="10" t="s">
        <v>1028</v>
      </c>
    </row>
    <row r="2981" spans="1:14" ht="22.5" customHeight="1">
      <c r="A2981" s="8">
        <v>46011.446410266202</v>
      </c>
      <c r="B2981" s="9" t="s">
        <v>14</v>
      </c>
      <c r="C2981" s="9" t="s">
        <v>15</v>
      </c>
      <c r="D2981" s="10" t="s">
        <v>6589</v>
      </c>
      <c r="E2981" s="9" t="s">
        <v>22</v>
      </c>
      <c r="F2981" s="10">
        <v>24</v>
      </c>
      <c r="G2981" s="11">
        <v>9036666469</v>
      </c>
      <c r="H2981" s="10" t="s">
        <v>6590</v>
      </c>
      <c r="I2981" s="10" t="s">
        <v>45</v>
      </c>
      <c r="J2981" s="10" t="s">
        <v>901</v>
      </c>
      <c r="K2981" s="12">
        <v>46011</v>
      </c>
      <c r="L2981" s="28" t="s">
        <v>11</v>
      </c>
      <c r="M2981" s="14"/>
      <c r="N2981" s="10" t="s">
        <v>1096</v>
      </c>
    </row>
    <row r="2982" spans="1:14" ht="22.5" customHeight="1">
      <c r="A2982" s="8">
        <v>46011.45728545139</v>
      </c>
      <c r="B2982" s="9" t="s">
        <v>14</v>
      </c>
      <c r="C2982" s="9" t="s">
        <v>15</v>
      </c>
      <c r="D2982" s="10" t="s">
        <v>6591</v>
      </c>
      <c r="E2982" s="9" t="s">
        <v>22</v>
      </c>
      <c r="F2982" s="10">
        <v>34</v>
      </c>
      <c r="G2982" s="11">
        <v>8136249052</v>
      </c>
      <c r="H2982" s="10" t="s">
        <v>6592</v>
      </c>
      <c r="I2982" s="10" t="s">
        <v>45</v>
      </c>
      <c r="J2982" s="10" t="s">
        <v>125</v>
      </c>
      <c r="K2982" s="12">
        <v>46011</v>
      </c>
      <c r="L2982" s="28" t="s">
        <v>11</v>
      </c>
      <c r="M2982" s="14"/>
      <c r="N2982" s="10" t="s">
        <v>1096</v>
      </c>
    </row>
    <row r="2983" spans="1:14" ht="22.5" customHeight="1">
      <c r="A2983" s="8">
        <v>46011.460357997683</v>
      </c>
      <c r="B2983" s="9" t="s">
        <v>14</v>
      </c>
      <c r="C2983" s="9" t="s">
        <v>15</v>
      </c>
      <c r="D2983" s="10" t="s">
        <v>6593</v>
      </c>
      <c r="E2983" s="9" t="s">
        <v>22</v>
      </c>
      <c r="F2983" s="18">
        <v>1</v>
      </c>
      <c r="G2983" s="11">
        <f>2347037439774</f>
        <v>2347037439774</v>
      </c>
      <c r="H2983" s="10" t="s">
        <v>6594</v>
      </c>
      <c r="I2983" s="10" t="s">
        <v>202</v>
      </c>
      <c r="J2983" s="10" t="s">
        <v>3682</v>
      </c>
      <c r="K2983" s="12">
        <v>46011</v>
      </c>
      <c r="L2983" s="28" t="s">
        <v>11</v>
      </c>
      <c r="M2983" s="10"/>
      <c r="N2983" s="10" t="s">
        <v>1028</v>
      </c>
    </row>
    <row r="2984" spans="1:14" ht="22.5" customHeight="1">
      <c r="A2984" s="8">
        <v>46011.468106284723</v>
      </c>
      <c r="B2984" s="9" t="s">
        <v>14</v>
      </c>
      <c r="C2984" s="9" t="s">
        <v>15</v>
      </c>
      <c r="D2984" s="10" t="s">
        <v>6595</v>
      </c>
      <c r="E2984" s="9" t="s">
        <v>17</v>
      </c>
      <c r="F2984" s="10">
        <v>26</v>
      </c>
      <c r="G2984" s="11">
        <v>8060324145</v>
      </c>
      <c r="H2984" s="10" t="s">
        <v>6596</v>
      </c>
      <c r="I2984" s="10" t="s">
        <v>45</v>
      </c>
      <c r="J2984" s="10" t="s">
        <v>901</v>
      </c>
      <c r="K2984" s="12">
        <v>46011</v>
      </c>
      <c r="L2984" s="28" t="s">
        <v>11</v>
      </c>
      <c r="M2984" s="14"/>
      <c r="N2984" s="10" t="s">
        <v>1028</v>
      </c>
    </row>
    <row r="2985" spans="1:14" ht="22.5" customHeight="1">
      <c r="A2985" s="8">
        <v>46011.492623518519</v>
      </c>
      <c r="B2985" s="9" t="s">
        <v>14</v>
      </c>
      <c r="C2985" s="9" t="s">
        <v>15</v>
      </c>
      <c r="D2985" s="10" t="s">
        <v>6597</v>
      </c>
      <c r="E2985" s="9" t="s">
        <v>17</v>
      </c>
      <c r="F2985" s="10">
        <v>41</v>
      </c>
      <c r="G2985" s="11">
        <v>8100310696</v>
      </c>
      <c r="H2985" s="10" t="s">
        <v>6598</v>
      </c>
      <c r="I2985" s="10" t="s">
        <v>19</v>
      </c>
      <c r="J2985" s="10" t="s">
        <v>24</v>
      </c>
      <c r="K2985" s="12">
        <v>46011</v>
      </c>
      <c r="L2985" s="28" t="s">
        <v>11</v>
      </c>
      <c r="M2985" s="14"/>
      <c r="N2985" s="10" t="s">
        <v>1028</v>
      </c>
    </row>
    <row r="2986" spans="1:14" ht="22.5" customHeight="1">
      <c r="A2986" s="8">
        <v>46011.501239976853</v>
      </c>
      <c r="B2986" s="9" t="s">
        <v>14</v>
      </c>
      <c r="C2986" s="9" t="s">
        <v>15</v>
      </c>
      <c r="D2986" s="10" t="s">
        <v>6599</v>
      </c>
      <c r="E2986" s="9" t="s">
        <v>22</v>
      </c>
      <c r="F2986" s="10">
        <v>38</v>
      </c>
      <c r="G2986" s="11">
        <v>8022521689</v>
      </c>
      <c r="H2986" s="10" t="s">
        <v>6600</v>
      </c>
      <c r="I2986" s="10" t="s">
        <v>27</v>
      </c>
      <c r="J2986" s="10" t="s">
        <v>3026</v>
      </c>
      <c r="K2986" s="12">
        <v>46003</v>
      </c>
      <c r="L2986" s="28" t="s">
        <v>11</v>
      </c>
      <c r="M2986" s="14"/>
      <c r="N2986" s="10" t="s">
        <v>1028</v>
      </c>
    </row>
    <row r="2987" spans="1:14" ht="22.5" customHeight="1">
      <c r="A2987" s="8">
        <v>46011.523065567133</v>
      </c>
      <c r="B2987" s="9" t="s">
        <v>14</v>
      </c>
      <c r="C2987" s="9" t="s">
        <v>15</v>
      </c>
      <c r="D2987" s="10" t="s">
        <v>6601</v>
      </c>
      <c r="E2987" s="9" t="s">
        <v>22</v>
      </c>
      <c r="F2987" s="10">
        <v>31</v>
      </c>
      <c r="G2987" s="11">
        <v>8088146570</v>
      </c>
      <c r="H2987" s="10" t="s">
        <v>6602</v>
      </c>
      <c r="I2987" s="10" t="s">
        <v>31</v>
      </c>
      <c r="J2987" s="10" t="s">
        <v>2358</v>
      </c>
      <c r="K2987" s="12">
        <v>46011</v>
      </c>
      <c r="L2987" s="28" t="s">
        <v>11</v>
      </c>
      <c r="M2987" s="14"/>
      <c r="N2987" s="10" t="s">
        <v>1028</v>
      </c>
    </row>
    <row r="2988" spans="1:14" ht="22.5" customHeight="1">
      <c r="A2988" s="8">
        <v>46011.527361921297</v>
      </c>
      <c r="B2988" s="9" t="s">
        <v>14</v>
      </c>
      <c r="C2988" s="9" t="s">
        <v>15</v>
      </c>
      <c r="D2988" s="10" t="s">
        <v>6603</v>
      </c>
      <c r="E2988" s="9" t="s">
        <v>22</v>
      </c>
      <c r="F2988" s="10">
        <v>22</v>
      </c>
      <c r="G2988" s="11">
        <v>8143300071</v>
      </c>
      <c r="H2988" s="10" t="s">
        <v>6604</v>
      </c>
      <c r="I2988" s="10" t="s">
        <v>27</v>
      </c>
      <c r="J2988" s="10" t="s">
        <v>172</v>
      </c>
      <c r="K2988" s="12">
        <v>46011</v>
      </c>
      <c r="L2988" s="28" t="s">
        <v>11</v>
      </c>
      <c r="M2988" s="14"/>
      <c r="N2988" s="10" t="s">
        <v>1028</v>
      </c>
    </row>
    <row r="2989" spans="1:14" ht="22.5" customHeight="1">
      <c r="A2989" s="8">
        <v>46011.555771631945</v>
      </c>
      <c r="B2989" s="9" t="s">
        <v>14</v>
      </c>
      <c r="C2989" s="9" t="s">
        <v>15</v>
      </c>
      <c r="D2989" s="10" t="s">
        <v>6605</v>
      </c>
      <c r="E2989" s="9" t="s">
        <v>17</v>
      </c>
      <c r="F2989" s="10">
        <v>19</v>
      </c>
      <c r="G2989" s="11">
        <v>916272721175</v>
      </c>
      <c r="H2989" s="10" t="s">
        <v>6606</v>
      </c>
      <c r="I2989" s="10" t="s">
        <v>45</v>
      </c>
      <c r="J2989" s="10" t="s">
        <v>46</v>
      </c>
      <c r="K2989" s="12">
        <v>46011</v>
      </c>
      <c r="L2989" s="28" t="s">
        <v>11</v>
      </c>
      <c r="M2989" s="14"/>
      <c r="N2989" s="10" t="s">
        <v>1028</v>
      </c>
    </row>
    <row r="2990" spans="1:14" ht="22.5" customHeight="1">
      <c r="A2990" s="8">
        <v>46011.573085393524</v>
      </c>
      <c r="B2990" s="9" t="s">
        <v>14</v>
      </c>
      <c r="C2990" s="9" t="s">
        <v>15</v>
      </c>
      <c r="D2990" s="10" t="s">
        <v>6607</v>
      </c>
      <c r="E2990" s="9" t="s">
        <v>17</v>
      </c>
      <c r="F2990" s="10">
        <v>25</v>
      </c>
      <c r="G2990" s="11">
        <v>8028984122</v>
      </c>
      <c r="H2990" s="10" t="s">
        <v>6608</v>
      </c>
      <c r="I2990" s="10" t="s">
        <v>45</v>
      </c>
      <c r="J2990" s="10" t="s">
        <v>46</v>
      </c>
      <c r="K2990" s="12">
        <v>46011</v>
      </c>
      <c r="L2990" s="28" t="s">
        <v>11</v>
      </c>
      <c r="M2990" s="14"/>
      <c r="N2990" s="10" t="s">
        <v>1028</v>
      </c>
    </row>
    <row r="2991" spans="1:14" ht="22.5" customHeight="1">
      <c r="A2991" s="8">
        <v>46011.585283854161</v>
      </c>
      <c r="B2991" s="9" t="s">
        <v>14</v>
      </c>
      <c r="C2991" s="9" t="s">
        <v>15</v>
      </c>
      <c r="D2991" s="10" t="s">
        <v>5287</v>
      </c>
      <c r="E2991" s="9" t="s">
        <v>17</v>
      </c>
      <c r="F2991" s="10">
        <v>27</v>
      </c>
      <c r="G2991" s="11">
        <v>7038807801</v>
      </c>
      <c r="H2991" s="10" t="s">
        <v>5288</v>
      </c>
      <c r="I2991" s="10" t="s">
        <v>45</v>
      </c>
      <c r="J2991" s="10" t="s">
        <v>901</v>
      </c>
      <c r="K2991" s="12">
        <v>46011</v>
      </c>
      <c r="L2991" s="28" t="s">
        <v>11</v>
      </c>
      <c r="M2991" s="14"/>
      <c r="N2991" s="10" t="s">
        <v>1028</v>
      </c>
    </row>
    <row r="2992" spans="1:14" ht="22.5" customHeight="1">
      <c r="A2992" s="8">
        <v>46011.587439143521</v>
      </c>
      <c r="B2992" s="9" t="s">
        <v>14</v>
      </c>
      <c r="C2992" s="9" t="s">
        <v>15</v>
      </c>
      <c r="D2992" s="10" t="s">
        <v>6609</v>
      </c>
      <c r="E2992" s="9" t="s">
        <v>17</v>
      </c>
      <c r="F2992" s="10">
        <v>30</v>
      </c>
      <c r="G2992" s="11">
        <v>7064551415</v>
      </c>
      <c r="H2992" s="10" t="s">
        <v>6610</v>
      </c>
      <c r="I2992" s="10" t="s">
        <v>45</v>
      </c>
      <c r="J2992" s="10" t="s">
        <v>901</v>
      </c>
      <c r="K2992" s="12">
        <v>46011</v>
      </c>
      <c r="L2992" s="28" t="s">
        <v>11</v>
      </c>
      <c r="M2992" s="14"/>
      <c r="N2992" s="10" t="s">
        <v>1028</v>
      </c>
    </row>
    <row r="2993" spans="1:14" ht="22.5" customHeight="1">
      <c r="A2993" s="8">
        <v>46011.589969594905</v>
      </c>
      <c r="B2993" s="9" t="s">
        <v>14</v>
      </c>
      <c r="C2993" s="9" t="s">
        <v>15</v>
      </c>
      <c r="D2993" s="10" t="s">
        <v>6611</v>
      </c>
      <c r="E2993" s="9" t="s">
        <v>22</v>
      </c>
      <c r="F2993" s="10">
        <v>24</v>
      </c>
      <c r="G2993" s="11">
        <v>8141106346</v>
      </c>
      <c r="H2993" s="10" t="s">
        <v>6612</v>
      </c>
      <c r="I2993" s="10" t="s">
        <v>45</v>
      </c>
      <c r="J2993" s="10" t="s">
        <v>6613</v>
      </c>
      <c r="K2993" s="12">
        <v>46011</v>
      </c>
      <c r="L2993" s="28" t="s">
        <v>11</v>
      </c>
      <c r="M2993" s="14"/>
      <c r="N2993" s="10" t="s">
        <v>1028</v>
      </c>
    </row>
    <row r="2994" spans="1:14" ht="22.5" customHeight="1">
      <c r="A2994" s="8">
        <v>46011.594368101854</v>
      </c>
      <c r="B2994" s="9" t="s">
        <v>14</v>
      </c>
      <c r="C2994" s="9" t="s">
        <v>15</v>
      </c>
      <c r="D2994" s="10" t="s">
        <v>6614</v>
      </c>
      <c r="E2994" s="9" t="s">
        <v>17</v>
      </c>
      <c r="F2994" s="10">
        <v>44</v>
      </c>
      <c r="G2994" s="11">
        <v>8065076660</v>
      </c>
      <c r="H2994" s="10" t="s">
        <v>6615</v>
      </c>
      <c r="I2994" s="10" t="s">
        <v>27</v>
      </c>
      <c r="J2994" s="10" t="s">
        <v>1570</v>
      </c>
      <c r="K2994" s="12">
        <v>46006</v>
      </c>
      <c r="L2994" s="28" t="s">
        <v>11</v>
      </c>
      <c r="M2994" s="14"/>
      <c r="N2994" s="10" t="s">
        <v>1028</v>
      </c>
    </row>
    <row r="2995" spans="1:14" ht="22.5" customHeight="1">
      <c r="A2995" s="8">
        <v>46011.605376620369</v>
      </c>
      <c r="B2995" s="9" t="s">
        <v>14</v>
      </c>
      <c r="C2995" s="9" t="s">
        <v>15</v>
      </c>
      <c r="D2995" s="10" t="s">
        <v>6616</v>
      </c>
      <c r="E2995" s="9" t="s">
        <v>17</v>
      </c>
      <c r="F2995" s="10">
        <v>22</v>
      </c>
      <c r="G2995" s="11">
        <v>8147901484</v>
      </c>
      <c r="H2995" s="10" t="s">
        <v>6617</v>
      </c>
      <c r="I2995" s="10" t="s">
        <v>49</v>
      </c>
      <c r="J2995" s="10" t="s">
        <v>73</v>
      </c>
      <c r="K2995" s="12">
        <v>46011</v>
      </c>
      <c r="L2995" s="28" t="s">
        <v>11</v>
      </c>
      <c r="M2995" s="14"/>
      <c r="N2995" s="10" t="s">
        <v>1028</v>
      </c>
    </row>
    <row r="2996" spans="1:14" ht="22.5" customHeight="1">
      <c r="A2996" s="8">
        <v>46011.608236203705</v>
      </c>
      <c r="B2996" s="9" t="s">
        <v>14</v>
      </c>
      <c r="C2996" s="9" t="s">
        <v>15</v>
      </c>
      <c r="D2996" s="10" t="s">
        <v>6618</v>
      </c>
      <c r="E2996" s="9" t="s">
        <v>22</v>
      </c>
      <c r="F2996" s="10">
        <v>29</v>
      </c>
      <c r="G2996" s="11">
        <v>9164157737</v>
      </c>
      <c r="H2996" s="10" t="s">
        <v>6619</v>
      </c>
      <c r="I2996" s="10" t="s">
        <v>45</v>
      </c>
      <c r="J2996" s="10" t="s">
        <v>131</v>
      </c>
      <c r="K2996" s="12">
        <v>46011</v>
      </c>
      <c r="L2996" s="28" t="s">
        <v>11</v>
      </c>
      <c r="M2996" s="14"/>
      <c r="N2996" s="10" t="s">
        <v>1028</v>
      </c>
    </row>
    <row r="2997" spans="1:14" ht="22.5" customHeight="1">
      <c r="A2997" s="8">
        <v>46011.621074525465</v>
      </c>
      <c r="B2997" s="9" t="s">
        <v>14</v>
      </c>
      <c r="C2997" s="9" t="s">
        <v>15</v>
      </c>
      <c r="D2997" s="10" t="s">
        <v>6620</v>
      </c>
      <c r="E2997" s="9" t="s">
        <v>17</v>
      </c>
      <c r="F2997" s="10">
        <v>25</v>
      </c>
      <c r="G2997" s="11">
        <v>8100097550</v>
      </c>
      <c r="H2997" s="10" t="s">
        <v>6621</v>
      </c>
      <c r="I2997" s="10" t="s">
        <v>27</v>
      </c>
      <c r="J2997" s="10" t="s">
        <v>28</v>
      </c>
      <c r="K2997" s="12">
        <v>46011</v>
      </c>
      <c r="L2997" s="28" t="s">
        <v>11</v>
      </c>
      <c r="M2997" s="14"/>
      <c r="N2997" s="10" t="s">
        <v>2186</v>
      </c>
    </row>
    <row r="2998" spans="1:14" ht="22.5" customHeight="1">
      <c r="A2998" s="8">
        <v>46011.622204791667</v>
      </c>
      <c r="B2998" s="9" t="s">
        <v>14</v>
      </c>
      <c r="C2998" s="9" t="s">
        <v>15</v>
      </c>
      <c r="D2998" s="10" t="s">
        <v>6622</v>
      </c>
      <c r="E2998" s="9" t="s">
        <v>17</v>
      </c>
      <c r="F2998" s="10">
        <v>55</v>
      </c>
      <c r="G2998" s="11">
        <v>7066122717</v>
      </c>
      <c r="H2998" s="10" t="s">
        <v>6623</v>
      </c>
      <c r="I2998" s="10" t="s">
        <v>202</v>
      </c>
      <c r="J2998" s="10" t="s">
        <v>6091</v>
      </c>
      <c r="K2998" s="12">
        <v>46010</v>
      </c>
      <c r="L2998" s="28" t="s">
        <v>11</v>
      </c>
      <c r="M2998" s="14"/>
      <c r="N2998" s="10" t="s">
        <v>1028</v>
      </c>
    </row>
    <row r="2999" spans="1:14" ht="22.5" customHeight="1">
      <c r="A2999" s="8">
        <v>46011.63959929398</v>
      </c>
      <c r="B2999" s="9" t="s">
        <v>14</v>
      </c>
      <c r="C2999" s="9" t="s">
        <v>15</v>
      </c>
      <c r="D2999" s="10" t="s">
        <v>6624</v>
      </c>
      <c r="E2999" s="9" t="s">
        <v>17</v>
      </c>
      <c r="F2999" s="10">
        <v>27</v>
      </c>
      <c r="G2999" s="11">
        <v>7030832379</v>
      </c>
      <c r="H2999" s="10" t="s">
        <v>6625</v>
      </c>
      <c r="I2999" s="10" t="s">
        <v>27</v>
      </c>
      <c r="J2999" s="10" t="s">
        <v>1559</v>
      </c>
      <c r="K2999" s="12">
        <v>46011</v>
      </c>
      <c r="L2999" s="28" t="s">
        <v>11</v>
      </c>
      <c r="M2999" s="14"/>
      <c r="N2999" s="10" t="s">
        <v>1028</v>
      </c>
    </row>
    <row r="3000" spans="1:14" ht="22.5" customHeight="1">
      <c r="A3000" s="8">
        <v>46011.661844166665</v>
      </c>
      <c r="B3000" s="9" t="s">
        <v>14</v>
      </c>
      <c r="C3000" s="9" t="s">
        <v>15</v>
      </c>
      <c r="D3000" s="10" t="s">
        <v>6626</v>
      </c>
      <c r="E3000" s="9" t="s">
        <v>17</v>
      </c>
      <c r="F3000" s="10">
        <v>35</v>
      </c>
      <c r="G3000" s="11">
        <v>9166395519</v>
      </c>
      <c r="H3000" s="10" t="s">
        <v>6627</v>
      </c>
      <c r="I3000" s="10" t="s">
        <v>45</v>
      </c>
      <c r="J3000" s="10" t="s">
        <v>339</v>
      </c>
      <c r="K3000" s="12">
        <v>46011</v>
      </c>
      <c r="L3000" s="28" t="s">
        <v>11</v>
      </c>
      <c r="M3000" s="14"/>
      <c r="N3000" s="10" t="s">
        <v>1028</v>
      </c>
    </row>
    <row r="3001" spans="1:14" ht="22.5" customHeight="1">
      <c r="A3001" s="8">
        <v>46011.679310277774</v>
      </c>
      <c r="B3001" s="9" t="s">
        <v>14</v>
      </c>
      <c r="C3001" s="9" t="s">
        <v>15</v>
      </c>
      <c r="D3001" s="10" t="s">
        <v>6628</v>
      </c>
      <c r="E3001" s="9" t="s">
        <v>22</v>
      </c>
      <c r="F3001" s="10">
        <v>20</v>
      </c>
      <c r="G3001" s="11">
        <v>775419158</v>
      </c>
      <c r="H3001" s="10" t="s">
        <v>6629</v>
      </c>
      <c r="I3001" s="10" t="s">
        <v>19</v>
      </c>
      <c r="J3001" s="10" t="s">
        <v>6630</v>
      </c>
      <c r="K3001" s="12">
        <v>46011</v>
      </c>
      <c r="L3001" s="28" t="s">
        <v>11</v>
      </c>
      <c r="M3001" s="14"/>
      <c r="N3001" s="10" t="s">
        <v>6631</v>
      </c>
    </row>
    <row r="3002" spans="1:14" ht="22.5" customHeight="1">
      <c r="A3002" s="8">
        <v>46011.685332303241</v>
      </c>
      <c r="B3002" s="9" t="s">
        <v>14</v>
      </c>
      <c r="C3002" s="9" t="s">
        <v>15</v>
      </c>
      <c r="D3002" s="10" t="s">
        <v>6632</v>
      </c>
      <c r="E3002" s="9" t="s">
        <v>17</v>
      </c>
      <c r="F3002" s="10">
        <v>28</v>
      </c>
      <c r="G3002" s="11">
        <v>8029582485</v>
      </c>
      <c r="H3002" s="10" t="s">
        <v>6633</v>
      </c>
      <c r="I3002" s="10" t="s">
        <v>202</v>
      </c>
      <c r="J3002" s="10" t="s">
        <v>3062</v>
      </c>
      <c r="K3002" s="12">
        <v>46011</v>
      </c>
      <c r="L3002" s="28" t="s">
        <v>11</v>
      </c>
      <c r="M3002" s="14"/>
      <c r="N3002" s="10" t="s">
        <v>1028</v>
      </c>
    </row>
    <row r="3003" spans="1:14" ht="22.5" customHeight="1">
      <c r="A3003" s="8">
        <v>46011.686254004628</v>
      </c>
      <c r="B3003" s="9" t="s">
        <v>14</v>
      </c>
      <c r="C3003" s="9" t="s">
        <v>15</v>
      </c>
      <c r="D3003" s="10" t="s">
        <v>6634</v>
      </c>
      <c r="E3003" s="9" t="s">
        <v>17</v>
      </c>
      <c r="F3003" s="10">
        <v>32</v>
      </c>
      <c r="G3003" s="11">
        <v>8139357577</v>
      </c>
      <c r="H3003" s="10" t="s">
        <v>6635</v>
      </c>
      <c r="I3003" s="10" t="s">
        <v>45</v>
      </c>
      <c r="J3003" s="10" t="s">
        <v>1638</v>
      </c>
      <c r="K3003" s="12">
        <v>46011</v>
      </c>
      <c r="L3003" s="28" t="s">
        <v>11</v>
      </c>
      <c r="M3003" s="14"/>
      <c r="N3003" s="10" t="s">
        <v>1028</v>
      </c>
    </row>
    <row r="3004" spans="1:14" ht="22.5" customHeight="1">
      <c r="A3004" s="8">
        <v>46011.686698587961</v>
      </c>
      <c r="B3004" s="9" t="s">
        <v>14</v>
      </c>
      <c r="C3004" s="9" t="s">
        <v>15</v>
      </c>
      <c r="D3004" s="10" t="s">
        <v>6636</v>
      </c>
      <c r="E3004" s="9" t="s">
        <v>17</v>
      </c>
      <c r="F3004" s="10">
        <v>38</v>
      </c>
      <c r="G3004" s="11">
        <v>8136629978</v>
      </c>
      <c r="H3004" s="10" t="s">
        <v>6637</v>
      </c>
      <c r="I3004" s="10" t="s">
        <v>45</v>
      </c>
      <c r="J3004" s="10" t="s">
        <v>84</v>
      </c>
      <c r="K3004" s="12">
        <v>46011</v>
      </c>
      <c r="L3004" s="28" t="s">
        <v>11</v>
      </c>
      <c r="M3004" s="14"/>
      <c r="N3004" s="10" t="s">
        <v>1028</v>
      </c>
    </row>
    <row r="3005" spans="1:14" ht="22.5" customHeight="1">
      <c r="A3005" s="8">
        <v>46011.688963298613</v>
      </c>
      <c r="B3005" s="9" t="s">
        <v>14</v>
      </c>
      <c r="C3005" s="9" t="s">
        <v>15</v>
      </c>
      <c r="D3005" s="10" t="s">
        <v>6638</v>
      </c>
      <c r="E3005" s="9" t="s">
        <v>17</v>
      </c>
      <c r="F3005" s="10">
        <v>25</v>
      </c>
      <c r="G3005" s="11">
        <f t="shared" ref="G3005" si="77">254791251019</f>
        <v>254791251019</v>
      </c>
      <c r="H3005" s="10" t="s">
        <v>6639</v>
      </c>
      <c r="I3005" s="10" t="s">
        <v>202</v>
      </c>
      <c r="J3005" s="10" t="s">
        <v>6640</v>
      </c>
      <c r="K3005" s="12">
        <v>36552</v>
      </c>
      <c r="L3005" s="28" t="s">
        <v>11</v>
      </c>
      <c r="M3005" s="14"/>
      <c r="N3005" s="10" t="s">
        <v>1028</v>
      </c>
    </row>
    <row r="3006" spans="1:14" ht="22.5" customHeight="1">
      <c r="A3006" s="8">
        <v>46011.695298668987</v>
      </c>
      <c r="B3006" s="9" t="s">
        <v>14</v>
      </c>
      <c r="C3006" s="9" t="s">
        <v>15</v>
      </c>
      <c r="D3006" s="10" t="s">
        <v>6641</v>
      </c>
      <c r="E3006" s="9" t="s">
        <v>17</v>
      </c>
      <c r="F3006" s="10">
        <v>20</v>
      </c>
      <c r="G3006" s="11">
        <v>9127813223</v>
      </c>
      <c r="H3006" s="10" t="s">
        <v>6642</v>
      </c>
      <c r="I3006" s="10" t="s">
        <v>45</v>
      </c>
      <c r="J3006" s="10" t="s">
        <v>2193</v>
      </c>
      <c r="K3006" s="12">
        <v>46011</v>
      </c>
      <c r="L3006" s="28" t="s">
        <v>11</v>
      </c>
      <c r="M3006" s="14"/>
      <c r="N3006" s="10" t="s">
        <v>1035</v>
      </c>
    </row>
    <row r="3007" spans="1:14" ht="22.5" customHeight="1">
      <c r="A3007" s="8">
        <v>46011.702536215278</v>
      </c>
      <c r="B3007" s="9" t="s">
        <v>14</v>
      </c>
      <c r="C3007" s="9" t="s">
        <v>15</v>
      </c>
      <c r="D3007" s="10" t="s">
        <v>6643</v>
      </c>
      <c r="E3007" s="9" t="s">
        <v>17</v>
      </c>
      <c r="F3007" s="10">
        <v>21</v>
      </c>
      <c r="G3007" s="11">
        <v>9013600826</v>
      </c>
      <c r="H3007" s="10" t="s">
        <v>6644</v>
      </c>
      <c r="I3007" s="10" t="s">
        <v>45</v>
      </c>
      <c r="J3007" s="10" t="s">
        <v>81</v>
      </c>
      <c r="K3007" s="12">
        <v>46064</v>
      </c>
      <c r="L3007" s="28" t="s">
        <v>11</v>
      </c>
      <c r="M3007" s="14"/>
      <c r="N3007" s="10" t="s">
        <v>1096</v>
      </c>
    </row>
    <row r="3008" spans="1:14" ht="22.5" customHeight="1">
      <c r="A3008" s="8">
        <v>46011.703046817129</v>
      </c>
      <c r="B3008" s="9" t="s">
        <v>14</v>
      </c>
      <c r="C3008" s="9" t="s">
        <v>15</v>
      </c>
      <c r="D3008" s="10" t="s">
        <v>6645</v>
      </c>
      <c r="E3008" s="9" t="s">
        <v>17</v>
      </c>
      <c r="F3008" s="10">
        <v>25</v>
      </c>
      <c r="G3008" s="11">
        <v>9034472484</v>
      </c>
      <c r="H3008" s="10" t="s">
        <v>1599</v>
      </c>
      <c r="I3008" s="10" t="s">
        <v>45</v>
      </c>
      <c r="J3008" s="10" t="s">
        <v>6646</v>
      </c>
      <c r="K3008" s="12">
        <v>46011</v>
      </c>
      <c r="L3008" s="28" t="s">
        <v>11</v>
      </c>
      <c r="M3008" s="14"/>
      <c r="N3008" s="10" t="s">
        <v>1028</v>
      </c>
    </row>
    <row r="3009" spans="1:14" ht="22.5" customHeight="1">
      <c r="A3009" s="8">
        <v>46011.703969166665</v>
      </c>
      <c r="B3009" s="9" t="s">
        <v>14</v>
      </c>
      <c r="C3009" s="9" t="s">
        <v>15</v>
      </c>
      <c r="D3009" s="10" t="s">
        <v>507</v>
      </c>
      <c r="E3009" s="9" t="s">
        <v>22</v>
      </c>
      <c r="F3009" s="10">
        <v>25</v>
      </c>
      <c r="G3009" s="11">
        <v>9153363343</v>
      </c>
      <c r="H3009" s="10" t="s">
        <v>508</v>
      </c>
      <c r="I3009" s="10" t="s">
        <v>45</v>
      </c>
      <c r="J3009" s="10" t="s">
        <v>6647</v>
      </c>
      <c r="K3009" s="12">
        <v>46011</v>
      </c>
      <c r="L3009" s="28" t="s">
        <v>11</v>
      </c>
      <c r="M3009" s="14"/>
      <c r="N3009" s="10" t="s">
        <v>1028</v>
      </c>
    </row>
    <row r="3010" spans="1:14" ht="22.5" customHeight="1">
      <c r="A3010" s="8">
        <v>46011.724220856486</v>
      </c>
      <c r="B3010" s="9" t="s">
        <v>14</v>
      </c>
      <c r="C3010" s="9" t="s">
        <v>15</v>
      </c>
      <c r="D3010" s="10" t="s">
        <v>6648</v>
      </c>
      <c r="E3010" s="9" t="s">
        <v>17</v>
      </c>
      <c r="F3010" s="10">
        <v>36</v>
      </c>
      <c r="G3010" s="11">
        <v>8121558780</v>
      </c>
      <c r="H3010" s="10" t="s">
        <v>6649</v>
      </c>
      <c r="I3010" s="10" t="s">
        <v>27</v>
      </c>
      <c r="J3010" s="10" t="s">
        <v>6650</v>
      </c>
      <c r="K3010" s="12">
        <v>46011</v>
      </c>
      <c r="L3010" s="28" t="s">
        <v>11</v>
      </c>
      <c r="M3010" s="14"/>
      <c r="N3010" s="10" t="s">
        <v>1028</v>
      </c>
    </row>
    <row r="3011" spans="1:14" ht="22.5" customHeight="1">
      <c r="A3011" s="8">
        <v>46011.734996597224</v>
      </c>
      <c r="B3011" s="9" t="s">
        <v>14</v>
      </c>
      <c r="C3011" s="9" t="s">
        <v>15</v>
      </c>
      <c r="D3011" s="10" t="s">
        <v>6651</v>
      </c>
      <c r="E3011" s="9" t="s">
        <v>17</v>
      </c>
      <c r="F3011" s="10">
        <v>31</v>
      </c>
      <c r="G3011" s="11">
        <v>9064046966</v>
      </c>
      <c r="H3011" s="10" t="s">
        <v>6652</v>
      </c>
      <c r="I3011" s="10" t="s">
        <v>45</v>
      </c>
      <c r="J3011" s="10" t="s">
        <v>46</v>
      </c>
      <c r="K3011" s="12">
        <v>34756</v>
      </c>
      <c r="L3011" s="28" t="s">
        <v>11</v>
      </c>
      <c r="M3011" s="14"/>
      <c r="N3011" s="10" t="s">
        <v>1035</v>
      </c>
    </row>
    <row r="3012" spans="1:14" ht="22.5" customHeight="1">
      <c r="A3012" s="8">
        <v>46011.737990601847</v>
      </c>
      <c r="B3012" s="9" t="s">
        <v>14</v>
      </c>
      <c r="C3012" s="9" t="s">
        <v>15</v>
      </c>
      <c r="D3012" s="10" t="s">
        <v>6653</v>
      </c>
      <c r="E3012" s="9" t="s">
        <v>17</v>
      </c>
      <c r="F3012" s="10">
        <v>28</v>
      </c>
      <c r="G3012" s="11">
        <v>8108116070</v>
      </c>
      <c r="H3012" s="10" t="s">
        <v>6654</v>
      </c>
      <c r="I3012" s="10" t="s">
        <v>45</v>
      </c>
      <c r="J3012" s="10" t="s">
        <v>4074</v>
      </c>
      <c r="K3012" s="12">
        <v>46011</v>
      </c>
      <c r="L3012" s="28" t="s">
        <v>11</v>
      </c>
      <c r="M3012" s="14"/>
      <c r="N3012" s="10" t="s">
        <v>1096</v>
      </c>
    </row>
    <row r="3013" spans="1:14" ht="22.5" customHeight="1">
      <c r="A3013" s="8">
        <v>46011.746496006948</v>
      </c>
      <c r="B3013" s="9" t="s">
        <v>14</v>
      </c>
      <c r="C3013" s="9" t="s">
        <v>15</v>
      </c>
      <c r="D3013" s="10" t="s">
        <v>6655</v>
      </c>
      <c r="E3013" s="9" t="s">
        <v>17</v>
      </c>
      <c r="F3013" s="10">
        <v>24</v>
      </c>
      <c r="G3013" s="11">
        <v>8081675393</v>
      </c>
      <c r="H3013" s="10" t="s">
        <v>6656</v>
      </c>
      <c r="I3013" s="10" t="s">
        <v>27</v>
      </c>
      <c r="J3013" s="10" t="s">
        <v>1288</v>
      </c>
      <c r="K3013" s="12">
        <v>46011</v>
      </c>
      <c r="L3013" s="28" t="s">
        <v>11</v>
      </c>
      <c r="M3013" s="10"/>
      <c r="N3013" s="10" t="s">
        <v>1028</v>
      </c>
    </row>
    <row r="3014" spans="1:14" ht="22.5" customHeight="1">
      <c r="A3014" s="8">
        <v>46011.754532534724</v>
      </c>
      <c r="B3014" s="9" t="s">
        <v>14</v>
      </c>
      <c r="C3014" s="9" t="s">
        <v>15</v>
      </c>
      <c r="D3014" s="10" t="s">
        <v>6657</v>
      </c>
      <c r="E3014" s="9" t="s">
        <v>17</v>
      </c>
      <c r="F3014" s="10">
        <v>26</v>
      </c>
      <c r="G3014" s="11">
        <v>8130352049</v>
      </c>
      <c r="H3014" s="10" t="s">
        <v>6658</v>
      </c>
      <c r="I3014" s="10" t="s">
        <v>202</v>
      </c>
      <c r="J3014" s="10" t="s">
        <v>4651</v>
      </c>
      <c r="K3014" s="12">
        <v>46011</v>
      </c>
      <c r="L3014" s="28" t="s">
        <v>11</v>
      </c>
      <c r="M3014" s="14"/>
      <c r="N3014" s="10" t="s">
        <v>1028</v>
      </c>
    </row>
    <row r="3015" spans="1:14" ht="22.5" customHeight="1">
      <c r="A3015" s="8">
        <v>46011.757794930556</v>
      </c>
      <c r="B3015" s="9" t="s">
        <v>14</v>
      </c>
      <c r="C3015" s="9" t="s">
        <v>15</v>
      </c>
      <c r="D3015" s="10" t="s">
        <v>6659</v>
      </c>
      <c r="E3015" s="9" t="s">
        <v>22</v>
      </c>
      <c r="F3015" s="10">
        <v>25</v>
      </c>
      <c r="G3015" s="11">
        <v>8104073913</v>
      </c>
      <c r="H3015" s="10" t="s">
        <v>6660</v>
      </c>
      <c r="I3015" s="10" t="s">
        <v>45</v>
      </c>
      <c r="J3015" s="10" t="s">
        <v>6613</v>
      </c>
      <c r="K3015" s="12">
        <v>46011</v>
      </c>
      <c r="L3015" s="28" t="s">
        <v>11</v>
      </c>
      <c r="M3015" s="14"/>
      <c r="N3015" s="10" t="s">
        <v>1028</v>
      </c>
    </row>
    <row r="3016" spans="1:14" ht="22.5" customHeight="1">
      <c r="A3016" s="8">
        <v>46011.771894143516</v>
      </c>
      <c r="B3016" s="9" t="s">
        <v>14</v>
      </c>
      <c r="C3016" s="9" t="s">
        <v>15</v>
      </c>
      <c r="D3016" s="10" t="s">
        <v>6661</v>
      </c>
      <c r="E3016" s="9" t="s">
        <v>17</v>
      </c>
      <c r="F3016" s="10">
        <v>27</v>
      </c>
      <c r="G3016" s="11">
        <v>7061848240</v>
      </c>
      <c r="H3016" s="10" t="s">
        <v>6662</v>
      </c>
      <c r="I3016" s="10" t="s">
        <v>27</v>
      </c>
      <c r="J3016" s="10" t="s">
        <v>372</v>
      </c>
      <c r="K3016" s="12">
        <v>46011</v>
      </c>
      <c r="L3016" s="28" t="s">
        <v>11</v>
      </c>
      <c r="M3016" s="14"/>
      <c r="N3016" s="10" t="s">
        <v>1028</v>
      </c>
    </row>
    <row r="3017" spans="1:14" ht="22.5" customHeight="1">
      <c r="A3017" s="8">
        <v>46011.788044953704</v>
      </c>
      <c r="B3017" s="9" t="s">
        <v>14</v>
      </c>
      <c r="C3017" s="9" t="s">
        <v>15</v>
      </c>
      <c r="D3017" s="10" t="s">
        <v>6663</v>
      </c>
      <c r="E3017" s="9" t="s">
        <v>17</v>
      </c>
      <c r="F3017" s="10">
        <v>37</v>
      </c>
      <c r="G3017" s="11">
        <v>8037803510</v>
      </c>
      <c r="H3017" s="10" t="s">
        <v>6664</v>
      </c>
      <c r="I3017" s="10" t="s">
        <v>45</v>
      </c>
      <c r="J3017" s="10" t="s">
        <v>84</v>
      </c>
      <c r="K3017" s="12">
        <v>46011</v>
      </c>
      <c r="L3017" s="28" t="s">
        <v>11</v>
      </c>
      <c r="M3017" s="14"/>
      <c r="N3017" s="10" t="s">
        <v>1028</v>
      </c>
    </row>
    <row r="3018" spans="1:14" ht="22.5" customHeight="1">
      <c r="A3018" s="8">
        <v>46011.797848402777</v>
      </c>
      <c r="B3018" s="9" t="s">
        <v>14</v>
      </c>
      <c r="C3018" s="9" t="s">
        <v>15</v>
      </c>
      <c r="D3018" s="10" t="s">
        <v>6665</v>
      </c>
      <c r="E3018" s="9" t="s">
        <v>17</v>
      </c>
      <c r="F3018" s="19">
        <v>27</v>
      </c>
      <c r="G3018" s="11">
        <v>8068749701</v>
      </c>
      <c r="H3018" s="10" t="s">
        <v>6666</v>
      </c>
      <c r="I3018" s="10" t="s">
        <v>27</v>
      </c>
      <c r="J3018" s="10" t="s">
        <v>6667</v>
      </c>
      <c r="K3018" s="12">
        <v>46011</v>
      </c>
      <c r="L3018" s="28" t="s">
        <v>11</v>
      </c>
      <c r="M3018" s="14"/>
      <c r="N3018" s="10" t="s">
        <v>1028</v>
      </c>
    </row>
    <row r="3019" spans="1:14" ht="22.5" customHeight="1">
      <c r="A3019" s="8">
        <v>46011.799849224539</v>
      </c>
      <c r="B3019" s="9" t="s">
        <v>14</v>
      </c>
      <c r="C3019" s="9" t="s">
        <v>15</v>
      </c>
      <c r="D3019" s="10" t="s">
        <v>6668</v>
      </c>
      <c r="E3019" s="9" t="s">
        <v>22</v>
      </c>
      <c r="F3019" s="10">
        <v>29</v>
      </c>
      <c r="G3019" s="11">
        <v>8064433718</v>
      </c>
      <c r="H3019" s="10" t="s">
        <v>6669</v>
      </c>
      <c r="I3019" s="10" t="s">
        <v>27</v>
      </c>
      <c r="J3019" s="10" t="s">
        <v>70</v>
      </c>
      <c r="K3019" s="12">
        <v>46011</v>
      </c>
      <c r="L3019" s="28" t="s">
        <v>11</v>
      </c>
      <c r="M3019" s="14"/>
      <c r="N3019" s="10" t="s">
        <v>1028</v>
      </c>
    </row>
    <row r="3020" spans="1:14" ht="22.5" customHeight="1">
      <c r="A3020" s="8">
        <v>46011.831207731477</v>
      </c>
      <c r="B3020" s="9" t="s">
        <v>14</v>
      </c>
      <c r="C3020" s="9" t="s">
        <v>15</v>
      </c>
      <c r="D3020" s="10" t="s">
        <v>6670</v>
      </c>
      <c r="E3020" s="9" t="s">
        <v>17</v>
      </c>
      <c r="F3020" s="10">
        <v>24</v>
      </c>
      <c r="G3020" s="11">
        <v>8142781006</v>
      </c>
      <c r="H3020" s="10" t="s">
        <v>6671</v>
      </c>
      <c r="I3020" s="10" t="s">
        <v>145</v>
      </c>
      <c r="J3020" s="10" t="s">
        <v>3296</v>
      </c>
      <c r="K3020" s="12">
        <v>46011</v>
      </c>
      <c r="L3020" s="28" t="s">
        <v>11</v>
      </c>
      <c r="M3020" s="14"/>
      <c r="N3020" s="10" t="s">
        <v>1028</v>
      </c>
    </row>
    <row r="3021" spans="1:14" ht="22.5" customHeight="1">
      <c r="A3021" s="8">
        <v>46011.832853726854</v>
      </c>
      <c r="B3021" s="9" t="s">
        <v>14</v>
      </c>
      <c r="C3021" s="9" t="s">
        <v>15</v>
      </c>
      <c r="D3021" s="10" t="s">
        <v>6672</v>
      </c>
      <c r="E3021" s="9" t="s">
        <v>17</v>
      </c>
      <c r="F3021" s="10">
        <v>28</v>
      </c>
      <c r="G3021" s="11">
        <v>8125874576</v>
      </c>
      <c r="H3021" s="10" t="s">
        <v>6673</v>
      </c>
      <c r="I3021" s="10" t="s">
        <v>45</v>
      </c>
      <c r="J3021" s="10" t="s">
        <v>131</v>
      </c>
      <c r="K3021" s="12">
        <v>46011</v>
      </c>
      <c r="L3021" s="28" t="s">
        <v>11</v>
      </c>
      <c r="M3021" s="14"/>
      <c r="N3021" s="10" t="s">
        <v>1028</v>
      </c>
    </row>
    <row r="3022" spans="1:14" ht="22.5" customHeight="1">
      <c r="A3022" s="8">
        <v>46011.835777835644</v>
      </c>
      <c r="B3022" s="9" t="s">
        <v>14</v>
      </c>
      <c r="C3022" s="9" t="s">
        <v>15</v>
      </c>
      <c r="D3022" s="10" t="s">
        <v>5000</v>
      </c>
      <c r="E3022" s="9" t="s">
        <v>17</v>
      </c>
      <c r="F3022" s="10">
        <v>35</v>
      </c>
      <c r="G3022" s="11">
        <v>8067933994</v>
      </c>
      <c r="H3022" s="10" t="s">
        <v>5001</v>
      </c>
      <c r="I3022" s="10" t="s">
        <v>145</v>
      </c>
      <c r="J3022" s="10" t="s">
        <v>5002</v>
      </c>
      <c r="K3022" s="12">
        <v>46011</v>
      </c>
      <c r="L3022" s="28" t="s">
        <v>11</v>
      </c>
      <c r="M3022" s="14"/>
      <c r="N3022" s="10" t="s">
        <v>1028</v>
      </c>
    </row>
    <row r="3023" spans="1:14" ht="22.5" customHeight="1">
      <c r="A3023" s="8">
        <v>46011.846060162032</v>
      </c>
      <c r="B3023" s="9" t="s">
        <v>14</v>
      </c>
      <c r="C3023" s="9" t="s">
        <v>15</v>
      </c>
      <c r="D3023" s="10" t="s">
        <v>6674</v>
      </c>
      <c r="E3023" s="9" t="s">
        <v>22</v>
      </c>
      <c r="F3023" s="10">
        <v>18</v>
      </c>
      <c r="G3023" s="11">
        <v>9047064301</v>
      </c>
      <c r="H3023" s="10" t="s">
        <v>6675</v>
      </c>
      <c r="I3023" s="10" t="s">
        <v>31</v>
      </c>
      <c r="J3023" s="10" t="s">
        <v>2358</v>
      </c>
      <c r="K3023" s="12">
        <v>46011</v>
      </c>
      <c r="L3023" s="28" t="s">
        <v>11</v>
      </c>
      <c r="M3023" s="14"/>
      <c r="N3023" s="10" t="s">
        <v>1028</v>
      </c>
    </row>
    <row r="3024" spans="1:14" ht="22.5" customHeight="1">
      <c r="A3024" s="8">
        <v>46011.856745752317</v>
      </c>
      <c r="B3024" s="9" t="s">
        <v>14</v>
      </c>
      <c r="C3024" s="9" t="s">
        <v>15</v>
      </c>
      <c r="D3024" s="10" t="s">
        <v>6676</v>
      </c>
      <c r="E3024" s="9" t="s">
        <v>17</v>
      </c>
      <c r="F3024" s="10">
        <v>22</v>
      </c>
      <c r="G3024" s="11">
        <v>7011148640</v>
      </c>
      <c r="H3024" s="10" t="s">
        <v>6677</v>
      </c>
      <c r="I3024" s="10" t="s">
        <v>45</v>
      </c>
      <c r="J3024" s="10" t="s">
        <v>46</v>
      </c>
      <c r="K3024" s="12">
        <v>46011</v>
      </c>
      <c r="L3024" s="28" t="s">
        <v>11</v>
      </c>
      <c r="M3024" s="14"/>
      <c r="N3024" s="10" t="s">
        <v>1096</v>
      </c>
    </row>
    <row r="3025" spans="1:14" ht="22.5" customHeight="1">
      <c r="A3025" s="8">
        <v>46011.859305208331</v>
      </c>
      <c r="B3025" s="9" t="s">
        <v>14</v>
      </c>
      <c r="C3025" s="9" t="s">
        <v>15</v>
      </c>
      <c r="D3025" s="10" t="s">
        <v>6678</v>
      </c>
      <c r="E3025" s="9" t="s">
        <v>22</v>
      </c>
      <c r="F3025" s="10">
        <v>21</v>
      </c>
      <c r="G3025" s="11">
        <v>8131312307</v>
      </c>
      <c r="H3025" s="10" t="s">
        <v>6679</v>
      </c>
      <c r="I3025" s="10" t="s">
        <v>45</v>
      </c>
      <c r="J3025" s="10" t="s">
        <v>2136</v>
      </c>
      <c r="K3025" s="12">
        <v>46011</v>
      </c>
      <c r="L3025" s="28" t="s">
        <v>11</v>
      </c>
      <c r="M3025" s="10"/>
      <c r="N3025" s="10" t="s">
        <v>1028</v>
      </c>
    </row>
    <row r="3026" spans="1:14" ht="22.5" customHeight="1">
      <c r="A3026" s="8">
        <v>46011.866079629632</v>
      </c>
      <c r="B3026" s="9" t="s">
        <v>14</v>
      </c>
      <c r="C3026" s="9" t="s">
        <v>15</v>
      </c>
      <c r="D3026" s="10" t="s">
        <v>6680</v>
      </c>
      <c r="E3026" s="9" t="s">
        <v>17</v>
      </c>
      <c r="F3026" s="10">
        <v>29</v>
      </c>
      <c r="G3026" s="11">
        <v>7062214028</v>
      </c>
      <c r="H3026" s="10" t="s">
        <v>6681</v>
      </c>
      <c r="I3026" s="10" t="s">
        <v>45</v>
      </c>
      <c r="J3026" s="10" t="s">
        <v>46</v>
      </c>
      <c r="K3026" s="12">
        <v>46011</v>
      </c>
      <c r="L3026" s="28" t="s">
        <v>11</v>
      </c>
      <c r="M3026" s="14"/>
      <c r="N3026" s="10" t="s">
        <v>1028</v>
      </c>
    </row>
    <row r="3027" spans="1:14" ht="22.5" customHeight="1">
      <c r="A3027" s="8">
        <v>46011.877736342591</v>
      </c>
      <c r="B3027" s="9" t="s">
        <v>14</v>
      </c>
      <c r="C3027" s="9" t="s">
        <v>15</v>
      </c>
      <c r="D3027" s="10" t="s">
        <v>6682</v>
      </c>
      <c r="E3027" s="9" t="s">
        <v>17</v>
      </c>
      <c r="F3027" s="18">
        <v>20</v>
      </c>
      <c r="G3027" s="11">
        <v>7016572170</v>
      </c>
      <c r="H3027" s="10" t="s">
        <v>6683</v>
      </c>
      <c r="I3027" s="10" t="s">
        <v>27</v>
      </c>
      <c r="J3027" s="10" t="s">
        <v>3399</v>
      </c>
      <c r="K3027" s="12">
        <v>46011</v>
      </c>
      <c r="L3027" s="28" t="s">
        <v>11</v>
      </c>
      <c r="M3027" s="14"/>
      <c r="N3027" s="10" t="s">
        <v>1028</v>
      </c>
    </row>
    <row r="3028" spans="1:14" ht="22.5" customHeight="1">
      <c r="A3028" s="8">
        <v>46011.898749351851</v>
      </c>
      <c r="B3028" s="9" t="s">
        <v>14</v>
      </c>
      <c r="C3028" s="9" t="s">
        <v>15</v>
      </c>
      <c r="D3028" s="10" t="s">
        <v>6684</v>
      </c>
      <c r="E3028" s="9" t="s">
        <v>22</v>
      </c>
      <c r="F3028" s="19">
        <v>22</v>
      </c>
      <c r="G3028" s="11">
        <v>9044186424</v>
      </c>
      <c r="H3028" s="10" t="s">
        <v>6685</v>
      </c>
      <c r="I3028" s="10" t="s">
        <v>27</v>
      </c>
      <c r="J3028" s="10" t="s">
        <v>3399</v>
      </c>
      <c r="K3028" s="12">
        <v>46011</v>
      </c>
      <c r="L3028" s="28" t="s">
        <v>11</v>
      </c>
      <c r="M3028" s="14"/>
      <c r="N3028" s="10" t="s">
        <v>1028</v>
      </c>
    </row>
    <row r="3029" spans="1:14" ht="22.5" customHeight="1">
      <c r="A3029" s="8">
        <v>46011.899980717593</v>
      </c>
      <c r="B3029" s="9" t="s">
        <v>14</v>
      </c>
      <c r="C3029" s="9" t="s">
        <v>15</v>
      </c>
      <c r="D3029" s="10" t="s">
        <v>4902</v>
      </c>
      <c r="E3029" s="9" t="s">
        <v>22</v>
      </c>
      <c r="F3029" s="10">
        <v>19</v>
      </c>
      <c r="G3029" s="11">
        <v>9112787056</v>
      </c>
      <c r="H3029" s="10" t="s">
        <v>4903</v>
      </c>
      <c r="I3029" s="10" t="s">
        <v>45</v>
      </c>
      <c r="J3029" s="10" t="s">
        <v>287</v>
      </c>
      <c r="K3029" s="12">
        <v>46011</v>
      </c>
      <c r="L3029" s="28" t="s">
        <v>11</v>
      </c>
      <c r="M3029" s="14"/>
      <c r="N3029" s="10" t="s">
        <v>1028</v>
      </c>
    </row>
    <row r="3030" spans="1:14" ht="22.5" customHeight="1">
      <c r="A3030" s="8">
        <v>46011.900915138889</v>
      </c>
      <c r="B3030" s="9" t="s">
        <v>14</v>
      </c>
      <c r="C3030" s="9" t="s">
        <v>15</v>
      </c>
      <c r="D3030" s="10" t="s">
        <v>6686</v>
      </c>
      <c r="E3030" s="9" t="s">
        <v>22</v>
      </c>
      <c r="F3030" s="10">
        <v>26</v>
      </c>
      <c r="G3030" s="11">
        <v>8169625964</v>
      </c>
      <c r="H3030" s="10" t="s">
        <v>6687</v>
      </c>
      <c r="I3030" s="10" t="s">
        <v>45</v>
      </c>
      <c r="J3030" s="10" t="s">
        <v>901</v>
      </c>
      <c r="K3030" s="12">
        <v>46011</v>
      </c>
      <c r="L3030" s="28" t="s">
        <v>11</v>
      </c>
      <c r="M3030" s="14"/>
      <c r="N3030" s="10" t="s">
        <v>1096</v>
      </c>
    </row>
    <row r="3031" spans="1:14" ht="22.5" customHeight="1">
      <c r="A3031" s="8">
        <v>46011.902363263885</v>
      </c>
      <c r="B3031" s="9" t="s">
        <v>14</v>
      </c>
      <c r="C3031" s="9" t="s">
        <v>15</v>
      </c>
      <c r="D3031" s="10" t="s">
        <v>6688</v>
      </c>
      <c r="E3031" s="9" t="s">
        <v>22</v>
      </c>
      <c r="F3031" s="10">
        <v>25</v>
      </c>
      <c r="G3031" s="11">
        <v>8102636307</v>
      </c>
      <c r="H3031" s="10" t="s">
        <v>6689</v>
      </c>
      <c r="I3031" s="10" t="s">
        <v>27</v>
      </c>
      <c r="J3031" s="10" t="s">
        <v>2675</v>
      </c>
      <c r="K3031" s="12">
        <v>46011</v>
      </c>
      <c r="L3031" s="28" t="s">
        <v>11</v>
      </c>
      <c r="M3031" s="14"/>
      <c r="N3031" s="10" t="s">
        <v>1028</v>
      </c>
    </row>
    <row r="3032" spans="1:14" ht="22.5" customHeight="1">
      <c r="A3032" s="8">
        <v>46011.907159826384</v>
      </c>
      <c r="B3032" s="9" t="s">
        <v>14</v>
      </c>
      <c r="C3032" s="9" t="s">
        <v>15</v>
      </c>
      <c r="D3032" s="10" t="s">
        <v>6690</v>
      </c>
      <c r="E3032" s="9" t="s">
        <v>17</v>
      </c>
      <c r="F3032" s="10">
        <v>39</v>
      </c>
      <c r="G3032" s="11">
        <v>8027185684</v>
      </c>
      <c r="H3032" s="10" t="s">
        <v>6691</v>
      </c>
      <c r="I3032" s="10" t="s">
        <v>49</v>
      </c>
      <c r="J3032" s="10" t="s">
        <v>73</v>
      </c>
      <c r="K3032" s="12">
        <v>46011</v>
      </c>
      <c r="L3032" s="28" t="s">
        <v>11</v>
      </c>
      <c r="M3032" s="14"/>
      <c r="N3032" s="10" t="s">
        <v>1028</v>
      </c>
    </row>
    <row r="3033" spans="1:14" ht="22.5" customHeight="1">
      <c r="A3033" s="8">
        <v>46011.907201562499</v>
      </c>
      <c r="B3033" s="9" t="s">
        <v>14</v>
      </c>
      <c r="C3033" s="9" t="s">
        <v>15</v>
      </c>
      <c r="D3033" s="10" t="s">
        <v>6692</v>
      </c>
      <c r="E3033" s="9" t="s">
        <v>17</v>
      </c>
      <c r="F3033" s="10">
        <v>26</v>
      </c>
      <c r="G3033" s="11">
        <v>7036186451</v>
      </c>
      <c r="H3033" s="10" t="s">
        <v>6693</v>
      </c>
      <c r="I3033" s="10" t="s">
        <v>45</v>
      </c>
      <c r="J3033" s="10" t="s">
        <v>46</v>
      </c>
      <c r="K3033" s="12">
        <v>36285</v>
      </c>
      <c r="L3033" s="28" t="s">
        <v>11</v>
      </c>
      <c r="M3033" s="14"/>
      <c r="N3033" s="10" t="s">
        <v>1096</v>
      </c>
    </row>
    <row r="3034" spans="1:14" ht="22.5" customHeight="1">
      <c r="A3034" s="8">
        <v>46011.907261562505</v>
      </c>
      <c r="B3034" s="9" t="s">
        <v>14</v>
      </c>
      <c r="C3034" s="9" t="s">
        <v>15</v>
      </c>
      <c r="D3034" s="10" t="s">
        <v>6694</v>
      </c>
      <c r="E3034" s="9" t="s">
        <v>17</v>
      </c>
      <c r="F3034" s="10">
        <v>32</v>
      </c>
      <c r="G3034" s="11">
        <v>8166731614</v>
      </c>
      <c r="H3034" s="10" t="s">
        <v>6695</v>
      </c>
      <c r="I3034" s="10" t="s">
        <v>45</v>
      </c>
      <c r="J3034" s="10" t="s">
        <v>1919</v>
      </c>
      <c r="K3034" s="12">
        <v>46011</v>
      </c>
      <c r="L3034" s="28" t="s">
        <v>11</v>
      </c>
      <c r="M3034" s="14"/>
      <c r="N3034" s="10" t="s">
        <v>1096</v>
      </c>
    </row>
    <row r="3035" spans="1:14" ht="22.5" customHeight="1">
      <c r="A3035" s="8">
        <v>46011.915675497687</v>
      </c>
      <c r="B3035" s="9" t="s">
        <v>14</v>
      </c>
      <c r="C3035" s="9" t="s">
        <v>15</v>
      </c>
      <c r="D3035" s="10" t="s">
        <v>6696</v>
      </c>
      <c r="E3035" s="9" t="s">
        <v>22</v>
      </c>
      <c r="F3035" s="10">
        <v>18</v>
      </c>
      <c r="G3035" s="11">
        <v>8129261756</v>
      </c>
      <c r="H3035" s="10" t="s">
        <v>6697</v>
      </c>
      <c r="I3035" s="10" t="s">
        <v>31</v>
      </c>
      <c r="J3035" s="10" t="s">
        <v>2358</v>
      </c>
      <c r="K3035" s="12">
        <v>46011</v>
      </c>
      <c r="L3035" s="28" t="s">
        <v>11</v>
      </c>
      <c r="M3035" s="14"/>
      <c r="N3035" s="10" t="s">
        <v>1028</v>
      </c>
    </row>
    <row r="3036" spans="1:14" ht="22.5" customHeight="1">
      <c r="A3036" s="8">
        <v>46011.925644409726</v>
      </c>
      <c r="B3036" s="9" t="s">
        <v>14</v>
      </c>
      <c r="C3036" s="9" t="s">
        <v>15</v>
      </c>
      <c r="D3036" s="10" t="s">
        <v>6698</v>
      </c>
      <c r="E3036" s="9" t="s">
        <v>17</v>
      </c>
      <c r="F3036" s="10">
        <v>24</v>
      </c>
      <c r="G3036" s="11">
        <v>8145916840</v>
      </c>
      <c r="H3036" s="10" t="s">
        <v>6699</v>
      </c>
      <c r="I3036" s="10" t="s">
        <v>45</v>
      </c>
      <c r="J3036" s="10" t="s">
        <v>6700</v>
      </c>
      <c r="K3036" s="12">
        <v>46011</v>
      </c>
      <c r="L3036" s="28" t="s">
        <v>11</v>
      </c>
      <c r="M3036" s="14"/>
      <c r="N3036" s="10" t="s">
        <v>1028</v>
      </c>
    </row>
    <row r="3037" spans="1:14" ht="22.5" customHeight="1">
      <c r="A3037" s="8">
        <v>46011.928044456014</v>
      </c>
      <c r="B3037" s="9" t="s">
        <v>14</v>
      </c>
      <c r="C3037" s="9" t="s">
        <v>15</v>
      </c>
      <c r="D3037" s="10" t="s">
        <v>6701</v>
      </c>
      <c r="E3037" s="9" t="s">
        <v>17</v>
      </c>
      <c r="F3037" s="10">
        <v>21</v>
      </c>
      <c r="G3037" s="11">
        <v>7089005814</v>
      </c>
      <c r="H3037" s="10" t="s">
        <v>6702</v>
      </c>
      <c r="I3037" s="10" t="s">
        <v>31</v>
      </c>
      <c r="J3037" s="10" t="s">
        <v>2358</v>
      </c>
      <c r="K3037" s="12">
        <v>46011</v>
      </c>
      <c r="L3037" s="28" t="s">
        <v>11</v>
      </c>
      <c r="M3037" s="10"/>
      <c r="N3037" s="10" t="s">
        <v>1028</v>
      </c>
    </row>
    <row r="3038" spans="1:14" ht="22.5" customHeight="1">
      <c r="A3038" s="8">
        <v>46011.932597025458</v>
      </c>
      <c r="B3038" s="9" t="s">
        <v>14</v>
      </c>
      <c r="C3038" s="9" t="s">
        <v>15</v>
      </c>
      <c r="D3038" s="10" t="s">
        <v>6703</v>
      </c>
      <c r="E3038" s="9" t="s">
        <v>17</v>
      </c>
      <c r="F3038" s="10">
        <v>30</v>
      </c>
      <c r="G3038" s="11">
        <v>8105565621</v>
      </c>
      <c r="H3038" s="10" t="s">
        <v>6704</v>
      </c>
      <c r="I3038" s="10" t="s">
        <v>202</v>
      </c>
      <c r="J3038" s="10" t="s">
        <v>6705</v>
      </c>
      <c r="K3038" s="12">
        <v>46011</v>
      </c>
      <c r="L3038" s="28" t="s">
        <v>11</v>
      </c>
      <c r="M3038" s="14"/>
      <c r="N3038" s="10" t="s">
        <v>1028</v>
      </c>
    </row>
    <row r="3039" spans="1:14" ht="22.5" customHeight="1">
      <c r="A3039" s="8">
        <v>46011.955146238426</v>
      </c>
      <c r="B3039" s="9" t="s">
        <v>14</v>
      </c>
      <c r="C3039" s="9" t="s">
        <v>15</v>
      </c>
      <c r="D3039" s="10" t="s">
        <v>6706</v>
      </c>
      <c r="E3039" s="9" t="s">
        <v>17</v>
      </c>
      <c r="F3039" s="10">
        <v>27</v>
      </c>
      <c r="G3039" s="11">
        <v>9031785412</v>
      </c>
      <c r="H3039" s="10" t="s">
        <v>6707</v>
      </c>
      <c r="I3039" s="10" t="s">
        <v>27</v>
      </c>
      <c r="J3039" s="10" t="s">
        <v>372</v>
      </c>
      <c r="K3039" s="12">
        <v>36108</v>
      </c>
      <c r="L3039" s="28" t="s">
        <v>11</v>
      </c>
      <c r="M3039" s="14"/>
      <c r="N3039" s="10" t="s">
        <v>1028</v>
      </c>
    </row>
    <row r="3040" spans="1:14" ht="22.5" customHeight="1">
      <c r="A3040" s="8">
        <v>46011.964075798613</v>
      </c>
      <c r="B3040" s="9" t="s">
        <v>14</v>
      </c>
      <c r="C3040" s="9" t="s">
        <v>15</v>
      </c>
      <c r="D3040" s="10" t="s">
        <v>6708</v>
      </c>
      <c r="E3040" s="9" t="s">
        <v>17</v>
      </c>
      <c r="F3040" s="10">
        <v>25</v>
      </c>
      <c r="G3040" s="11">
        <v>7086632674</v>
      </c>
      <c r="H3040" s="10" t="s">
        <v>6709</v>
      </c>
      <c r="I3040" s="10" t="s">
        <v>27</v>
      </c>
      <c r="J3040" s="10" t="s">
        <v>28</v>
      </c>
      <c r="K3040" s="12">
        <v>46011</v>
      </c>
      <c r="L3040" s="28" t="s">
        <v>11</v>
      </c>
      <c r="M3040" s="14"/>
      <c r="N3040" s="10" t="s">
        <v>1028</v>
      </c>
    </row>
    <row r="3041" spans="1:14" ht="22.5" customHeight="1">
      <c r="A3041" s="8">
        <v>46011.966943738429</v>
      </c>
      <c r="B3041" s="9" t="s">
        <v>14</v>
      </c>
      <c r="C3041" s="9" t="s">
        <v>15</v>
      </c>
      <c r="D3041" s="10" t="s">
        <v>6710</v>
      </c>
      <c r="E3041" s="9" t="s">
        <v>17</v>
      </c>
      <c r="F3041" s="10">
        <v>27</v>
      </c>
      <c r="G3041" s="11">
        <v>8108791424</v>
      </c>
      <c r="H3041" s="10" t="s">
        <v>6711</v>
      </c>
      <c r="I3041" s="10" t="s">
        <v>45</v>
      </c>
      <c r="J3041" s="10" t="s">
        <v>46</v>
      </c>
      <c r="K3041" s="12">
        <v>46011</v>
      </c>
      <c r="L3041" s="28" t="s">
        <v>11</v>
      </c>
      <c r="M3041" s="14"/>
      <c r="N3041" s="10" t="s">
        <v>3750</v>
      </c>
    </row>
    <row r="3042" spans="1:14" ht="22.5" customHeight="1">
      <c r="A3042" s="8">
        <v>46011.969703692128</v>
      </c>
      <c r="B3042" s="9" t="s">
        <v>14</v>
      </c>
      <c r="C3042" s="9" t="s">
        <v>15</v>
      </c>
      <c r="D3042" s="10" t="s">
        <v>6712</v>
      </c>
      <c r="E3042" s="9" t="s">
        <v>17</v>
      </c>
      <c r="F3042" s="10">
        <v>22</v>
      </c>
      <c r="G3042" s="11">
        <v>8156821610</v>
      </c>
      <c r="H3042" s="10" t="s">
        <v>6713</v>
      </c>
      <c r="I3042" s="10" t="s">
        <v>45</v>
      </c>
      <c r="J3042" s="10" t="s">
        <v>6714</v>
      </c>
      <c r="K3042" s="12">
        <v>46011</v>
      </c>
      <c r="L3042" s="28" t="s">
        <v>11</v>
      </c>
      <c r="M3042" s="14"/>
      <c r="N3042" s="10" t="s">
        <v>1028</v>
      </c>
    </row>
    <row r="3043" spans="1:14" ht="22.5" customHeight="1">
      <c r="A3043" s="8">
        <v>46011.984744606481</v>
      </c>
      <c r="B3043" s="9" t="s">
        <v>14</v>
      </c>
      <c r="C3043" s="9" t="s">
        <v>15</v>
      </c>
      <c r="D3043" s="10" t="s">
        <v>6715</v>
      </c>
      <c r="E3043" s="9" t="s">
        <v>22</v>
      </c>
      <c r="F3043" s="10">
        <v>40</v>
      </c>
      <c r="G3043" s="11">
        <v>8188074011</v>
      </c>
      <c r="H3043" s="10" t="s">
        <v>6716</v>
      </c>
      <c r="I3043" s="10" t="s">
        <v>27</v>
      </c>
      <c r="J3043" s="10" t="s">
        <v>1456</v>
      </c>
      <c r="K3043" s="12">
        <v>46011</v>
      </c>
      <c r="L3043" s="28" t="s">
        <v>11</v>
      </c>
      <c r="M3043" s="14"/>
      <c r="N3043" s="10" t="s">
        <v>1028</v>
      </c>
    </row>
    <row r="3044" spans="1:14" ht="22.5" customHeight="1">
      <c r="A3044" s="8">
        <v>46012.003231643517</v>
      </c>
      <c r="B3044" s="9" t="s">
        <v>14</v>
      </c>
      <c r="C3044" s="9" t="s">
        <v>15</v>
      </c>
      <c r="D3044" s="10" t="s">
        <v>6717</v>
      </c>
      <c r="E3044" s="9" t="s">
        <v>22</v>
      </c>
      <c r="F3044" s="10">
        <v>23</v>
      </c>
      <c r="G3044" s="11">
        <v>7043239735</v>
      </c>
      <c r="H3044" s="10" t="s">
        <v>6718</v>
      </c>
      <c r="I3044" s="10" t="s">
        <v>31</v>
      </c>
      <c r="J3044" s="10" t="s">
        <v>32</v>
      </c>
      <c r="K3044" s="12">
        <v>46012</v>
      </c>
      <c r="L3044" s="28" t="s">
        <v>11</v>
      </c>
      <c r="M3044" s="10"/>
      <c r="N3044" s="10" t="s">
        <v>1028</v>
      </c>
    </row>
    <row r="3045" spans="1:14" ht="22.5" customHeight="1">
      <c r="A3045" s="8">
        <v>46012.004550115744</v>
      </c>
      <c r="B3045" s="9" t="s">
        <v>14</v>
      </c>
      <c r="C3045" s="9" t="s">
        <v>15</v>
      </c>
      <c r="D3045" s="10" t="s">
        <v>6719</v>
      </c>
      <c r="E3045" s="9" t="s">
        <v>22</v>
      </c>
      <c r="F3045" s="10">
        <v>23</v>
      </c>
      <c r="G3045" s="11">
        <v>7047659368</v>
      </c>
      <c r="H3045" s="10" t="s">
        <v>6720</v>
      </c>
      <c r="I3045" s="10" t="s">
        <v>45</v>
      </c>
      <c r="J3045" s="10" t="s">
        <v>6721</v>
      </c>
      <c r="K3045" s="12">
        <v>46012</v>
      </c>
      <c r="L3045" s="28" t="s">
        <v>11</v>
      </c>
      <c r="M3045" s="14"/>
      <c r="N3045" s="10" t="s">
        <v>1028</v>
      </c>
    </row>
    <row r="3046" spans="1:14" ht="22.5" hidden="1" customHeight="1">
      <c r="A3046" s="8">
        <v>46012.049641550926</v>
      </c>
      <c r="B3046" s="9" t="s">
        <v>14</v>
      </c>
      <c r="C3046" s="9" t="s">
        <v>15</v>
      </c>
      <c r="D3046" s="10" t="s">
        <v>6722</v>
      </c>
      <c r="E3046" s="9" t="s">
        <v>17</v>
      </c>
      <c r="F3046" s="10">
        <v>26</v>
      </c>
      <c r="G3046" s="11">
        <v>7032569635</v>
      </c>
      <c r="H3046" s="10" t="s">
        <v>6723</v>
      </c>
      <c r="I3046" s="10" t="s">
        <v>27</v>
      </c>
      <c r="J3046" s="10" t="s">
        <v>172</v>
      </c>
      <c r="K3046" s="12">
        <v>46012</v>
      </c>
      <c r="L3046" s="10" t="s">
        <v>441</v>
      </c>
      <c r="M3046" s="14"/>
      <c r="N3046" s="10" t="s">
        <v>1028</v>
      </c>
    </row>
    <row r="3047" spans="1:14" ht="22.5" customHeight="1">
      <c r="A3047" s="8">
        <v>46012.185723530092</v>
      </c>
      <c r="B3047" s="9" t="s">
        <v>14</v>
      </c>
      <c r="C3047" s="9" t="s">
        <v>15</v>
      </c>
      <c r="D3047" s="10" t="s">
        <v>6724</v>
      </c>
      <c r="E3047" s="9" t="s">
        <v>17</v>
      </c>
      <c r="F3047" s="10">
        <v>36</v>
      </c>
      <c r="G3047" s="11">
        <v>8032602831</v>
      </c>
      <c r="H3047" s="10" t="s">
        <v>6725</v>
      </c>
      <c r="I3047" s="10" t="s">
        <v>145</v>
      </c>
      <c r="J3047" s="10" t="s">
        <v>6726</v>
      </c>
      <c r="K3047" s="12">
        <v>46012</v>
      </c>
      <c r="L3047" s="28" t="s">
        <v>11</v>
      </c>
      <c r="M3047" s="14"/>
      <c r="N3047" s="10" t="s">
        <v>1028</v>
      </c>
    </row>
    <row r="3048" spans="1:14" ht="22.5" customHeight="1">
      <c r="A3048" s="8">
        <v>46012.243010787039</v>
      </c>
      <c r="B3048" s="9" t="s">
        <v>14</v>
      </c>
      <c r="C3048" s="9" t="s">
        <v>15</v>
      </c>
      <c r="D3048" s="10" t="s">
        <v>6727</v>
      </c>
      <c r="E3048" s="9" t="s">
        <v>22</v>
      </c>
      <c r="F3048" s="10">
        <v>23</v>
      </c>
      <c r="G3048" s="11">
        <v>9025517530</v>
      </c>
      <c r="H3048" s="10" t="s">
        <v>6728</v>
      </c>
      <c r="I3048" s="10" t="s">
        <v>45</v>
      </c>
      <c r="J3048" s="10" t="s">
        <v>46</v>
      </c>
      <c r="K3048" s="12">
        <v>46012</v>
      </c>
      <c r="L3048" s="28" t="s">
        <v>11</v>
      </c>
      <c r="M3048" s="10"/>
      <c r="N3048" s="10" t="s">
        <v>3750</v>
      </c>
    </row>
    <row r="3049" spans="1:14" ht="22.5" customHeight="1">
      <c r="A3049" s="8">
        <v>46012.262723425927</v>
      </c>
      <c r="B3049" s="9" t="s">
        <v>14</v>
      </c>
      <c r="C3049" s="9" t="s">
        <v>15</v>
      </c>
      <c r="D3049" s="10" t="s">
        <v>941</v>
      </c>
      <c r="E3049" s="9" t="s">
        <v>17</v>
      </c>
      <c r="F3049" s="10">
        <v>33</v>
      </c>
      <c r="G3049" s="11">
        <v>9134903543</v>
      </c>
      <c r="H3049" s="10" t="s">
        <v>6729</v>
      </c>
      <c r="I3049" s="10" t="s">
        <v>27</v>
      </c>
      <c r="J3049" s="10" t="s">
        <v>27</v>
      </c>
      <c r="K3049" s="12">
        <v>46012</v>
      </c>
      <c r="L3049" s="28" t="s">
        <v>11</v>
      </c>
      <c r="M3049" s="14"/>
      <c r="N3049" s="10" t="s">
        <v>1028</v>
      </c>
    </row>
    <row r="3050" spans="1:14" ht="22.5" customHeight="1">
      <c r="A3050" s="8">
        <v>46012.267704571757</v>
      </c>
      <c r="B3050" s="9" t="s">
        <v>14</v>
      </c>
      <c r="C3050" s="9" t="s">
        <v>15</v>
      </c>
      <c r="D3050" s="10" t="s">
        <v>6730</v>
      </c>
      <c r="E3050" s="9" t="s">
        <v>22</v>
      </c>
      <c r="F3050" s="10">
        <v>22</v>
      </c>
      <c r="G3050" s="11">
        <v>8086757847</v>
      </c>
      <c r="H3050" s="10" t="s">
        <v>6731</v>
      </c>
      <c r="I3050" s="10" t="s">
        <v>27</v>
      </c>
      <c r="J3050" s="10" t="s">
        <v>94</v>
      </c>
      <c r="K3050" s="12">
        <v>46012</v>
      </c>
      <c r="L3050" s="28" t="s">
        <v>11</v>
      </c>
      <c r="M3050" s="14"/>
      <c r="N3050" s="10" t="s">
        <v>1028</v>
      </c>
    </row>
    <row r="3051" spans="1:14" ht="22.5" customHeight="1">
      <c r="A3051" s="8">
        <v>46012.274672893516</v>
      </c>
      <c r="B3051" s="9" t="s">
        <v>14</v>
      </c>
      <c r="C3051" s="9" t="s">
        <v>15</v>
      </c>
      <c r="D3051" s="10" t="s">
        <v>1171</v>
      </c>
      <c r="E3051" s="9" t="s">
        <v>17</v>
      </c>
      <c r="F3051" s="10">
        <v>25</v>
      </c>
      <c r="G3051" s="11">
        <v>9065789098</v>
      </c>
      <c r="H3051" s="10" t="s">
        <v>1172</v>
      </c>
      <c r="I3051" s="10" t="s">
        <v>45</v>
      </c>
      <c r="J3051" s="10" t="s">
        <v>1173</v>
      </c>
      <c r="K3051" s="12">
        <v>36604</v>
      </c>
      <c r="L3051" s="28" t="s">
        <v>11</v>
      </c>
      <c r="M3051" s="14"/>
      <c r="N3051" s="10" t="s">
        <v>1028</v>
      </c>
    </row>
    <row r="3052" spans="1:14" ht="22.5" customHeight="1">
      <c r="A3052" s="8">
        <v>46012.274674004628</v>
      </c>
      <c r="B3052" s="9" t="s">
        <v>14</v>
      </c>
      <c r="C3052" s="9" t="s">
        <v>15</v>
      </c>
      <c r="D3052" s="10" t="s">
        <v>6732</v>
      </c>
      <c r="E3052" s="9" t="s">
        <v>17</v>
      </c>
      <c r="F3052" s="10">
        <v>37</v>
      </c>
      <c r="G3052" s="11">
        <v>8146126191</v>
      </c>
      <c r="H3052" s="10" t="s">
        <v>6733</v>
      </c>
      <c r="I3052" s="10" t="s">
        <v>202</v>
      </c>
      <c r="J3052" s="10" t="s">
        <v>2059</v>
      </c>
      <c r="K3052" s="12">
        <v>46012</v>
      </c>
      <c r="L3052" s="28" t="s">
        <v>11</v>
      </c>
      <c r="M3052" s="14"/>
      <c r="N3052" s="10" t="s">
        <v>1028</v>
      </c>
    </row>
    <row r="3053" spans="1:14" ht="22.5" customHeight="1">
      <c r="A3053" s="8">
        <v>46012.287557557866</v>
      </c>
      <c r="B3053" s="9" t="s">
        <v>14</v>
      </c>
      <c r="C3053" s="9" t="s">
        <v>15</v>
      </c>
      <c r="D3053" s="10" t="s">
        <v>6734</v>
      </c>
      <c r="E3053" s="9" t="s">
        <v>17</v>
      </c>
      <c r="F3053" s="10">
        <v>30</v>
      </c>
      <c r="G3053" s="11">
        <v>8107013338</v>
      </c>
      <c r="H3053" s="10" t="s">
        <v>6735</v>
      </c>
      <c r="I3053" s="10" t="s">
        <v>45</v>
      </c>
      <c r="J3053" s="10" t="s">
        <v>901</v>
      </c>
      <c r="K3053" s="12">
        <v>46012</v>
      </c>
      <c r="L3053" s="28" t="s">
        <v>11</v>
      </c>
      <c r="M3053" s="14"/>
      <c r="N3053" s="10" t="s">
        <v>1096</v>
      </c>
    </row>
    <row r="3054" spans="1:14" ht="22.5" customHeight="1">
      <c r="A3054" s="8">
        <v>46012.288527638884</v>
      </c>
      <c r="B3054" s="9" t="s">
        <v>14</v>
      </c>
      <c r="C3054" s="9" t="s">
        <v>15</v>
      </c>
      <c r="D3054" s="10" t="s">
        <v>6736</v>
      </c>
      <c r="E3054" s="9" t="s">
        <v>17</v>
      </c>
      <c r="F3054" s="18">
        <v>33</v>
      </c>
      <c r="G3054" s="11">
        <f>2348067057337</f>
        <v>2348067057337</v>
      </c>
      <c r="H3054" s="10" t="s">
        <v>6737</v>
      </c>
      <c r="I3054" s="10" t="s">
        <v>27</v>
      </c>
      <c r="J3054" s="10" t="s">
        <v>94</v>
      </c>
      <c r="K3054" s="12">
        <v>46012</v>
      </c>
      <c r="L3054" s="28" t="s">
        <v>11</v>
      </c>
      <c r="M3054" s="14"/>
      <c r="N3054" s="10" t="s">
        <v>1028</v>
      </c>
    </row>
    <row r="3055" spans="1:14" ht="22.5" customHeight="1">
      <c r="A3055" s="8">
        <v>46012.301640289355</v>
      </c>
      <c r="B3055" s="9" t="s">
        <v>14</v>
      </c>
      <c r="C3055" s="9" t="s">
        <v>15</v>
      </c>
      <c r="D3055" s="10" t="s">
        <v>6738</v>
      </c>
      <c r="E3055" s="9" t="s">
        <v>17</v>
      </c>
      <c r="F3055" s="10">
        <v>35</v>
      </c>
      <c r="G3055" s="11">
        <f t="shared" ref="G3055" si="78">2348162723798</f>
        <v>2348162723798</v>
      </c>
      <c r="H3055" s="10" t="s">
        <v>6739</v>
      </c>
      <c r="I3055" s="10" t="s">
        <v>45</v>
      </c>
      <c r="J3055" s="10" t="s">
        <v>84</v>
      </c>
      <c r="K3055" s="12">
        <v>46012</v>
      </c>
      <c r="L3055" s="28" t="s">
        <v>11</v>
      </c>
      <c r="M3055" s="14"/>
      <c r="N3055" s="10" t="s">
        <v>1096</v>
      </c>
    </row>
    <row r="3056" spans="1:14" ht="22.5" customHeight="1">
      <c r="A3056" s="8">
        <v>46012.302937673609</v>
      </c>
      <c r="B3056" s="9" t="s">
        <v>14</v>
      </c>
      <c r="C3056" s="9" t="s">
        <v>15</v>
      </c>
      <c r="D3056" s="10" t="s">
        <v>6740</v>
      </c>
      <c r="E3056" s="9" t="s">
        <v>17</v>
      </c>
      <c r="F3056" s="10">
        <v>29</v>
      </c>
      <c r="G3056" s="11">
        <v>7067912880</v>
      </c>
      <c r="H3056" s="10" t="s">
        <v>6741</v>
      </c>
      <c r="I3056" s="10" t="s">
        <v>202</v>
      </c>
      <c r="J3056" s="10" t="s">
        <v>5573</v>
      </c>
      <c r="K3056" s="12">
        <v>46012</v>
      </c>
      <c r="L3056" s="28" t="s">
        <v>11</v>
      </c>
      <c r="M3056" s="14"/>
      <c r="N3056" s="10" t="s">
        <v>1028</v>
      </c>
    </row>
    <row r="3057" spans="1:14" ht="22.5" customHeight="1">
      <c r="A3057" s="8">
        <v>46012.306108599536</v>
      </c>
      <c r="B3057" s="9" t="s">
        <v>14</v>
      </c>
      <c r="C3057" s="9" t="s">
        <v>15</v>
      </c>
      <c r="D3057" s="10" t="s">
        <v>6742</v>
      </c>
      <c r="E3057" s="9" t="s">
        <v>22</v>
      </c>
      <c r="F3057" s="10">
        <v>26</v>
      </c>
      <c r="G3057" s="11">
        <v>8135175491</v>
      </c>
      <c r="H3057" s="10" t="s">
        <v>6743</v>
      </c>
      <c r="I3057" s="10" t="s">
        <v>27</v>
      </c>
      <c r="J3057" s="10" t="s">
        <v>28</v>
      </c>
      <c r="K3057" s="12">
        <v>46012</v>
      </c>
      <c r="L3057" s="28" t="s">
        <v>11</v>
      </c>
      <c r="M3057" s="14"/>
      <c r="N3057" s="10" t="s">
        <v>1028</v>
      </c>
    </row>
    <row r="3058" spans="1:14" ht="22.5" customHeight="1">
      <c r="A3058" s="8">
        <v>46012.334802164347</v>
      </c>
      <c r="B3058" s="9" t="s">
        <v>14</v>
      </c>
      <c r="C3058" s="9" t="s">
        <v>15</v>
      </c>
      <c r="D3058" s="10" t="s">
        <v>6744</v>
      </c>
      <c r="E3058" s="9" t="s">
        <v>17</v>
      </c>
      <c r="F3058" s="10">
        <v>23</v>
      </c>
      <c r="G3058" s="11">
        <v>8132791650</v>
      </c>
      <c r="H3058" s="10" t="s">
        <v>6745</v>
      </c>
      <c r="I3058" s="10" t="s">
        <v>49</v>
      </c>
      <c r="J3058" s="10" t="s">
        <v>73</v>
      </c>
      <c r="K3058" s="12">
        <v>46012</v>
      </c>
      <c r="L3058" s="28" t="s">
        <v>11</v>
      </c>
      <c r="M3058" s="14"/>
      <c r="N3058" s="10" t="s">
        <v>1028</v>
      </c>
    </row>
    <row r="3059" spans="1:14" ht="22.5" customHeight="1">
      <c r="A3059" s="8">
        <v>46012.339964120372</v>
      </c>
      <c r="B3059" s="9" t="s">
        <v>14</v>
      </c>
      <c r="C3059" s="9" t="s">
        <v>15</v>
      </c>
      <c r="D3059" s="10" t="s">
        <v>6746</v>
      </c>
      <c r="E3059" s="9" t="s">
        <v>17</v>
      </c>
      <c r="F3059" s="10">
        <v>35</v>
      </c>
      <c r="G3059" s="11">
        <v>8039240508</v>
      </c>
      <c r="H3059" s="10" t="s">
        <v>6747</v>
      </c>
      <c r="I3059" s="10" t="s">
        <v>27</v>
      </c>
      <c r="J3059" s="10" t="s">
        <v>6748</v>
      </c>
      <c r="K3059" s="12">
        <v>46012</v>
      </c>
      <c r="L3059" s="28" t="s">
        <v>11</v>
      </c>
      <c r="M3059" s="14"/>
      <c r="N3059" s="10" t="s">
        <v>1028</v>
      </c>
    </row>
    <row r="3060" spans="1:14" ht="22.5" customHeight="1">
      <c r="A3060" s="8">
        <v>46012.451785902776</v>
      </c>
      <c r="B3060" s="9" t="s">
        <v>14</v>
      </c>
      <c r="C3060" s="9" t="s">
        <v>15</v>
      </c>
      <c r="D3060" s="10" t="s">
        <v>6749</v>
      </c>
      <c r="E3060" s="9" t="s">
        <v>22</v>
      </c>
      <c r="F3060" s="10">
        <v>24</v>
      </c>
      <c r="G3060" s="11">
        <v>9157886860</v>
      </c>
      <c r="H3060" s="10" t="s">
        <v>6750</v>
      </c>
      <c r="I3060" s="10" t="s">
        <v>45</v>
      </c>
      <c r="J3060" s="10" t="s">
        <v>46</v>
      </c>
      <c r="K3060" s="12">
        <v>46012</v>
      </c>
      <c r="L3060" s="28" t="s">
        <v>11</v>
      </c>
      <c r="M3060" s="14"/>
      <c r="N3060" s="10" t="s">
        <v>1096</v>
      </c>
    </row>
    <row r="3061" spans="1:14" ht="22.5" customHeight="1">
      <c r="A3061" s="8">
        <v>46012.460564456022</v>
      </c>
      <c r="B3061" s="9" t="s">
        <v>14</v>
      </c>
      <c r="C3061" s="9" t="s">
        <v>15</v>
      </c>
      <c r="D3061" s="10" t="s">
        <v>6751</v>
      </c>
      <c r="E3061" s="9" t="s">
        <v>22</v>
      </c>
      <c r="F3061" s="10">
        <v>21</v>
      </c>
      <c r="G3061" s="11">
        <v>9065558729</v>
      </c>
      <c r="H3061" s="10" t="s">
        <v>6752</v>
      </c>
      <c r="I3061" s="10" t="s">
        <v>45</v>
      </c>
      <c r="J3061" s="10" t="s">
        <v>6753</v>
      </c>
      <c r="K3061" s="12">
        <v>46012</v>
      </c>
      <c r="L3061" s="28" t="s">
        <v>11</v>
      </c>
      <c r="M3061" s="14"/>
      <c r="N3061" s="10" t="s">
        <v>1096</v>
      </c>
    </row>
    <row r="3062" spans="1:14" ht="22.5" customHeight="1">
      <c r="A3062" s="8">
        <v>46012.461788067129</v>
      </c>
      <c r="B3062" s="9" t="s">
        <v>14</v>
      </c>
      <c r="C3062" s="9" t="s">
        <v>15</v>
      </c>
      <c r="D3062" s="10" t="s">
        <v>6754</v>
      </c>
      <c r="E3062" s="9" t="s">
        <v>17</v>
      </c>
      <c r="F3062" s="10">
        <v>33</v>
      </c>
      <c r="G3062" s="11">
        <f>237671198545</f>
        <v>237671198545</v>
      </c>
      <c r="H3062" s="10" t="s">
        <v>6755</v>
      </c>
      <c r="I3062" s="10" t="s">
        <v>145</v>
      </c>
      <c r="J3062" s="10" t="s">
        <v>145</v>
      </c>
      <c r="K3062" s="12">
        <v>46012</v>
      </c>
      <c r="L3062" s="28" t="s">
        <v>11</v>
      </c>
      <c r="M3062" s="14"/>
      <c r="N3062" s="10" t="s">
        <v>1563</v>
      </c>
    </row>
    <row r="3063" spans="1:14" ht="22.5" customHeight="1">
      <c r="A3063" s="8">
        <v>46012.462072523151</v>
      </c>
      <c r="B3063" s="9" t="s">
        <v>14</v>
      </c>
      <c r="C3063" s="9" t="s">
        <v>15</v>
      </c>
      <c r="D3063" s="10" t="s">
        <v>6756</v>
      </c>
      <c r="E3063" s="9" t="s">
        <v>17</v>
      </c>
      <c r="F3063" s="10">
        <v>27</v>
      </c>
      <c r="G3063" s="11">
        <v>9032125959</v>
      </c>
      <c r="H3063" s="10" t="s">
        <v>6757</v>
      </c>
      <c r="I3063" s="10" t="s">
        <v>45</v>
      </c>
      <c r="J3063" s="10" t="s">
        <v>901</v>
      </c>
      <c r="K3063" s="12">
        <v>46012</v>
      </c>
      <c r="L3063" s="28" t="s">
        <v>11</v>
      </c>
      <c r="M3063" s="14"/>
      <c r="N3063" s="10" t="s">
        <v>1028</v>
      </c>
    </row>
    <row r="3064" spans="1:14" ht="22.5" customHeight="1">
      <c r="A3064" s="8">
        <v>46012.465280844903</v>
      </c>
      <c r="B3064" s="9" t="s">
        <v>14</v>
      </c>
      <c r="C3064" s="9" t="s">
        <v>15</v>
      </c>
      <c r="D3064" s="10" t="s">
        <v>6758</v>
      </c>
      <c r="E3064" s="9" t="s">
        <v>22</v>
      </c>
      <c r="F3064" s="10">
        <v>23</v>
      </c>
      <c r="G3064" s="11">
        <v>7043981757</v>
      </c>
      <c r="H3064" s="10" t="s">
        <v>6759</v>
      </c>
      <c r="I3064" s="10" t="s">
        <v>45</v>
      </c>
      <c r="J3064" s="10" t="s">
        <v>1769</v>
      </c>
      <c r="K3064" s="12">
        <v>46012</v>
      </c>
      <c r="L3064" s="28" t="s">
        <v>11</v>
      </c>
      <c r="M3064" s="10"/>
      <c r="N3064" s="10" t="s">
        <v>6760</v>
      </c>
    </row>
    <row r="3065" spans="1:14" ht="22.5" customHeight="1">
      <c r="A3065" s="8">
        <v>46012.473084780097</v>
      </c>
      <c r="B3065" s="9" t="s">
        <v>14</v>
      </c>
      <c r="C3065" s="9" t="s">
        <v>15</v>
      </c>
      <c r="D3065" s="10" t="s">
        <v>6761</v>
      </c>
      <c r="E3065" s="9" t="s">
        <v>22</v>
      </c>
      <c r="F3065" s="10">
        <v>22</v>
      </c>
      <c r="G3065" s="11">
        <v>9133866233</v>
      </c>
      <c r="H3065" s="10" t="s">
        <v>6762</v>
      </c>
      <c r="I3065" s="10" t="s">
        <v>27</v>
      </c>
      <c r="J3065" s="10" t="s">
        <v>6763</v>
      </c>
      <c r="K3065" s="12">
        <v>46012</v>
      </c>
      <c r="L3065" s="28" t="s">
        <v>11</v>
      </c>
      <c r="M3065" s="14"/>
      <c r="N3065" s="10" t="s">
        <v>1028</v>
      </c>
    </row>
    <row r="3066" spans="1:14" ht="22.5" customHeight="1">
      <c r="A3066" s="8">
        <v>46012.474047280091</v>
      </c>
      <c r="B3066" s="9" t="s">
        <v>14</v>
      </c>
      <c r="C3066" s="9" t="s">
        <v>15</v>
      </c>
      <c r="D3066" s="10" t="s">
        <v>6764</v>
      </c>
      <c r="E3066" s="9" t="s">
        <v>22</v>
      </c>
      <c r="F3066" s="10">
        <v>19</v>
      </c>
      <c r="G3066" s="11">
        <v>8169941347</v>
      </c>
      <c r="H3066" s="10" t="s">
        <v>6765</v>
      </c>
      <c r="I3066" s="10" t="s">
        <v>45</v>
      </c>
      <c r="J3066" s="10" t="s">
        <v>6766</v>
      </c>
      <c r="K3066" s="12">
        <v>46012</v>
      </c>
      <c r="L3066" s="28" t="s">
        <v>11</v>
      </c>
      <c r="M3066" s="14"/>
      <c r="N3066" s="10" t="s">
        <v>1028</v>
      </c>
    </row>
    <row r="3067" spans="1:14" ht="22.5" customHeight="1">
      <c r="A3067" s="8">
        <v>46012.485696631949</v>
      </c>
      <c r="B3067" s="9" t="s">
        <v>14</v>
      </c>
      <c r="C3067" s="9" t="s">
        <v>15</v>
      </c>
      <c r="D3067" s="10" t="s">
        <v>6767</v>
      </c>
      <c r="E3067" s="9" t="s">
        <v>22</v>
      </c>
      <c r="F3067" s="10">
        <v>26</v>
      </c>
      <c r="G3067" s="11">
        <v>7042243209</v>
      </c>
      <c r="H3067" s="10" t="s">
        <v>6768</v>
      </c>
      <c r="I3067" s="10" t="s">
        <v>45</v>
      </c>
      <c r="J3067" s="10" t="s">
        <v>6769</v>
      </c>
      <c r="K3067" s="12">
        <v>46012</v>
      </c>
      <c r="L3067" s="28" t="s">
        <v>11</v>
      </c>
      <c r="M3067" s="14"/>
      <c r="N3067" s="10" t="s">
        <v>1028</v>
      </c>
    </row>
    <row r="3068" spans="1:14" ht="22.5" customHeight="1">
      <c r="A3068" s="8">
        <v>46012.486350150459</v>
      </c>
      <c r="B3068" s="9" t="s">
        <v>14</v>
      </c>
      <c r="C3068" s="9" t="s">
        <v>15</v>
      </c>
      <c r="D3068" s="10" t="s">
        <v>6770</v>
      </c>
      <c r="E3068" s="9" t="s">
        <v>17</v>
      </c>
      <c r="F3068" s="10">
        <v>34</v>
      </c>
      <c r="G3068" s="11">
        <v>8031807421</v>
      </c>
      <c r="H3068" s="10" t="s">
        <v>6771</v>
      </c>
      <c r="I3068" s="10" t="s">
        <v>145</v>
      </c>
      <c r="J3068" s="10" t="s">
        <v>5002</v>
      </c>
      <c r="K3068" s="12">
        <v>46012</v>
      </c>
      <c r="L3068" s="28" t="s">
        <v>11</v>
      </c>
      <c r="M3068" s="14"/>
      <c r="N3068" s="10" t="s">
        <v>1028</v>
      </c>
    </row>
    <row r="3069" spans="1:14" ht="22.5" customHeight="1">
      <c r="A3069" s="8">
        <v>46012.486638796297</v>
      </c>
      <c r="B3069" s="9" t="s">
        <v>14</v>
      </c>
      <c r="C3069" s="9" t="s">
        <v>15</v>
      </c>
      <c r="D3069" s="10" t="s">
        <v>6772</v>
      </c>
      <c r="E3069" s="9" t="s">
        <v>22</v>
      </c>
      <c r="F3069" s="10">
        <v>34</v>
      </c>
      <c r="G3069" s="11">
        <v>7069644067</v>
      </c>
      <c r="H3069" s="10" t="s">
        <v>6773</v>
      </c>
      <c r="I3069" s="10" t="s">
        <v>202</v>
      </c>
      <c r="J3069" s="10" t="s">
        <v>3437</v>
      </c>
      <c r="K3069" s="12">
        <v>46012</v>
      </c>
      <c r="L3069" s="28" t="s">
        <v>11</v>
      </c>
      <c r="M3069" s="14"/>
      <c r="N3069" s="10" t="s">
        <v>1028</v>
      </c>
    </row>
    <row r="3070" spans="1:14" ht="22.5" customHeight="1">
      <c r="A3070" s="8">
        <v>46012.50118634259</v>
      </c>
      <c r="B3070" s="9" t="s">
        <v>14</v>
      </c>
      <c r="C3070" s="9" t="s">
        <v>15</v>
      </c>
      <c r="D3070" s="10" t="s">
        <v>6774</v>
      </c>
      <c r="E3070" s="9" t="s">
        <v>17</v>
      </c>
      <c r="F3070" s="10">
        <v>33</v>
      </c>
      <c r="G3070" s="11">
        <v>9135913997</v>
      </c>
      <c r="H3070" s="10" t="s">
        <v>6775</v>
      </c>
      <c r="I3070" s="10" t="s">
        <v>45</v>
      </c>
      <c r="J3070" s="10" t="s">
        <v>6776</v>
      </c>
      <c r="K3070" s="12">
        <v>46012</v>
      </c>
      <c r="L3070" s="28" t="s">
        <v>11</v>
      </c>
      <c r="M3070" s="14"/>
      <c r="N3070" s="10" t="s">
        <v>1028</v>
      </c>
    </row>
    <row r="3071" spans="1:14" ht="22.5" customHeight="1">
      <c r="A3071" s="8">
        <v>46012.501559131946</v>
      </c>
      <c r="B3071" s="9" t="s">
        <v>14</v>
      </c>
      <c r="C3071" s="9" t="s">
        <v>15</v>
      </c>
      <c r="D3071" s="10" t="s">
        <v>2093</v>
      </c>
      <c r="E3071" s="9" t="s">
        <v>17</v>
      </c>
      <c r="F3071" s="10">
        <v>28</v>
      </c>
      <c r="G3071" s="11">
        <v>9078060364</v>
      </c>
      <c r="H3071" s="10" t="s">
        <v>6777</v>
      </c>
      <c r="I3071" s="10" t="s">
        <v>45</v>
      </c>
      <c r="J3071" s="10" t="s">
        <v>932</v>
      </c>
      <c r="K3071" s="12">
        <v>46012</v>
      </c>
      <c r="L3071" s="28" t="s">
        <v>11</v>
      </c>
      <c r="M3071" s="14"/>
      <c r="N3071" s="10" t="s">
        <v>1028</v>
      </c>
    </row>
    <row r="3072" spans="1:14" ht="22.5" customHeight="1">
      <c r="A3072" s="8">
        <v>46012.503977824075</v>
      </c>
      <c r="B3072" s="9" t="s">
        <v>14</v>
      </c>
      <c r="C3072" s="9" t="s">
        <v>15</v>
      </c>
      <c r="D3072" s="10" t="s">
        <v>4034</v>
      </c>
      <c r="E3072" s="9" t="s">
        <v>22</v>
      </c>
      <c r="F3072" s="10">
        <v>22</v>
      </c>
      <c r="G3072" s="11">
        <v>8113140226</v>
      </c>
      <c r="H3072" s="10" t="s">
        <v>4035</v>
      </c>
      <c r="I3072" s="10" t="s">
        <v>49</v>
      </c>
      <c r="J3072" s="10" t="s">
        <v>762</v>
      </c>
      <c r="K3072" s="12">
        <v>46012</v>
      </c>
      <c r="L3072" s="28" t="s">
        <v>11</v>
      </c>
      <c r="M3072" s="14"/>
      <c r="N3072" s="10" t="s">
        <v>1028</v>
      </c>
    </row>
    <row r="3073" spans="1:14" ht="22.5" customHeight="1">
      <c r="A3073" s="8">
        <v>46012.527197743053</v>
      </c>
      <c r="B3073" s="9" t="s">
        <v>14</v>
      </c>
      <c r="C3073" s="9" t="s">
        <v>15</v>
      </c>
      <c r="D3073" s="10" t="s">
        <v>6778</v>
      </c>
      <c r="E3073" s="9" t="s">
        <v>22</v>
      </c>
      <c r="F3073" s="10">
        <v>22</v>
      </c>
      <c r="G3073" s="11">
        <v>8066615211</v>
      </c>
      <c r="H3073" s="10" t="s">
        <v>1139</v>
      </c>
      <c r="I3073" s="10" t="s">
        <v>45</v>
      </c>
      <c r="J3073" s="10" t="s">
        <v>932</v>
      </c>
      <c r="K3073" s="12">
        <v>46012</v>
      </c>
      <c r="L3073" s="28" t="s">
        <v>11</v>
      </c>
      <c r="M3073" s="14"/>
      <c r="N3073" s="10" t="s">
        <v>1028</v>
      </c>
    </row>
    <row r="3074" spans="1:14" ht="22.5" customHeight="1">
      <c r="A3074" s="8">
        <v>46012.569013842593</v>
      </c>
      <c r="B3074" s="9" t="s">
        <v>14</v>
      </c>
      <c r="C3074" s="9" t="s">
        <v>15</v>
      </c>
      <c r="D3074" s="10" t="s">
        <v>6779</v>
      </c>
      <c r="E3074" s="9" t="s">
        <v>22</v>
      </c>
      <c r="F3074" s="10">
        <v>25</v>
      </c>
      <c r="G3074" s="11">
        <v>8130892256</v>
      </c>
      <c r="H3074" s="10" t="s">
        <v>6780</v>
      </c>
      <c r="I3074" s="10" t="s">
        <v>202</v>
      </c>
      <c r="J3074" s="10" t="s">
        <v>6173</v>
      </c>
      <c r="K3074" s="12">
        <v>46012</v>
      </c>
      <c r="L3074" s="28" t="s">
        <v>11</v>
      </c>
      <c r="M3074" s="14"/>
      <c r="N3074" s="10" t="s">
        <v>1028</v>
      </c>
    </row>
    <row r="3075" spans="1:14" ht="22.5" customHeight="1">
      <c r="A3075" s="8">
        <v>46012.592299143522</v>
      </c>
      <c r="B3075" s="9" t="s">
        <v>14</v>
      </c>
      <c r="C3075" s="9" t="s">
        <v>15</v>
      </c>
      <c r="D3075" s="10" t="s">
        <v>6781</v>
      </c>
      <c r="E3075" s="9" t="s">
        <v>17</v>
      </c>
      <c r="F3075" s="10">
        <v>38</v>
      </c>
      <c r="G3075" s="11">
        <v>7067321414</v>
      </c>
      <c r="H3075" s="10" t="s">
        <v>6782</v>
      </c>
      <c r="I3075" s="10" t="s">
        <v>202</v>
      </c>
      <c r="J3075" s="10" t="s">
        <v>3396</v>
      </c>
      <c r="K3075" s="12">
        <v>46012</v>
      </c>
      <c r="L3075" s="28" t="s">
        <v>11</v>
      </c>
      <c r="M3075" s="14"/>
      <c r="N3075" s="10" t="s">
        <v>1028</v>
      </c>
    </row>
    <row r="3076" spans="1:14" ht="22.5" customHeight="1">
      <c r="A3076" s="8">
        <v>46012.594899907403</v>
      </c>
      <c r="B3076" s="9" t="s">
        <v>14</v>
      </c>
      <c r="C3076" s="9" t="s">
        <v>15</v>
      </c>
      <c r="D3076" s="10" t="s">
        <v>6783</v>
      </c>
      <c r="E3076" s="9" t="s">
        <v>17</v>
      </c>
      <c r="F3076" s="10">
        <v>23</v>
      </c>
      <c r="G3076" s="11">
        <v>8109873136</v>
      </c>
      <c r="H3076" s="10" t="s">
        <v>6784</v>
      </c>
      <c r="I3076" s="10" t="s">
        <v>45</v>
      </c>
      <c r="J3076" s="10" t="s">
        <v>46</v>
      </c>
      <c r="K3076" s="12">
        <v>46012</v>
      </c>
      <c r="L3076" s="28" t="s">
        <v>11</v>
      </c>
      <c r="M3076" s="14"/>
      <c r="N3076" s="10" t="s">
        <v>1096</v>
      </c>
    </row>
    <row r="3077" spans="1:14" ht="22.5" customHeight="1">
      <c r="A3077" s="8">
        <v>46012.616826273152</v>
      </c>
      <c r="B3077" s="9" t="s">
        <v>14</v>
      </c>
      <c r="C3077" s="9" t="s">
        <v>15</v>
      </c>
      <c r="D3077" s="10" t="s">
        <v>6785</v>
      </c>
      <c r="E3077" s="9" t="s">
        <v>22</v>
      </c>
      <c r="F3077" s="10">
        <v>38</v>
      </c>
      <c r="G3077" s="11">
        <v>8030851971</v>
      </c>
      <c r="H3077" s="10" t="s">
        <v>6786</v>
      </c>
      <c r="I3077" s="10" t="s">
        <v>27</v>
      </c>
      <c r="J3077" s="10" t="s">
        <v>94</v>
      </c>
      <c r="K3077" s="12">
        <v>46012</v>
      </c>
      <c r="L3077" s="28" t="s">
        <v>11</v>
      </c>
      <c r="M3077" s="10"/>
      <c r="N3077" s="10" t="s">
        <v>1028</v>
      </c>
    </row>
    <row r="3078" spans="1:14" ht="22.5" customHeight="1">
      <c r="A3078" s="8">
        <v>46012.616908865741</v>
      </c>
      <c r="B3078" s="9" t="s">
        <v>14</v>
      </c>
      <c r="C3078" s="9" t="s">
        <v>15</v>
      </c>
      <c r="D3078" s="10" t="s">
        <v>6787</v>
      </c>
      <c r="E3078" s="9" t="s">
        <v>22</v>
      </c>
      <c r="F3078" s="10">
        <v>28</v>
      </c>
      <c r="G3078" s="11">
        <v>8140952718</v>
      </c>
      <c r="H3078" s="10" t="s">
        <v>6788</v>
      </c>
      <c r="I3078" s="10" t="s">
        <v>19</v>
      </c>
      <c r="J3078" s="10" t="s">
        <v>2311</v>
      </c>
      <c r="K3078" s="12">
        <v>46012</v>
      </c>
      <c r="L3078" s="28" t="s">
        <v>11</v>
      </c>
      <c r="M3078" s="14"/>
      <c r="N3078" s="10" t="s">
        <v>1028</v>
      </c>
    </row>
    <row r="3079" spans="1:14" ht="22.5" customHeight="1">
      <c r="A3079" s="8">
        <v>46012.620465717591</v>
      </c>
      <c r="B3079" s="9" t="s">
        <v>14</v>
      </c>
      <c r="C3079" s="9" t="s">
        <v>15</v>
      </c>
      <c r="D3079" s="10" t="s">
        <v>6789</v>
      </c>
      <c r="E3079" s="9" t="s">
        <v>17</v>
      </c>
      <c r="F3079" s="10">
        <v>35</v>
      </c>
      <c r="G3079" s="11">
        <v>8028741342</v>
      </c>
      <c r="H3079" s="10" t="s">
        <v>6790</v>
      </c>
      <c r="I3079" s="10" t="s">
        <v>27</v>
      </c>
      <c r="J3079" s="10" t="s">
        <v>27</v>
      </c>
      <c r="K3079" s="12">
        <v>46012</v>
      </c>
      <c r="L3079" s="28" t="s">
        <v>11</v>
      </c>
      <c r="M3079" s="14"/>
      <c r="N3079" s="10" t="s">
        <v>1028</v>
      </c>
    </row>
    <row r="3080" spans="1:14" ht="22.5" customHeight="1">
      <c r="A3080" s="8">
        <v>46012.621702233795</v>
      </c>
      <c r="B3080" s="9" t="s">
        <v>14</v>
      </c>
      <c r="C3080" s="9" t="s">
        <v>15</v>
      </c>
      <c r="D3080" s="10" t="s">
        <v>6791</v>
      </c>
      <c r="E3080" s="9" t="s">
        <v>17</v>
      </c>
      <c r="F3080" s="10">
        <v>21</v>
      </c>
      <c r="G3080" s="11">
        <v>8149118728</v>
      </c>
      <c r="H3080" s="10" t="s">
        <v>6792</v>
      </c>
      <c r="I3080" s="10" t="s">
        <v>45</v>
      </c>
      <c r="J3080" s="10" t="s">
        <v>46</v>
      </c>
      <c r="K3080" s="12">
        <v>46012</v>
      </c>
      <c r="L3080" s="28" t="s">
        <v>11</v>
      </c>
      <c r="M3080" s="14"/>
      <c r="N3080" s="10" t="s">
        <v>1028</v>
      </c>
    </row>
    <row r="3081" spans="1:14" ht="22.5" customHeight="1">
      <c r="A3081" s="8">
        <v>46012.62845827546</v>
      </c>
      <c r="B3081" s="9" t="s">
        <v>14</v>
      </c>
      <c r="C3081" s="9" t="s">
        <v>15</v>
      </c>
      <c r="D3081" s="10" t="s">
        <v>6793</v>
      </c>
      <c r="E3081" s="9" t="s">
        <v>17</v>
      </c>
      <c r="F3081" s="10">
        <v>27</v>
      </c>
      <c r="G3081" s="11">
        <v>7063875638</v>
      </c>
      <c r="H3081" s="10" t="s">
        <v>6794</v>
      </c>
      <c r="I3081" s="10" t="s">
        <v>45</v>
      </c>
      <c r="J3081" s="10" t="s">
        <v>6795</v>
      </c>
      <c r="K3081" s="12">
        <v>46012</v>
      </c>
      <c r="L3081" s="28" t="s">
        <v>11</v>
      </c>
      <c r="M3081" s="14"/>
      <c r="N3081" s="10" t="s">
        <v>1028</v>
      </c>
    </row>
    <row r="3082" spans="1:14" ht="22.5" customHeight="1">
      <c r="A3082" s="8">
        <v>46012.630777175931</v>
      </c>
      <c r="B3082" s="9" t="s">
        <v>14</v>
      </c>
      <c r="C3082" s="9" t="s">
        <v>15</v>
      </c>
      <c r="D3082" s="10" t="s">
        <v>6796</v>
      </c>
      <c r="E3082" s="9" t="s">
        <v>17</v>
      </c>
      <c r="F3082" s="10">
        <v>25</v>
      </c>
      <c r="G3082" s="11">
        <v>9044218036</v>
      </c>
      <c r="H3082" s="10" t="s">
        <v>6797</v>
      </c>
      <c r="I3082" s="10" t="s">
        <v>31</v>
      </c>
      <c r="J3082" s="10" t="s">
        <v>32</v>
      </c>
      <c r="K3082" s="12">
        <v>46012</v>
      </c>
      <c r="L3082" s="28" t="s">
        <v>11</v>
      </c>
      <c r="M3082" s="14"/>
      <c r="N3082" s="10" t="s">
        <v>1028</v>
      </c>
    </row>
    <row r="3083" spans="1:14" ht="22.5" customHeight="1">
      <c r="A3083" s="8">
        <v>46012.640302604166</v>
      </c>
      <c r="B3083" s="9" t="s">
        <v>14</v>
      </c>
      <c r="C3083" s="9" t="s">
        <v>15</v>
      </c>
      <c r="D3083" s="10" t="s">
        <v>6798</v>
      </c>
      <c r="E3083" s="9" t="s">
        <v>17</v>
      </c>
      <c r="F3083" s="10">
        <v>24</v>
      </c>
      <c r="G3083" s="11">
        <v>8147777655</v>
      </c>
      <c r="H3083" s="10" t="s">
        <v>6799</v>
      </c>
      <c r="I3083" s="10" t="s">
        <v>27</v>
      </c>
      <c r="J3083" s="10" t="s">
        <v>703</v>
      </c>
      <c r="K3083" s="12">
        <v>46012</v>
      </c>
      <c r="L3083" s="28" t="s">
        <v>11</v>
      </c>
      <c r="M3083" s="14"/>
      <c r="N3083" s="10" t="s">
        <v>1028</v>
      </c>
    </row>
    <row r="3084" spans="1:14" ht="22.5" customHeight="1">
      <c r="A3084" s="8">
        <v>46012.680187557868</v>
      </c>
      <c r="B3084" s="9" t="s">
        <v>14</v>
      </c>
      <c r="C3084" s="9" t="s">
        <v>15</v>
      </c>
      <c r="D3084" s="10" t="s">
        <v>6800</v>
      </c>
      <c r="E3084" s="9" t="s">
        <v>22</v>
      </c>
      <c r="F3084" s="10">
        <v>31</v>
      </c>
      <c r="G3084" s="11">
        <v>8033855250</v>
      </c>
      <c r="H3084" s="10" t="s">
        <v>6801</v>
      </c>
      <c r="I3084" s="10" t="s">
        <v>27</v>
      </c>
      <c r="J3084" s="10" t="s">
        <v>372</v>
      </c>
      <c r="K3084" s="12">
        <v>46012</v>
      </c>
      <c r="L3084" s="28" t="s">
        <v>11</v>
      </c>
      <c r="M3084" s="14"/>
      <c r="N3084" s="10" t="s">
        <v>1028</v>
      </c>
    </row>
    <row r="3085" spans="1:14" ht="22.5" customHeight="1">
      <c r="A3085" s="8">
        <v>46012.681697025459</v>
      </c>
      <c r="B3085" s="9" t="s">
        <v>14</v>
      </c>
      <c r="C3085" s="9" t="s">
        <v>15</v>
      </c>
      <c r="D3085" s="10" t="s">
        <v>6802</v>
      </c>
      <c r="E3085" s="9" t="s">
        <v>22</v>
      </c>
      <c r="F3085" s="10">
        <v>22</v>
      </c>
      <c r="G3085" s="11">
        <v>8109832057</v>
      </c>
      <c r="H3085" s="10" t="s">
        <v>6803</v>
      </c>
      <c r="I3085" s="10" t="s">
        <v>45</v>
      </c>
      <c r="J3085" s="10" t="s">
        <v>287</v>
      </c>
      <c r="K3085" s="12">
        <v>46012</v>
      </c>
      <c r="L3085" s="28" t="s">
        <v>11</v>
      </c>
      <c r="M3085" s="14"/>
      <c r="N3085" s="10" t="s">
        <v>1028</v>
      </c>
    </row>
    <row r="3086" spans="1:14" ht="22.5" customHeight="1">
      <c r="A3086" s="8">
        <v>46012.690924953698</v>
      </c>
      <c r="B3086" s="9" t="s">
        <v>14</v>
      </c>
      <c r="C3086" s="9" t="s">
        <v>15</v>
      </c>
      <c r="D3086" s="10" t="s">
        <v>6804</v>
      </c>
      <c r="E3086" s="9" t="s">
        <v>22</v>
      </c>
      <c r="F3086" s="10">
        <v>24</v>
      </c>
      <c r="G3086" s="11">
        <v>9038084416</v>
      </c>
      <c r="H3086" s="10" t="s">
        <v>6805</v>
      </c>
      <c r="I3086" s="10" t="s">
        <v>19</v>
      </c>
      <c r="J3086" s="10" t="s">
        <v>6806</v>
      </c>
      <c r="K3086" s="12">
        <v>46012</v>
      </c>
      <c r="L3086" s="28" t="s">
        <v>11</v>
      </c>
      <c r="M3086" s="14"/>
      <c r="N3086" s="10" t="s">
        <v>1028</v>
      </c>
    </row>
    <row r="3087" spans="1:14" ht="22.5" customHeight="1">
      <c r="A3087" s="8">
        <v>46012.738350625004</v>
      </c>
      <c r="B3087" s="9" t="s">
        <v>14</v>
      </c>
      <c r="C3087" s="9" t="s">
        <v>15</v>
      </c>
      <c r="D3087" s="10" t="s">
        <v>6807</v>
      </c>
      <c r="E3087" s="9" t="s">
        <v>17</v>
      </c>
      <c r="F3087" s="10">
        <v>23</v>
      </c>
      <c r="G3087" s="11">
        <v>9063507773</v>
      </c>
      <c r="H3087" s="10" t="s">
        <v>6808</v>
      </c>
      <c r="I3087" s="10" t="s">
        <v>45</v>
      </c>
      <c r="J3087" s="10" t="s">
        <v>6190</v>
      </c>
      <c r="K3087" s="12">
        <v>46012</v>
      </c>
      <c r="L3087" s="28" t="s">
        <v>11</v>
      </c>
      <c r="M3087" s="14"/>
      <c r="N3087" s="10" t="s">
        <v>1028</v>
      </c>
    </row>
    <row r="3088" spans="1:14" ht="22.5" customHeight="1">
      <c r="A3088" s="8">
        <v>46012.752627789348</v>
      </c>
      <c r="B3088" s="9" t="s">
        <v>14</v>
      </c>
      <c r="C3088" s="9" t="s">
        <v>15</v>
      </c>
      <c r="D3088" s="10" t="s">
        <v>6809</v>
      </c>
      <c r="E3088" s="9" t="s">
        <v>22</v>
      </c>
      <c r="F3088" s="10">
        <v>24</v>
      </c>
      <c r="G3088" s="11">
        <v>8148936082</v>
      </c>
      <c r="H3088" s="10" t="s">
        <v>6810</v>
      </c>
      <c r="I3088" s="10" t="s">
        <v>45</v>
      </c>
      <c r="J3088" s="10" t="s">
        <v>6811</v>
      </c>
      <c r="K3088" s="12">
        <v>46012</v>
      </c>
      <c r="L3088" s="28" t="s">
        <v>11</v>
      </c>
      <c r="M3088" s="14"/>
      <c r="N3088" s="10" t="s">
        <v>1096</v>
      </c>
    </row>
    <row r="3089" spans="1:14" ht="22.5" customHeight="1">
      <c r="A3089" s="8">
        <v>46012.784817465275</v>
      </c>
      <c r="B3089" s="9" t="s">
        <v>14</v>
      </c>
      <c r="C3089" s="9" t="s">
        <v>15</v>
      </c>
      <c r="D3089" s="10" t="s">
        <v>6812</v>
      </c>
      <c r="E3089" s="9" t="s">
        <v>17</v>
      </c>
      <c r="F3089" s="10">
        <v>24</v>
      </c>
      <c r="G3089" s="11">
        <v>8036235775</v>
      </c>
      <c r="H3089" s="10" t="s">
        <v>6813</v>
      </c>
      <c r="I3089" s="10" t="s">
        <v>45</v>
      </c>
      <c r="J3089" s="10" t="s">
        <v>901</v>
      </c>
      <c r="K3089" s="12">
        <v>46012</v>
      </c>
      <c r="L3089" s="28" t="s">
        <v>11</v>
      </c>
      <c r="M3089" s="14"/>
      <c r="N3089" s="10" t="s">
        <v>1096</v>
      </c>
    </row>
    <row r="3090" spans="1:14" ht="22.5" customHeight="1">
      <c r="A3090" s="8">
        <v>46012.785135474536</v>
      </c>
      <c r="B3090" s="9" t="s">
        <v>14</v>
      </c>
      <c r="C3090" s="9" t="s">
        <v>15</v>
      </c>
      <c r="D3090" s="10" t="s">
        <v>6814</v>
      </c>
      <c r="E3090" s="9" t="s">
        <v>22</v>
      </c>
      <c r="F3090" s="10">
        <v>50</v>
      </c>
      <c r="G3090" s="11">
        <v>8036259917</v>
      </c>
      <c r="H3090" s="10" t="s">
        <v>6815</v>
      </c>
      <c r="I3090" s="10" t="s">
        <v>27</v>
      </c>
      <c r="J3090" s="10" t="s">
        <v>28</v>
      </c>
      <c r="K3090" s="12">
        <v>46012</v>
      </c>
      <c r="L3090" s="28" t="s">
        <v>11</v>
      </c>
      <c r="M3090" s="14"/>
      <c r="N3090" s="10" t="s">
        <v>1028</v>
      </c>
    </row>
    <row r="3091" spans="1:14" ht="22.5" customHeight="1">
      <c r="A3091" s="8">
        <v>46012.791938298615</v>
      </c>
      <c r="B3091" s="9" t="s">
        <v>14</v>
      </c>
      <c r="C3091" s="9" t="s">
        <v>15</v>
      </c>
      <c r="D3091" s="10" t="s">
        <v>6816</v>
      </c>
      <c r="E3091" s="9" t="s">
        <v>17</v>
      </c>
      <c r="F3091" s="10">
        <v>23</v>
      </c>
      <c r="G3091" s="11">
        <v>9069429260</v>
      </c>
      <c r="H3091" s="10" t="s">
        <v>6817</v>
      </c>
      <c r="I3091" s="10" t="s">
        <v>49</v>
      </c>
      <c r="J3091" s="10" t="s">
        <v>103</v>
      </c>
      <c r="K3091" s="12">
        <v>46012</v>
      </c>
      <c r="L3091" s="28" t="s">
        <v>11</v>
      </c>
      <c r="M3091" s="14"/>
      <c r="N3091" s="10" t="s">
        <v>1028</v>
      </c>
    </row>
    <row r="3092" spans="1:14" ht="22.5" customHeight="1">
      <c r="A3092" s="8">
        <v>46012.79513564815</v>
      </c>
      <c r="B3092" s="9" t="s">
        <v>14</v>
      </c>
      <c r="C3092" s="9" t="s">
        <v>15</v>
      </c>
      <c r="D3092" s="10" t="s">
        <v>6818</v>
      </c>
      <c r="E3092" s="9" t="s">
        <v>22</v>
      </c>
      <c r="F3092" s="10">
        <v>18</v>
      </c>
      <c r="G3092" s="11">
        <v>7044226625</v>
      </c>
      <c r="H3092" s="10" t="s">
        <v>6819</v>
      </c>
      <c r="I3092" s="10" t="s">
        <v>27</v>
      </c>
      <c r="J3092" s="10" t="s">
        <v>28</v>
      </c>
      <c r="K3092" s="12">
        <v>46012</v>
      </c>
      <c r="L3092" s="28" t="s">
        <v>11</v>
      </c>
      <c r="M3092" s="14"/>
      <c r="N3092" s="10" t="s">
        <v>1028</v>
      </c>
    </row>
    <row r="3093" spans="1:14" ht="22.5" customHeight="1">
      <c r="A3093" s="8">
        <v>46012.799612268514</v>
      </c>
      <c r="B3093" s="9" t="s">
        <v>14</v>
      </c>
      <c r="C3093" s="9" t="s">
        <v>15</v>
      </c>
      <c r="D3093" s="10" t="s">
        <v>6820</v>
      </c>
      <c r="E3093" s="9" t="s">
        <v>22</v>
      </c>
      <c r="F3093" s="10">
        <v>16</v>
      </c>
      <c r="G3093" s="11">
        <v>7048888315</v>
      </c>
      <c r="H3093" s="10" t="s">
        <v>6815</v>
      </c>
      <c r="I3093" s="10" t="s">
        <v>27</v>
      </c>
      <c r="J3093" s="10" t="s">
        <v>28</v>
      </c>
      <c r="K3093" s="12">
        <v>46012</v>
      </c>
      <c r="L3093" s="28" t="s">
        <v>11</v>
      </c>
      <c r="M3093" s="14"/>
      <c r="N3093" s="10" t="s">
        <v>1028</v>
      </c>
    </row>
    <row r="3094" spans="1:14" ht="22.5" customHeight="1">
      <c r="A3094" s="8">
        <v>46012.799841192129</v>
      </c>
      <c r="B3094" s="9" t="s">
        <v>14</v>
      </c>
      <c r="C3094" s="9" t="s">
        <v>15</v>
      </c>
      <c r="D3094" s="10" t="s">
        <v>6821</v>
      </c>
      <c r="E3094" s="9" t="s">
        <v>17</v>
      </c>
      <c r="F3094" s="10">
        <v>40</v>
      </c>
      <c r="G3094" s="11">
        <v>8037841884</v>
      </c>
      <c r="H3094" s="10" t="s">
        <v>6822</v>
      </c>
      <c r="I3094" s="10" t="s">
        <v>27</v>
      </c>
      <c r="J3094" s="10" t="s">
        <v>1288</v>
      </c>
      <c r="K3094" s="12">
        <v>46012</v>
      </c>
      <c r="L3094" s="28" t="s">
        <v>11</v>
      </c>
      <c r="M3094" s="14"/>
      <c r="N3094" s="10" t="s">
        <v>1028</v>
      </c>
    </row>
    <row r="3095" spans="1:14" ht="22.5" customHeight="1">
      <c r="A3095" s="8">
        <v>46012.805984942126</v>
      </c>
      <c r="B3095" s="9" t="s">
        <v>14</v>
      </c>
      <c r="C3095" s="9" t="s">
        <v>15</v>
      </c>
      <c r="D3095" s="10" t="s">
        <v>6823</v>
      </c>
      <c r="E3095" s="9" t="s">
        <v>22</v>
      </c>
      <c r="F3095" s="10">
        <v>27</v>
      </c>
      <c r="G3095" s="11">
        <v>8068797712</v>
      </c>
      <c r="H3095" s="10" t="s">
        <v>6824</v>
      </c>
      <c r="I3095" s="10" t="s">
        <v>45</v>
      </c>
      <c r="J3095" s="10" t="s">
        <v>84</v>
      </c>
      <c r="K3095" s="12">
        <v>46012</v>
      </c>
      <c r="L3095" s="28" t="s">
        <v>11</v>
      </c>
      <c r="M3095" s="14"/>
      <c r="N3095" s="10" t="s">
        <v>1028</v>
      </c>
    </row>
    <row r="3096" spans="1:14" ht="22.5" customHeight="1">
      <c r="A3096" s="8">
        <v>46012.813530555555</v>
      </c>
      <c r="B3096" s="9" t="s">
        <v>14</v>
      </c>
      <c r="C3096" s="9" t="s">
        <v>15</v>
      </c>
      <c r="D3096" s="10" t="s">
        <v>6825</v>
      </c>
      <c r="E3096" s="9" t="s">
        <v>17</v>
      </c>
      <c r="F3096" s="10">
        <v>27</v>
      </c>
      <c r="G3096" s="11">
        <v>8138424230</v>
      </c>
      <c r="H3096" s="10" t="s">
        <v>6826</v>
      </c>
      <c r="I3096" s="10" t="s">
        <v>45</v>
      </c>
      <c r="J3096" s="10" t="s">
        <v>6827</v>
      </c>
      <c r="K3096" s="12">
        <v>46012</v>
      </c>
      <c r="L3096" s="28" t="s">
        <v>11</v>
      </c>
      <c r="M3096" s="14"/>
      <c r="N3096" s="10" t="s">
        <v>1096</v>
      </c>
    </row>
    <row r="3097" spans="1:14" ht="22.5" customHeight="1">
      <c r="A3097" s="8">
        <v>46012.818869201394</v>
      </c>
      <c r="B3097" s="9" t="s">
        <v>14</v>
      </c>
      <c r="C3097" s="9" t="s">
        <v>15</v>
      </c>
      <c r="D3097" s="10" t="s">
        <v>6828</v>
      </c>
      <c r="E3097" s="9" t="s">
        <v>22</v>
      </c>
      <c r="F3097" s="10">
        <v>32</v>
      </c>
      <c r="G3097" s="11">
        <v>8035220111</v>
      </c>
      <c r="H3097" s="10" t="s">
        <v>6829</v>
      </c>
      <c r="I3097" s="10" t="s">
        <v>45</v>
      </c>
      <c r="J3097" s="10" t="s">
        <v>46</v>
      </c>
      <c r="K3097" s="12">
        <v>46012</v>
      </c>
      <c r="L3097" s="28" t="s">
        <v>11</v>
      </c>
      <c r="M3097" s="14"/>
      <c r="N3097" s="10" t="s">
        <v>1096</v>
      </c>
    </row>
    <row r="3098" spans="1:14" ht="22.5" customHeight="1">
      <c r="A3098" s="8">
        <v>46012.825041562501</v>
      </c>
      <c r="B3098" s="9" t="s">
        <v>14</v>
      </c>
      <c r="C3098" s="9" t="s">
        <v>15</v>
      </c>
      <c r="D3098" s="10" t="s">
        <v>6830</v>
      </c>
      <c r="E3098" s="9" t="s">
        <v>17</v>
      </c>
      <c r="F3098" s="10">
        <v>26</v>
      </c>
      <c r="G3098" s="11">
        <f>2349064851245</f>
        <v>2349064851245</v>
      </c>
      <c r="H3098" s="10" t="s">
        <v>6831</v>
      </c>
      <c r="I3098" s="10" t="s">
        <v>49</v>
      </c>
      <c r="J3098" s="10" t="s">
        <v>109</v>
      </c>
      <c r="K3098" s="12">
        <v>46012</v>
      </c>
      <c r="L3098" s="28" t="s">
        <v>11</v>
      </c>
      <c r="M3098" s="14"/>
      <c r="N3098" s="10" t="s">
        <v>1096</v>
      </c>
    </row>
    <row r="3099" spans="1:14" ht="22.5" customHeight="1">
      <c r="A3099" s="8">
        <v>46012.832966793983</v>
      </c>
      <c r="B3099" s="9" t="s">
        <v>14</v>
      </c>
      <c r="C3099" s="9" t="s">
        <v>15</v>
      </c>
      <c r="D3099" s="10" t="s">
        <v>6832</v>
      </c>
      <c r="E3099" s="9" t="s">
        <v>22</v>
      </c>
      <c r="F3099" s="10">
        <v>27</v>
      </c>
      <c r="G3099" s="11">
        <v>9037342597</v>
      </c>
      <c r="H3099" s="10" t="s">
        <v>6833</v>
      </c>
      <c r="I3099" s="10" t="s">
        <v>45</v>
      </c>
      <c r="J3099" s="10" t="s">
        <v>339</v>
      </c>
      <c r="K3099" s="12">
        <v>46012</v>
      </c>
      <c r="L3099" s="28" t="s">
        <v>11</v>
      </c>
      <c r="M3099" s="14"/>
      <c r="N3099" s="10" t="s">
        <v>1028</v>
      </c>
    </row>
    <row r="3100" spans="1:14" ht="22.5" customHeight="1">
      <c r="A3100" s="8">
        <v>46012.84855440972</v>
      </c>
      <c r="B3100" s="9" t="s">
        <v>14</v>
      </c>
      <c r="C3100" s="9" t="s">
        <v>15</v>
      </c>
      <c r="D3100" s="10" t="s">
        <v>6834</v>
      </c>
      <c r="E3100" s="9" t="s">
        <v>22</v>
      </c>
      <c r="F3100" s="10">
        <v>23</v>
      </c>
      <c r="G3100" s="11">
        <v>7045740191</v>
      </c>
      <c r="H3100" s="10" t="s">
        <v>6835</v>
      </c>
      <c r="I3100" s="10" t="s">
        <v>45</v>
      </c>
      <c r="J3100" s="10" t="s">
        <v>6836</v>
      </c>
      <c r="K3100" s="12">
        <v>46012</v>
      </c>
      <c r="L3100" s="28" t="s">
        <v>11</v>
      </c>
      <c r="M3100" s="14"/>
      <c r="N3100" s="10" t="s">
        <v>1028</v>
      </c>
    </row>
    <row r="3101" spans="1:14" ht="22.5" customHeight="1">
      <c r="A3101" s="8">
        <v>46012.854131956017</v>
      </c>
      <c r="B3101" s="9" t="s">
        <v>14</v>
      </c>
      <c r="C3101" s="9" t="s">
        <v>15</v>
      </c>
      <c r="D3101" s="10" t="s">
        <v>6837</v>
      </c>
      <c r="E3101" s="9" t="s">
        <v>22</v>
      </c>
      <c r="F3101" s="10">
        <v>24</v>
      </c>
      <c r="G3101" s="11">
        <v>9046200181</v>
      </c>
      <c r="H3101" s="10" t="s">
        <v>6838</v>
      </c>
      <c r="I3101" s="10" t="s">
        <v>45</v>
      </c>
      <c r="J3101" s="10" t="s">
        <v>901</v>
      </c>
      <c r="K3101" s="12">
        <v>46012</v>
      </c>
      <c r="L3101" s="28" t="s">
        <v>11</v>
      </c>
      <c r="M3101" s="14"/>
      <c r="N3101" s="10" t="s">
        <v>1028</v>
      </c>
    </row>
    <row r="3102" spans="1:14" ht="22.5" customHeight="1">
      <c r="A3102" s="8">
        <v>46012.856839988424</v>
      </c>
      <c r="B3102" s="9" t="s">
        <v>14</v>
      </c>
      <c r="C3102" s="9" t="s">
        <v>15</v>
      </c>
      <c r="D3102" s="10" t="s">
        <v>6839</v>
      </c>
      <c r="E3102" s="9" t="s">
        <v>22</v>
      </c>
      <c r="F3102" s="10">
        <v>19</v>
      </c>
      <c r="G3102" s="11">
        <v>9168743463</v>
      </c>
      <c r="H3102" s="10" t="s">
        <v>6840</v>
      </c>
      <c r="I3102" s="10" t="s">
        <v>45</v>
      </c>
      <c r="J3102" s="10" t="s">
        <v>6841</v>
      </c>
      <c r="K3102" s="12">
        <v>46012</v>
      </c>
      <c r="L3102" s="28" t="s">
        <v>11</v>
      </c>
      <c r="M3102" s="14"/>
      <c r="N3102" s="10" t="s">
        <v>1028</v>
      </c>
    </row>
    <row r="3103" spans="1:14" ht="22.5" customHeight="1">
      <c r="A3103" s="8">
        <v>46012.860097893514</v>
      </c>
      <c r="B3103" s="9" t="s">
        <v>14</v>
      </c>
      <c r="C3103" s="9" t="s">
        <v>15</v>
      </c>
      <c r="D3103" s="10" t="s">
        <v>6842</v>
      </c>
      <c r="E3103" s="9" t="s">
        <v>17</v>
      </c>
      <c r="F3103" s="10">
        <v>18</v>
      </c>
      <c r="G3103" s="11">
        <v>7073358541</v>
      </c>
      <c r="H3103" s="10" t="s">
        <v>6843</v>
      </c>
      <c r="I3103" s="10" t="s">
        <v>45</v>
      </c>
      <c r="J3103" s="10" t="s">
        <v>287</v>
      </c>
      <c r="K3103" s="12">
        <v>39437</v>
      </c>
      <c r="L3103" s="28" t="s">
        <v>11</v>
      </c>
      <c r="M3103" s="14"/>
      <c r="N3103" s="10" t="s">
        <v>1096</v>
      </c>
    </row>
    <row r="3104" spans="1:14" ht="22.5" customHeight="1">
      <c r="A3104" s="8">
        <v>46012.862959710648</v>
      </c>
      <c r="B3104" s="9" t="s">
        <v>14</v>
      </c>
      <c r="C3104" s="9" t="s">
        <v>15</v>
      </c>
      <c r="D3104" s="10" t="s">
        <v>6844</v>
      </c>
      <c r="E3104" s="9" t="s">
        <v>22</v>
      </c>
      <c r="F3104" s="10">
        <v>21</v>
      </c>
      <c r="G3104" s="11">
        <v>8065193325</v>
      </c>
      <c r="H3104" s="10" t="s">
        <v>6845</v>
      </c>
      <c r="I3104" s="10" t="s">
        <v>49</v>
      </c>
      <c r="J3104" s="10" t="s">
        <v>106</v>
      </c>
      <c r="K3104" s="12">
        <v>46012</v>
      </c>
      <c r="L3104" s="28" t="s">
        <v>11</v>
      </c>
      <c r="M3104" s="14"/>
      <c r="N3104" s="10" t="s">
        <v>1028</v>
      </c>
    </row>
    <row r="3105" spans="1:14" ht="22.5" customHeight="1">
      <c r="A3105" s="8">
        <v>46012.867463113427</v>
      </c>
      <c r="B3105" s="9" t="s">
        <v>14</v>
      </c>
      <c r="C3105" s="9" t="s">
        <v>15</v>
      </c>
      <c r="D3105" s="10" t="s">
        <v>6846</v>
      </c>
      <c r="E3105" s="9" t="s">
        <v>22</v>
      </c>
      <c r="F3105" s="10">
        <v>26</v>
      </c>
      <c r="G3105" s="11">
        <v>7050263161</v>
      </c>
      <c r="H3105" s="10" t="s">
        <v>6847</v>
      </c>
      <c r="I3105" s="10" t="s">
        <v>45</v>
      </c>
      <c r="J3105" s="10" t="s">
        <v>6578</v>
      </c>
      <c r="K3105" s="12">
        <v>46012</v>
      </c>
      <c r="L3105" s="28" t="s">
        <v>11</v>
      </c>
      <c r="M3105" s="14"/>
      <c r="N3105" s="10" t="s">
        <v>1028</v>
      </c>
    </row>
    <row r="3106" spans="1:14" ht="22.5" customHeight="1">
      <c r="A3106" s="8">
        <v>46012.872096631945</v>
      </c>
      <c r="B3106" s="9" t="s">
        <v>14</v>
      </c>
      <c r="C3106" s="9" t="s">
        <v>15</v>
      </c>
      <c r="D3106" s="10" t="s">
        <v>6848</v>
      </c>
      <c r="E3106" s="9" t="s">
        <v>22</v>
      </c>
      <c r="F3106" s="10">
        <v>21</v>
      </c>
      <c r="G3106" s="11">
        <v>8124989680</v>
      </c>
      <c r="H3106" s="10" t="s">
        <v>6849</v>
      </c>
      <c r="I3106" s="10" t="s">
        <v>49</v>
      </c>
      <c r="J3106" s="10" t="s">
        <v>106</v>
      </c>
      <c r="K3106" s="12">
        <v>46012</v>
      </c>
      <c r="L3106" s="28" t="s">
        <v>11</v>
      </c>
      <c r="M3106" s="14"/>
      <c r="N3106" s="10" t="s">
        <v>1028</v>
      </c>
    </row>
    <row r="3107" spans="1:14" ht="22.5" customHeight="1">
      <c r="A3107" s="8">
        <v>46012.880233043979</v>
      </c>
      <c r="B3107" s="9" t="s">
        <v>14</v>
      </c>
      <c r="C3107" s="9" t="s">
        <v>15</v>
      </c>
      <c r="D3107" s="10" t="s">
        <v>6850</v>
      </c>
      <c r="E3107" s="9" t="s">
        <v>17</v>
      </c>
      <c r="F3107" s="10">
        <v>29</v>
      </c>
      <c r="G3107" s="11">
        <f>2347063348912</f>
        <v>2347063348912</v>
      </c>
      <c r="H3107" s="10" t="s">
        <v>6851</v>
      </c>
      <c r="I3107" s="10" t="s">
        <v>202</v>
      </c>
      <c r="J3107" s="10" t="s">
        <v>3437</v>
      </c>
      <c r="K3107" s="12">
        <v>46012</v>
      </c>
      <c r="L3107" s="28" t="s">
        <v>11</v>
      </c>
      <c r="M3107" s="14"/>
      <c r="N3107" s="10" t="s">
        <v>1096</v>
      </c>
    </row>
    <row r="3108" spans="1:14" ht="22.5" customHeight="1">
      <c r="A3108" s="8">
        <v>46012.883696122684</v>
      </c>
      <c r="B3108" s="9" t="s">
        <v>14</v>
      </c>
      <c r="C3108" s="9" t="s">
        <v>15</v>
      </c>
      <c r="D3108" s="10" t="s">
        <v>6852</v>
      </c>
      <c r="E3108" s="9" t="s">
        <v>17</v>
      </c>
      <c r="F3108" s="10">
        <v>34</v>
      </c>
      <c r="G3108" s="11">
        <f t="shared" ref="G3108" si="79">2347032752010</f>
        <v>2347032752010</v>
      </c>
      <c r="H3108" s="10" t="s">
        <v>6853</v>
      </c>
      <c r="I3108" s="10" t="s">
        <v>45</v>
      </c>
      <c r="J3108" s="10" t="s">
        <v>3376</v>
      </c>
      <c r="K3108" s="12">
        <v>46012</v>
      </c>
      <c r="L3108" s="28" t="s">
        <v>11</v>
      </c>
      <c r="M3108" s="14"/>
      <c r="N3108" s="10" t="s">
        <v>1028</v>
      </c>
    </row>
    <row r="3109" spans="1:14" ht="22.5" customHeight="1">
      <c r="A3109" s="8">
        <v>46012.885920520828</v>
      </c>
      <c r="B3109" s="9" t="s">
        <v>14</v>
      </c>
      <c r="C3109" s="9" t="s">
        <v>15</v>
      </c>
      <c r="D3109" s="10" t="s">
        <v>6854</v>
      </c>
      <c r="E3109" s="9" t="s">
        <v>17</v>
      </c>
      <c r="F3109" s="10">
        <v>30</v>
      </c>
      <c r="G3109" s="11">
        <v>9010377824</v>
      </c>
      <c r="H3109" s="10" t="s">
        <v>6855</v>
      </c>
      <c r="I3109" s="10" t="s">
        <v>45</v>
      </c>
      <c r="J3109" s="10" t="s">
        <v>688</v>
      </c>
      <c r="K3109" s="12">
        <v>46012</v>
      </c>
      <c r="L3109" s="28" t="s">
        <v>11</v>
      </c>
      <c r="M3109" s="14"/>
      <c r="N3109" s="10" t="s">
        <v>1028</v>
      </c>
    </row>
    <row r="3110" spans="1:14" ht="22.5" customHeight="1">
      <c r="A3110" s="8">
        <v>46012.892070659727</v>
      </c>
      <c r="B3110" s="9" t="s">
        <v>14</v>
      </c>
      <c r="C3110" s="9" t="s">
        <v>15</v>
      </c>
      <c r="D3110" s="10" t="s">
        <v>6856</v>
      </c>
      <c r="E3110" s="9" t="s">
        <v>22</v>
      </c>
      <c r="F3110" s="10">
        <v>28</v>
      </c>
      <c r="G3110" s="11">
        <v>9061104529</v>
      </c>
      <c r="H3110" s="10" t="s">
        <v>6857</v>
      </c>
      <c r="I3110" s="10" t="s">
        <v>45</v>
      </c>
      <c r="J3110" s="10" t="s">
        <v>46</v>
      </c>
      <c r="K3110" s="12">
        <v>46012</v>
      </c>
      <c r="L3110" s="28" t="s">
        <v>11</v>
      </c>
      <c r="M3110" s="14"/>
      <c r="N3110" s="10" t="s">
        <v>1096</v>
      </c>
    </row>
    <row r="3111" spans="1:14" ht="22.5" customHeight="1">
      <c r="A3111" s="8">
        <v>46012.897093472224</v>
      </c>
      <c r="B3111" s="9" t="s">
        <v>14</v>
      </c>
      <c r="C3111" s="9" t="s">
        <v>15</v>
      </c>
      <c r="D3111" s="10" t="s">
        <v>6858</v>
      </c>
      <c r="E3111" s="9" t="s">
        <v>22</v>
      </c>
      <c r="F3111" s="10">
        <v>22</v>
      </c>
      <c r="G3111" s="11">
        <v>9164447370</v>
      </c>
      <c r="H3111" s="10" t="s">
        <v>6859</v>
      </c>
      <c r="I3111" s="10" t="s">
        <v>49</v>
      </c>
      <c r="J3111" s="10" t="s">
        <v>106</v>
      </c>
      <c r="K3111" s="12">
        <v>46012</v>
      </c>
      <c r="L3111" s="28" t="s">
        <v>11</v>
      </c>
      <c r="M3111" s="14"/>
      <c r="N3111" s="10" t="s">
        <v>1028</v>
      </c>
    </row>
    <row r="3112" spans="1:14" ht="22.5" customHeight="1">
      <c r="A3112" s="8">
        <v>46012.897455266204</v>
      </c>
      <c r="B3112" s="9" t="s">
        <v>14</v>
      </c>
      <c r="C3112" s="9" t="s">
        <v>15</v>
      </c>
      <c r="D3112" s="10" t="s">
        <v>6860</v>
      </c>
      <c r="E3112" s="9" t="s">
        <v>17</v>
      </c>
      <c r="F3112" s="10">
        <v>25</v>
      </c>
      <c r="G3112" s="11">
        <v>7054040255</v>
      </c>
      <c r="H3112" s="10" t="s">
        <v>6861</v>
      </c>
      <c r="I3112" s="10" t="s">
        <v>45</v>
      </c>
      <c r="J3112" s="10" t="s">
        <v>46</v>
      </c>
      <c r="K3112" s="12">
        <v>46012</v>
      </c>
      <c r="L3112" s="28" t="s">
        <v>11</v>
      </c>
      <c r="M3112" s="14"/>
      <c r="N3112" s="10" t="s">
        <v>1028</v>
      </c>
    </row>
    <row r="3113" spans="1:14" ht="22.5" customHeight="1">
      <c r="A3113" s="8">
        <v>46012.907081446756</v>
      </c>
      <c r="B3113" s="9" t="s">
        <v>14</v>
      </c>
      <c r="C3113" s="9" t="s">
        <v>15</v>
      </c>
      <c r="D3113" s="10" t="s">
        <v>6862</v>
      </c>
      <c r="E3113" s="9" t="s">
        <v>17</v>
      </c>
      <c r="F3113" s="10">
        <v>30</v>
      </c>
      <c r="G3113" s="11">
        <v>9010377824</v>
      </c>
      <c r="H3113" s="10" t="s">
        <v>6855</v>
      </c>
      <c r="I3113" s="10" t="s">
        <v>45</v>
      </c>
      <c r="J3113" s="10" t="s">
        <v>688</v>
      </c>
      <c r="K3113" s="12">
        <v>46012</v>
      </c>
      <c r="L3113" s="28" t="s">
        <v>11</v>
      </c>
      <c r="M3113" s="14"/>
      <c r="N3113" s="10" t="s">
        <v>1028</v>
      </c>
    </row>
    <row r="3114" spans="1:14" ht="22.5" customHeight="1">
      <c r="A3114" s="8">
        <v>46012.910751886579</v>
      </c>
      <c r="B3114" s="9" t="s">
        <v>14</v>
      </c>
      <c r="C3114" s="9" t="s">
        <v>15</v>
      </c>
      <c r="D3114" s="10" t="s">
        <v>6863</v>
      </c>
      <c r="E3114" s="9" t="s">
        <v>17</v>
      </c>
      <c r="F3114" s="10">
        <v>23</v>
      </c>
      <c r="G3114" s="11">
        <v>7012215839</v>
      </c>
      <c r="H3114" s="10" t="s">
        <v>6864</v>
      </c>
      <c r="I3114" s="10" t="s">
        <v>45</v>
      </c>
      <c r="J3114" s="10" t="s">
        <v>6865</v>
      </c>
      <c r="K3114" s="12">
        <v>46012</v>
      </c>
      <c r="L3114" s="28" t="s">
        <v>11</v>
      </c>
      <c r="M3114" s="14"/>
      <c r="N3114" s="10" t="s">
        <v>1096</v>
      </c>
    </row>
    <row r="3115" spans="1:14" ht="22.5" customHeight="1">
      <c r="A3115" s="8">
        <v>46012.911780069444</v>
      </c>
      <c r="B3115" s="9" t="s">
        <v>14</v>
      </c>
      <c r="C3115" s="9" t="s">
        <v>15</v>
      </c>
      <c r="D3115" s="10" t="s">
        <v>6866</v>
      </c>
      <c r="E3115" s="9" t="s">
        <v>22</v>
      </c>
      <c r="F3115" s="10">
        <v>27</v>
      </c>
      <c r="G3115" s="11">
        <v>8148845968</v>
      </c>
      <c r="H3115" s="10" t="s">
        <v>6867</v>
      </c>
      <c r="I3115" s="10" t="s">
        <v>45</v>
      </c>
      <c r="J3115" s="10" t="s">
        <v>509</v>
      </c>
      <c r="K3115" s="12">
        <v>46012</v>
      </c>
      <c r="L3115" s="28" t="s">
        <v>11</v>
      </c>
      <c r="M3115" s="14"/>
      <c r="N3115" s="10" t="s">
        <v>1028</v>
      </c>
    </row>
    <row r="3116" spans="1:14" ht="22.5" customHeight="1">
      <c r="A3116" s="8">
        <v>46012.924157800924</v>
      </c>
      <c r="B3116" s="9" t="s">
        <v>14</v>
      </c>
      <c r="C3116" s="9" t="s">
        <v>15</v>
      </c>
      <c r="D3116" s="10" t="s">
        <v>6868</v>
      </c>
      <c r="E3116" s="9" t="s">
        <v>17</v>
      </c>
      <c r="F3116" s="10">
        <v>44</v>
      </c>
      <c r="G3116" s="11">
        <v>8038539065</v>
      </c>
      <c r="H3116" s="10" t="s">
        <v>6869</v>
      </c>
      <c r="I3116" s="10" t="s">
        <v>45</v>
      </c>
      <c r="J3116" s="10" t="s">
        <v>287</v>
      </c>
      <c r="K3116" s="12">
        <v>46012</v>
      </c>
      <c r="L3116" s="28" t="s">
        <v>11</v>
      </c>
      <c r="M3116" s="14"/>
      <c r="N3116" s="10" t="s">
        <v>1028</v>
      </c>
    </row>
    <row r="3117" spans="1:14" ht="22.5" customHeight="1">
      <c r="A3117" s="8">
        <v>46012.93028980324</v>
      </c>
      <c r="B3117" s="9" t="s">
        <v>14</v>
      </c>
      <c r="C3117" s="9" t="s">
        <v>15</v>
      </c>
      <c r="D3117" s="10" t="s">
        <v>6870</v>
      </c>
      <c r="E3117" s="9" t="s">
        <v>17</v>
      </c>
      <c r="F3117" s="10">
        <v>25</v>
      </c>
      <c r="G3117" s="11">
        <v>9158472468</v>
      </c>
      <c r="H3117" s="10" t="s">
        <v>6871</v>
      </c>
      <c r="I3117" s="10" t="s">
        <v>45</v>
      </c>
      <c r="J3117" s="10" t="s">
        <v>131</v>
      </c>
      <c r="K3117" s="12">
        <v>46012</v>
      </c>
      <c r="L3117" s="28" t="s">
        <v>11</v>
      </c>
      <c r="M3117" s="14"/>
      <c r="N3117" s="10" t="s">
        <v>1028</v>
      </c>
    </row>
    <row r="3118" spans="1:14" ht="22.5" customHeight="1">
      <c r="A3118" s="8">
        <v>46012.934645729169</v>
      </c>
      <c r="B3118" s="9" t="s">
        <v>14</v>
      </c>
      <c r="C3118" s="9" t="s">
        <v>15</v>
      </c>
      <c r="D3118" s="10" t="s">
        <v>6872</v>
      </c>
      <c r="E3118" s="9" t="s">
        <v>22</v>
      </c>
      <c r="F3118" s="10">
        <v>28</v>
      </c>
      <c r="G3118" s="11">
        <v>8038945321</v>
      </c>
      <c r="H3118" s="10" t="s">
        <v>4884</v>
      </c>
      <c r="I3118" s="10" t="s">
        <v>27</v>
      </c>
      <c r="J3118" s="10" t="s">
        <v>2069</v>
      </c>
      <c r="K3118" s="12">
        <v>46012</v>
      </c>
      <c r="L3118" s="28" t="s">
        <v>11</v>
      </c>
      <c r="M3118" s="14"/>
      <c r="N3118" s="10" t="s">
        <v>1028</v>
      </c>
    </row>
    <row r="3119" spans="1:14" ht="22.5" customHeight="1">
      <c r="A3119" s="8">
        <v>46012.942119016203</v>
      </c>
      <c r="B3119" s="9" t="s">
        <v>14</v>
      </c>
      <c r="C3119" s="9" t="s">
        <v>15</v>
      </c>
      <c r="D3119" s="10" t="s">
        <v>6873</v>
      </c>
      <c r="E3119" s="9" t="s">
        <v>17</v>
      </c>
      <c r="F3119" s="10">
        <v>34</v>
      </c>
      <c r="G3119" s="11">
        <v>7064951144</v>
      </c>
      <c r="H3119" s="10" t="s">
        <v>6874</v>
      </c>
      <c r="I3119" s="10" t="s">
        <v>202</v>
      </c>
      <c r="J3119" s="10" t="s">
        <v>1860</v>
      </c>
      <c r="K3119" s="12">
        <v>46012</v>
      </c>
      <c r="L3119" s="28" t="s">
        <v>11</v>
      </c>
      <c r="M3119" s="14"/>
      <c r="N3119" s="10" t="s">
        <v>1096</v>
      </c>
    </row>
    <row r="3120" spans="1:14" ht="22.5" customHeight="1">
      <c r="A3120" s="8">
        <v>46012.948615659727</v>
      </c>
      <c r="B3120" s="9" t="s">
        <v>14</v>
      </c>
      <c r="C3120" s="9" t="s">
        <v>15</v>
      </c>
      <c r="D3120" s="10" t="s">
        <v>6875</v>
      </c>
      <c r="E3120" s="9" t="s">
        <v>22</v>
      </c>
      <c r="F3120" s="10">
        <v>22</v>
      </c>
      <c r="G3120" s="11">
        <v>7046563749</v>
      </c>
      <c r="H3120" s="10" t="s">
        <v>6876</v>
      </c>
      <c r="I3120" s="10" t="s">
        <v>45</v>
      </c>
      <c r="J3120" s="10" t="s">
        <v>1638</v>
      </c>
      <c r="K3120" s="12">
        <v>46012</v>
      </c>
      <c r="L3120" s="28" t="s">
        <v>11</v>
      </c>
      <c r="M3120" s="14"/>
      <c r="N3120" s="10" t="s">
        <v>1028</v>
      </c>
    </row>
    <row r="3121" spans="1:14" ht="22.5" customHeight="1">
      <c r="A3121" s="8">
        <v>46012.949718587959</v>
      </c>
      <c r="B3121" s="9" t="s">
        <v>14</v>
      </c>
      <c r="C3121" s="9" t="s">
        <v>15</v>
      </c>
      <c r="D3121" s="10" t="s">
        <v>6877</v>
      </c>
      <c r="E3121" s="9" t="s">
        <v>17</v>
      </c>
      <c r="F3121" s="10">
        <v>26</v>
      </c>
      <c r="G3121" s="11">
        <v>9033236511</v>
      </c>
      <c r="H3121" s="10" t="s">
        <v>6878</v>
      </c>
      <c r="I3121" s="10" t="s">
        <v>19</v>
      </c>
      <c r="J3121" s="10" t="s">
        <v>4357</v>
      </c>
      <c r="K3121" s="12">
        <v>46012</v>
      </c>
      <c r="L3121" s="28" t="s">
        <v>11</v>
      </c>
      <c r="M3121" s="14"/>
      <c r="N3121" s="10" t="s">
        <v>1028</v>
      </c>
    </row>
    <row r="3122" spans="1:14" ht="22.5" customHeight="1">
      <c r="A3122" s="8">
        <v>46012.955020416666</v>
      </c>
      <c r="B3122" s="9" t="s">
        <v>14</v>
      </c>
      <c r="C3122" s="9" t="s">
        <v>15</v>
      </c>
      <c r="D3122" s="10" t="s">
        <v>6879</v>
      </c>
      <c r="E3122" s="9" t="s">
        <v>17</v>
      </c>
      <c r="F3122" s="10">
        <v>28</v>
      </c>
      <c r="G3122" s="11">
        <v>9029857119</v>
      </c>
      <c r="H3122" s="10" t="s">
        <v>6880</v>
      </c>
      <c r="I3122" s="10" t="s">
        <v>45</v>
      </c>
      <c r="J3122" s="10" t="s">
        <v>6881</v>
      </c>
      <c r="K3122" s="12">
        <v>46012</v>
      </c>
      <c r="L3122" s="28" t="s">
        <v>11</v>
      </c>
      <c r="M3122" s="14"/>
      <c r="N3122" s="10" t="s">
        <v>1096</v>
      </c>
    </row>
    <row r="3123" spans="1:14" ht="22.5" customHeight="1">
      <c r="A3123" s="8">
        <v>46012.968704062499</v>
      </c>
      <c r="B3123" s="9" t="s">
        <v>14</v>
      </c>
      <c r="C3123" s="9" t="s">
        <v>15</v>
      </c>
      <c r="D3123" s="10" t="s">
        <v>6882</v>
      </c>
      <c r="E3123" s="9" t="s">
        <v>17</v>
      </c>
      <c r="F3123" s="10">
        <v>28</v>
      </c>
      <c r="G3123" s="11">
        <v>8133415691</v>
      </c>
      <c r="H3123" s="10" t="s">
        <v>6883</v>
      </c>
      <c r="I3123" s="10" t="s">
        <v>49</v>
      </c>
      <c r="J3123" s="10" t="s">
        <v>50</v>
      </c>
      <c r="K3123" s="12">
        <v>46012</v>
      </c>
      <c r="L3123" s="28" t="s">
        <v>11</v>
      </c>
      <c r="M3123" s="14"/>
      <c r="N3123" s="10" t="s">
        <v>1028</v>
      </c>
    </row>
    <row r="3124" spans="1:14" ht="22.5" customHeight="1">
      <c r="A3124" s="8">
        <v>46012.99314608796</v>
      </c>
      <c r="B3124" s="9" t="s">
        <v>14</v>
      </c>
      <c r="C3124" s="9" t="s">
        <v>15</v>
      </c>
      <c r="D3124" s="10" t="s">
        <v>6884</v>
      </c>
      <c r="E3124" s="9" t="s">
        <v>17</v>
      </c>
      <c r="F3124" s="10">
        <v>30</v>
      </c>
      <c r="G3124" s="11">
        <v>8142830782</v>
      </c>
      <c r="H3124" s="10" t="s">
        <v>6885</v>
      </c>
      <c r="I3124" s="10" t="s">
        <v>45</v>
      </c>
      <c r="J3124" s="10" t="s">
        <v>84</v>
      </c>
      <c r="K3124" s="12">
        <v>46012</v>
      </c>
      <c r="L3124" s="28" t="s">
        <v>11</v>
      </c>
      <c r="M3124" s="14"/>
      <c r="N3124" s="10" t="s">
        <v>1028</v>
      </c>
    </row>
    <row r="3125" spans="1:14" ht="22.5" customHeight="1">
      <c r="A3125" s="8">
        <v>46013.01937141204</v>
      </c>
      <c r="B3125" s="9" t="s">
        <v>14</v>
      </c>
      <c r="C3125" s="9" t="s">
        <v>15</v>
      </c>
      <c r="D3125" s="10" t="s">
        <v>6886</v>
      </c>
      <c r="E3125" s="9" t="s">
        <v>17</v>
      </c>
      <c r="F3125" s="10">
        <v>35</v>
      </c>
      <c r="G3125" s="11">
        <f t="shared" ref="G3125" si="80">2348039934584</f>
        <v>2348039934584</v>
      </c>
      <c r="H3125" s="10" t="s">
        <v>6887</v>
      </c>
      <c r="I3125" s="10" t="s">
        <v>45</v>
      </c>
      <c r="J3125" s="10" t="s">
        <v>1919</v>
      </c>
      <c r="K3125" s="12">
        <v>46013</v>
      </c>
      <c r="L3125" s="28" t="s">
        <v>11</v>
      </c>
      <c r="M3125" s="14"/>
      <c r="N3125" s="10" t="s">
        <v>1096</v>
      </c>
    </row>
    <row r="3126" spans="1:14" ht="22.5" customHeight="1">
      <c r="A3126" s="8">
        <v>46013.020390902777</v>
      </c>
      <c r="B3126" s="9" t="s">
        <v>14</v>
      </c>
      <c r="C3126" s="9" t="s">
        <v>15</v>
      </c>
      <c r="D3126" s="10" t="s">
        <v>6888</v>
      </c>
      <c r="E3126" s="9" t="s">
        <v>17</v>
      </c>
      <c r="F3126" s="10">
        <v>25</v>
      </c>
      <c r="G3126" s="11">
        <v>9058967349</v>
      </c>
      <c r="H3126" s="10" t="s">
        <v>6889</v>
      </c>
      <c r="I3126" s="10" t="s">
        <v>45</v>
      </c>
      <c r="J3126" s="10" t="s">
        <v>46</v>
      </c>
      <c r="K3126" s="12">
        <v>46013</v>
      </c>
      <c r="L3126" s="28" t="s">
        <v>11</v>
      </c>
      <c r="M3126" s="14"/>
      <c r="N3126" s="10" t="s">
        <v>1028</v>
      </c>
    </row>
    <row r="3127" spans="1:14" ht="22.5" customHeight="1">
      <c r="A3127" s="8">
        <v>46013.284104305552</v>
      </c>
      <c r="B3127" s="9" t="s">
        <v>14</v>
      </c>
      <c r="C3127" s="9" t="s">
        <v>15</v>
      </c>
      <c r="D3127" s="10" t="s">
        <v>6890</v>
      </c>
      <c r="E3127" s="9" t="s">
        <v>22</v>
      </c>
      <c r="F3127" s="10">
        <v>29</v>
      </c>
      <c r="G3127" s="11">
        <v>792434075</v>
      </c>
      <c r="H3127" s="10" t="s">
        <v>6891</v>
      </c>
      <c r="I3127" s="10" t="s">
        <v>202</v>
      </c>
      <c r="J3127" s="10" t="s">
        <v>6892</v>
      </c>
      <c r="K3127" s="12">
        <v>46013</v>
      </c>
      <c r="L3127" s="28" t="s">
        <v>11</v>
      </c>
      <c r="M3127" s="14"/>
      <c r="N3127" s="10" t="s">
        <v>1028</v>
      </c>
    </row>
    <row r="3128" spans="1:14" ht="22.5" customHeight="1">
      <c r="A3128" s="8">
        <v>46013.311034293976</v>
      </c>
      <c r="B3128" s="9" t="s">
        <v>14</v>
      </c>
      <c r="C3128" s="9" t="s">
        <v>15</v>
      </c>
      <c r="D3128" s="10" t="s">
        <v>6893</v>
      </c>
      <c r="E3128" s="9" t="s">
        <v>17</v>
      </c>
      <c r="F3128" s="19">
        <v>33</v>
      </c>
      <c r="G3128" s="11">
        <v>8080566767</v>
      </c>
      <c r="H3128" s="10" t="s">
        <v>6894</v>
      </c>
      <c r="I3128" s="10" t="s">
        <v>45</v>
      </c>
      <c r="J3128" s="10" t="s">
        <v>901</v>
      </c>
      <c r="K3128" s="12">
        <v>46013</v>
      </c>
      <c r="L3128" s="28" t="s">
        <v>11</v>
      </c>
      <c r="M3128" s="14"/>
      <c r="N3128" s="10" t="s">
        <v>1028</v>
      </c>
    </row>
    <row r="3129" spans="1:14" ht="22.5" customHeight="1">
      <c r="A3129" s="8">
        <v>46013.331545856483</v>
      </c>
      <c r="B3129" s="9" t="s">
        <v>14</v>
      </c>
      <c r="C3129" s="9" t="s">
        <v>15</v>
      </c>
      <c r="D3129" s="10" t="s">
        <v>6895</v>
      </c>
      <c r="E3129" s="9" t="s">
        <v>17</v>
      </c>
      <c r="F3129" s="10">
        <v>31</v>
      </c>
      <c r="G3129" s="11">
        <v>8135559679</v>
      </c>
      <c r="H3129" s="10" t="s">
        <v>6896</v>
      </c>
      <c r="I3129" s="10" t="s">
        <v>27</v>
      </c>
      <c r="J3129" s="10" t="s">
        <v>94</v>
      </c>
      <c r="K3129" s="12">
        <v>46013</v>
      </c>
      <c r="L3129" s="28" t="s">
        <v>11</v>
      </c>
      <c r="M3129" s="14"/>
      <c r="N3129" s="10" t="s">
        <v>1096</v>
      </c>
    </row>
    <row r="3130" spans="1:14" ht="22.5" customHeight="1">
      <c r="A3130" s="8">
        <v>46013.3438843287</v>
      </c>
      <c r="B3130" s="9" t="s">
        <v>14</v>
      </c>
      <c r="C3130" s="9" t="s">
        <v>15</v>
      </c>
      <c r="D3130" s="10" t="s">
        <v>6897</v>
      </c>
      <c r="E3130" s="9" t="s">
        <v>22</v>
      </c>
      <c r="F3130" s="10">
        <v>23</v>
      </c>
      <c r="G3130" s="11">
        <v>9075227286</v>
      </c>
      <c r="H3130" s="10" t="s">
        <v>6898</v>
      </c>
      <c r="I3130" s="10" t="s">
        <v>19</v>
      </c>
      <c r="J3130" s="10" t="s">
        <v>4357</v>
      </c>
      <c r="K3130" s="12">
        <v>46013</v>
      </c>
      <c r="L3130" s="28" t="s">
        <v>11</v>
      </c>
      <c r="M3130" s="14"/>
      <c r="N3130" s="10" t="s">
        <v>1028</v>
      </c>
    </row>
    <row r="3131" spans="1:14" ht="22.5" customHeight="1">
      <c r="A3131" s="8">
        <v>46013.365382384261</v>
      </c>
      <c r="B3131" s="9" t="s">
        <v>14</v>
      </c>
      <c r="C3131" s="9" t="s">
        <v>15</v>
      </c>
      <c r="D3131" s="10" t="s">
        <v>6899</v>
      </c>
      <c r="E3131" s="9" t="s">
        <v>22</v>
      </c>
      <c r="F3131" s="18">
        <v>23</v>
      </c>
      <c r="G3131" s="11">
        <v>8059680495</v>
      </c>
      <c r="H3131" s="10" t="s">
        <v>6900</v>
      </c>
      <c r="I3131" s="10" t="s">
        <v>19</v>
      </c>
      <c r="J3131" s="10" t="s">
        <v>6901</v>
      </c>
      <c r="K3131" s="12">
        <v>46013</v>
      </c>
      <c r="L3131" s="28" t="s">
        <v>11</v>
      </c>
      <c r="M3131" s="14"/>
      <c r="N3131" s="10" t="s">
        <v>1028</v>
      </c>
    </row>
    <row r="3132" spans="1:14" ht="22.5" customHeight="1">
      <c r="A3132" s="8">
        <v>46013.3725199537</v>
      </c>
      <c r="B3132" s="9" t="s">
        <v>14</v>
      </c>
      <c r="C3132" s="9" t="s">
        <v>15</v>
      </c>
      <c r="D3132" s="10" t="s">
        <v>6902</v>
      </c>
      <c r="E3132" s="9" t="s">
        <v>17</v>
      </c>
      <c r="F3132" s="10">
        <v>32</v>
      </c>
      <c r="G3132" s="11">
        <v>8139755255</v>
      </c>
      <c r="H3132" s="10" t="s">
        <v>6903</v>
      </c>
      <c r="I3132" s="10" t="s">
        <v>19</v>
      </c>
      <c r="J3132" s="10" t="s">
        <v>4349</v>
      </c>
      <c r="K3132" s="12">
        <v>46013</v>
      </c>
      <c r="L3132" s="28" t="s">
        <v>11</v>
      </c>
      <c r="M3132" s="14"/>
      <c r="N3132" s="10" t="s">
        <v>1096</v>
      </c>
    </row>
    <row r="3133" spans="1:14" ht="22.5" customHeight="1">
      <c r="A3133" s="8">
        <v>46013.374415034719</v>
      </c>
      <c r="B3133" s="9" t="s">
        <v>14</v>
      </c>
      <c r="C3133" s="9" t="s">
        <v>15</v>
      </c>
      <c r="D3133" s="10" t="s">
        <v>6904</v>
      </c>
      <c r="E3133" s="9" t="s">
        <v>22</v>
      </c>
      <c r="F3133" s="10">
        <v>19</v>
      </c>
      <c r="G3133" s="11">
        <v>8067536265</v>
      </c>
      <c r="H3133" s="10" t="s">
        <v>6905</v>
      </c>
      <c r="I3133" s="10" t="s">
        <v>49</v>
      </c>
      <c r="J3133" s="10" t="s">
        <v>628</v>
      </c>
      <c r="K3133" s="12">
        <v>46013</v>
      </c>
      <c r="L3133" s="28" t="s">
        <v>11</v>
      </c>
      <c r="M3133" s="14"/>
      <c r="N3133" s="10" t="s">
        <v>1028</v>
      </c>
    </row>
    <row r="3134" spans="1:14" ht="22.5" customHeight="1">
      <c r="A3134" s="8">
        <v>46013.394056701392</v>
      </c>
      <c r="B3134" s="9" t="s">
        <v>14</v>
      </c>
      <c r="C3134" s="9" t="s">
        <v>15</v>
      </c>
      <c r="D3134" s="10" t="s">
        <v>6906</v>
      </c>
      <c r="E3134" s="9" t="s">
        <v>17</v>
      </c>
      <c r="F3134" s="10">
        <v>27</v>
      </c>
      <c r="G3134" s="11">
        <v>9059900829</v>
      </c>
      <c r="H3134" s="10" t="s">
        <v>6907</v>
      </c>
      <c r="I3134" s="10" t="s">
        <v>45</v>
      </c>
      <c r="J3134" s="10" t="s">
        <v>901</v>
      </c>
      <c r="K3134" s="12">
        <v>46013</v>
      </c>
      <c r="L3134" s="28" t="s">
        <v>11</v>
      </c>
      <c r="M3134" s="14"/>
      <c r="N3134" s="10" t="s">
        <v>1028</v>
      </c>
    </row>
    <row r="3135" spans="1:14" ht="22.5" customHeight="1">
      <c r="A3135" s="8">
        <v>46013.400810324078</v>
      </c>
      <c r="B3135" s="9" t="s">
        <v>14</v>
      </c>
      <c r="C3135" s="9" t="s">
        <v>15</v>
      </c>
      <c r="D3135" s="10" t="s">
        <v>6908</v>
      </c>
      <c r="E3135" s="9" t="s">
        <v>17</v>
      </c>
      <c r="F3135" s="10">
        <v>30</v>
      </c>
      <c r="G3135" s="11">
        <v>9026839869</v>
      </c>
      <c r="H3135" s="10" t="s">
        <v>6909</v>
      </c>
      <c r="I3135" s="10" t="s">
        <v>45</v>
      </c>
      <c r="J3135" s="10" t="s">
        <v>6910</v>
      </c>
      <c r="K3135" s="12">
        <v>46013</v>
      </c>
      <c r="L3135" s="28" t="s">
        <v>11</v>
      </c>
      <c r="M3135" s="14"/>
      <c r="N3135" s="10" t="s">
        <v>1028</v>
      </c>
    </row>
    <row r="3136" spans="1:14" ht="22.5" customHeight="1">
      <c r="A3136" s="8">
        <v>46013.400886157411</v>
      </c>
      <c r="B3136" s="9" t="s">
        <v>14</v>
      </c>
      <c r="C3136" s="9" t="s">
        <v>15</v>
      </c>
      <c r="D3136" s="10" t="s">
        <v>6911</v>
      </c>
      <c r="E3136" s="9" t="s">
        <v>17</v>
      </c>
      <c r="F3136" s="10">
        <v>28</v>
      </c>
      <c r="G3136" s="11">
        <v>794845353</v>
      </c>
      <c r="H3136" s="10" t="s">
        <v>6912</v>
      </c>
      <c r="I3136" s="10" t="s">
        <v>19</v>
      </c>
      <c r="J3136" s="10" t="s">
        <v>6913</v>
      </c>
      <c r="K3136" s="12">
        <v>46013</v>
      </c>
      <c r="L3136" s="28" t="s">
        <v>11</v>
      </c>
      <c r="M3136" s="14"/>
      <c r="N3136" s="10" t="s">
        <v>1028</v>
      </c>
    </row>
    <row r="3137" spans="1:14" ht="22.5" customHeight="1">
      <c r="A3137" s="8">
        <v>46013.438490925924</v>
      </c>
      <c r="B3137" s="9" t="s">
        <v>14</v>
      </c>
      <c r="C3137" s="9" t="s">
        <v>15</v>
      </c>
      <c r="D3137" s="10" t="s">
        <v>6914</v>
      </c>
      <c r="E3137" s="9" t="s">
        <v>22</v>
      </c>
      <c r="F3137" s="10">
        <v>28</v>
      </c>
      <c r="G3137" s="11">
        <v>9037862482</v>
      </c>
      <c r="H3137" s="10" t="s">
        <v>6915</v>
      </c>
      <c r="I3137" s="10" t="s">
        <v>45</v>
      </c>
      <c r="J3137" s="10" t="s">
        <v>6916</v>
      </c>
      <c r="K3137" s="12">
        <v>46013</v>
      </c>
      <c r="L3137" s="28" t="s">
        <v>11</v>
      </c>
      <c r="M3137" s="14"/>
      <c r="N3137" s="10" t="s">
        <v>1096</v>
      </c>
    </row>
    <row r="3138" spans="1:14" ht="22.5" customHeight="1">
      <c r="A3138" s="8">
        <v>46013.475607870372</v>
      </c>
      <c r="B3138" s="9" t="s">
        <v>14</v>
      </c>
      <c r="C3138" s="9" t="s">
        <v>15</v>
      </c>
      <c r="D3138" s="10" t="s">
        <v>6917</v>
      </c>
      <c r="E3138" s="9" t="s">
        <v>22</v>
      </c>
      <c r="F3138" s="10">
        <v>23</v>
      </c>
      <c r="G3138" s="11">
        <v>8078409898</v>
      </c>
      <c r="H3138" s="10" t="s">
        <v>6918</v>
      </c>
      <c r="I3138" s="10" t="s">
        <v>45</v>
      </c>
      <c r="J3138" s="10" t="s">
        <v>100</v>
      </c>
      <c r="K3138" s="12">
        <v>46013</v>
      </c>
      <c r="L3138" s="28" t="s">
        <v>11</v>
      </c>
      <c r="M3138" s="14"/>
      <c r="N3138" s="10" t="s">
        <v>1028</v>
      </c>
    </row>
    <row r="3139" spans="1:14" ht="22.5" customHeight="1">
      <c r="A3139" s="8">
        <v>46013.482347650468</v>
      </c>
      <c r="B3139" s="9" t="s">
        <v>14</v>
      </c>
      <c r="C3139" s="9" t="s">
        <v>15</v>
      </c>
      <c r="D3139" s="10" t="s">
        <v>6919</v>
      </c>
      <c r="E3139" s="9" t="s">
        <v>17</v>
      </c>
      <c r="F3139" s="10">
        <v>35</v>
      </c>
      <c r="G3139" s="11">
        <v>7067708626</v>
      </c>
      <c r="H3139" s="10" t="s">
        <v>6920</v>
      </c>
      <c r="I3139" s="10" t="s">
        <v>49</v>
      </c>
      <c r="J3139" s="10" t="s">
        <v>73</v>
      </c>
      <c r="K3139" s="12">
        <v>46013</v>
      </c>
      <c r="L3139" s="28" t="s">
        <v>11</v>
      </c>
      <c r="M3139" s="14"/>
      <c r="N3139" s="10" t="s">
        <v>1035</v>
      </c>
    </row>
    <row r="3140" spans="1:14" ht="22.5" customHeight="1">
      <c r="A3140" s="8">
        <v>46013.482384988427</v>
      </c>
      <c r="B3140" s="9" t="s">
        <v>14</v>
      </c>
      <c r="C3140" s="9" t="s">
        <v>15</v>
      </c>
      <c r="D3140" s="10" t="s">
        <v>6921</v>
      </c>
      <c r="E3140" s="9" t="s">
        <v>17</v>
      </c>
      <c r="F3140" s="10">
        <v>30</v>
      </c>
      <c r="G3140" s="11">
        <v>7088882211</v>
      </c>
      <c r="H3140" s="10" t="s">
        <v>6922</v>
      </c>
      <c r="I3140" s="10" t="s">
        <v>31</v>
      </c>
      <c r="J3140" s="10" t="s">
        <v>36</v>
      </c>
      <c r="K3140" s="12">
        <v>46013</v>
      </c>
      <c r="L3140" s="28" t="s">
        <v>11</v>
      </c>
      <c r="M3140" s="14"/>
      <c r="N3140" s="10" t="s">
        <v>1028</v>
      </c>
    </row>
    <row r="3141" spans="1:14" ht="22.5" customHeight="1">
      <c r="A3141" s="8">
        <v>46013.497390775461</v>
      </c>
      <c r="B3141" s="9" t="s">
        <v>14</v>
      </c>
      <c r="C3141" s="9" t="s">
        <v>15</v>
      </c>
      <c r="D3141" s="10" t="s">
        <v>6923</v>
      </c>
      <c r="E3141" s="9" t="s">
        <v>17</v>
      </c>
      <c r="F3141" s="10">
        <v>31</v>
      </c>
      <c r="G3141" s="11">
        <v>8036718539</v>
      </c>
      <c r="H3141" s="10" t="s">
        <v>6924</v>
      </c>
      <c r="I3141" s="10" t="s">
        <v>49</v>
      </c>
      <c r="J3141" s="10" t="s">
        <v>106</v>
      </c>
      <c r="K3141" s="12">
        <v>46013</v>
      </c>
      <c r="L3141" s="28" t="s">
        <v>11</v>
      </c>
      <c r="M3141" s="14"/>
      <c r="N3141" s="10" t="s">
        <v>1028</v>
      </c>
    </row>
    <row r="3142" spans="1:14" ht="22.5" customHeight="1">
      <c r="A3142" s="8">
        <v>46013.499893981483</v>
      </c>
      <c r="B3142" s="9" t="s">
        <v>14</v>
      </c>
      <c r="C3142" s="9" t="s">
        <v>15</v>
      </c>
      <c r="D3142" s="10" t="s">
        <v>6925</v>
      </c>
      <c r="E3142" s="9" t="s">
        <v>22</v>
      </c>
      <c r="F3142" s="10">
        <v>36</v>
      </c>
      <c r="G3142" s="11">
        <v>9065829944</v>
      </c>
      <c r="H3142" s="10" t="s">
        <v>6926</v>
      </c>
      <c r="I3142" s="10" t="s">
        <v>202</v>
      </c>
      <c r="J3142" s="10" t="s">
        <v>4651</v>
      </c>
      <c r="K3142" s="12">
        <v>46013</v>
      </c>
      <c r="L3142" s="28" t="s">
        <v>11</v>
      </c>
      <c r="M3142" s="14"/>
      <c r="N3142" s="10" t="s">
        <v>1028</v>
      </c>
    </row>
    <row r="3143" spans="1:14" ht="22.5" customHeight="1">
      <c r="A3143" s="8">
        <v>46013.512102094908</v>
      </c>
      <c r="B3143" s="9" t="s">
        <v>14</v>
      </c>
      <c r="C3143" s="9" t="s">
        <v>15</v>
      </c>
      <c r="D3143" s="10" t="s">
        <v>6927</v>
      </c>
      <c r="E3143" s="9" t="s">
        <v>17</v>
      </c>
      <c r="F3143" s="10">
        <v>28</v>
      </c>
      <c r="G3143" s="11">
        <v>8050693761</v>
      </c>
      <c r="H3143" s="10" t="s">
        <v>6928</v>
      </c>
      <c r="I3143" s="10" t="s">
        <v>31</v>
      </c>
      <c r="J3143" s="10" t="s">
        <v>39</v>
      </c>
      <c r="K3143" s="12">
        <v>46013</v>
      </c>
      <c r="L3143" s="28" t="s">
        <v>11</v>
      </c>
      <c r="M3143" s="14"/>
      <c r="N3143" s="10" t="s">
        <v>1028</v>
      </c>
    </row>
    <row r="3144" spans="1:14" ht="22.5" customHeight="1">
      <c r="A3144" s="8">
        <v>46013.525864131945</v>
      </c>
      <c r="B3144" s="9" t="s">
        <v>14</v>
      </c>
      <c r="C3144" s="9" t="s">
        <v>15</v>
      </c>
      <c r="D3144" s="10" t="s">
        <v>6929</v>
      </c>
      <c r="E3144" s="9" t="s">
        <v>17</v>
      </c>
      <c r="F3144" s="10">
        <v>26</v>
      </c>
      <c r="G3144" s="11">
        <v>9065393384</v>
      </c>
      <c r="H3144" s="10" t="s">
        <v>4468</v>
      </c>
      <c r="I3144" s="10" t="s">
        <v>31</v>
      </c>
      <c r="J3144" s="10" t="s">
        <v>4115</v>
      </c>
      <c r="K3144" s="12">
        <v>46013</v>
      </c>
      <c r="L3144" s="28" t="s">
        <v>11</v>
      </c>
      <c r="M3144" s="14"/>
      <c r="N3144" s="10" t="s">
        <v>1028</v>
      </c>
    </row>
    <row r="3145" spans="1:14" ht="22.5" customHeight="1">
      <c r="A3145" s="8">
        <v>46013.531387962961</v>
      </c>
      <c r="B3145" s="9" t="s">
        <v>14</v>
      </c>
      <c r="C3145" s="9" t="s">
        <v>15</v>
      </c>
      <c r="D3145" s="10" t="s">
        <v>1655</v>
      </c>
      <c r="E3145" s="9" t="s">
        <v>22</v>
      </c>
      <c r="F3145" s="10">
        <v>35</v>
      </c>
      <c r="G3145" s="11">
        <v>8032646903</v>
      </c>
      <c r="H3145" s="10" t="s">
        <v>1656</v>
      </c>
      <c r="I3145" s="10" t="s">
        <v>49</v>
      </c>
      <c r="J3145" s="10" t="s">
        <v>50</v>
      </c>
      <c r="K3145" s="12">
        <v>46013</v>
      </c>
      <c r="L3145" s="28" t="s">
        <v>11</v>
      </c>
      <c r="M3145" s="14"/>
      <c r="N3145" s="10" t="s">
        <v>1028</v>
      </c>
    </row>
    <row r="3146" spans="1:14" ht="22.5" customHeight="1">
      <c r="A3146" s="8">
        <v>46013.532414479167</v>
      </c>
      <c r="B3146" s="9" t="s">
        <v>14</v>
      </c>
      <c r="C3146" s="9" t="s">
        <v>15</v>
      </c>
      <c r="D3146" s="10" t="s">
        <v>6930</v>
      </c>
      <c r="E3146" s="9" t="s">
        <v>17</v>
      </c>
      <c r="F3146" s="10">
        <v>33</v>
      </c>
      <c r="G3146" s="11">
        <v>8132673046</v>
      </c>
      <c r="H3146" s="10" t="s">
        <v>6931</v>
      </c>
      <c r="I3146" s="10" t="s">
        <v>31</v>
      </c>
      <c r="J3146" s="10" t="s">
        <v>2410</v>
      </c>
      <c r="K3146" s="12">
        <v>46013</v>
      </c>
      <c r="L3146" s="28" t="s">
        <v>11</v>
      </c>
      <c r="M3146" s="14"/>
      <c r="N3146" s="10" t="s">
        <v>1096</v>
      </c>
    </row>
    <row r="3147" spans="1:14" ht="22.5" customHeight="1">
      <c r="A3147" s="8">
        <v>46013.533044340278</v>
      </c>
      <c r="B3147" s="9" t="s">
        <v>14</v>
      </c>
      <c r="C3147" s="9" t="s">
        <v>15</v>
      </c>
      <c r="D3147" s="10" t="s">
        <v>6932</v>
      </c>
      <c r="E3147" s="9" t="s">
        <v>22</v>
      </c>
      <c r="F3147" s="10">
        <v>18</v>
      </c>
      <c r="G3147" s="11">
        <v>8153110425</v>
      </c>
      <c r="H3147" s="10" t="s">
        <v>6933</v>
      </c>
      <c r="I3147" s="10" t="s">
        <v>31</v>
      </c>
      <c r="J3147" s="10" t="s">
        <v>32</v>
      </c>
      <c r="K3147" s="12">
        <v>46013</v>
      </c>
      <c r="L3147" s="28" t="s">
        <v>11</v>
      </c>
      <c r="M3147" s="14"/>
      <c r="N3147" s="10" t="s">
        <v>1028</v>
      </c>
    </row>
    <row r="3148" spans="1:14" ht="22.5" customHeight="1">
      <c r="A3148" s="8">
        <v>46013.537839421297</v>
      </c>
      <c r="B3148" s="9" t="s">
        <v>14</v>
      </c>
      <c r="C3148" s="9" t="s">
        <v>15</v>
      </c>
      <c r="D3148" s="10" t="s">
        <v>6934</v>
      </c>
      <c r="E3148" s="9" t="s">
        <v>17</v>
      </c>
      <c r="F3148" s="10">
        <v>26</v>
      </c>
      <c r="G3148" s="11">
        <v>9137121162</v>
      </c>
      <c r="H3148" s="10" t="s">
        <v>6935</v>
      </c>
      <c r="I3148" s="10" t="s">
        <v>27</v>
      </c>
      <c r="J3148" s="10" t="s">
        <v>28</v>
      </c>
      <c r="K3148" s="12">
        <v>46013</v>
      </c>
      <c r="L3148" s="28" t="s">
        <v>11</v>
      </c>
      <c r="M3148" s="14"/>
      <c r="N3148" s="10" t="s">
        <v>1028</v>
      </c>
    </row>
    <row r="3149" spans="1:14" ht="22.5" customHeight="1">
      <c r="A3149" s="8">
        <v>46013.543001111109</v>
      </c>
      <c r="B3149" s="9" t="s">
        <v>14</v>
      </c>
      <c r="C3149" s="9" t="s">
        <v>15</v>
      </c>
      <c r="D3149" s="10" t="s">
        <v>6936</v>
      </c>
      <c r="E3149" s="9" t="s">
        <v>22</v>
      </c>
      <c r="F3149" s="10">
        <v>26</v>
      </c>
      <c r="G3149" s="11">
        <v>8164122365</v>
      </c>
      <c r="H3149" s="10" t="s">
        <v>6937</v>
      </c>
      <c r="I3149" s="10" t="s">
        <v>45</v>
      </c>
      <c r="J3149" s="10" t="s">
        <v>46</v>
      </c>
      <c r="K3149" s="12">
        <v>46013</v>
      </c>
      <c r="L3149" s="28" t="s">
        <v>11</v>
      </c>
      <c r="M3149" s="14"/>
      <c r="N3149" s="10" t="s">
        <v>1096</v>
      </c>
    </row>
    <row r="3150" spans="1:14" ht="22.5" hidden="1" customHeight="1">
      <c r="A3150" s="8">
        <v>46013.584355057872</v>
      </c>
      <c r="B3150" s="9" t="s">
        <v>14</v>
      </c>
      <c r="C3150" s="9" t="s">
        <v>15</v>
      </c>
      <c r="D3150" s="10" t="s">
        <v>6938</v>
      </c>
      <c r="E3150" s="9" t="s">
        <v>17</v>
      </c>
      <c r="F3150" s="10">
        <v>23</v>
      </c>
      <c r="G3150" s="11">
        <v>9031416265</v>
      </c>
      <c r="H3150" s="10" t="s">
        <v>6939</v>
      </c>
      <c r="I3150" s="10" t="s">
        <v>31</v>
      </c>
      <c r="J3150" s="10" t="s">
        <v>6940</v>
      </c>
      <c r="K3150" s="12">
        <v>46013</v>
      </c>
      <c r="L3150" s="10" t="s">
        <v>441</v>
      </c>
      <c r="M3150" s="14"/>
      <c r="N3150" s="10" t="s">
        <v>1096</v>
      </c>
    </row>
    <row r="3151" spans="1:14" ht="22.5" customHeight="1">
      <c r="A3151" s="8">
        <v>46013.624741273146</v>
      </c>
      <c r="B3151" s="9" t="s">
        <v>14</v>
      </c>
      <c r="C3151" s="9" t="s">
        <v>15</v>
      </c>
      <c r="D3151" s="10" t="s">
        <v>6941</v>
      </c>
      <c r="E3151" s="9" t="s">
        <v>17</v>
      </c>
      <c r="F3151" s="10">
        <v>41</v>
      </c>
      <c r="G3151" s="11">
        <v>8167522751</v>
      </c>
      <c r="H3151" s="10" t="s">
        <v>6942</v>
      </c>
      <c r="I3151" s="10" t="s">
        <v>31</v>
      </c>
      <c r="J3151" s="10" t="s">
        <v>39</v>
      </c>
      <c r="K3151" s="12">
        <v>46013</v>
      </c>
      <c r="L3151" s="28" t="s">
        <v>11</v>
      </c>
      <c r="M3151" s="14"/>
      <c r="N3151" s="10" t="s">
        <v>1028</v>
      </c>
    </row>
    <row r="3152" spans="1:14" ht="22.5" customHeight="1">
      <c r="A3152" s="8">
        <v>46013.626413576392</v>
      </c>
      <c r="B3152" s="9" t="s">
        <v>14</v>
      </c>
      <c r="C3152" s="9" t="s">
        <v>15</v>
      </c>
      <c r="D3152" s="10" t="s">
        <v>6943</v>
      </c>
      <c r="E3152" s="9" t="s">
        <v>22</v>
      </c>
      <c r="F3152" s="19">
        <v>44</v>
      </c>
      <c r="G3152" s="11">
        <v>7037092094</v>
      </c>
      <c r="H3152" s="10" t="s">
        <v>6944</v>
      </c>
      <c r="I3152" s="10" t="s">
        <v>31</v>
      </c>
      <c r="J3152" s="10" t="s">
        <v>4469</v>
      </c>
      <c r="K3152" s="12">
        <v>46013</v>
      </c>
      <c r="L3152" s="28" t="s">
        <v>11</v>
      </c>
      <c r="M3152" s="14"/>
      <c r="N3152" s="10" t="s">
        <v>1028</v>
      </c>
    </row>
    <row r="3153" spans="1:14" ht="22.5" customHeight="1">
      <c r="A3153" s="8">
        <v>46013.627168935185</v>
      </c>
      <c r="B3153" s="9" t="s">
        <v>14</v>
      </c>
      <c r="C3153" s="9" t="s">
        <v>15</v>
      </c>
      <c r="D3153" s="10" t="s">
        <v>4484</v>
      </c>
      <c r="E3153" s="9" t="s">
        <v>22</v>
      </c>
      <c r="F3153" s="10">
        <v>42</v>
      </c>
      <c r="G3153" s="11">
        <v>7018211753</v>
      </c>
      <c r="H3153" s="10" t="s">
        <v>4485</v>
      </c>
      <c r="I3153" s="10" t="s">
        <v>31</v>
      </c>
      <c r="J3153" s="10" t="s">
        <v>1952</v>
      </c>
      <c r="K3153" s="12">
        <v>46013</v>
      </c>
      <c r="L3153" s="28" t="s">
        <v>11</v>
      </c>
      <c r="M3153" s="14"/>
      <c r="N3153" s="10" t="s">
        <v>1028</v>
      </c>
    </row>
    <row r="3154" spans="1:14" ht="22.5" customHeight="1">
      <c r="A3154" s="8">
        <v>46013.636650625005</v>
      </c>
      <c r="B3154" s="9" t="s">
        <v>14</v>
      </c>
      <c r="C3154" s="9" t="s">
        <v>15</v>
      </c>
      <c r="D3154" s="10" t="s">
        <v>6945</v>
      </c>
      <c r="E3154" s="9" t="s">
        <v>17</v>
      </c>
      <c r="F3154" s="10">
        <v>30</v>
      </c>
      <c r="G3154" s="11">
        <v>8133048887</v>
      </c>
      <c r="H3154" s="10" t="s">
        <v>6946</v>
      </c>
      <c r="I3154" s="10" t="s">
        <v>31</v>
      </c>
      <c r="J3154" s="10" t="s">
        <v>6947</v>
      </c>
      <c r="K3154" s="12">
        <v>46013</v>
      </c>
      <c r="L3154" s="28" t="s">
        <v>11</v>
      </c>
      <c r="M3154" s="14"/>
      <c r="N3154" s="10" t="s">
        <v>1028</v>
      </c>
    </row>
    <row r="3155" spans="1:14" ht="22.5" customHeight="1">
      <c r="A3155" s="8">
        <v>46013.636846932874</v>
      </c>
      <c r="B3155" s="9" t="s">
        <v>14</v>
      </c>
      <c r="C3155" s="9" t="s">
        <v>15</v>
      </c>
      <c r="D3155" s="10" t="s">
        <v>6948</v>
      </c>
      <c r="E3155" s="9" t="s">
        <v>17</v>
      </c>
      <c r="F3155" s="10">
        <v>33</v>
      </c>
      <c r="G3155" s="11">
        <v>7035789702</v>
      </c>
      <c r="H3155" s="10" t="s">
        <v>6949</v>
      </c>
      <c r="I3155" s="10" t="s">
        <v>202</v>
      </c>
      <c r="J3155" s="10" t="s">
        <v>1839</v>
      </c>
      <c r="K3155" s="12">
        <v>46013</v>
      </c>
      <c r="L3155" s="28" t="s">
        <v>11</v>
      </c>
      <c r="M3155" s="14"/>
      <c r="N3155" s="10" t="s">
        <v>1028</v>
      </c>
    </row>
    <row r="3156" spans="1:14" ht="22.5" customHeight="1">
      <c r="A3156" s="8">
        <v>46013.64025744213</v>
      </c>
      <c r="B3156" s="9" t="s">
        <v>14</v>
      </c>
      <c r="C3156" s="9" t="s">
        <v>15</v>
      </c>
      <c r="D3156" s="10" t="s">
        <v>71</v>
      </c>
      <c r="E3156" s="9" t="s">
        <v>17</v>
      </c>
      <c r="F3156" s="10">
        <v>20</v>
      </c>
      <c r="G3156" s="11">
        <v>8132693010</v>
      </c>
      <c r="H3156" s="10" t="s">
        <v>72</v>
      </c>
      <c r="I3156" s="10" t="s">
        <v>49</v>
      </c>
      <c r="J3156" s="10" t="s">
        <v>73</v>
      </c>
      <c r="K3156" s="12">
        <v>46013</v>
      </c>
      <c r="L3156" s="28" t="s">
        <v>11</v>
      </c>
      <c r="M3156" s="14"/>
      <c r="N3156" s="10" t="s">
        <v>1028</v>
      </c>
    </row>
    <row r="3157" spans="1:14" ht="22.5" customHeight="1">
      <c r="A3157" s="8">
        <v>46013.643881412034</v>
      </c>
      <c r="B3157" s="9" t="s">
        <v>14</v>
      </c>
      <c r="C3157" s="9" t="s">
        <v>15</v>
      </c>
      <c r="D3157" s="10" t="s">
        <v>6950</v>
      </c>
      <c r="E3157" s="9" t="s">
        <v>22</v>
      </c>
      <c r="F3157" s="10">
        <v>24</v>
      </c>
      <c r="G3157" s="11">
        <v>7015152263</v>
      </c>
      <c r="H3157" s="10" t="s">
        <v>6951</v>
      </c>
      <c r="I3157" s="10" t="s">
        <v>31</v>
      </c>
      <c r="J3157" s="10" t="s">
        <v>1582</v>
      </c>
      <c r="K3157" s="12">
        <v>46013</v>
      </c>
      <c r="L3157" s="28" t="s">
        <v>11</v>
      </c>
      <c r="M3157" s="14"/>
      <c r="N3157" s="10" t="s">
        <v>1028</v>
      </c>
    </row>
    <row r="3158" spans="1:14" ht="22.5" customHeight="1">
      <c r="A3158" s="8">
        <v>46013.645321111107</v>
      </c>
      <c r="B3158" s="9" t="s">
        <v>14</v>
      </c>
      <c r="C3158" s="9" t="s">
        <v>15</v>
      </c>
      <c r="D3158" s="10" t="s">
        <v>6952</v>
      </c>
      <c r="E3158" s="9" t="s">
        <v>22</v>
      </c>
      <c r="F3158" s="10">
        <v>24</v>
      </c>
      <c r="G3158" s="11">
        <v>8130712621</v>
      </c>
      <c r="H3158" s="10" t="s">
        <v>6953</v>
      </c>
      <c r="I3158" s="10" t="s">
        <v>45</v>
      </c>
      <c r="J3158" s="10" t="s">
        <v>6954</v>
      </c>
      <c r="K3158" s="12">
        <v>46013</v>
      </c>
      <c r="L3158" s="28" t="s">
        <v>11</v>
      </c>
      <c r="M3158" s="14"/>
      <c r="N3158" s="10" t="s">
        <v>1028</v>
      </c>
    </row>
    <row r="3159" spans="1:14" ht="22.5" customHeight="1">
      <c r="A3159" s="8">
        <v>46013.657311550924</v>
      </c>
      <c r="B3159" s="9" t="s">
        <v>14</v>
      </c>
      <c r="C3159" s="9" t="s">
        <v>15</v>
      </c>
      <c r="D3159" s="10" t="s">
        <v>6955</v>
      </c>
      <c r="E3159" s="9" t="s">
        <v>17</v>
      </c>
      <c r="F3159" s="10">
        <v>32</v>
      </c>
      <c r="G3159" s="11">
        <v>8068062714</v>
      </c>
      <c r="H3159" s="10" t="s">
        <v>3842</v>
      </c>
      <c r="I3159" s="10" t="s">
        <v>31</v>
      </c>
      <c r="J3159" s="10" t="s">
        <v>2358</v>
      </c>
      <c r="K3159" s="12">
        <v>46013</v>
      </c>
      <c r="L3159" s="28" t="s">
        <v>11</v>
      </c>
      <c r="M3159" s="14"/>
      <c r="N3159" s="10" t="s">
        <v>1028</v>
      </c>
    </row>
    <row r="3160" spans="1:14" ht="22.5" customHeight="1">
      <c r="A3160" s="8">
        <v>46013.672305092594</v>
      </c>
      <c r="B3160" s="9" t="s">
        <v>14</v>
      </c>
      <c r="C3160" s="9" t="s">
        <v>15</v>
      </c>
      <c r="D3160" s="10" t="s">
        <v>6956</v>
      </c>
      <c r="E3160" s="9" t="s">
        <v>22</v>
      </c>
      <c r="F3160" s="10">
        <v>26</v>
      </c>
      <c r="G3160" s="11">
        <v>7048983034</v>
      </c>
      <c r="H3160" s="10" t="s">
        <v>6957</v>
      </c>
      <c r="I3160" s="10" t="s">
        <v>49</v>
      </c>
      <c r="J3160" s="10" t="s">
        <v>232</v>
      </c>
      <c r="K3160" s="12">
        <v>46013</v>
      </c>
      <c r="L3160" s="28" t="s">
        <v>11</v>
      </c>
      <c r="M3160" s="14"/>
      <c r="N3160" s="10" t="s">
        <v>1028</v>
      </c>
    </row>
    <row r="3161" spans="1:14" ht="22.5" customHeight="1">
      <c r="A3161" s="8">
        <v>46013.690793946764</v>
      </c>
      <c r="B3161" s="9" t="s">
        <v>14</v>
      </c>
      <c r="C3161" s="9" t="s">
        <v>15</v>
      </c>
      <c r="D3161" s="10" t="s">
        <v>6958</v>
      </c>
      <c r="E3161" s="9" t="s">
        <v>17</v>
      </c>
      <c r="F3161" s="10">
        <v>27</v>
      </c>
      <c r="G3161" s="11">
        <v>9061639828</v>
      </c>
      <c r="H3161" s="10" t="s">
        <v>6959</v>
      </c>
      <c r="I3161" s="10" t="s">
        <v>27</v>
      </c>
      <c r="J3161" s="10" t="s">
        <v>2258</v>
      </c>
      <c r="K3161" s="12">
        <v>46013</v>
      </c>
      <c r="L3161" s="28" t="s">
        <v>11</v>
      </c>
      <c r="M3161" s="14"/>
      <c r="N3161" s="10" t="s">
        <v>1028</v>
      </c>
    </row>
    <row r="3162" spans="1:14" ht="22.5" customHeight="1">
      <c r="A3162" s="8">
        <v>46013.691506539355</v>
      </c>
      <c r="B3162" s="9" t="s">
        <v>14</v>
      </c>
      <c r="C3162" s="9" t="s">
        <v>15</v>
      </c>
      <c r="D3162" s="10" t="s">
        <v>6960</v>
      </c>
      <c r="E3162" s="9" t="s">
        <v>17</v>
      </c>
      <c r="F3162" s="10">
        <v>30</v>
      </c>
      <c r="G3162" s="11">
        <v>8129185624</v>
      </c>
      <c r="H3162" s="10" t="s">
        <v>6961</v>
      </c>
      <c r="I3162" s="10" t="s">
        <v>27</v>
      </c>
      <c r="J3162" s="10" t="s">
        <v>2258</v>
      </c>
      <c r="K3162" s="12">
        <v>46013</v>
      </c>
      <c r="L3162" s="28" t="s">
        <v>11</v>
      </c>
      <c r="M3162" s="14"/>
      <c r="N3162" s="10" t="s">
        <v>1028</v>
      </c>
    </row>
    <row r="3163" spans="1:14" ht="22.5" customHeight="1">
      <c r="A3163" s="8">
        <v>46013.691640543984</v>
      </c>
      <c r="B3163" s="9" t="s">
        <v>14</v>
      </c>
      <c r="C3163" s="9" t="s">
        <v>15</v>
      </c>
      <c r="D3163" s="10" t="s">
        <v>6962</v>
      </c>
      <c r="E3163" s="9" t="s">
        <v>17</v>
      </c>
      <c r="F3163" s="10">
        <v>26</v>
      </c>
      <c r="G3163" s="11">
        <v>7032338601</v>
      </c>
      <c r="H3163" s="10" t="s">
        <v>6963</v>
      </c>
      <c r="I3163" s="10" t="s">
        <v>27</v>
      </c>
      <c r="J3163" s="10" t="s">
        <v>94</v>
      </c>
      <c r="K3163" s="12">
        <v>46013</v>
      </c>
      <c r="L3163" s="28" t="s">
        <v>11</v>
      </c>
      <c r="M3163" s="14"/>
      <c r="N3163" s="10" t="s">
        <v>1028</v>
      </c>
    </row>
    <row r="3164" spans="1:14" ht="22.5" customHeight="1">
      <c r="A3164" s="8">
        <v>46013.694468530091</v>
      </c>
      <c r="B3164" s="9" t="s">
        <v>14</v>
      </c>
      <c r="C3164" s="9" t="s">
        <v>15</v>
      </c>
      <c r="D3164" s="10" t="s">
        <v>6964</v>
      </c>
      <c r="E3164" s="9" t="s">
        <v>22</v>
      </c>
      <c r="F3164" s="10">
        <v>25</v>
      </c>
      <c r="G3164" s="11">
        <v>7033146007</v>
      </c>
      <c r="H3164" s="10" t="s">
        <v>6965</v>
      </c>
      <c r="I3164" s="10" t="s">
        <v>27</v>
      </c>
      <c r="J3164" s="10" t="s">
        <v>172</v>
      </c>
      <c r="K3164" s="12">
        <v>46013</v>
      </c>
      <c r="L3164" s="28" t="s">
        <v>11</v>
      </c>
      <c r="M3164" s="14"/>
      <c r="N3164" s="10" t="s">
        <v>1028</v>
      </c>
    </row>
    <row r="3165" spans="1:14" ht="22.5" hidden="1" customHeight="1">
      <c r="A3165" s="8">
        <v>46013.696632476851</v>
      </c>
      <c r="B3165" s="9" t="s">
        <v>14</v>
      </c>
      <c r="C3165" s="9" t="s">
        <v>15</v>
      </c>
      <c r="D3165" s="10" t="s">
        <v>6966</v>
      </c>
      <c r="E3165" s="9" t="s">
        <v>22</v>
      </c>
      <c r="F3165" s="10">
        <v>30</v>
      </c>
      <c r="G3165" s="11">
        <v>8032531425</v>
      </c>
      <c r="H3165" s="10" t="s">
        <v>6967</v>
      </c>
      <c r="I3165" s="10" t="s">
        <v>27</v>
      </c>
      <c r="J3165" s="10" t="s">
        <v>2258</v>
      </c>
      <c r="K3165" s="12">
        <v>46013</v>
      </c>
      <c r="L3165" s="10" t="s">
        <v>441</v>
      </c>
      <c r="M3165" s="10"/>
      <c r="N3165" s="10" t="s">
        <v>1563</v>
      </c>
    </row>
    <row r="3166" spans="1:14" ht="22.5" customHeight="1">
      <c r="A3166" s="8">
        <v>46013.697897534723</v>
      </c>
      <c r="B3166" s="9" t="s">
        <v>14</v>
      </c>
      <c r="C3166" s="9" t="s">
        <v>15</v>
      </c>
      <c r="D3166" s="10" t="s">
        <v>6968</v>
      </c>
      <c r="E3166" s="9" t="s">
        <v>17</v>
      </c>
      <c r="F3166" s="10">
        <v>18</v>
      </c>
      <c r="G3166" s="11">
        <v>9023708902</v>
      </c>
      <c r="H3166" s="10" t="s">
        <v>6969</v>
      </c>
      <c r="I3166" s="10" t="s">
        <v>27</v>
      </c>
      <c r="J3166" s="10" t="s">
        <v>2258</v>
      </c>
      <c r="K3166" s="12">
        <v>46013</v>
      </c>
      <c r="L3166" s="28" t="s">
        <v>11</v>
      </c>
      <c r="M3166" s="14"/>
      <c r="N3166" s="10" t="s">
        <v>1028</v>
      </c>
    </row>
    <row r="3167" spans="1:14" ht="22.5" customHeight="1">
      <c r="A3167" s="8">
        <v>46013.697918182872</v>
      </c>
      <c r="B3167" s="9" t="s">
        <v>14</v>
      </c>
      <c r="C3167" s="9" t="s">
        <v>15</v>
      </c>
      <c r="D3167" s="10" t="s">
        <v>6970</v>
      </c>
      <c r="E3167" s="9" t="s">
        <v>17</v>
      </c>
      <c r="F3167" s="10">
        <v>24</v>
      </c>
      <c r="G3167" s="11">
        <v>7026624771</v>
      </c>
      <c r="H3167" s="10" t="s">
        <v>6971</v>
      </c>
      <c r="I3167" s="10" t="s">
        <v>27</v>
      </c>
      <c r="J3167" s="10" t="s">
        <v>6972</v>
      </c>
      <c r="K3167" s="12">
        <v>46013</v>
      </c>
      <c r="L3167" s="28" t="s">
        <v>11</v>
      </c>
      <c r="M3167" s="10"/>
      <c r="N3167" s="10" t="s">
        <v>1563</v>
      </c>
    </row>
    <row r="3168" spans="1:14" ht="22.5" hidden="1" customHeight="1">
      <c r="A3168" s="8">
        <v>46013.700872777779</v>
      </c>
      <c r="B3168" s="9" t="s">
        <v>14</v>
      </c>
      <c r="C3168" s="9" t="s">
        <v>15</v>
      </c>
      <c r="D3168" s="10" t="s">
        <v>6973</v>
      </c>
      <c r="E3168" s="9" t="s">
        <v>17</v>
      </c>
      <c r="F3168" s="10">
        <v>25</v>
      </c>
      <c r="G3168" s="11">
        <v>9037947755</v>
      </c>
      <c r="H3168" s="10" t="s">
        <v>6974</v>
      </c>
      <c r="I3168" s="10" t="s">
        <v>27</v>
      </c>
      <c r="J3168" s="10" t="s">
        <v>53</v>
      </c>
      <c r="K3168" s="12">
        <v>46013</v>
      </c>
      <c r="L3168" s="10" t="s">
        <v>441</v>
      </c>
      <c r="M3168" s="10" t="s">
        <v>1361</v>
      </c>
      <c r="N3168" s="10" t="s">
        <v>1028</v>
      </c>
    </row>
    <row r="3169" spans="1:14" ht="22.5" customHeight="1">
      <c r="A3169" s="8">
        <v>46013.700873483795</v>
      </c>
      <c r="B3169" s="9" t="s">
        <v>14</v>
      </c>
      <c r="C3169" s="9" t="s">
        <v>15</v>
      </c>
      <c r="D3169" s="10" t="s">
        <v>6975</v>
      </c>
      <c r="E3169" s="9" t="s">
        <v>17</v>
      </c>
      <c r="F3169" s="10">
        <v>25</v>
      </c>
      <c r="G3169" s="11">
        <v>9023620905</v>
      </c>
      <c r="H3169" s="10" t="s">
        <v>6976</v>
      </c>
      <c r="I3169" s="10" t="s">
        <v>27</v>
      </c>
      <c r="J3169" s="10" t="s">
        <v>372</v>
      </c>
      <c r="K3169" s="12">
        <v>46013</v>
      </c>
      <c r="L3169" s="28" t="s">
        <v>11</v>
      </c>
      <c r="M3169" s="10"/>
      <c r="N3169" s="10" t="s">
        <v>1028</v>
      </c>
    </row>
    <row r="3170" spans="1:14" ht="22.5" customHeight="1">
      <c r="A3170" s="8">
        <v>46013.703291562502</v>
      </c>
      <c r="B3170" s="9" t="s">
        <v>14</v>
      </c>
      <c r="C3170" s="9" t="s">
        <v>15</v>
      </c>
      <c r="D3170" s="10" t="s">
        <v>6977</v>
      </c>
      <c r="E3170" s="9" t="s">
        <v>22</v>
      </c>
      <c r="F3170" s="10">
        <v>25</v>
      </c>
      <c r="G3170" s="11">
        <v>9029355688</v>
      </c>
      <c r="H3170" s="10" t="s">
        <v>6978</v>
      </c>
      <c r="I3170" s="10" t="s">
        <v>27</v>
      </c>
      <c r="J3170" s="10" t="s">
        <v>2258</v>
      </c>
      <c r="K3170" s="12">
        <v>46013</v>
      </c>
      <c r="L3170" s="28" t="s">
        <v>11</v>
      </c>
      <c r="M3170" s="14"/>
      <c r="N3170" s="10" t="s">
        <v>1028</v>
      </c>
    </row>
    <row r="3171" spans="1:14" ht="22.5" customHeight="1">
      <c r="A3171" s="8">
        <v>46013.703578530098</v>
      </c>
      <c r="B3171" s="9" t="s">
        <v>14</v>
      </c>
      <c r="C3171" s="9" t="s">
        <v>15</v>
      </c>
      <c r="D3171" s="10" t="s">
        <v>6979</v>
      </c>
      <c r="E3171" s="9" t="s">
        <v>17</v>
      </c>
      <c r="F3171" s="10">
        <v>40</v>
      </c>
      <c r="G3171" s="11">
        <v>8035191243</v>
      </c>
      <c r="H3171" s="10" t="s">
        <v>6980</v>
      </c>
      <c r="I3171" s="10" t="s">
        <v>27</v>
      </c>
      <c r="J3171" s="10" t="s">
        <v>172</v>
      </c>
      <c r="K3171" s="12">
        <v>46013</v>
      </c>
      <c r="L3171" s="28" t="s">
        <v>11</v>
      </c>
      <c r="M3171" s="14"/>
      <c r="N3171" s="10" t="s">
        <v>1028</v>
      </c>
    </row>
    <row r="3172" spans="1:14" ht="22.5" customHeight="1">
      <c r="A3172" s="8">
        <v>46013.706001909726</v>
      </c>
      <c r="B3172" s="9" t="s">
        <v>14</v>
      </c>
      <c r="C3172" s="9" t="s">
        <v>15</v>
      </c>
      <c r="D3172" s="10" t="s">
        <v>6981</v>
      </c>
      <c r="E3172" s="9" t="s">
        <v>17</v>
      </c>
      <c r="F3172" s="10">
        <v>25</v>
      </c>
      <c r="G3172" s="11">
        <v>7081167074</v>
      </c>
      <c r="H3172" s="10" t="s">
        <v>6982</v>
      </c>
      <c r="I3172" s="10" t="s">
        <v>45</v>
      </c>
      <c r="J3172" s="10" t="s">
        <v>178</v>
      </c>
      <c r="K3172" s="12">
        <v>46013</v>
      </c>
      <c r="L3172" s="28" t="s">
        <v>11</v>
      </c>
      <c r="M3172" s="14"/>
      <c r="N3172" s="10" t="s">
        <v>1028</v>
      </c>
    </row>
    <row r="3173" spans="1:14" ht="22.5" hidden="1" customHeight="1">
      <c r="A3173" s="8">
        <v>46013.709648460645</v>
      </c>
      <c r="B3173" s="9" t="s">
        <v>14</v>
      </c>
      <c r="C3173" s="9" t="s">
        <v>15</v>
      </c>
      <c r="D3173" s="10" t="s">
        <v>6973</v>
      </c>
      <c r="E3173" s="9" t="s">
        <v>17</v>
      </c>
      <c r="F3173" s="10">
        <v>25</v>
      </c>
      <c r="G3173" s="11">
        <v>9037947755</v>
      </c>
      <c r="H3173" s="10" t="s">
        <v>6974</v>
      </c>
      <c r="I3173" s="10" t="s">
        <v>27</v>
      </c>
      <c r="J3173" s="10" t="s">
        <v>53</v>
      </c>
      <c r="K3173" s="12">
        <v>46013</v>
      </c>
      <c r="L3173" s="10" t="s">
        <v>441</v>
      </c>
      <c r="M3173" s="10" t="s">
        <v>1361</v>
      </c>
      <c r="N3173" s="10" t="s">
        <v>1028</v>
      </c>
    </row>
    <row r="3174" spans="1:14" ht="22.5" customHeight="1">
      <c r="A3174" s="8">
        <v>46013.712266215276</v>
      </c>
      <c r="B3174" s="9" t="s">
        <v>14</v>
      </c>
      <c r="C3174" s="9" t="s">
        <v>15</v>
      </c>
      <c r="D3174" s="10" t="s">
        <v>6983</v>
      </c>
      <c r="E3174" s="9" t="s">
        <v>17</v>
      </c>
      <c r="F3174" s="10">
        <v>22</v>
      </c>
      <c r="G3174" s="11">
        <v>8138753669</v>
      </c>
      <c r="H3174" s="10" t="s">
        <v>6984</v>
      </c>
      <c r="I3174" s="10" t="s">
        <v>27</v>
      </c>
      <c r="J3174" s="10" t="s">
        <v>6985</v>
      </c>
      <c r="K3174" s="12">
        <v>46013</v>
      </c>
      <c r="L3174" s="28" t="s">
        <v>11</v>
      </c>
      <c r="M3174" s="14"/>
      <c r="N3174" s="10" t="s">
        <v>1028</v>
      </c>
    </row>
    <row r="3175" spans="1:14" ht="22.5" customHeight="1">
      <c r="A3175" s="8">
        <v>46013.714395856485</v>
      </c>
      <c r="B3175" s="9" t="s">
        <v>14</v>
      </c>
      <c r="C3175" s="9" t="s">
        <v>15</v>
      </c>
      <c r="D3175" s="10" t="s">
        <v>6986</v>
      </c>
      <c r="E3175" s="9" t="s">
        <v>17</v>
      </c>
      <c r="F3175" s="10">
        <v>33</v>
      </c>
      <c r="G3175" s="11">
        <f>2348109535338</f>
        <v>2348109535338</v>
      </c>
      <c r="H3175" s="10" t="s">
        <v>6987</v>
      </c>
      <c r="I3175" s="10" t="s">
        <v>27</v>
      </c>
      <c r="J3175" s="10" t="s">
        <v>1293</v>
      </c>
      <c r="K3175" s="12">
        <v>46013</v>
      </c>
      <c r="L3175" s="28" t="s">
        <v>11</v>
      </c>
      <c r="M3175" s="14"/>
      <c r="N3175" s="10" t="s">
        <v>1028</v>
      </c>
    </row>
    <row r="3176" spans="1:14" ht="22.5" customHeight="1">
      <c r="A3176" s="8">
        <v>46013.714453518522</v>
      </c>
      <c r="B3176" s="9" t="s">
        <v>14</v>
      </c>
      <c r="C3176" s="9" t="s">
        <v>15</v>
      </c>
      <c r="D3176" s="10" t="s">
        <v>6988</v>
      </c>
      <c r="E3176" s="9" t="s">
        <v>17</v>
      </c>
      <c r="F3176" s="10">
        <v>35</v>
      </c>
      <c r="G3176" s="11">
        <v>7058973053</v>
      </c>
      <c r="H3176" s="10" t="s">
        <v>6989</v>
      </c>
      <c r="I3176" s="10" t="s">
        <v>27</v>
      </c>
      <c r="J3176" s="10" t="s">
        <v>6985</v>
      </c>
      <c r="K3176" s="12">
        <v>46013</v>
      </c>
      <c r="L3176" s="28" t="s">
        <v>11</v>
      </c>
      <c r="M3176" s="14"/>
      <c r="N3176" s="10" t="s">
        <v>1028</v>
      </c>
    </row>
    <row r="3177" spans="1:14" ht="22.5" customHeight="1">
      <c r="A3177" s="8">
        <v>46013.714464525459</v>
      </c>
      <c r="B3177" s="9" t="s">
        <v>14</v>
      </c>
      <c r="C3177" s="9" t="s">
        <v>15</v>
      </c>
      <c r="D3177" s="10" t="s">
        <v>233</v>
      </c>
      <c r="E3177" s="9" t="s">
        <v>17</v>
      </c>
      <c r="F3177" s="10">
        <v>36</v>
      </c>
      <c r="G3177" s="11">
        <v>9035577902</v>
      </c>
      <c r="H3177" s="10" t="s">
        <v>234</v>
      </c>
      <c r="I3177" s="10" t="s">
        <v>49</v>
      </c>
      <c r="J3177" s="10" t="s">
        <v>229</v>
      </c>
      <c r="K3177" s="12">
        <v>46013</v>
      </c>
      <c r="L3177" s="28" t="s">
        <v>11</v>
      </c>
      <c r="M3177" s="14"/>
      <c r="N3177" s="10" t="s">
        <v>1028</v>
      </c>
    </row>
    <row r="3178" spans="1:14" ht="22.5" customHeight="1">
      <c r="A3178" s="8">
        <v>46013.71822195602</v>
      </c>
      <c r="B3178" s="9" t="s">
        <v>14</v>
      </c>
      <c r="C3178" s="9" t="s">
        <v>15</v>
      </c>
      <c r="D3178" s="10" t="s">
        <v>6990</v>
      </c>
      <c r="E3178" s="9" t="s">
        <v>22</v>
      </c>
      <c r="F3178" s="10">
        <v>19</v>
      </c>
      <c r="G3178" s="11">
        <v>7037664467</v>
      </c>
      <c r="H3178" s="10" t="s">
        <v>6991</v>
      </c>
      <c r="I3178" s="10" t="s">
        <v>45</v>
      </c>
      <c r="J3178" s="10" t="s">
        <v>3640</v>
      </c>
      <c r="K3178" s="12">
        <v>46013</v>
      </c>
      <c r="L3178" s="28" t="s">
        <v>11</v>
      </c>
      <c r="M3178" s="14"/>
      <c r="N3178" s="10" t="s">
        <v>1028</v>
      </c>
    </row>
    <row r="3179" spans="1:14" ht="22.5" customHeight="1">
      <c r="A3179" s="8">
        <v>46013.718544849537</v>
      </c>
      <c r="B3179" s="9" t="s">
        <v>14</v>
      </c>
      <c r="C3179" s="9" t="s">
        <v>15</v>
      </c>
      <c r="D3179" s="10" t="s">
        <v>6992</v>
      </c>
      <c r="E3179" s="9" t="s">
        <v>17</v>
      </c>
      <c r="F3179" s="10">
        <v>26</v>
      </c>
      <c r="G3179" s="11">
        <v>7080945413</v>
      </c>
      <c r="H3179" s="10" t="s">
        <v>6993</v>
      </c>
      <c r="I3179" s="10" t="s">
        <v>27</v>
      </c>
      <c r="J3179" s="10" t="s">
        <v>6972</v>
      </c>
      <c r="K3179" s="12">
        <v>46013</v>
      </c>
      <c r="L3179" s="28" t="s">
        <v>11</v>
      </c>
      <c r="M3179" s="14"/>
      <c r="N3179" s="10" t="s">
        <v>1028</v>
      </c>
    </row>
    <row r="3180" spans="1:14" ht="22.5" customHeight="1">
      <c r="A3180" s="8">
        <v>46013.720799722221</v>
      </c>
      <c r="B3180" s="9" t="s">
        <v>14</v>
      </c>
      <c r="C3180" s="9" t="s">
        <v>15</v>
      </c>
      <c r="D3180" s="10" t="s">
        <v>6994</v>
      </c>
      <c r="E3180" s="9" t="s">
        <v>22</v>
      </c>
      <c r="F3180" s="10">
        <v>22</v>
      </c>
      <c r="G3180" s="11">
        <v>8061736338</v>
      </c>
      <c r="H3180" s="10" t="s">
        <v>6995</v>
      </c>
      <c r="I3180" s="10" t="s">
        <v>27</v>
      </c>
      <c r="J3180" s="10" t="s">
        <v>172</v>
      </c>
      <c r="K3180" s="12">
        <v>46013</v>
      </c>
      <c r="L3180" s="28" t="s">
        <v>11</v>
      </c>
      <c r="M3180" s="14"/>
      <c r="N3180" s="10" t="s">
        <v>1028</v>
      </c>
    </row>
    <row r="3181" spans="1:14" ht="22.5" customHeight="1">
      <c r="A3181" s="8">
        <v>46013.723831793977</v>
      </c>
      <c r="B3181" s="9" t="s">
        <v>14</v>
      </c>
      <c r="C3181" s="9" t="s">
        <v>15</v>
      </c>
      <c r="D3181" s="10" t="s">
        <v>6996</v>
      </c>
      <c r="E3181" s="9" t="s">
        <v>17</v>
      </c>
      <c r="F3181" s="10">
        <v>25</v>
      </c>
      <c r="G3181" s="11">
        <v>8061710381</v>
      </c>
      <c r="H3181" s="10" t="s">
        <v>6997</v>
      </c>
      <c r="I3181" s="10" t="s">
        <v>27</v>
      </c>
      <c r="J3181" s="10" t="s">
        <v>2258</v>
      </c>
      <c r="K3181" s="12">
        <v>46013</v>
      </c>
      <c r="L3181" s="28" t="s">
        <v>11</v>
      </c>
      <c r="M3181" s="14"/>
      <c r="N3181" s="10" t="s">
        <v>1096</v>
      </c>
    </row>
    <row r="3182" spans="1:14" ht="22.5" customHeight="1">
      <c r="A3182" s="8">
        <v>46013.728162893516</v>
      </c>
      <c r="B3182" s="9" t="s">
        <v>14</v>
      </c>
      <c r="C3182" s="9" t="s">
        <v>15</v>
      </c>
      <c r="D3182" s="10" t="s">
        <v>6998</v>
      </c>
      <c r="E3182" s="9" t="s">
        <v>22</v>
      </c>
      <c r="F3182" s="10">
        <v>30</v>
      </c>
      <c r="G3182" s="11">
        <v>9134752294</v>
      </c>
      <c r="H3182" s="10" t="s">
        <v>6999</v>
      </c>
      <c r="I3182" s="10" t="s">
        <v>31</v>
      </c>
      <c r="J3182" s="10" t="s">
        <v>39</v>
      </c>
      <c r="K3182" s="12">
        <v>46013</v>
      </c>
      <c r="L3182" s="28" t="s">
        <v>11</v>
      </c>
      <c r="M3182" s="14"/>
      <c r="N3182" s="10" t="s">
        <v>1028</v>
      </c>
    </row>
    <row r="3183" spans="1:14" ht="22.5" customHeight="1">
      <c r="A3183" s="8">
        <v>46013.731224976851</v>
      </c>
      <c r="B3183" s="9" t="s">
        <v>14</v>
      </c>
      <c r="C3183" s="9" t="s">
        <v>15</v>
      </c>
      <c r="D3183" s="10" t="s">
        <v>7000</v>
      </c>
      <c r="E3183" s="9" t="s">
        <v>17</v>
      </c>
      <c r="F3183" s="10">
        <v>25</v>
      </c>
      <c r="G3183" s="11">
        <v>9119490911</v>
      </c>
      <c r="H3183" s="10" t="s">
        <v>7001</v>
      </c>
      <c r="I3183" s="10" t="s">
        <v>45</v>
      </c>
      <c r="J3183" s="10" t="s">
        <v>7002</v>
      </c>
      <c r="K3183" s="12">
        <v>46013</v>
      </c>
      <c r="L3183" s="28" t="s">
        <v>11</v>
      </c>
      <c r="M3183" s="14"/>
      <c r="N3183" s="10" t="s">
        <v>1028</v>
      </c>
    </row>
    <row r="3184" spans="1:14" ht="22.5" customHeight="1">
      <c r="A3184" s="8">
        <v>46013.732015601854</v>
      </c>
      <c r="B3184" s="9" t="s">
        <v>14</v>
      </c>
      <c r="C3184" s="9" t="s">
        <v>15</v>
      </c>
      <c r="D3184" s="10" t="s">
        <v>7003</v>
      </c>
      <c r="E3184" s="9" t="s">
        <v>17</v>
      </c>
      <c r="F3184" s="10">
        <v>24</v>
      </c>
      <c r="G3184" s="11">
        <v>8069358802</v>
      </c>
      <c r="H3184" s="10" t="s">
        <v>7004</v>
      </c>
      <c r="I3184" s="10" t="s">
        <v>45</v>
      </c>
      <c r="J3184" s="10" t="s">
        <v>1191</v>
      </c>
      <c r="K3184" s="12">
        <v>46013</v>
      </c>
      <c r="L3184" s="28" t="s">
        <v>11</v>
      </c>
      <c r="M3184" s="14"/>
      <c r="N3184" s="10" t="s">
        <v>1028</v>
      </c>
    </row>
    <row r="3185" spans="1:14" ht="22.5" hidden="1" customHeight="1">
      <c r="A3185" s="8">
        <v>46013.736246215281</v>
      </c>
      <c r="B3185" s="9" t="s">
        <v>14</v>
      </c>
      <c r="C3185" s="9" t="s">
        <v>15</v>
      </c>
      <c r="D3185" s="10" t="s">
        <v>5744</v>
      </c>
      <c r="E3185" s="9" t="s">
        <v>17</v>
      </c>
      <c r="F3185" s="10">
        <v>35</v>
      </c>
      <c r="G3185" s="11">
        <v>7068626835</v>
      </c>
      <c r="H3185" s="10" t="s">
        <v>7005</v>
      </c>
      <c r="I3185" s="10" t="s">
        <v>27</v>
      </c>
      <c r="J3185" s="10" t="s">
        <v>2258</v>
      </c>
      <c r="K3185" s="12">
        <v>46013</v>
      </c>
      <c r="L3185" s="10" t="s">
        <v>441</v>
      </c>
      <c r="M3185" s="10" t="s">
        <v>1361</v>
      </c>
      <c r="N3185" s="10" t="s">
        <v>1028</v>
      </c>
    </row>
    <row r="3186" spans="1:14" ht="22.5" hidden="1" customHeight="1">
      <c r="A3186" s="8">
        <v>46013.738154386578</v>
      </c>
      <c r="B3186" s="9" t="s">
        <v>14</v>
      </c>
      <c r="C3186" s="9" t="s">
        <v>15</v>
      </c>
      <c r="D3186" s="10" t="s">
        <v>7006</v>
      </c>
      <c r="E3186" s="9" t="s">
        <v>17</v>
      </c>
      <c r="F3186" s="10">
        <v>21</v>
      </c>
      <c r="G3186" s="11">
        <v>7042970933</v>
      </c>
      <c r="H3186" s="10" t="s">
        <v>7007</v>
      </c>
      <c r="I3186" s="10" t="s">
        <v>27</v>
      </c>
      <c r="J3186" s="10" t="s">
        <v>7008</v>
      </c>
      <c r="K3186" s="12">
        <v>46013</v>
      </c>
      <c r="L3186" s="10" t="s">
        <v>441</v>
      </c>
      <c r="M3186" s="10" t="s">
        <v>1361</v>
      </c>
      <c r="N3186" s="10" t="s">
        <v>1028</v>
      </c>
    </row>
    <row r="3187" spans="1:14" ht="22.5" customHeight="1">
      <c r="A3187" s="8">
        <v>46013.739015289349</v>
      </c>
      <c r="B3187" s="9" t="s">
        <v>14</v>
      </c>
      <c r="C3187" s="9" t="s">
        <v>15</v>
      </c>
      <c r="D3187" s="10" t="s">
        <v>7009</v>
      </c>
      <c r="E3187" s="9" t="s">
        <v>22</v>
      </c>
      <c r="F3187" s="10">
        <v>35</v>
      </c>
      <c r="G3187" s="11">
        <v>8103900070</v>
      </c>
      <c r="H3187" s="10" t="s">
        <v>7010</v>
      </c>
      <c r="I3187" s="10" t="s">
        <v>31</v>
      </c>
      <c r="J3187" s="10" t="s">
        <v>4115</v>
      </c>
      <c r="K3187" s="12">
        <v>46013</v>
      </c>
      <c r="L3187" s="28" t="s">
        <v>11</v>
      </c>
      <c r="M3187" s="14"/>
      <c r="N3187" s="10" t="s">
        <v>1028</v>
      </c>
    </row>
    <row r="3188" spans="1:14" ht="22.5" customHeight="1">
      <c r="A3188" s="8">
        <v>46013.74472696759</v>
      </c>
      <c r="B3188" s="9" t="s">
        <v>14</v>
      </c>
      <c r="C3188" s="9" t="s">
        <v>15</v>
      </c>
      <c r="D3188" s="10" t="s">
        <v>7011</v>
      </c>
      <c r="E3188" s="9" t="s">
        <v>22</v>
      </c>
      <c r="F3188" s="10">
        <v>38</v>
      </c>
      <c r="G3188" s="11">
        <v>8137727506</v>
      </c>
      <c r="H3188" s="10" t="s">
        <v>7012</v>
      </c>
      <c r="I3188" s="10" t="s">
        <v>31</v>
      </c>
      <c r="J3188" s="10" t="s">
        <v>39</v>
      </c>
      <c r="K3188" s="12">
        <v>46013</v>
      </c>
      <c r="L3188" s="28" t="s">
        <v>11</v>
      </c>
      <c r="M3188" s="14"/>
      <c r="N3188" s="10" t="s">
        <v>1028</v>
      </c>
    </row>
    <row r="3189" spans="1:14" ht="22.5" customHeight="1">
      <c r="A3189" s="8">
        <v>46013.745959745371</v>
      </c>
      <c r="B3189" s="9" t="s">
        <v>14</v>
      </c>
      <c r="C3189" s="9" t="s">
        <v>15</v>
      </c>
      <c r="D3189" s="10" t="s">
        <v>7013</v>
      </c>
      <c r="E3189" s="9" t="s">
        <v>17</v>
      </c>
      <c r="F3189" s="10">
        <v>30</v>
      </c>
      <c r="G3189" s="11">
        <v>9063413574</v>
      </c>
      <c r="H3189" s="10" t="s">
        <v>7014</v>
      </c>
      <c r="I3189" s="10" t="s">
        <v>202</v>
      </c>
      <c r="J3189" s="10" t="s">
        <v>4029</v>
      </c>
      <c r="K3189" s="12">
        <v>46013</v>
      </c>
      <c r="L3189" s="28" t="s">
        <v>11</v>
      </c>
      <c r="M3189" s="14"/>
      <c r="N3189" s="10" t="s">
        <v>1028</v>
      </c>
    </row>
    <row r="3190" spans="1:14" ht="22.5" customHeight="1">
      <c r="A3190" s="8">
        <v>46013.746767141201</v>
      </c>
      <c r="B3190" s="9" t="s">
        <v>14</v>
      </c>
      <c r="C3190" s="9" t="s">
        <v>15</v>
      </c>
      <c r="D3190" s="10" t="s">
        <v>7015</v>
      </c>
      <c r="E3190" s="9" t="s">
        <v>17</v>
      </c>
      <c r="F3190" s="10">
        <v>21</v>
      </c>
      <c r="G3190" s="11">
        <v>9070596621</v>
      </c>
      <c r="H3190" s="10" t="s">
        <v>7016</v>
      </c>
      <c r="I3190" s="10" t="s">
        <v>27</v>
      </c>
      <c r="J3190" s="10" t="s">
        <v>94</v>
      </c>
      <c r="K3190" s="12">
        <v>46013</v>
      </c>
      <c r="L3190" s="28" t="s">
        <v>11</v>
      </c>
      <c r="M3190" s="14"/>
      <c r="N3190" s="10" t="s">
        <v>1096</v>
      </c>
    </row>
    <row r="3191" spans="1:14" ht="22.5" customHeight="1">
      <c r="A3191" s="8">
        <v>46013.752896840277</v>
      </c>
      <c r="B3191" s="9" t="s">
        <v>14</v>
      </c>
      <c r="C3191" s="9" t="s">
        <v>15</v>
      </c>
      <c r="D3191" s="10" t="s">
        <v>7017</v>
      </c>
      <c r="E3191" s="9" t="s">
        <v>17</v>
      </c>
      <c r="F3191" s="10">
        <v>30</v>
      </c>
      <c r="G3191" s="11">
        <v>8031137192</v>
      </c>
      <c r="H3191" s="10" t="s">
        <v>7018</v>
      </c>
      <c r="I3191" s="10" t="s">
        <v>31</v>
      </c>
      <c r="J3191" s="10" t="s">
        <v>1952</v>
      </c>
      <c r="K3191" s="12">
        <v>46013</v>
      </c>
      <c r="L3191" s="28" t="s">
        <v>11</v>
      </c>
      <c r="M3191" s="14"/>
      <c r="N3191" s="10" t="s">
        <v>1028</v>
      </c>
    </row>
    <row r="3192" spans="1:14" ht="22.5" customHeight="1">
      <c r="A3192" s="8">
        <v>46013.753553425922</v>
      </c>
      <c r="B3192" s="9" t="s">
        <v>14</v>
      </c>
      <c r="C3192" s="9" t="s">
        <v>15</v>
      </c>
      <c r="D3192" s="10" t="s">
        <v>7019</v>
      </c>
      <c r="E3192" s="9" t="s">
        <v>17</v>
      </c>
      <c r="F3192" s="10">
        <v>29</v>
      </c>
      <c r="G3192" s="11">
        <v>8109154572</v>
      </c>
      <c r="H3192" s="10" t="s">
        <v>7020</v>
      </c>
      <c r="I3192" s="10" t="s">
        <v>49</v>
      </c>
      <c r="J3192" s="10" t="s">
        <v>109</v>
      </c>
      <c r="K3192" s="12">
        <v>46013</v>
      </c>
      <c r="L3192" s="28" t="s">
        <v>11</v>
      </c>
      <c r="M3192" s="14"/>
      <c r="N3192" s="10" t="s">
        <v>1096</v>
      </c>
    </row>
    <row r="3193" spans="1:14" ht="22.5" hidden="1" customHeight="1">
      <c r="A3193" s="8">
        <v>46013.753560462967</v>
      </c>
      <c r="B3193" s="9" t="s">
        <v>14</v>
      </c>
      <c r="C3193" s="9" t="s">
        <v>15</v>
      </c>
      <c r="D3193" s="10" t="s">
        <v>7021</v>
      </c>
      <c r="E3193" s="9" t="s">
        <v>17</v>
      </c>
      <c r="F3193" s="10">
        <v>24</v>
      </c>
      <c r="G3193" s="11">
        <v>9035839108</v>
      </c>
      <c r="H3193" s="10" t="s">
        <v>7022</v>
      </c>
      <c r="I3193" s="10" t="s">
        <v>27</v>
      </c>
      <c r="J3193" s="10" t="s">
        <v>2258</v>
      </c>
      <c r="K3193" s="12">
        <v>46013</v>
      </c>
      <c r="L3193" s="10" t="s">
        <v>441</v>
      </c>
      <c r="M3193" s="10" t="s">
        <v>1361</v>
      </c>
      <c r="N3193" s="10" t="s">
        <v>1028</v>
      </c>
    </row>
    <row r="3194" spans="1:14" ht="22.5" customHeight="1">
      <c r="A3194" s="8">
        <v>46013.754168240739</v>
      </c>
      <c r="B3194" s="9" t="s">
        <v>14</v>
      </c>
      <c r="C3194" s="9" t="s">
        <v>15</v>
      </c>
      <c r="D3194" s="10" t="s">
        <v>7023</v>
      </c>
      <c r="E3194" s="9" t="s">
        <v>17</v>
      </c>
      <c r="F3194" s="10">
        <v>33</v>
      </c>
      <c r="G3194" s="11">
        <v>8031374617</v>
      </c>
      <c r="H3194" s="10" t="s">
        <v>7024</v>
      </c>
      <c r="I3194" s="10" t="s">
        <v>145</v>
      </c>
      <c r="J3194" s="10" t="s">
        <v>3296</v>
      </c>
      <c r="K3194" s="12">
        <v>46013</v>
      </c>
      <c r="L3194" s="28" t="s">
        <v>11</v>
      </c>
      <c r="M3194" s="14"/>
      <c r="N3194" s="10" t="s">
        <v>1028</v>
      </c>
    </row>
    <row r="3195" spans="1:14" ht="22.5" customHeight="1">
      <c r="A3195" s="8">
        <v>46013.759026388885</v>
      </c>
      <c r="B3195" s="9" t="s">
        <v>14</v>
      </c>
      <c r="C3195" s="9" t="s">
        <v>15</v>
      </c>
      <c r="D3195" s="10" t="s">
        <v>6126</v>
      </c>
      <c r="E3195" s="9" t="s">
        <v>22</v>
      </c>
      <c r="F3195" s="10">
        <v>49</v>
      </c>
      <c r="G3195" s="11">
        <v>8165496329</v>
      </c>
      <c r="H3195" s="10" t="s">
        <v>6127</v>
      </c>
      <c r="I3195" s="10" t="s">
        <v>31</v>
      </c>
      <c r="J3195" s="10" t="s">
        <v>7025</v>
      </c>
      <c r="K3195" s="12">
        <v>46013</v>
      </c>
      <c r="L3195" s="28" t="s">
        <v>11</v>
      </c>
      <c r="M3195" s="14"/>
      <c r="N3195" s="10" t="s">
        <v>1028</v>
      </c>
    </row>
    <row r="3196" spans="1:14" ht="22.5" customHeight="1">
      <c r="A3196" s="8">
        <v>46013.774029016204</v>
      </c>
      <c r="B3196" s="9" t="s">
        <v>14</v>
      </c>
      <c r="C3196" s="9" t="s">
        <v>15</v>
      </c>
      <c r="D3196" s="10" t="s">
        <v>7026</v>
      </c>
      <c r="E3196" s="9" t="s">
        <v>17</v>
      </c>
      <c r="F3196" s="10">
        <v>20</v>
      </c>
      <c r="G3196" s="11">
        <v>7036343284</v>
      </c>
      <c r="H3196" s="10" t="s">
        <v>7027</v>
      </c>
      <c r="I3196" s="10" t="s">
        <v>45</v>
      </c>
      <c r="J3196" s="10" t="s">
        <v>46</v>
      </c>
      <c r="K3196" s="12">
        <v>46013</v>
      </c>
      <c r="L3196" s="28" t="s">
        <v>11</v>
      </c>
      <c r="M3196" s="14"/>
      <c r="N3196" s="10" t="s">
        <v>1028</v>
      </c>
    </row>
    <row r="3197" spans="1:14" ht="22.5" customHeight="1">
      <c r="A3197" s="8">
        <v>46013.780690798609</v>
      </c>
      <c r="B3197" s="9" t="s">
        <v>14</v>
      </c>
      <c r="C3197" s="9" t="s">
        <v>15</v>
      </c>
      <c r="D3197" s="10" t="s">
        <v>7028</v>
      </c>
      <c r="E3197" s="9" t="s">
        <v>17</v>
      </c>
      <c r="F3197" s="10">
        <v>21</v>
      </c>
      <c r="G3197" s="11">
        <v>8138521516</v>
      </c>
      <c r="H3197" s="10" t="s">
        <v>7029</v>
      </c>
      <c r="I3197" s="10" t="s">
        <v>31</v>
      </c>
      <c r="J3197" s="10" t="s">
        <v>32</v>
      </c>
      <c r="K3197" s="12">
        <v>46013</v>
      </c>
      <c r="L3197" s="28" t="s">
        <v>11</v>
      </c>
      <c r="M3197" s="14"/>
      <c r="N3197" s="10" t="s">
        <v>1028</v>
      </c>
    </row>
    <row r="3198" spans="1:14" ht="22.5" customHeight="1">
      <c r="A3198" s="8">
        <v>46013.782896666671</v>
      </c>
      <c r="B3198" s="9" t="s">
        <v>14</v>
      </c>
      <c r="C3198" s="9" t="s">
        <v>15</v>
      </c>
      <c r="D3198" s="10" t="s">
        <v>7030</v>
      </c>
      <c r="E3198" s="9" t="s">
        <v>17</v>
      </c>
      <c r="F3198" s="10">
        <v>35</v>
      </c>
      <c r="G3198" s="11">
        <v>7030648886</v>
      </c>
      <c r="H3198" s="10" t="s">
        <v>7031</v>
      </c>
      <c r="I3198" s="10" t="s">
        <v>49</v>
      </c>
      <c r="J3198" s="10" t="s">
        <v>50</v>
      </c>
      <c r="K3198" s="12">
        <v>46013</v>
      </c>
      <c r="L3198" s="28" t="s">
        <v>11</v>
      </c>
      <c r="M3198" s="14"/>
      <c r="N3198" s="10" t="s">
        <v>1028</v>
      </c>
    </row>
    <row r="3199" spans="1:14" ht="22.5" customHeight="1">
      <c r="A3199" s="8">
        <v>46013.790289155091</v>
      </c>
      <c r="B3199" s="9" t="s">
        <v>14</v>
      </c>
      <c r="C3199" s="9" t="s">
        <v>15</v>
      </c>
      <c r="D3199" s="10" t="s">
        <v>7032</v>
      </c>
      <c r="E3199" s="9" t="s">
        <v>17</v>
      </c>
      <c r="F3199" s="10">
        <v>31</v>
      </c>
      <c r="G3199" s="11">
        <v>7065109660</v>
      </c>
      <c r="H3199" s="10" t="s">
        <v>7033</v>
      </c>
      <c r="I3199" s="10" t="s">
        <v>49</v>
      </c>
      <c r="J3199" s="10" t="s">
        <v>106</v>
      </c>
      <c r="K3199" s="12">
        <v>46013</v>
      </c>
      <c r="L3199" s="28" t="s">
        <v>11</v>
      </c>
      <c r="M3199" s="14"/>
      <c r="N3199" s="10" t="s">
        <v>1028</v>
      </c>
    </row>
    <row r="3200" spans="1:14" ht="22.5" customHeight="1">
      <c r="A3200" s="8">
        <v>46013.790776655092</v>
      </c>
      <c r="B3200" s="9" t="s">
        <v>14</v>
      </c>
      <c r="C3200" s="9" t="s">
        <v>15</v>
      </c>
      <c r="D3200" s="10" t="s">
        <v>7034</v>
      </c>
      <c r="E3200" s="9" t="s">
        <v>17</v>
      </c>
      <c r="F3200" s="10">
        <v>28</v>
      </c>
      <c r="G3200" s="11">
        <f t="shared" ref="G3200" si="81">2348142184593</f>
        <v>2348142184593</v>
      </c>
      <c r="H3200" s="10" t="s">
        <v>7035</v>
      </c>
      <c r="I3200" s="10" t="s">
        <v>49</v>
      </c>
      <c r="J3200" s="10" t="s">
        <v>60</v>
      </c>
      <c r="K3200" s="12">
        <v>46013</v>
      </c>
      <c r="L3200" s="28" t="s">
        <v>11</v>
      </c>
      <c r="M3200" s="14"/>
      <c r="N3200" s="10" t="s">
        <v>1028</v>
      </c>
    </row>
    <row r="3201" spans="1:14" ht="22.5" hidden="1" customHeight="1">
      <c r="A3201" s="8">
        <v>46013.7924421875</v>
      </c>
      <c r="B3201" s="9" t="s">
        <v>14</v>
      </c>
      <c r="C3201" s="9" t="s">
        <v>15</v>
      </c>
      <c r="D3201" s="10" t="s">
        <v>7036</v>
      </c>
      <c r="E3201" s="9" t="s">
        <v>17</v>
      </c>
      <c r="F3201" s="10">
        <v>19</v>
      </c>
      <c r="G3201" s="11">
        <v>9127934086</v>
      </c>
      <c r="H3201" s="10" t="s">
        <v>7037</v>
      </c>
      <c r="I3201" s="10" t="s">
        <v>27</v>
      </c>
      <c r="J3201" s="10" t="s">
        <v>53</v>
      </c>
      <c r="K3201" s="12">
        <v>46013</v>
      </c>
      <c r="L3201" s="10" t="s">
        <v>441</v>
      </c>
      <c r="M3201" s="10" t="s">
        <v>1562</v>
      </c>
      <c r="N3201" s="10" t="s">
        <v>1096</v>
      </c>
    </row>
    <row r="3202" spans="1:14" ht="22.5" customHeight="1">
      <c r="A3202" s="8">
        <v>46013.799145381941</v>
      </c>
      <c r="B3202" s="9" t="s">
        <v>14</v>
      </c>
      <c r="C3202" s="9" t="s">
        <v>15</v>
      </c>
      <c r="D3202" s="10" t="s">
        <v>7038</v>
      </c>
      <c r="E3202" s="9" t="s">
        <v>17</v>
      </c>
      <c r="F3202" s="10">
        <v>44</v>
      </c>
      <c r="G3202" s="11">
        <v>7033628204</v>
      </c>
      <c r="H3202" s="10" t="s">
        <v>7039</v>
      </c>
      <c r="I3202" s="10" t="s">
        <v>49</v>
      </c>
      <c r="J3202" s="10" t="s">
        <v>282</v>
      </c>
      <c r="K3202" s="12">
        <v>46013</v>
      </c>
      <c r="L3202" s="28" t="s">
        <v>11</v>
      </c>
      <c r="M3202" s="14"/>
      <c r="N3202" s="10" t="s">
        <v>1028</v>
      </c>
    </row>
    <row r="3203" spans="1:14" ht="22.5" customHeight="1">
      <c r="A3203" s="8">
        <v>46013.802113020836</v>
      </c>
      <c r="B3203" s="9" t="s">
        <v>14</v>
      </c>
      <c r="C3203" s="9" t="s">
        <v>15</v>
      </c>
      <c r="D3203" s="10" t="s">
        <v>7040</v>
      </c>
      <c r="E3203" s="9" t="s">
        <v>17</v>
      </c>
      <c r="F3203" s="10">
        <v>30</v>
      </c>
      <c r="G3203" s="11">
        <v>8034847228</v>
      </c>
      <c r="H3203" s="10" t="s">
        <v>7041</v>
      </c>
      <c r="I3203" s="10" t="s">
        <v>27</v>
      </c>
      <c r="J3203" s="10" t="s">
        <v>2258</v>
      </c>
      <c r="K3203" s="12">
        <v>46013</v>
      </c>
      <c r="L3203" s="28" t="s">
        <v>11</v>
      </c>
      <c r="M3203" s="14"/>
      <c r="N3203" s="10" t="s">
        <v>1028</v>
      </c>
    </row>
    <row r="3204" spans="1:14" ht="22.5" customHeight="1">
      <c r="A3204" s="8">
        <v>46013.807443668979</v>
      </c>
      <c r="B3204" s="9" t="s">
        <v>14</v>
      </c>
      <c r="C3204" s="9" t="s">
        <v>15</v>
      </c>
      <c r="D3204" s="10" t="s">
        <v>7042</v>
      </c>
      <c r="E3204" s="9" t="s">
        <v>17</v>
      </c>
      <c r="F3204" s="10">
        <v>31</v>
      </c>
      <c r="G3204" s="11">
        <v>7068164078</v>
      </c>
      <c r="H3204" s="10" t="s">
        <v>7043</v>
      </c>
      <c r="I3204" s="10" t="s">
        <v>49</v>
      </c>
      <c r="J3204" s="10" t="s">
        <v>282</v>
      </c>
      <c r="K3204" s="12">
        <v>46013</v>
      </c>
      <c r="L3204" s="28" t="s">
        <v>11</v>
      </c>
      <c r="M3204" s="14"/>
      <c r="N3204" s="10" t="s">
        <v>1028</v>
      </c>
    </row>
    <row r="3205" spans="1:14" ht="22.5" customHeight="1">
      <c r="A3205" s="8">
        <v>46013.815793483795</v>
      </c>
      <c r="B3205" s="9" t="s">
        <v>14</v>
      </c>
      <c r="C3205" s="9" t="s">
        <v>15</v>
      </c>
      <c r="D3205" s="10" t="s">
        <v>7044</v>
      </c>
      <c r="E3205" s="9" t="s">
        <v>17</v>
      </c>
      <c r="F3205" s="10">
        <v>26</v>
      </c>
      <c r="G3205" s="11">
        <v>8146695577</v>
      </c>
      <c r="H3205" s="10" t="s">
        <v>7045</v>
      </c>
      <c r="I3205" s="10" t="s">
        <v>27</v>
      </c>
      <c r="J3205" s="10" t="s">
        <v>6972</v>
      </c>
      <c r="K3205" s="12">
        <v>46013</v>
      </c>
      <c r="L3205" s="28" t="s">
        <v>11</v>
      </c>
      <c r="M3205" s="14"/>
      <c r="N3205" s="10" t="s">
        <v>1028</v>
      </c>
    </row>
    <row r="3206" spans="1:14" ht="22.5" customHeight="1">
      <c r="A3206" s="8">
        <v>46013.819414004625</v>
      </c>
      <c r="B3206" s="9" t="s">
        <v>14</v>
      </c>
      <c r="C3206" s="9" t="s">
        <v>15</v>
      </c>
      <c r="D3206" s="10" t="s">
        <v>7046</v>
      </c>
      <c r="E3206" s="9" t="s">
        <v>17</v>
      </c>
      <c r="F3206" s="10">
        <v>28</v>
      </c>
      <c r="G3206" s="11">
        <v>9034229983</v>
      </c>
      <c r="H3206" s="10" t="s">
        <v>7047</v>
      </c>
      <c r="I3206" s="10" t="s">
        <v>31</v>
      </c>
      <c r="J3206" s="10" t="s">
        <v>3870</v>
      </c>
      <c r="K3206" s="12">
        <v>35485</v>
      </c>
      <c r="L3206" s="28" t="s">
        <v>11</v>
      </c>
      <c r="M3206" s="14"/>
      <c r="N3206" s="10" t="s">
        <v>1028</v>
      </c>
    </row>
    <row r="3207" spans="1:14" ht="22.5" customHeight="1">
      <c r="A3207" s="8">
        <v>46013.824674537042</v>
      </c>
      <c r="B3207" s="9" t="s">
        <v>14</v>
      </c>
      <c r="C3207" s="9" t="s">
        <v>15</v>
      </c>
      <c r="D3207" s="10" t="s">
        <v>7048</v>
      </c>
      <c r="E3207" s="9" t="s">
        <v>17</v>
      </c>
      <c r="F3207" s="10">
        <v>26</v>
      </c>
      <c r="G3207" s="11">
        <f t="shared" ref="G3207" si="82">254700056393</f>
        <v>254700056393</v>
      </c>
      <c r="H3207" s="10" t="s">
        <v>7049</v>
      </c>
      <c r="I3207" s="10" t="s">
        <v>19</v>
      </c>
      <c r="J3207" s="10" t="s">
        <v>7050</v>
      </c>
      <c r="K3207" s="12">
        <v>46013</v>
      </c>
      <c r="L3207" s="28" t="s">
        <v>11</v>
      </c>
      <c r="M3207" s="14"/>
      <c r="N3207" s="10" t="s">
        <v>1028</v>
      </c>
    </row>
    <row r="3208" spans="1:14" ht="22.5" customHeight="1">
      <c r="A3208" s="8">
        <v>46013.82957001157</v>
      </c>
      <c r="B3208" s="9" t="s">
        <v>14</v>
      </c>
      <c r="C3208" s="9" t="s">
        <v>15</v>
      </c>
      <c r="D3208" s="10" t="s">
        <v>7051</v>
      </c>
      <c r="E3208" s="9" t="s">
        <v>17</v>
      </c>
      <c r="F3208" s="10">
        <v>32</v>
      </c>
      <c r="G3208" s="11">
        <v>7046463567</v>
      </c>
      <c r="H3208" s="10" t="s">
        <v>7052</v>
      </c>
      <c r="I3208" s="10" t="s">
        <v>145</v>
      </c>
      <c r="J3208" s="10" t="s">
        <v>7053</v>
      </c>
      <c r="K3208" s="12">
        <v>46013</v>
      </c>
      <c r="L3208" s="28" t="s">
        <v>11</v>
      </c>
      <c r="M3208" s="14"/>
      <c r="N3208" s="10" t="s">
        <v>1028</v>
      </c>
    </row>
    <row r="3209" spans="1:14" ht="22.5" customHeight="1">
      <c r="A3209" s="8">
        <v>46013.838100243054</v>
      </c>
      <c r="B3209" s="9" t="s">
        <v>14</v>
      </c>
      <c r="C3209" s="9" t="s">
        <v>15</v>
      </c>
      <c r="D3209" s="10" t="s">
        <v>7054</v>
      </c>
      <c r="E3209" s="9" t="s">
        <v>17</v>
      </c>
      <c r="F3209" s="10">
        <v>23</v>
      </c>
      <c r="G3209" s="11">
        <v>9054685725</v>
      </c>
      <c r="H3209" s="10" t="s">
        <v>7055</v>
      </c>
      <c r="I3209" s="10" t="s">
        <v>49</v>
      </c>
      <c r="J3209" s="10" t="s">
        <v>282</v>
      </c>
      <c r="K3209" s="12">
        <v>46013</v>
      </c>
      <c r="L3209" s="28" t="s">
        <v>11</v>
      </c>
      <c r="M3209" s="14"/>
      <c r="N3209" s="10" t="s">
        <v>1028</v>
      </c>
    </row>
    <row r="3210" spans="1:14" ht="22.5" customHeight="1">
      <c r="A3210" s="8">
        <v>46013.854508067132</v>
      </c>
      <c r="B3210" s="9" t="s">
        <v>14</v>
      </c>
      <c r="C3210" s="9" t="s">
        <v>15</v>
      </c>
      <c r="D3210" s="10" t="s">
        <v>7056</v>
      </c>
      <c r="E3210" s="9" t="s">
        <v>17</v>
      </c>
      <c r="F3210" s="10">
        <v>27</v>
      </c>
      <c r="G3210" s="11">
        <v>7069592470</v>
      </c>
      <c r="H3210" s="10" t="s">
        <v>7057</v>
      </c>
      <c r="I3210" s="10" t="s">
        <v>49</v>
      </c>
      <c r="J3210" s="10" t="s">
        <v>282</v>
      </c>
      <c r="K3210" s="12">
        <v>46013</v>
      </c>
      <c r="L3210" s="28" t="s">
        <v>11</v>
      </c>
      <c r="M3210" s="14"/>
      <c r="N3210" s="10" t="s">
        <v>1028</v>
      </c>
    </row>
    <row r="3211" spans="1:14" ht="22.5" customHeight="1">
      <c r="A3211" s="8">
        <v>46013.854760162038</v>
      </c>
      <c r="B3211" s="9" t="s">
        <v>14</v>
      </c>
      <c r="C3211" s="9" t="s">
        <v>15</v>
      </c>
      <c r="D3211" s="10" t="s">
        <v>7058</v>
      </c>
      <c r="E3211" s="9" t="s">
        <v>17</v>
      </c>
      <c r="F3211" s="10">
        <v>23</v>
      </c>
      <c r="G3211" s="11">
        <v>8130092094</v>
      </c>
      <c r="H3211" s="10" t="s">
        <v>7059</v>
      </c>
      <c r="I3211" s="10" t="s">
        <v>145</v>
      </c>
      <c r="J3211" s="10" t="s">
        <v>1607</v>
      </c>
      <c r="K3211" s="12">
        <v>46013</v>
      </c>
      <c r="L3211" s="28" t="s">
        <v>11</v>
      </c>
      <c r="M3211" s="14"/>
      <c r="N3211" s="10" t="s">
        <v>1028</v>
      </c>
    </row>
    <row r="3212" spans="1:14" ht="22.5" customHeight="1">
      <c r="A3212" s="8">
        <v>46013.859128020835</v>
      </c>
      <c r="B3212" s="9" t="s">
        <v>14</v>
      </c>
      <c r="C3212" s="9" t="s">
        <v>15</v>
      </c>
      <c r="D3212" s="10" t="s">
        <v>7060</v>
      </c>
      <c r="E3212" s="9" t="s">
        <v>17</v>
      </c>
      <c r="F3212" s="10">
        <v>32</v>
      </c>
      <c r="G3212" s="11">
        <v>8147591482</v>
      </c>
      <c r="H3212" s="10" t="s">
        <v>7061</v>
      </c>
      <c r="I3212" s="10" t="s">
        <v>145</v>
      </c>
      <c r="J3212" s="10" t="s">
        <v>7062</v>
      </c>
      <c r="K3212" s="12">
        <v>46013</v>
      </c>
      <c r="L3212" s="28" t="s">
        <v>11</v>
      </c>
      <c r="M3212" s="14"/>
      <c r="N3212" s="10" t="s">
        <v>1028</v>
      </c>
    </row>
    <row r="3213" spans="1:14" ht="22.5" customHeight="1">
      <c r="A3213" s="8">
        <v>46013.860901666667</v>
      </c>
      <c r="B3213" s="9" t="s">
        <v>14</v>
      </c>
      <c r="C3213" s="9" t="s">
        <v>15</v>
      </c>
      <c r="D3213" s="10" t="s">
        <v>7063</v>
      </c>
      <c r="E3213" s="9" t="s">
        <v>22</v>
      </c>
      <c r="F3213" s="10">
        <v>19</v>
      </c>
      <c r="G3213" s="11">
        <v>8100382602</v>
      </c>
      <c r="H3213" s="10" t="s">
        <v>7064</v>
      </c>
      <c r="I3213" s="10" t="s">
        <v>145</v>
      </c>
      <c r="J3213" s="10" t="s">
        <v>145</v>
      </c>
      <c r="K3213" s="12">
        <v>46013</v>
      </c>
      <c r="L3213" s="28" t="s">
        <v>11</v>
      </c>
      <c r="M3213" s="14"/>
      <c r="N3213" s="10" t="s">
        <v>1096</v>
      </c>
    </row>
    <row r="3214" spans="1:14" ht="22.5" customHeight="1">
      <c r="A3214" s="8">
        <v>46013.866824027777</v>
      </c>
      <c r="B3214" s="9" t="s">
        <v>14</v>
      </c>
      <c r="C3214" s="9" t="s">
        <v>15</v>
      </c>
      <c r="D3214" s="10" t="s">
        <v>7065</v>
      </c>
      <c r="E3214" s="9" t="s">
        <v>22</v>
      </c>
      <c r="F3214" s="10">
        <v>28</v>
      </c>
      <c r="G3214" s="11">
        <v>8169348546</v>
      </c>
      <c r="H3214" s="10" t="s">
        <v>7066</v>
      </c>
      <c r="I3214" s="10" t="s">
        <v>45</v>
      </c>
      <c r="J3214" s="10" t="s">
        <v>688</v>
      </c>
      <c r="K3214" s="12">
        <v>46013</v>
      </c>
      <c r="L3214" s="28" t="s">
        <v>11</v>
      </c>
      <c r="M3214" s="14"/>
      <c r="N3214" s="10" t="s">
        <v>1096</v>
      </c>
    </row>
    <row r="3215" spans="1:14" ht="22.5" customHeight="1">
      <c r="A3215" s="8">
        <v>46013.86883313657</v>
      </c>
      <c r="B3215" s="9" t="s">
        <v>14</v>
      </c>
      <c r="C3215" s="9" t="s">
        <v>15</v>
      </c>
      <c r="D3215" s="10" t="s">
        <v>7067</v>
      </c>
      <c r="E3215" s="9" t="s">
        <v>22</v>
      </c>
      <c r="F3215" s="10">
        <v>31</v>
      </c>
      <c r="G3215" s="11">
        <v>8031989697</v>
      </c>
      <c r="H3215" s="10" t="s">
        <v>7068</v>
      </c>
      <c r="I3215" s="10" t="s">
        <v>27</v>
      </c>
      <c r="J3215" s="10" t="s">
        <v>70</v>
      </c>
      <c r="K3215" s="12">
        <v>46013</v>
      </c>
      <c r="L3215" s="28" t="s">
        <v>11</v>
      </c>
      <c r="M3215" s="14"/>
      <c r="N3215" s="10" t="s">
        <v>1028</v>
      </c>
    </row>
    <row r="3216" spans="1:14" ht="22.5" customHeight="1">
      <c r="A3216" s="8">
        <v>46013.870662048612</v>
      </c>
      <c r="B3216" s="9" t="s">
        <v>14</v>
      </c>
      <c r="C3216" s="9" t="s">
        <v>15</v>
      </c>
      <c r="D3216" s="10" t="s">
        <v>7069</v>
      </c>
      <c r="E3216" s="9" t="s">
        <v>17</v>
      </c>
      <c r="F3216" s="10">
        <v>23</v>
      </c>
      <c r="G3216" s="11">
        <v>8138438665</v>
      </c>
      <c r="H3216" s="10" t="s">
        <v>7070</v>
      </c>
      <c r="I3216" s="10" t="s">
        <v>45</v>
      </c>
      <c r="J3216" s="10" t="s">
        <v>46</v>
      </c>
      <c r="K3216" s="12">
        <v>46013</v>
      </c>
      <c r="L3216" s="28" t="s">
        <v>11</v>
      </c>
      <c r="M3216" s="10"/>
      <c r="N3216" s="10" t="s">
        <v>1028</v>
      </c>
    </row>
    <row r="3217" spans="1:14" ht="22.5" customHeight="1">
      <c r="A3217" s="8">
        <v>46013.872083912036</v>
      </c>
      <c r="B3217" s="9" t="s">
        <v>14</v>
      </c>
      <c r="C3217" s="9" t="s">
        <v>15</v>
      </c>
      <c r="D3217" s="10" t="s">
        <v>7071</v>
      </c>
      <c r="E3217" s="9" t="s">
        <v>22</v>
      </c>
      <c r="F3217" s="10">
        <v>25</v>
      </c>
      <c r="G3217" s="11">
        <v>8033371812</v>
      </c>
      <c r="H3217" s="10" t="s">
        <v>7072</v>
      </c>
      <c r="I3217" s="10" t="s">
        <v>45</v>
      </c>
      <c r="J3217" s="10" t="s">
        <v>46</v>
      </c>
      <c r="K3217" s="12">
        <v>46013</v>
      </c>
      <c r="L3217" s="28" t="s">
        <v>11</v>
      </c>
      <c r="M3217" s="14"/>
      <c r="N3217" s="10" t="s">
        <v>1028</v>
      </c>
    </row>
    <row r="3218" spans="1:14" ht="22.5" customHeight="1">
      <c r="A3218" s="8">
        <v>46013.874010543979</v>
      </c>
      <c r="B3218" s="9" t="s">
        <v>14</v>
      </c>
      <c r="C3218" s="9" t="s">
        <v>15</v>
      </c>
      <c r="D3218" s="10" t="s">
        <v>7073</v>
      </c>
      <c r="E3218" s="9" t="s">
        <v>17</v>
      </c>
      <c r="F3218" s="10">
        <v>27</v>
      </c>
      <c r="G3218" s="11">
        <v>8135509169</v>
      </c>
      <c r="H3218" s="10" t="s">
        <v>7074</v>
      </c>
      <c r="I3218" s="10" t="s">
        <v>27</v>
      </c>
      <c r="J3218" s="10" t="s">
        <v>70</v>
      </c>
      <c r="K3218" s="12">
        <v>46013</v>
      </c>
      <c r="L3218" s="28" t="s">
        <v>11</v>
      </c>
      <c r="M3218" s="14"/>
      <c r="N3218" s="10" t="s">
        <v>1028</v>
      </c>
    </row>
    <row r="3219" spans="1:14" ht="22.5" customHeight="1">
      <c r="A3219" s="8">
        <v>46013.874837870375</v>
      </c>
      <c r="B3219" s="9" t="s">
        <v>14</v>
      </c>
      <c r="C3219" s="9" t="s">
        <v>15</v>
      </c>
      <c r="D3219" s="10" t="s">
        <v>7075</v>
      </c>
      <c r="E3219" s="9" t="s">
        <v>17</v>
      </c>
      <c r="F3219" s="10">
        <v>32</v>
      </c>
      <c r="G3219" s="11">
        <v>8037424265</v>
      </c>
      <c r="H3219" s="10" t="s">
        <v>7076</v>
      </c>
      <c r="I3219" s="10" t="s">
        <v>27</v>
      </c>
      <c r="J3219" s="10" t="s">
        <v>2069</v>
      </c>
      <c r="K3219" s="12">
        <v>46013</v>
      </c>
      <c r="L3219" s="28" t="s">
        <v>11</v>
      </c>
      <c r="M3219" s="14"/>
      <c r="N3219" s="10" t="s">
        <v>1028</v>
      </c>
    </row>
    <row r="3220" spans="1:14" ht="22.5" customHeight="1">
      <c r="A3220" s="8">
        <v>46013.881258483802</v>
      </c>
      <c r="B3220" s="9" t="s">
        <v>14</v>
      </c>
      <c r="C3220" s="9" t="s">
        <v>15</v>
      </c>
      <c r="D3220" s="10" t="s">
        <v>7077</v>
      </c>
      <c r="E3220" s="9" t="s">
        <v>22</v>
      </c>
      <c r="F3220" s="10">
        <v>22</v>
      </c>
      <c r="G3220" s="11">
        <f t="shared" ref="G3220" si="83">2349037672664</f>
        <v>2349037672664</v>
      </c>
      <c r="H3220" s="10" t="s">
        <v>7078</v>
      </c>
      <c r="I3220" s="10" t="s">
        <v>145</v>
      </c>
      <c r="J3220" s="10" t="s">
        <v>4100</v>
      </c>
      <c r="K3220" s="12">
        <v>46013</v>
      </c>
      <c r="L3220" s="28" t="s">
        <v>11</v>
      </c>
      <c r="M3220" s="14"/>
      <c r="N3220" s="10" t="s">
        <v>1035</v>
      </c>
    </row>
    <row r="3221" spans="1:14" ht="22.5" customHeight="1">
      <c r="A3221" s="8">
        <v>46013.882119675924</v>
      </c>
      <c r="B3221" s="9" t="s">
        <v>14</v>
      </c>
      <c r="C3221" s="9" t="s">
        <v>15</v>
      </c>
      <c r="D3221" s="10" t="s">
        <v>7079</v>
      </c>
      <c r="E3221" s="9" t="s">
        <v>17</v>
      </c>
      <c r="F3221" s="10">
        <v>33</v>
      </c>
      <c r="G3221" s="11">
        <v>8167870497</v>
      </c>
      <c r="H3221" s="10" t="s">
        <v>7080</v>
      </c>
      <c r="I3221" s="10" t="s">
        <v>31</v>
      </c>
      <c r="J3221" s="10" t="s">
        <v>32</v>
      </c>
      <c r="K3221" s="12">
        <v>46013</v>
      </c>
      <c r="L3221" s="28" t="s">
        <v>11</v>
      </c>
      <c r="M3221" s="14"/>
      <c r="N3221" s="10" t="s">
        <v>1028</v>
      </c>
    </row>
    <row r="3222" spans="1:14" ht="22.5" customHeight="1">
      <c r="A3222" s="8">
        <v>46013.884740983798</v>
      </c>
      <c r="B3222" s="9" t="s">
        <v>14</v>
      </c>
      <c r="C3222" s="9" t="s">
        <v>15</v>
      </c>
      <c r="D3222" s="10" t="s">
        <v>7081</v>
      </c>
      <c r="E3222" s="9" t="s">
        <v>17</v>
      </c>
      <c r="F3222" s="10">
        <v>19</v>
      </c>
      <c r="G3222" s="11">
        <v>7037885555</v>
      </c>
      <c r="H3222" s="10" t="s">
        <v>7082</v>
      </c>
      <c r="I3222" s="10" t="s">
        <v>27</v>
      </c>
      <c r="J3222" s="10" t="s">
        <v>70</v>
      </c>
      <c r="K3222" s="12">
        <v>46013</v>
      </c>
      <c r="L3222" s="28" t="s">
        <v>11</v>
      </c>
      <c r="M3222" s="14"/>
      <c r="N3222" s="10" t="s">
        <v>1028</v>
      </c>
    </row>
    <row r="3223" spans="1:14" ht="22.5" hidden="1" customHeight="1">
      <c r="A3223" s="8">
        <v>46013.889577013892</v>
      </c>
      <c r="B3223" s="9" t="s">
        <v>14</v>
      </c>
      <c r="C3223" s="9" t="s">
        <v>15</v>
      </c>
      <c r="D3223" s="10" t="s">
        <v>7083</v>
      </c>
      <c r="E3223" s="9" t="s">
        <v>22</v>
      </c>
      <c r="F3223" s="10">
        <v>30</v>
      </c>
      <c r="G3223" s="11">
        <v>8143142317</v>
      </c>
      <c r="H3223" s="10" t="s">
        <v>7084</v>
      </c>
      <c r="I3223" s="10" t="s">
        <v>27</v>
      </c>
      <c r="J3223" s="10" t="s">
        <v>2105</v>
      </c>
      <c r="K3223" s="12">
        <v>46013</v>
      </c>
      <c r="L3223" s="10" t="s">
        <v>441</v>
      </c>
      <c r="M3223" s="10" t="s">
        <v>1361</v>
      </c>
      <c r="N3223" s="10" t="s">
        <v>1028</v>
      </c>
    </row>
    <row r="3224" spans="1:14" ht="22.5" customHeight="1">
      <c r="A3224" s="8">
        <v>46013.891681875</v>
      </c>
      <c r="B3224" s="9" t="s">
        <v>14</v>
      </c>
      <c r="C3224" s="9" t="s">
        <v>15</v>
      </c>
      <c r="D3224" s="10" t="s">
        <v>7085</v>
      </c>
      <c r="E3224" s="9" t="s">
        <v>22</v>
      </c>
      <c r="F3224" s="10">
        <v>21</v>
      </c>
      <c r="G3224" s="11">
        <v>9049142212</v>
      </c>
      <c r="H3224" s="10" t="s">
        <v>7086</v>
      </c>
      <c r="I3224" s="10" t="s">
        <v>45</v>
      </c>
      <c r="J3224" s="10" t="s">
        <v>46</v>
      </c>
      <c r="K3224" s="12">
        <v>46013</v>
      </c>
      <c r="L3224" s="28" t="s">
        <v>11</v>
      </c>
      <c r="M3224" s="14"/>
      <c r="N3224" s="10" t="s">
        <v>1096</v>
      </c>
    </row>
    <row r="3225" spans="1:14" ht="22.5" customHeight="1">
      <c r="A3225" s="8">
        <v>46013.893292673616</v>
      </c>
      <c r="B3225" s="9" t="s">
        <v>14</v>
      </c>
      <c r="C3225" s="9" t="s">
        <v>15</v>
      </c>
      <c r="D3225" s="10" t="s">
        <v>7087</v>
      </c>
      <c r="E3225" s="9" t="s">
        <v>17</v>
      </c>
      <c r="F3225" s="10">
        <v>25</v>
      </c>
      <c r="G3225" s="11">
        <v>8074124048</v>
      </c>
      <c r="H3225" s="10" t="s">
        <v>7088</v>
      </c>
      <c r="I3225" s="10" t="s">
        <v>49</v>
      </c>
      <c r="J3225" s="10" t="s">
        <v>7089</v>
      </c>
      <c r="K3225" s="12">
        <v>46013</v>
      </c>
      <c r="L3225" s="28" t="s">
        <v>11</v>
      </c>
      <c r="M3225" s="14"/>
      <c r="N3225" s="10" t="s">
        <v>1028</v>
      </c>
    </row>
    <row r="3226" spans="1:14" ht="22.5" customHeight="1">
      <c r="A3226" s="8">
        <v>46013.894613472221</v>
      </c>
      <c r="B3226" s="9" t="s">
        <v>14</v>
      </c>
      <c r="C3226" s="9" t="s">
        <v>15</v>
      </c>
      <c r="D3226" s="10" t="s">
        <v>7090</v>
      </c>
      <c r="E3226" s="9" t="s">
        <v>17</v>
      </c>
      <c r="F3226" s="10">
        <v>26</v>
      </c>
      <c r="G3226" s="11">
        <v>8146188407</v>
      </c>
      <c r="H3226" s="10" t="s">
        <v>7091</v>
      </c>
      <c r="I3226" s="10" t="s">
        <v>31</v>
      </c>
      <c r="J3226" s="10" t="s">
        <v>2358</v>
      </c>
      <c r="K3226" s="12">
        <v>46013</v>
      </c>
      <c r="L3226" s="28" t="s">
        <v>11</v>
      </c>
      <c r="M3226" s="14"/>
      <c r="N3226" s="10" t="s">
        <v>1035</v>
      </c>
    </row>
    <row r="3227" spans="1:14" ht="22.5" customHeight="1">
      <c r="A3227" s="8">
        <v>46013.895512997682</v>
      </c>
      <c r="B3227" s="9" t="s">
        <v>14</v>
      </c>
      <c r="C3227" s="9" t="s">
        <v>15</v>
      </c>
      <c r="D3227" s="10" t="s">
        <v>7092</v>
      </c>
      <c r="E3227" s="9" t="s">
        <v>22</v>
      </c>
      <c r="F3227" s="10">
        <v>28</v>
      </c>
      <c r="G3227" s="11">
        <v>9066589043</v>
      </c>
      <c r="H3227" s="10" t="s">
        <v>7093</v>
      </c>
      <c r="I3227" s="10" t="s">
        <v>145</v>
      </c>
      <c r="J3227" s="10" t="s">
        <v>7094</v>
      </c>
      <c r="K3227" s="12">
        <v>46013</v>
      </c>
      <c r="L3227" s="28" t="s">
        <v>11</v>
      </c>
      <c r="M3227" s="14"/>
      <c r="N3227" s="10" t="s">
        <v>1028</v>
      </c>
    </row>
    <row r="3228" spans="1:14" ht="22.5" customHeight="1">
      <c r="A3228" s="8">
        <v>46013.901555578705</v>
      </c>
      <c r="B3228" s="9" t="s">
        <v>14</v>
      </c>
      <c r="C3228" s="9" t="s">
        <v>15</v>
      </c>
      <c r="D3228" s="10" t="s">
        <v>7095</v>
      </c>
      <c r="E3228" s="9" t="s">
        <v>17</v>
      </c>
      <c r="F3228" s="10">
        <v>27</v>
      </c>
      <c r="G3228" s="11">
        <v>8139447023</v>
      </c>
      <c r="H3228" s="10" t="s">
        <v>7096</v>
      </c>
      <c r="I3228" s="10" t="s">
        <v>31</v>
      </c>
      <c r="J3228" s="10" t="s">
        <v>1808</v>
      </c>
      <c r="K3228" s="12">
        <v>46013</v>
      </c>
      <c r="L3228" s="28" t="s">
        <v>11</v>
      </c>
      <c r="M3228" s="14"/>
      <c r="N3228" s="10" t="s">
        <v>1028</v>
      </c>
    </row>
    <row r="3229" spans="1:14" ht="22.5" customHeight="1">
      <c r="A3229" s="8">
        <v>46013.901825381945</v>
      </c>
      <c r="B3229" s="9" t="s">
        <v>14</v>
      </c>
      <c r="C3229" s="9" t="s">
        <v>15</v>
      </c>
      <c r="D3229" s="10" t="s">
        <v>7097</v>
      </c>
      <c r="E3229" s="9" t="s">
        <v>22</v>
      </c>
      <c r="F3229" s="10">
        <v>21</v>
      </c>
      <c r="G3229" s="11">
        <v>8107508998</v>
      </c>
      <c r="H3229" s="10" t="s">
        <v>7098</v>
      </c>
      <c r="I3229" s="10" t="s">
        <v>49</v>
      </c>
      <c r="J3229" s="10" t="s">
        <v>106</v>
      </c>
      <c r="K3229" s="12">
        <v>46013</v>
      </c>
      <c r="L3229" s="28" t="s">
        <v>11</v>
      </c>
      <c r="M3229" s="14"/>
      <c r="N3229" s="10" t="s">
        <v>1028</v>
      </c>
    </row>
    <row r="3230" spans="1:14" ht="22.5" customHeight="1">
      <c r="A3230" s="8">
        <v>46013.914711608799</v>
      </c>
      <c r="B3230" s="9" t="s">
        <v>14</v>
      </c>
      <c r="C3230" s="9" t="s">
        <v>15</v>
      </c>
      <c r="D3230" s="10" t="s">
        <v>7099</v>
      </c>
      <c r="E3230" s="9" t="s">
        <v>17</v>
      </c>
      <c r="F3230" s="10">
        <v>32</v>
      </c>
      <c r="G3230" s="11">
        <v>8065110044</v>
      </c>
      <c r="H3230" s="10" t="s">
        <v>7100</v>
      </c>
      <c r="I3230" s="10" t="s">
        <v>31</v>
      </c>
      <c r="J3230" s="10" t="s">
        <v>32</v>
      </c>
      <c r="K3230" s="12">
        <v>46013</v>
      </c>
      <c r="L3230" s="28" t="s">
        <v>11</v>
      </c>
      <c r="M3230" s="14"/>
      <c r="N3230" s="10" t="s">
        <v>1028</v>
      </c>
    </row>
    <row r="3231" spans="1:14" ht="22.5" customHeight="1">
      <c r="A3231" s="8">
        <v>46013.915423310187</v>
      </c>
      <c r="B3231" s="9" t="s">
        <v>14</v>
      </c>
      <c r="C3231" s="9" t="s">
        <v>15</v>
      </c>
      <c r="D3231" s="10" t="s">
        <v>7101</v>
      </c>
      <c r="E3231" s="9" t="s">
        <v>17</v>
      </c>
      <c r="F3231" s="10">
        <v>30</v>
      </c>
      <c r="G3231" s="11">
        <v>8035327661</v>
      </c>
      <c r="H3231" s="10" t="s">
        <v>7102</v>
      </c>
      <c r="I3231" s="10" t="s">
        <v>49</v>
      </c>
      <c r="J3231" s="10" t="s">
        <v>106</v>
      </c>
      <c r="K3231" s="12">
        <v>46013</v>
      </c>
      <c r="L3231" s="28" t="s">
        <v>11</v>
      </c>
      <c r="M3231" s="14"/>
      <c r="N3231" s="10" t="s">
        <v>1028</v>
      </c>
    </row>
    <row r="3232" spans="1:14" ht="22.5" customHeight="1">
      <c r="A3232" s="8">
        <v>46013.926169328704</v>
      </c>
      <c r="B3232" s="9" t="s">
        <v>14</v>
      </c>
      <c r="C3232" s="9" t="s">
        <v>15</v>
      </c>
      <c r="D3232" s="10" t="s">
        <v>7103</v>
      </c>
      <c r="E3232" s="9" t="s">
        <v>17</v>
      </c>
      <c r="F3232" s="10">
        <v>23</v>
      </c>
      <c r="G3232" s="11">
        <v>8117458593</v>
      </c>
      <c r="H3232" s="10" t="s">
        <v>7104</v>
      </c>
      <c r="I3232" s="10" t="s">
        <v>27</v>
      </c>
      <c r="J3232" s="10" t="s">
        <v>703</v>
      </c>
      <c r="K3232" s="12">
        <v>46013</v>
      </c>
      <c r="L3232" s="28" t="s">
        <v>11</v>
      </c>
      <c r="M3232" s="14"/>
      <c r="N3232" s="10" t="s">
        <v>1028</v>
      </c>
    </row>
    <row r="3233" spans="1:14" ht="22.5" customHeight="1">
      <c r="A3233" s="8">
        <v>46013.932245613425</v>
      </c>
      <c r="B3233" s="9" t="s">
        <v>14</v>
      </c>
      <c r="C3233" s="9" t="s">
        <v>15</v>
      </c>
      <c r="D3233" s="10" t="s">
        <v>7105</v>
      </c>
      <c r="E3233" s="9" t="s">
        <v>22</v>
      </c>
      <c r="F3233" s="10">
        <v>30</v>
      </c>
      <c r="G3233" s="11">
        <v>8135094772</v>
      </c>
      <c r="H3233" s="10" t="s">
        <v>7106</v>
      </c>
      <c r="I3233" s="10" t="s">
        <v>27</v>
      </c>
      <c r="J3233" s="10" t="s">
        <v>7107</v>
      </c>
      <c r="K3233" s="12">
        <v>46013</v>
      </c>
      <c r="L3233" s="28" t="s">
        <v>11</v>
      </c>
      <c r="M3233" s="14"/>
      <c r="N3233" s="10" t="s">
        <v>1028</v>
      </c>
    </row>
    <row r="3234" spans="1:14" ht="22.5" customHeight="1">
      <c r="A3234" s="8">
        <v>46013.939601863429</v>
      </c>
      <c r="B3234" s="9" t="s">
        <v>14</v>
      </c>
      <c r="C3234" s="9" t="s">
        <v>15</v>
      </c>
      <c r="D3234" s="10" t="s">
        <v>7108</v>
      </c>
      <c r="E3234" s="9" t="s">
        <v>17</v>
      </c>
      <c r="F3234" s="10">
        <v>29</v>
      </c>
      <c r="G3234" s="11">
        <v>8132125312</v>
      </c>
      <c r="H3234" s="10" t="s">
        <v>7109</v>
      </c>
      <c r="I3234" s="10" t="s">
        <v>145</v>
      </c>
      <c r="J3234" s="10" t="s">
        <v>530</v>
      </c>
      <c r="K3234" s="12">
        <v>46013</v>
      </c>
      <c r="L3234" s="28" t="s">
        <v>11</v>
      </c>
      <c r="M3234" s="14"/>
      <c r="N3234" s="10" t="s">
        <v>1028</v>
      </c>
    </row>
    <row r="3235" spans="1:14" ht="22.5" customHeight="1">
      <c r="A3235" s="8">
        <v>46013.951498564813</v>
      </c>
      <c r="B3235" s="9" t="s">
        <v>14</v>
      </c>
      <c r="C3235" s="9" t="s">
        <v>15</v>
      </c>
      <c r="D3235" s="10" t="s">
        <v>6888</v>
      </c>
      <c r="E3235" s="9" t="s">
        <v>17</v>
      </c>
      <c r="F3235" s="10">
        <v>25</v>
      </c>
      <c r="G3235" s="11">
        <v>9058967349</v>
      </c>
      <c r="H3235" s="10" t="s">
        <v>7110</v>
      </c>
      <c r="I3235" s="10" t="s">
        <v>45</v>
      </c>
      <c r="J3235" s="10" t="s">
        <v>46</v>
      </c>
      <c r="K3235" s="12">
        <v>46013</v>
      </c>
      <c r="L3235" s="28" t="s">
        <v>11</v>
      </c>
      <c r="M3235" s="14"/>
      <c r="N3235" s="10" t="s">
        <v>1028</v>
      </c>
    </row>
    <row r="3236" spans="1:14" ht="22.5" customHeight="1">
      <c r="A3236" s="8">
        <v>46013.954469340279</v>
      </c>
      <c r="B3236" s="9" t="s">
        <v>14</v>
      </c>
      <c r="C3236" s="9" t="s">
        <v>15</v>
      </c>
      <c r="D3236" s="10" t="s">
        <v>7111</v>
      </c>
      <c r="E3236" s="9" t="s">
        <v>17</v>
      </c>
      <c r="F3236" s="10">
        <v>13</v>
      </c>
      <c r="G3236" s="11">
        <v>8067233927</v>
      </c>
      <c r="H3236" s="10" t="s">
        <v>7112</v>
      </c>
      <c r="I3236" s="10" t="s">
        <v>27</v>
      </c>
      <c r="J3236" s="10" t="s">
        <v>7113</v>
      </c>
      <c r="K3236" s="12">
        <v>46013</v>
      </c>
      <c r="L3236" s="28" t="s">
        <v>11</v>
      </c>
      <c r="M3236" s="10"/>
      <c r="N3236" s="10" t="s">
        <v>7114</v>
      </c>
    </row>
    <row r="3237" spans="1:14" ht="22.5" customHeight="1">
      <c r="A3237" s="8">
        <v>46013.960548518517</v>
      </c>
      <c r="B3237" s="9" t="s">
        <v>14</v>
      </c>
      <c r="C3237" s="9" t="s">
        <v>15</v>
      </c>
      <c r="D3237" s="10" t="s">
        <v>7115</v>
      </c>
      <c r="E3237" s="9" t="s">
        <v>17</v>
      </c>
      <c r="F3237" s="10">
        <v>33</v>
      </c>
      <c r="G3237" s="11">
        <v>8064296183</v>
      </c>
      <c r="H3237" s="10" t="s">
        <v>7116</v>
      </c>
      <c r="I3237" s="10" t="s">
        <v>27</v>
      </c>
      <c r="J3237" s="10" t="s">
        <v>372</v>
      </c>
      <c r="K3237" s="12">
        <v>46013</v>
      </c>
      <c r="L3237" s="28" t="s">
        <v>11</v>
      </c>
      <c r="M3237" s="14"/>
      <c r="N3237" s="10" t="s">
        <v>1028</v>
      </c>
    </row>
    <row r="3238" spans="1:14" ht="22.5" customHeight="1">
      <c r="A3238" s="8">
        <v>46013.978821956014</v>
      </c>
      <c r="B3238" s="9" t="s">
        <v>14</v>
      </c>
      <c r="C3238" s="9" t="s">
        <v>15</v>
      </c>
      <c r="D3238" s="10" t="s">
        <v>7117</v>
      </c>
      <c r="E3238" s="9" t="s">
        <v>22</v>
      </c>
      <c r="F3238" s="10">
        <v>29</v>
      </c>
      <c r="G3238" s="11">
        <v>8103996900</v>
      </c>
      <c r="H3238" s="10" t="s">
        <v>7118</v>
      </c>
      <c r="I3238" s="10" t="s">
        <v>27</v>
      </c>
      <c r="J3238" s="10" t="s">
        <v>172</v>
      </c>
      <c r="K3238" s="12">
        <v>46013</v>
      </c>
      <c r="L3238" s="28" t="s">
        <v>11</v>
      </c>
      <c r="M3238" s="14"/>
      <c r="N3238" s="10" t="s">
        <v>1028</v>
      </c>
    </row>
    <row r="3239" spans="1:14" ht="22.5" customHeight="1">
      <c r="A3239" s="8">
        <v>46013.984461990738</v>
      </c>
      <c r="B3239" s="9" t="s">
        <v>14</v>
      </c>
      <c r="C3239" s="9" t="s">
        <v>15</v>
      </c>
      <c r="D3239" s="10" t="s">
        <v>7119</v>
      </c>
      <c r="E3239" s="9" t="s">
        <v>17</v>
      </c>
      <c r="F3239" s="10">
        <v>37</v>
      </c>
      <c r="G3239" s="11">
        <v>8034434347</v>
      </c>
      <c r="H3239" s="10" t="s">
        <v>7120</v>
      </c>
      <c r="I3239" s="10" t="s">
        <v>31</v>
      </c>
      <c r="J3239" s="10" t="s">
        <v>39</v>
      </c>
      <c r="K3239" s="12">
        <v>46013</v>
      </c>
      <c r="L3239" s="28" t="s">
        <v>11</v>
      </c>
      <c r="M3239" s="14"/>
      <c r="N3239" s="10" t="s">
        <v>1028</v>
      </c>
    </row>
    <row r="3240" spans="1:14" ht="22.5" customHeight="1">
      <c r="A3240" s="8">
        <v>46013.989690775459</v>
      </c>
      <c r="B3240" s="9" t="s">
        <v>14</v>
      </c>
      <c r="C3240" s="9" t="s">
        <v>15</v>
      </c>
      <c r="D3240" s="10" t="s">
        <v>7121</v>
      </c>
      <c r="E3240" s="9" t="s">
        <v>17</v>
      </c>
      <c r="F3240" s="10">
        <v>29</v>
      </c>
      <c r="G3240" s="11">
        <f t="shared" ref="G3240" si="84">2348068848886</f>
        <v>2348068848886</v>
      </c>
      <c r="H3240" s="10" t="s">
        <v>7122</v>
      </c>
      <c r="I3240" s="10" t="s">
        <v>27</v>
      </c>
      <c r="J3240" s="10" t="s">
        <v>6972</v>
      </c>
      <c r="K3240" s="12">
        <v>46013</v>
      </c>
      <c r="L3240" s="28" t="s">
        <v>11</v>
      </c>
      <c r="M3240" s="14"/>
      <c r="N3240" s="10" t="s">
        <v>1028</v>
      </c>
    </row>
    <row r="3241" spans="1:14" ht="22.5" customHeight="1">
      <c r="A3241" s="8">
        <v>46013.9982275</v>
      </c>
      <c r="B3241" s="9" t="s">
        <v>14</v>
      </c>
      <c r="C3241" s="9" t="s">
        <v>15</v>
      </c>
      <c r="D3241" s="10" t="s">
        <v>7123</v>
      </c>
      <c r="E3241" s="9" t="s">
        <v>17</v>
      </c>
      <c r="F3241" s="10">
        <v>39</v>
      </c>
      <c r="G3241" s="11">
        <v>8168371381</v>
      </c>
      <c r="H3241" s="10" t="s">
        <v>7124</v>
      </c>
      <c r="I3241" s="10" t="s">
        <v>27</v>
      </c>
      <c r="J3241" s="10" t="s">
        <v>1456</v>
      </c>
      <c r="K3241" s="12">
        <v>46013</v>
      </c>
      <c r="L3241" s="28" t="s">
        <v>11</v>
      </c>
      <c r="M3241" s="14"/>
      <c r="N3241" s="10" t="s">
        <v>1028</v>
      </c>
    </row>
    <row r="3242" spans="1:14" ht="22.5" customHeight="1">
      <c r="A3242" s="8">
        <v>46014.026637685187</v>
      </c>
      <c r="B3242" s="9" t="s">
        <v>14</v>
      </c>
      <c r="C3242" s="9" t="s">
        <v>15</v>
      </c>
      <c r="D3242" s="10" t="s">
        <v>7125</v>
      </c>
      <c r="E3242" s="9" t="s">
        <v>17</v>
      </c>
      <c r="F3242" s="10">
        <v>37</v>
      </c>
      <c r="G3242" s="11">
        <v>8073600009</v>
      </c>
      <c r="H3242" s="10" t="s">
        <v>7126</v>
      </c>
      <c r="I3242" s="10" t="s">
        <v>27</v>
      </c>
      <c r="J3242" s="10" t="s">
        <v>2105</v>
      </c>
      <c r="K3242" s="12">
        <v>46014</v>
      </c>
      <c r="L3242" s="28" t="s">
        <v>11</v>
      </c>
      <c r="M3242" s="14"/>
      <c r="N3242" s="10" t="s">
        <v>1028</v>
      </c>
    </row>
    <row r="3243" spans="1:14" ht="22.5" hidden="1" customHeight="1">
      <c r="A3243" s="8">
        <v>46014.032977719908</v>
      </c>
      <c r="B3243" s="9" t="s">
        <v>14</v>
      </c>
      <c r="C3243" s="9" t="s">
        <v>15</v>
      </c>
      <c r="D3243" s="10" t="s">
        <v>7127</v>
      </c>
      <c r="E3243" s="9" t="s">
        <v>22</v>
      </c>
      <c r="F3243" s="10">
        <v>25</v>
      </c>
      <c r="G3243" s="11">
        <v>7044915346</v>
      </c>
      <c r="H3243" s="10" t="s">
        <v>7128</v>
      </c>
      <c r="I3243" s="10" t="s">
        <v>27</v>
      </c>
      <c r="J3243" s="10" t="s">
        <v>3186</v>
      </c>
      <c r="K3243" s="12">
        <v>46014</v>
      </c>
      <c r="L3243" s="10" t="s">
        <v>441</v>
      </c>
      <c r="M3243" s="10" t="s">
        <v>1361</v>
      </c>
      <c r="N3243" s="10" t="s">
        <v>1028</v>
      </c>
    </row>
    <row r="3244" spans="1:14" ht="22.5" hidden="1" customHeight="1">
      <c r="A3244" s="8">
        <v>46014.050932858794</v>
      </c>
      <c r="B3244" s="9" t="s">
        <v>14</v>
      </c>
      <c r="C3244" s="9" t="s">
        <v>15</v>
      </c>
      <c r="D3244" s="10" t="s">
        <v>7129</v>
      </c>
      <c r="E3244" s="9" t="s">
        <v>17</v>
      </c>
      <c r="F3244" s="18">
        <v>30</v>
      </c>
      <c r="G3244" s="11">
        <v>8039472691</v>
      </c>
      <c r="H3244" s="10" t="s">
        <v>7130</v>
      </c>
      <c r="I3244" s="10" t="s">
        <v>27</v>
      </c>
      <c r="J3244" s="10" t="s">
        <v>372</v>
      </c>
      <c r="K3244" s="12">
        <v>46014</v>
      </c>
      <c r="L3244" s="10" t="s">
        <v>441</v>
      </c>
      <c r="M3244" s="10" t="s">
        <v>1356</v>
      </c>
      <c r="N3244" s="10" t="s">
        <v>1028</v>
      </c>
    </row>
    <row r="3245" spans="1:14" ht="22.5" customHeight="1">
      <c r="A3245" s="8">
        <v>46014.052460034727</v>
      </c>
      <c r="B3245" s="9" t="s">
        <v>14</v>
      </c>
      <c r="C3245" s="9" t="s">
        <v>15</v>
      </c>
      <c r="D3245" s="10" t="s">
        <v>7131</v>
      </c>
      <c r="E3245" s="9" t="s">
        <v>17</v>
      </c>
      <c r="F3245" s="10">
        <v>31</v>
      </c>
      <c r="G3245" s="11">
        <v>8103993078</v>
      </c>
      <c r="H3245" s="10" t="s">
        <v>7132</v>
      </c>
      <c r="I3245" s="10" t="s">
        <v>19</v>
      </c>
      <c r="J3245" s="10" t="s">
        <v>7133</v>
      </c>
      <c r="K3245" s="12">
        <v>46014</v>
      </c>
      <c r="L3245" s="28" t="s">
        <v>11</v>
      </c>
      <c r="M3245" s="14"/>
      <c r="N3245" s="10" t="s">
        <v>1028</v>
      </c>
    </row>
    <row r="3246" spans="1:14" ht="22.5" hidden="1" customHeight="1">
      <c r="A3246" s="8">
        <v>46014.06412844907</v>
      </c>
      <c r="B3246" s="9" t="s">
        <v>14</v>
      </c>
      <c r="C3246" s="9" t="s">
        <v>15</v>
      </c>
      <c r="D3246" s="10" t="s">
        <v>7127</v>
      </c>
      <c r="E3246" s="9" t="s">
        <v>22</v>
      </c>
      <c r="F3246" s="10">
        <v>25</v>
      </c>
      <c r="G3246" s="11">
        <v>7044915346</v>
      </c>
      <c r="H3246" s="10" t="s">
        <v>7128</v>
      </c>
      <c r="I3246" s="10" t="s">
        <v>27</v>
      </c>
      <c r="J3246" s="10" t="s">
        <v>3186</v>
      </c>
      <c r="K3246" s="12">
        <v>46014</v>
      </c>
      <c r="L3246" s="10" t="s">
        <v>441</v>
      </c>
      <c r="M3246" s="10" t="s">
        <v>1361</v>
      </c>
      <c r="N3246" s="10" t="s">
        <v>1028</v>
      </c>
    </row>
    <row r="3247" spans="1:14" ht="22.5" customHeight="1">
      <c r="A3247" s="8">
        <v>46014.064722592593</v>
      </c>
      <c r="B3247" s="9" t="s">
        <v>14</v>
      </c>
      <c r="C3247" s="9" t="s">
        <v>15</v>
      </c>
      <c r="D3247" s="10" t="s">
        <v>7134</v>
      </c>
      <c r="E3247" s="9" t="s">
        <v>17</v>
      </c>
      <c r="F3247" s="10">
        <v>28</v>
      </c>
      <c r="G3247" s="11">
        <v>9072337874</v>
      </c>
      <c r="H3247" s="10" t="s">
        <v>7135</v>
      </c>
      <c r="I3247" s="10" t="s">
        <v>145</v>
      </c>
      <c r="J3247" s="10" t="s">
        <v>3584</v>
      </c>
      <c r="K3247" s="12">
        <v>46014</v>
      </c>
      <c r="L3247" s="28" t="s">
        <v>11</v>
      </c>
      <c r="M3247" s="14"/>
      <c r="N3247" s="10" t="s">
        <v>1028</v>
      </c>
    </row>
    <row r="3248" spans="1:14" ht="22.5" customHeight="1">
      <c r="A3248" s="8">
        <v>46014.072003113426</v>
      </c>
      <c r="B3248" s="9" t="s">
        <v>14</v>
      </c>
      <c r="C3248" s="9" t="s">
        <v>15</v>
      </c>
      <c r="D3248" s="10" t="s">
        <v>7136</v>
      </c>
      <c r="E3248" s="9" t="s">
        <v>17</v>
      </c>
      <c r="F3248" s="10">
        <v>49</v>
      </c>
      <c r="G3248" s="11">
        <v>8039386269</v>
      </c>
      <c r="H3248" s="10" t="s">
        <v>7137</v>
      </c>
      <c r="I3248" s="10" t="s">
        <v>19</v>
      </c>
      <c r="J3248" s="10" t="s">
        <v>1664</v>
      </c>
      <c r="K3248" s="12">
        <v>46014</v>
      </c>
      <c r="L3248" s="28" t="s">
        <v>11</v>
      </c>
      <c r="M3248" s="14"/>
      <c r="N3248" s="10" t="s">
        <v>1028</v>
      </c>
    </row>
    <row r="3249" spans="1:14" ht="22.5" customHeight="1">
      <c r="A3249" s="8">
        <v>46014.078262037037</v>
      </c>
      <c r="B3249" s="9" t="s">
        <v>14</v>
      </c>
      <c r="C3249" s="9" t="s">
        <v>15</v>
      </c>
      <c r="D3249" s="10" t="s">
        <v>7138</v>
      </c>
      <c r="E3249" s="9" t="s">
        <v>17</v>
      </c>
      <c r="F3249" s="10">
        <v>30</v>
      </c>
      <c r="G3249" s="11">
        <v>8162965700</v>
      </c>
      <c r="H3249" s="10" t="s">
        <v>7139</v>
      </c>
      <c r="I3249" s="10" t="s">
        <v>27</v>
      </c>
      <c r="J3249" s="10" t="s">
        <v>4612</v>
      </c>
      <c r="K3249" s="12">
        <v>46014</v>
      </c>
      <c r="L3249" s="28" t="s">
        <v>11</v>
      </c>
      <c r="M3249" s="14"/>
      <c r="N3249" s="10" t="s">
        <v>1028</v>
      </c>
    </row>
    <row r="3250" spans="1:14" ht="22.5" customHeight="1">
      <c r="A3250" s="8">
        <v>46014.232887685183</v>
      </c>
      <c r="B3250" s="9" t="s">
        <v>14</v>
      </c>
      <c r="C3250" s="9" t="s">
        <v>15</v>
      </c>
      <c r="D3250" s="10" t="s">
        <v>7140</v>
      </c>
      <c r="E3250" s="9" t="s">
        <v>17</v>
      </c>
      <c r="F3250" s="10">
        <v>26</v>
      </c>
      <c r="G3250" s="11">
        <v>9033075854</v>
      </c>
      <c r="H3250" s="10" t="s">
        <v>7141</v>
      </c>
      <c r="I3250" s="10" t="s">
        <v>202</v>
      </c>
      <c r="J3250" s="10" t="s">
        <v>5573</v>
      </c>
      <c r="K3250" s="12">
        <v>46014</v>
      </c>
      <c r="L3250" s="28" t="s">
        <v>11</v>
      </c>
      <c r="M3250" s="14"/>
      <c r="N3250" s="10" t="s">
        <v>1028</v>
      </c>
    </row>
    <row r="3251" spans="1:14" ht="22.5" customHeight="1">
      <c r="A3251" s="8">
        <v>46014.262440277773</v>
      </c>
      <c r="B3251" s="9" t="s">
        <v>14</v>
      </c>
      <c r="C3251" s="9" t="s">
        <v>15</v>
      </c>
      <c r="D3251" s="10" t="s">
        <v>7142</v>
      </c>
      <c r="E3251" s="9" t="s">
        <v>22</v>
      </c>
      <c r="F3251" s="19">
        <v>26</v>
      </c>
      <c r="G3251" s="11">
        <v>8069411752</v>
      </c>
      <c r="H3251" s="10" t="s">
        <v>7143</v>
      </c>
      <c r="I3251" s="10" t="s">
        <v>27</v>
      </c>
      <c r="J3251" s="10" t="s">
        <v>2105</v>
      </c>
      <c r="K3251" s="12">
        <v>46014</v>
      </c>
      <c r="L3251" s="28" t="s">
        <v>11</v>
      </c>
      <c r="M3251" s="14"/>
      <c r="N3251" s="10" t="s">
        <v>1028</v>
      </c>
    </row>
    <row r="3252" spans="1:14" ht="22.5" customHeight="1">
      <c r="A3252" s="8">
        <v>46014.285383090275</v>
      </c>
      <c r="B3252" s="9" t="s">
        <v>14</v>
      </c>
      <c r="C3252" s="9" t="s">
        <v>15</v>
      </c>
      <c r="D3252" s="10" t="s">
        <v>7144</v>
      </c>
      <c r="E3252" s="9" t="s">
        <v>22</v>
      </c>
      <c r="F3252" s="10">
        <v>27</v>
      </c>
      <c r="G3252" s="11">
        <v>8146960342</v>
      </c>
      <c r="H3252" s="10" t="s">
        <v>7145</v>
      </c>
      <c r="I3252" s="10" t="s">
        <v>27</v>
      </c>
      <c r="J3252" s="10" t="s">
        <v>94</v>
      </c>
      <c r="K3252" s="12">
        <v>35101</v>
      </c>
      <c r="L3252" s="28" t="s">
        <v>11</v>
      </c>
      <c r="M3252" s="14"/>
      <c r="N3252" s="10" t="s">
        <v>1028</v>
      </c>
    </row>
    <row r="3253" spans="1:14" ht="22.5" hidden="1" customHeight="1">
      <c r="A3253" s="8">
        <v>46014.287254560186</v>
      </c>
      <c r="B3253" s="9" t="s">
        <v>14</v>
      </c>
      <c r="C3253" s="9" t="s">
        <v>15</v>
      </c>
      <c r="D3253" s="10" t="s">
        <v>7146</v>
      </c>
      <c r="E3253" s="9" t="s">
        <v>17</v>
      </c>
      <c r="F3253" s="10">
        <v>40</v>
      </c>
      <c r="G3253" s="11">
        <v>7062202634</v>
      </c>
      <c r="H3253" s="10" t="s">
        <v>7147</v>
      </c>
      <c r="I3253" s="10" t="s">
        <v>27</v>
      </c>
      <c r="J3253" s="10" t="s">
        <v>372</v>
      </c>
      <c r="K3253" s="12">
        <v>46014</v>
      </c>
      <c r="L3253" s="10" t="s">
        <v>441</v>
      </c>
      <c r="M3253" s="10" t="s">
        <v>1356</v>
      </c>
      <c r="N3253" s="10" t="s">
        <v>1028</v>
      </c>
    </row>
    <row r="3254" spans="1:14" ht="22.5" customHeight="1">
      <c r="A3254" s="8">
        <v>46014.287389780089</v>
      </c>
      <c r="B3254" s="9" t="s">
        <v>14</v>
      </c>
      <c r="C3254" s="9" t="s">
        <v>15</v>
      </c>
      <c r="D3254" s="10" t="s">
        <v>7144</v>
      </c>
      <c r="E3254" s="9" t="s">
        <v>22</v>
      </c>
      <c r="F3254" s="10">
        <v>27</v>
      </c>
      <c r="G3254" s="11">
        <v>8146960342</v>
      </c>
      <c r="H3254" s="10" t="s">
        <v>7145</v>
      </c>
      <c r="I3254" s="10" t="s">
        <v>27</v>
      </c>
      <c r="J3254" s="10" t="s">
        <v>94</v>
      </c>
      <c r="K3254" s="12">
        <v>35101</v>
      </c>
      <c r="L3254" s="28" t="s">
        <v>11</v>
      </c>
      <c r="M3254" s="14"/>
      <c r="N3254" s="10" t="s">
        <v>1028</v>
      </c>
    </row>
    <row r="3255" spans="1:14" ht="22.5" customHeight="1">
      <c r="A3255" s="8">
        <v>46014.288781932875</v>
      </c>
      <c r="B3255" s="9" t="s">
        <v>14</v>
      </c>
      <c r="C3255" s="9" t="s">
        <v>15</v>
      </c>
      <c r="D3255" s="10" t="s">
        <v>7148</v>
      </c>
      <c r="E3255" s="9" t="s">
        <v>22</v>
      </c>
      <c r="F3255" s="18">
        <v>30</v>
      </c>
      <c r="G3255" s="11">
        <v>7061204496</v>
      </c>
      <c r="H3255" s="10" t="s">
        <v>7149</v>
      </c>
      <c r="I3255" s="10" t="s">
        <v>27</v>
      </c>
      <c r="J3255" s="10" t="s">
        <v>372</v>
      </c>
      <c r="K3255" s="12">
        <v>46014</v>
      </c>
      <c r="L3255" s="28" t="s">
        <v>11</v>
      </c>
      <c r="M3255" s="14"/>
      <c r="N3255" s="10" t="s">
        <v>1028</v>
      </c>
    </row>
    <row r="3256" spans="1:14" ht="22.5" customHeight="1">
      <c r="A3256" s="8">
        <v>46014.308084918986</v>
      </c>
      <c r="B3256" s="9" t="s">
        <v>14</v>
      </c>
      <c r="C3256" s="9" t="s">
        <v>15</v>
      </c>
      <c r="D3256" s="10" t="s">
        <v>7150</v>
      </c>
      <c r="E3256" s="9" t="s">
        <v>17</v>
      </c>
      <c r="F3256" s="10">
        <v>28</v>
      </c>
      <c r="G3256" s="11">
        <v>7036014935</v>
      </c>
      <c r="H3256" s="10" t="s">
        <v>7151</v>
      </c>
      <c r="I3256" s="10" t="s">
        <v>49</v>
      </c>
      <c r="J3256" s="10" t="s">
        <v>106</v>
      </c>
      <c r="K3256" s="12">
        <v>35348</v>
      </c>
      <c r="L3256" s="28" t="s">
        <v>11</v>
      </c>
      <c r="M3256" s="14"/>
      <c r="N3256" s="10" t="s">
        <v>1028</v>
      </c>
    </row>
    <row r="3257" spans="1:14" ht="22.5" customHeight="1">
      <c r="A3257" s="8">
        <v>46014.326121805556</v>
      </c>
      <c r="B3257" s="9" t="s">
        <v>14</v>
      </c>
      <c r="C3257" s="9" t="s">
        <v>15</v>
      </c>
      <c r="D3257" s="10" t="s">
        <v>7152</v>
      </c>
      <c r="E3257" s="9" t="s">
        <v>17</v>
      </c>
      <c r="F3257" s="10">
        <v>35</v>
      </c>
      <c r="G3257" s="11">
        <v>9164415182</v>
      </c>
      <c r="H3257" s="10" t="s">
        <v>7153</v>
      </c>
      <c r="I3257" s="10" t="s">
        <v>31</v>
      </c>
      <c r="J3257" s="10" t="s">
        <v>32</v>
      </c>
      <c r="K3257" s="12">
        <v>46014</v>
      </c>
      <c r="L3257" s="28" t="s">
        <v>11</v>
      </c>
      <c r="M3257" s="14"/>
      <c r="N3257" s="10" t="s">
        <v>1028</v>
      </c>
    </row>
    <row r="3258" spans="1:14" ht="22.5" customHeight="1">
      <c r="A3258" s="8">
        <v>46014.334043518524</v>
      </c>
      <c r="B3258" s="9" t="s">
        <v>14</v>
      </c>
      <c r="C3258" s="9" t="s">
        <v>15</v>
      </c>
      <c r="D3258" s="10" t="s">
        <v>7154</v>
      </c>
      <c r="E3258" s="9" t="s">
        <v>17</v>
      </c>
      <c r="F3258" s="10">
        <v>25</v>
      </c>
      <c r="G3258" s="11">
        <v>9069634003</v>
      </c>
      <c r="H3258" s="10" t="s">
        <v>7155</v>
      </c>
      <c r="I3258" s="10" t="s">
        <v>45</v>
      </c>
      <c r="J3258" s="10" t="s">
        <v>46</v>
      </c>
      <c r="K3258" s="12">
        <v>46014</v>
      </c>
      <c r="L3258" s="28" t="s">
        <v>11</v>
      </c>
      <c r="M3258" s="10"/>
      <c r="N3258" s="10" t="s">
        <v>1028</v>
      </c>
    </row>
    <row r="3259" spans="1:14" ht="22.5" customHeight="1">
      <c r="A3259" s="8">
        <v>46014.380607129628</v>
      </c>
      <c r="B3259" s="9" t="s">
        <v>14</v>
      </c>
      <c r="C3259" s="9" t="s">
        <v>15</v>
      </c>
      <c r="D3259" s="10" t="s">
        <v>7156</v>
      </c>
      <c r="E3259" s="9" t="s">
        <v>17</v>
      </c>
      <c r="F3259" s="10">
        <v>27</v>
      </c>
      <c r="G3259" s="11">
        <v>8163525040</v>
      </c>
      <c r="H3259" s="10" t="s">
        <v>7157</v>
      </c>
      <c r="I3259" s="10" t="s">
        <v>145</v>
      </c>
      <c r="J3259" s="10" t="s">
        <v>7158</v>
      </c>
      <c r="K3259" s="12">
        <v>46014</v>
      </c>
      <c r="L3259" s="28" t="s">
        <v>11</v>
      </c>
      <c r="M3259" s="14"/>
      <c r="N3259" s="10" t="s">
        <v>1096</v>
      </c>
    </row>
    <row r="3260" spans="1:14" ht="22.5" customHeight="1">
      <c r="A3260" s="8">
        <v>46014.381147488428</v>
      </c>
      <c r="B3260" s="9" t="s">
        <v>14</v>
      </c>
      <c r="C3260" s="9" t="s">
        <v>15</v>
      </c>
      <c r="D3260" s="10" t="s">
        <v>7159</v>
      </c>
      <c r="E3260" s="9" t="s">
        <v>17</v>
      </c>
      <c r="F3260" s="10">
        <v>23</v>
      </c>
      <c r="G3260" s="11">
        <f t="shared" ref="G3260" si="85">25079083472</f>
        <v>25079083472</v>
      </c>
      <c r="H3260" s="10" t="s">
        <v>7160</v>
      </c>
      <c r="I3260" s="10" t="s">
        <v>19</v>
      </c>
      <c r="J3260" s="10" t="s">
        <v>7161</v>
      </c>
      <c r="K3260" s="12">
        <v>46014</v>
      </c>
      <c r="L3260" s="28" t="s">
        <v>11</v>
      </c>
      <c r="M3260" s="14"/>
      <c r="N3260" s="10" t="s">
        <v>1563</v>
      </c>
    </row>
    <row r="3261" spans="1:14" ht="22.5" customHeight="1">
      <c r="A3261" s="8">
        <v>46014.399920497686</v>
      </c>
      <c r="B3261" s="9" t="s">
        <v>14</v>
      </c>
      <c r="C3261" s="9" t="s">
        <v>15</v>
      </c>
      <c r="D3261" s="10" t="s">
        <v>7162</v>
      </c>
      <c r="E3261" s="9" t="s">
        <v>17</v>
      </c>
      <c r="F3261" s="10">
        <v>32</v>
      </c>
      <c r="G3261" s="11">
        <v>8125649248</v>
      </c>
      <c r="H3261" s="10" t="s">
        <v>7163</v>
      </c>
      <c r="I3261" s="10" t="s">
        <v>31</v>
      </c>
      <c r="J3261" s="10" t="s">
        <v>32</v>
      </c>
      <c r="K3261" s="12">
        <v>46014</v>
      </c>
      <c r="L3261" s="28" t="s">
        <v>11</v>
      </c>
      <c r="M3261" s="10"/>
      <c r="N3261" s="10" t="s">
        <v>1028</v>
      </c>
    </row>
    <row r="3262" spans="1:14" ht="22.5" customHeight="1">
      <c r="A3262" s="8">
        <v>46014.406467881941</v>
      </c>
      <c r="B3262" s="9" t="s">
        <v>14</v>
      </c>
      <c r="C3262" s="9" t="s">
        <v>15</v>
      </c>
      <c r="D3262" s="10" t="s">
        <v>7164</v>
      </c>
      <c r="E3262" s="9" t="s">
        <v>22</v>
      </c>
      <c r="F3262" s="10">
        <v>22</v>
      </c>
      <c r="G3262" s="11">
        <v>8085819123</v>
      </c>
      <c r="H3262" s="10" t="s">
        <v>7165</v>
      </c>
      <c r="I3262" s="10" t="s">
        <v>45</v>
      </c>
      <c r="J3262" s="10" t="s">
        <v>46</v>
      </c>
      <c r="K3262" s="12">
        <v>46014</v>
      </c>
      <c r="L3262" s="28" t="s">
        <v>11</v>
      </c>
      <c r="M3262" s="14"/>
      <c r="N3262" s="10" t="s">
        <v>1028</v>
      </c>
    </row>
    <row r="3263" spans="1:14" ht="22.5" customHeight="1">
      <c r="A3263" s="8">
        <v>46014.412444236106</v>
      </c>
      <c r="B3263" s="9" t="s">
        <v>14</v>
      </c>
      <c r="C3263" s="9" t="s">
        <v>15</v>
      </c>
      <c r="D3263" s="10" t="s">
        <v>7166</v>
      </c>
      <c r="E3263" s="9" t="s">
        <v>17</v>
      </c>
      <c r="F3263" s="10">
        <v>28</v>
      </c>
      <c r="G3263" s="11">
        <v>8021221578</v>
      </c>
      <c r="H3263" s="10" t="s">
        <v>7167</v>
      </c>
      <c r="I3263" s="10" t="s">
        <v>27</v>
      </c>
      <c r="J3263" s="10" t="s">
        <v>172</v>
      </c>
      <c r="K3263" s="12">
        <v>46014</v>
      </c>
      <c r="L3263" s="28" t="s">
        <v>11</v>
      </c>
      <c r="M3263" s="14"/>
      <c r="N3263" s="10" t="s">
        <v>1028</v>
      </c>
    </row>
    <row r="3264" spans="1:14" ht="22.5" hidden="1" customHeight="1">
      <c r="A3264" s="8">
        <v>46014.430107106484</v>
      </c>
      <c r="B3264" s="9" t="s">
        <v>14</v>
      </c>
      <c r="C3264" s="9" t="s">
        <v>15</v>
      </c>
      <c r="D3264" s="10" t="s">
        <v>7168</v>
      </c>
      <c r="E3264" s="9" t="s">
        <v>17</v>
      </c>
      <c r="F3264" s="10">
        <v>41</v>
      </c>
      <c r="G3264" s="11">
        <v>8033856161</v>
      </c>
      <c r="H3264" s="10" t="s">
        <v>7169</v>
      </c>
      <c r="I3264" s="10" t="s">
        <v>27</v>
      </c>
      <c r="J3264" s="10" t="s">
        <v>2258</v>
      </c>
      <c r="K3264" s="12">
        <v>46014</v>
      </c>
      <c r="L3264" s="10" t="s">
        <v>441</v>
      </c>
      <c r="M3264" s="10" t="s">
        <v>7170</v>
      </c>
      <c r="N3264" s="10" t="s">
        <v>1096</v>
      </c>
    </row>
    <row r="3265" spans="1:14" ht="22.5" customHeight="1">
      <c r="A3265" s="8">
        <v>46014.433825300926</v>
      </c>
      <c r="B3265" s="9" t="s">
        <v>14</v>
      </c>
      <c r="C3265" s="9" t="s">
        <v>15</v>
      </c>
      <c r="D3265" s="10" t="s">
        <v>7171</v>
      </c>
      <c r="E3265" s="9" t="s">
        <v>17</v>
      </c>
      <c r="F3265" s="19">
        <v>28</v>
      </c>
      <c r="G3265" s="11">
        <v>8060792502</v>
      </c>
      <c r="H3265" s="10" t="s">
        <v>7172</v>
      </c>
      <c r="I3265" s="10" t="s">
        <v>27</v>
      </c>
      <c r="J3265" s="10" t="s">
        <v>172</v>
      </c>
      <c r="K3265" s="12">
        <v>46014</v>
      </c>
      <c r="L3265" s="28" t="s">
        <v>11</v>
      </c>
      <c r="M3265" s="14"/>
      <c r="N3265" s="10" t="s">
        <v>1028</v>
      </c>
    </row>
    <row r="3266" spans="1:14" ht="22.5" hidden="1" customHeight="1">
      <c r="A3266" s="8">
        <v>46014.450723217597</v>
      </c>
      <c r="B3266" s="9" t="s">
        <v>14</v>
      </c>
      <c r="C3266" s="9" t="s">
        <v>15</v>
      </c>
      <c r="D3266" s="10" t="s">
        <v>7173</v>
      </c>
      <c r="E3266" s="9" t="s">
        <v>22</v>
      </c>
      <c r="F3266" s="10">
        <v>28</v>
      </c>
      <c r="G3266" s="11">
        <v>8145203909</v>
      </c>
      <c r="H3266" s="10" t="s">
        <v>7174</v>
      </c>
      <c r="I3266" s="10" t="s">
        <v>27</v>
      </c>
      <c r="J3266" s="10" t="s">
        <v>1514</v>
      </c>
      <c r="K3266" s="12">
        <v>46014</v>
      </c>
      <c r="L3266" s="10" t="s">
        <v>441</v>
      </c>
      <c r="M3266" s="10" t="s">
        <v>7175</v>
      </c>
      <c r="N3266" s="10" t="s">
        <v>1028</v>
      </c>
    </row>
    <row r="3267" spans="1:14" ht="22.5" customHeight="1">
      <c r="A3267" s="8">
        <v>46014.457133298609</v>
      </c>
      <c r="B3267" s="9" t="s">
        <v>14</v>
      </c>
      <c r="C3267" s="9" t="s">
        <v>15</v>
      </c>
      <c r="D3267" s="10" t="s">
        <v>7176</v>
      </c>
      <c r="E3267" s="9" t="s">
        <v>17</v>
      </c>
      <c r="F3267" s="10">
        <v>45</v>
      </c>
      <c r="G3267" s="11">
        <v>8168734645</v>
      </c>
      <c r="H3267" s="10" t="s">
        <v>7177</v>
      </c>
      <c r="I3267" s="10" t="s">
        <v>31</v>
      </c>
      <c r="J3267" s="10" t="s">
        <v>32</v>
      </c>
      <c r="K3267" s="12">
        <v>46014</v>
      </c>
      <c r="L3267" s="28" t="s">
        <v>11</v>
      </c>
      <c r="M3267" s="14"/>
      <c r="N3267" s="10" t="s">
        <v>1028</v>
      </c>
    </row>
    <row r="3268" spans="1:14" ht="22.5" customHeight="1">
      <c r="A3268" s="8">
        <v>46014.458456805558</v>
      </c>
      <c r="B3268" s="9" t="s">
        <v>14</v>
      </c>
      <c r="C3268" s="9" t="s">
        <v>15</v>
      </c>
      <c r="D3268" s="10" t="s">
        <v>7178</v>
      </c>
      <c r="E3268" s="9" t="s">
        <v>22</v>
      </c>
      <c r="F3268" s="10">
        <v>20</v>
      </c>
      <c r="G3268" s="11">
        <v>9033222929</v>
      </c>
      <c r="H3268" s="10" t="s">
        <v>7179</v>
      </c>
      <c r="I3268" s="10" t="s">
        <v>27</v>
      </c>
      <c r="J3268" s="10" t="s">
        <v>7180</v>
      </c>
      <c r="K3268" s="12">
        <v>46014</v>
      </c>
      <c r="L3268" s="28" t="s">
        <v>11</v>
      </c>
      <c r="M3268" s="10"/>
      <c r="N3268" s="10" t="s">
        <v>1028</v>
      </c>
    </row>
    <row r="3269" spans="1:14" ht="22.5" customHeight="1">
      <c r="A3269" s="8">
        <v>46014.472279282403</v>
      </c>
      <c r="B3269" s="9" t="s">
        <v>14</v>
      </c>
      <c r="C3269" s="9" t="s">
        <v>15</v>
      </c>
      <c r="D3269" s="10" t="s">
        <v>7181</v>
      </c>
      <c r="E3269" s="9" t="s">
        <v>17</v>
      </c>
      <c r="F3269" s="10">
        <v>33</v>
      </c>
      <c r="G3269" s="11">
        <v>8136514044</v>
      </c>
      <c r="H3269" s="10" t="s">
        <v>7182</v>
      </c>
      <c r="I3269" s="10" t="s">
        <v>27</v>
      </c>
      <c r="J3269" s="10" t="s">
        <v>372</v>
      </c>
      <c r="K3269" s="12">
        <v>46014</v>
      </c>
      <c r="L3269" s="28" t="s">
        <v>11</v>
      </c>
      <c r="M3269" s="14"/>
      <c r="N3269" s="10" t="s">
        <v>1028</v>
      </c>
    </row>
    <row r="3270" spans="1:14" ht="22.5" customHeight="1">
      <c r="A3270" s="8">
        <v>46014.477299907405</v>
      </c>
      <c r="B3270" s="9" t="s">
        <v>14</v>
      </c>
      <c r="C3270" s="9" t="s">
        <v>15</v>
      </c>
      <c r="D3270" s="10" t="s">
        <v>7183</v>
      </c>
      <c r="E3270" s="9" t="s">
        <v>17</v>
      </c>
      <c r="F3270" s="10">
        <v>24</v>
      </c>
      <c r="G3270" s="11">
        <v>9037999225</v>
      </c>
      <c r="H3270" s="10" t="s">
        <v>7184</v>
      </c>
      <c r="I3270" s="10" t="s">
        <v>27</v>
      </c>
      <c r="J3270" s="10" t="s">
        <v>94</v>
      </c>
      <c r="K3270" s="12">
        <v>46014</v>
      </c>
      <c r="L3270" s="28" t="s">
        <v>11</v>
      </c>
      <c r="M3270" s="14"/>
      <c r="N3270" s="10" t="s">
        <v>1028</v>
      </c>
    </row>
    <row r="3271" spans="1:14" ht="22.5" customHeight="1">
      <c r="A3271" s="8">
        <v>46014.48401782407</v>
      </c>
      <c r="B3271" s="9" t="s">
        <v>14</v>
      </c>
      <c r="C3271" s="9" t="s">
        <v>15</v>
      </c>
      <c r="D3271" s="10" t="s">
        <v>7185</v>
      </c>
      <c r="E3271" s="9" t="s">
        <v>17</v>
      </c>
      <c r="F3271" s="10">
        <v>19</v>
      </c>
      <c r="G3271" s="11">
        <v>9074037289</v>
      </c>
      <c r="H3271" s="10" t="s">
        <v>7186</v>
      </c>
      <c r="I3271" s="10" t="s">
        <v>27</v>
      </c>
      <c r="J3271" s="10" t="s">
        <v>2258</v>
      </c>
      <c r="K3271" s="12">
        <v>46014</v>
      </c>
      <c r="L3271" s="28" t="s">
        <v>11</v>
      </c>
      <c r="M3271" s="14"/>
      <c r="N3271" s="10" t="s">
        <v>1028</v>
      </c>
    </row>
    <row r="3272" spans="1:14" ht="22.5" customHeight="1">
      <c r="A3272" s="8">
        <v>46014.485320127314</v>
      </c>
      <c r="B3272" s="9" t="s">
        <v>14</v>
      </c>
      <c r="C3272" s="9" t="s">
        <v>15</v>
      </c>
      <c r="D3272" s="10" t="s">
        <v>7187</v>
      </c>
      <c r="E3272" s="9" t="s">
        <v>17</v>
      </c>
      <c r="F3272" s="10">
        <v>30</v>
      </c>
      <c r="G3272" s="11">
        <v>7067928256</v>
      </c>
      <c r="H3272" s="10" t="s">
        <v>7188</v>
      </c>
      <c r="I3272" s="10" t="s">
        <v>31</v>
      </c>
      <c r="J3272" s="10" t="s">
        <v>32</v>
      </c>
      <c r="K3272" s="12">
        <v>46014</v>
      </c>
      <c r="L3272" s="28" t="s">
        <v>11</v>
      </c>
      <c r="M3272" s="14"/>
      <c r="N3272" s="10" t="s">
        <v>1028</v>
      </c>
    </row>
    <row r="3273" spans="1:14" ht="22.5" customHeight="1">
      <c r="A3273" s="8">
        <v>46014.485727951389</v>
      </c>
      <c r="B3273" s="9" t="s">
        <v>14</v>
      </c>
      <c r="C3273" s="9" t="s">
        <v>15</v>
      </c>
      <c r="D3273" s="10" t="s">
        <v>7189</v>
      </c>
      <c r="E3273" s="9" t="s">
        <v>17</v>
      </c>
      <c r="F3273" s="18">
        <v>31</v>
      </c>
      <c r="G3273" s="11">
        <v>9019948422</v>
      </c>
      <c r="H3273" s="10" t="s">
        <v>7190</v>
      </c>
      <c r="I3273" s="10" t="s">
        <v>27</v>
      </c>
      <c r="J3273" s="10" t="s">
        <v>172</v>
      </c>
      <c r="K3273" s="12">
        <v>46014</v>
      </c>
      <c r="L3273" s="28" t="s">
        <v>11</v>
      </c>
      <c r="M3273" s="14"/>
      <c r="N3273" s="10" t="s">
        <v>1028</v>
      </c>
    </row>
    <row r="3274" spans="1:14" ht="22.5" customHeight="1">
      <c r="A3274" s="8">
        <v>46014.490423078707</v>
      </c>
      <c r="B3274" s="9" t="s">
        <v>14</v>
      </c>
      <c r="C3274" s="9" t="s">
        <v>15</v>
      </c>
      <c r="D3274" s="10" t="s">
        <v>7191</v>
      </c>
      <c r="E3274" s="9" t="s">
        <v>22</v>
      </c>
      <c r="F3274" s="10">
        <v>26</v>
      </c>
      <c r="G3274" s="11">
        <v>8085227158</v>
      </c>
      <c r="H3274" s="10" t="s">
        <v>7192</v>
      </c>
      <c r="I3274" s="10" t="s">
        <v>27</v>
      </c>
      <c r="J3274" s="10" t="s">
        <v>70</v>
      </c>
      <c r="K3274" s="12">
        <v>46014</v>
      </c>
      <c r="L3274" s="28" t="s">
        <v>11</v>
      </c>
      <c r="M3274" s="14"/>
      <c r="N3274" s="10" t="s">
        <v>1028</v>
      </c>
    </row>
    <row r="3275" spans="1:14" ht="22.5" customHeight="1">
      <c r="A3275" s="8">
        <v>46014.492382511569</v>
      </c>
      <c r="B3275" s="9" t="s">
        <v>14</v>
      </c>
      <c r="C3275" s="9" t="s">
        <v>15</v>
      </c>
      <c r="D3275" s="10" t="s">
        <v>7193</v>
      </c>
      <c r="E3275" s="9" t="s">
        <v>17</v>
      </c>
      <c r="F3275" s="10">
        <v>21</v>
      </c>
      <c r="G3275" s="11">
        <v>8148194815</v>
      </c>
      <c r="H3275" s="10" t="s">
        <v>7194</v>
      </c>
      <c r="I3275" s="10" t="s">
        <v>27</v>
      </c>
      <c r="J3275" s="10" t="s">
        <v>2105</v>
      </c>
      <c r="K3275" s="12">
        <v>46014</v>
      </c>
      <c r="L3275" s="28" t="s">
        <v>11</v>
      </c>
      <c r="M3275" s="14"/>
      <c r="N3275" s="10" t="s">
        <v>1028</v>
      </c>
    </row>
    <row r="3276" spans="1:14" ht="22.5" customHeight="1">
      <c r="A3276" s="8">
        <v>46014.52337787037</v>
      </c>
      <c r="B3276" s="9" t="s">
        <v>14</v>
      </c>
      <c r="C3276" s="9" t="s">
        <v>15</v>
      </c>
      <c r="D3276" s="10" t="s">
        <v>7195</v>
      </c>
      <c r="E3276" s="9" t="s">
        <v>17</v>
      </c>
      <c r="F3276" s="10">
        <v>35</v>
      </c>
      <c r="G3276" s="11">
        <v>7034378541</v>
      </c>
      <c r="H3276" s="10" t="s">
        <v>7196</v>
      </c>
      <c r="I3276" s="10" t="s">
        <v>19</v>
      </c>
      <c r="J3276" s="10" t="s">
        <v>7197</v>
      </c>
      <c r="K3276" s="12">
        <v>46014</v>
      </c>
      <c r="L3276" s="28" t="s">
        <v>11</v>
      </c>
      <c r="M3276" s="14"/>
      <c r="N3276" s="10" t="s">
        <v>7198</v>
      </c>
    </row>
    <row r="3277" spans="1:14" ht="22.5" customHeight="1">
      <c r="A3277" s="8">
        <v>46014.523964768523</v>
      </c>
      <c r="B3277" s="9" t="s">
        <v>14</v>
      </c>
      <c r="C3277" s="9" t="s">
        <v>15</v>
      </c>
      <c r="D3277" s="10" t="s">
        <v>7199</v>
      </c>
      <c r="E3277" s="9" t="s">
        <v>22</v>
      </c>
      <c r="F3277" s="10">
        <v>20</v>
      </c>
      <c r="G3277" s="11">
        <v>7049117652</v>
      </c>
      <c r="H3277" s="10" t="s">
        <v>7200</v>
      </c>
      <c r="I3277" s="10" t="s">
        <v>27</v>
      </c>
      <c r="J3277" s="10" t="s">
        <v>1456</v>
      </c>
      <c r="K3277" s="12">
        <v>46014</v>
      </c>
      <c r="L3277" s="28" t="s">
        <v>11</v>
      </c>
      <c r="M3277" s="14"/>
      <c r="N3277" s="10" t="s">
        <v>1028</v>
      </c>
    </row>
    <row r="3278" spans="1:14" ht="22.5" hidden="1" customHeight="1">
      <c r="A3278" s="8">
        <v>46014.544290729165</v>
      </c>
      <c r="B3278" s="9" t="s">
        <v>14</v>
      </c>
      <c r="C3278" s="9" t="s">
        <v>15</v>
      </c>
      <c r="D3278" s="10" t="s">
        <v>7201</v>
      </c>
      <c r="E3278" s="9" t="s">
        <v>17</v>
      </c>
      <c r="F3278" s="19">
        <v>26</v>
      </c>
      <c r="G3278" s="11">
        <v>7039425463</v>
      </c>
      <c r="H3278" s="10" t="s">
        <v>7202</v>
      </c>
      <c r="I3278" s="10" t="s">
        <v>27</v>
      </c>
      <c r="J3278" s="10" t="s">
        <v>97</v>
      </c>
      <c r="K3278" s="12">
        <v>46014</v>
      </c>
      <c r="L3278" s="10" t="s">
        <v>441</v>
      </c>
      <c r="M3278" s="10" t="s">
        <v>1161</v>
      </c>
      <c r="N3278" s="10" t="s">
        <v>1028</v>
      </c>
    </row>
    <row r="3279" spans="1:14" ht="22.5" customHeight="1">
      <c r="A3279" s="8">
        <v>46014.564358773147</v>
      </c>
      <c r="B3279" s="9" t="s">
        <v>14</v>
      </c>
      <c r="C3279" s="9" t="s">
        <v>15</v>
      </c>
      <c r="D3279" s="10" t="s">
        <v>7203</v>
      </c>
      <c r="E3279" s="9" t="s">
        <v>17</v>
      </c>
      <c r="F3279" s="10">
        <v>32</v>
      </c>
      <c r="G3279" s="11">
        <v>7039269744</v>
      </c>
      <c r="H3279" s="10" t="s">
        <v>7204</v>
      </c>
      <c r="I3279" s="10" t="s">
        <v>27</v>
      </c>
      <c r="J3279" s="10" t="s">
        <v>94</v>
      </c>
      <c r="K3279" s="12">
        <v>46014</v>
      </c>
      <c r="L3279" s="28" t="s">
        <v>11</v>
      </c>
      <c r="M3279" s="14"/>
      <c r="N3279" s="10" t="s">
        <v>1028</v>
      </c>
    </row>
    <row r="3280" spans="1:14" ht="22.5" customHeight="1">
      <c r="A3280" s="8">
        <v>46014.565222256948</v>
      </c>
      <c r="B3280" s="9" t="s">
        <v>14</v>
      </c>
      <c r="C3280" s="9" t="s">
        <v>15</v>
      </c>
      <c r="D3280" s="10" t="s">
        <v>7205</v>
      </c>
      <c r="E3280" s="9" t="s">
        <v>22</v>
      </c>
      <c r="F3280" s="10">
        <v>30</v>
      </c>
      <c r="G3280" s="11">
        <v>8112712355</v>
      </c>
      <c r="H3280" s="10" t="s">
        <v>7206</v>
      </c>
      <c r="I3280" s="10" t="s">
        <v>45</v>
      </c>
      <c r="J3280" s="10" t="s">
        <v>7207</v>
      </c>
      <c r="K3280" s="12">
        <v>46014</v>
      </c>
      <c r="L3280" s="28" t="s">
        <v>11</v>
      </c>
      <c r="M3280" s="10"/>
      <c r="N3280" s="10" t="s">
        <v>1028</v>
      </c>
    </row>
    <row r="3281" spans="1:14" ht="22.5" customHeight="1">
      <c r="A3281" s="8">
        <v>46014.567350474535</v>
      </c>
      <c r="B3281" s="9" t="s">
        <v>14</v>
      </c>
      <c r="C3281" s="9" t="s">
        <v>15</v>
      </c>
      <c r="D3281" s="10" t="s">
        <v>7208</v>
      </c>
      <c r="E3281" s="9" t="s">
        <v>17</v>
      </c>
      <c r="F3281" s="10">
        <v>31</v>
      </c>
      <c r="G3281" s="11">
        <v>8061441412</v>
      </c>
      <c r="H3281" s="10" t="s">
        <v>7209</v>
      </c>
      <c r="I3281" s="10" t="s">
        <v>202</v>
      </c>
      <c r="J3281" s="10" t="s">
        <v>4651</v>
      </c>
      <c r="K3281" s="12">
        <v>46014</v>
      </c>
      <c r="L3281" s="28" t="s">
        <v>11</v>
      </c>
      <c r="M3281" s="14"/>
      <c r="N3281" s="10" t="s">
        <v>1028</v>
      </c>
    </row>
    <row r="3282" spans="1:14" ht="22.5" customHeight="1">
      <c r="A3282" s="8">
        <v>46014.570707569444</v>
      </c>
      <c r="B3282" s="9" t="s">
        <v>14</v>
      </c>
      <c r="C3282" s="9" t="s">
        <v>15</v>
      </c>
      <c r="D3282" s="10" t="s">
        <v>7210</v>
      </c>
      <c r="E3282" s="9" t="s">
        <v>17</v>
      </c>
      <c r="F3282" s="10">
        <v>26</v>
      </c>
      <c r="G3282" s="11">
        <v>8105617468</v>
      </c>
      <c r="H3282" s="10" t="s">
        <v>7211</v>
      </c>
      <c r="I3282" s="10" t="s">
        <v>45</v>
      </c>
      <c r="J3282" s="10" t="s">
        <v>178</v>
      </c>
      <c r="K3282" s="12">
        <v>46014</v>
      </c>
      <c r="L3282" s="28" t="s">
        <v>11</v>
      </c>
      <c r="M3282" s="14"/>
      <c r="N3282" s="10" t="s">
        <v>1028</v>
      </c>
    </row>
    <row r="3283" spans="1:14" ht="22.5" customHeight="1">
      <c r="A3283" s="8">
        <v>46014.573293784721</v>
      </c>
      <c r="B3283" s="9" t="s">
        <v>14</v>
      </c>
      <c r="C3283" s="9" t="s">
        <v>15</v>
      </c>
      <c r="D3283" s="10" t="s">
        <v>7212</v>
      </c>
      <c r="E3283" s="9" t="s">
        <v>17</v>
      </c>
      <c r="F3283" s="10">
        <v>36</v>
      </c>
      <c r="G3283" s="11">
        <v>8068247944</v>
      </c>
      <c r="H3283" s="10" t="s">
        <v>7213</v>
      </c>
      <c r="I3283" s="10" t="s">
        <v>27</v>
      </c>
      <c r="J3283" s="10" t="s">
        <v>94</v>
      </c>
      <c r="K3283" s="12">
        <v>46014</v>
      </c>
      <c r="L3283" s="28" t="s">
        <v>11</v>
      </c>
      <c r="M3283" s="14"/>
      <c r="N3283" s="10" t="s">
        <v>1028</v>
      </c>
    </row>
    <row r="3284" spans="1:14" ht="22.5" customHeight="1">
      <c r="A3284" s="8">
        <v>46014.585440856477</v>
      </c>
      <c r="B3284" s="9" t="s">
        <v>14</v>
      </c>
      <c r="C3284" s="9" t="s">
        <v>15</v>
      </c>
      <c r="D3284" s="10" t="s">
        <v>7214</v>
      </c>
      <c r="E3284" s="9" t="s">
        <v>17</v>
      </c>
      <c r="F3284" s="10">
        <v>32</v>
      </c>
      <c r="G3284" s="11">
        <v>8061606108</v>
      </c>
      <c r="H3284" s="10" t="s">
        <v>7215</v>
      </c>
      <c r="I3284" s="10" t="s">
        <v>27</v>
      </c>
      <c r="J3284" s="10" t="s">
        <v>1456</v>
      </c>
      <c r="K3284" s="12">
        <v>46014</v>
      </c>
      <c r="L3284" s="28" t="s">
        <v>11</v>
      </c>
      <c r="M3284" s="14"/>
      <c r="N3284" s="10" t="s">
        <v>1028</v>
      </c>
    </row>
    <row r="3285" spans="1:14" ht="22.5" customHeight="1">
      <c r="A3285" s="8">
        <v>46014.587962013888</v>
      </c>
      <c r="B3285" s="9" t="s">
        <v>14</v>
      </c>
      <c r="C3285" s="9" t="s">
        <v>15</v>
      </c>
      <c r="D3285" s="10" t="s">
        <v>7216</v>
      </c>
      <c r="E3285" s="9" t="s">
        <v>22</v>
      </c>
      <c r="F3285" s="10">
        <v>29</v>
      </c>
      <c r="G3285" s="11">
        <v>9136379824</v>
      </c>
      <c r="H3285" s="10" t="s">
        <v>7217</v>
      </c>
      <c r="I3285" s="10" t="s">
        <v>45</v>
      </c>
      <c r="J3285" s="10" t="s">
        <v>7218</v>
      </c>
      <c r="K3285" s="12">
        <v>46014</v>
      </c>
      <c r="L3285" s="28" t="s">
        <v>11</v>
      </c>
      <c r="M3285" s="14"/>
      <c r="N3285" s="10" t="s">
        <v>1028</v>
      </c>
    </row>
    <row r="3286" spans="1:14" ht="22.5" customHeight="1">
      <c r="A3286" s="8">
        <v>46014.591262789356</v>
      </c>
      <c r="B3286" s="9" t="s">
        <v>14</v>
      </c>
      <c r="C3286" s="9" t="s">
        <v>15</v>
      </c>
      <c r="D3286" s="10" t="s">
        <v>7219</v>
      </c>
      <c r="E3286" s="9" t="s">
        <v>17</v>
      </c>
      <c r="F3286" s="10">
        <v>28</v>
      </c>
      <c r="G3286" s="11">
        <v>8067327087</v>
      </c>
      <c r="H3286" s="10" t="s">
        <v>7220</v>
      </c>
      <c r="I3286" s="10" t="s">
        <v>27</v>
      </c>
      <c r="J3286" s="10" t="s">
        <v>5556</v>
      </c>
      <c r="K3286" s="12">
        <v>46014</v>
      </c>
      <c r="L3286" s="28" t="s">
        <v>11</v>
      </c>
      <c r="M3286" s="14"/>
      <c r="N3286" s="10" t="s">
        <v>1028</v>
      </c>
    </row>
    <row r="3287" spans="1:14" ht="22.5" customHeight="1">
      <c r="A3287" s="8">
        <v>46014.599866770834</v>
      </c>
      <c r="B3287" s="9" t="s">
        <v>14</v>
      </c>
      <c r="C3287" s="9" t="s">
        <v>15</v>
      </c>
      <c r="D3287" s="10" t="s">
        <v>7221</v>
      </c>
      <c r="E3287" s="9" t="s">
        <v>17</v>
      </c>
      <c r="F3287" s="10">
        <v>25</v>
      </c>
      <c r="G3287" s="11">
        <v>8132777925</v>
      </c>
      <c r="H3287" s="10" t="s">
        <v>7222</v>
      </c>
      <c r="I3287" s="10" t="s">
        <v>45</v>
      </c>
      <c r="J3287" s="10" t="s">
        <v>7223</v>
      </c>
      <c r="K3287" s="12">
        <v>46014</v>
      </c>
      <c r="L3287" s="28" t="s">
        <v>11</v>
      </c>
      <c r="M3287" s="14"/>
      <c r="N3287" s="10" t="s">
        <v>1028</v>
      </c>
    </row>
    <row r="3288" spans="1:14" ht="22.5" customHeight="1">
      <c r="A3288" s="8">
        <v>46014.600800717591</v>
      </c>
      <c r="B3288" s="9" t="s">
        <v>14</v>
      </c>
      <c r="C3288" s="9" t="s">
        <v>15</v>
      </c>
      <c r="D3288" s="10" t="s">
        <v>7224</v>
      </c>
      <c r="E3288" s="9" t="s">
        <v>17</v>
      </c>
      <c r="F3288" s="10">
        <v>27</v>
      </c>
      <c r="G3288" s="11">
        <v>9153012697</v>
      </c>
      <c r="H3288" s="10" t="s">
        <v>7225</v>
      </c>
      <c r="I3288" s="10" t="s">
        <v>45</v>
      </c>
      <c r="J3288" s="10" t="s">
        <v>2193</v>
      </c>
      <c r="K3288" s="12">
        <v>46014</v>
      </c>
      <c r="L3288" s="28" t="s">
        <v>11</v>
      </c>
      <c r="M3288" s="14"/>
      <c r="N3288" s="10" t="s">
        <v>1028</v>
      </c>
    </row>
    <row r="3289" spans="1:14" ht="22.5" customHeight="1">
      <c r="A3289" s="8">
        <v>46014.608160682867</v>
      </c>
      <c r="B3289" s="9" t="s">
        <v>14</v>
      </c>
      <c r="C3289" s="9" t="s">
        <v>15</v>
      </c>
      <c r="D3289" s="10" t="s">
        <v>7195</v>
      </c>
      <c r="E3289" s="9" t="s">
        <v>17</v>
      </c>
      <c r="F3289" s="10">
        <v>35</v>
      </c>
      <c r="G3289" s="11">
        <v>7034378541</v>
      </c>
      <c r="H3289" s="10" t="s">
        <v>7196</v>
      </c>
      <c r="I3289" s="10" t="s">
        <v>19</v>
      </c>
      <c r="J3289" s="10" t="s">
        <v>7226</v>
      </c>
      <c r="K3289" s="12">
        <v>46014</v>
      </c>
      <c r="L3289" s="28" t="s">
        <v>11</v>
      </c>
      <c r="M3289" s="14"/>
      <c r="N3289" s="10" t="s">
        <v>1028</v>
      </c>
    </row>
    <row r="3290" spans="1:14" ht="22.5" hidden="1" customHeight="1">
      <c r="A3290" s="8">
        <v>46014.616290995371</v>
      </c>
      <c r="B3290" s="9" t="s">
        <v>14</v>
      </c>
      <c r="C3290" s="9" t="s">
        <v>15</v>
      </c>
      <c r="D3290" s="10" t="s">
        <v>7227</v>
      </c>
      <c r="E3290" s="9" t="s">
        <v>17</v>
      </c>
      <c r="F3290" s="10">
        <v>38</v>
      </c>
      <c r="G3290" s="11">
        <v>8032733405</v>
      </c>
      <c r="H3290" s="10" t="s">
        <v>7228</v>
      </c>
      <c r="I3290" s="10" t="s">
        <v>27</v>
      </c>
      <c r="J3290" s="10" t="s">
        <v>1456</v>
      </c>
      <c r="K3290" s="12">
        <v>31871</v>
      </c>
      <c r="L3290" s="10" t="s">
        <v>441</v>
      </c>
      <c r="M3290" s="14"/>
      <c r="N3290" s="10" t="s">
        <v>1563</v>
      </c>
    </row>
    <row r="3291" spans="1:14" ht="22.5" customHeight="1">
      <c r="A3291" s="8">
        <v>46014.621030416667</v>
      </c>
      <c r="B3291" s="9" t="s">
        <v>14</v>
      </c>
      <c r="C3291" s="9" t="s">
        <v>15</v>
      </c>
      <c r="D3291" s="10" t="s">
        <v>7229</v>
      </c>
      <c r="E3291" s="9" t="s">
        <v>17</v>
      </c>
      <c r="F3291" s="10">
        <v>27</v>
      </c>
      <c r="G3291" s="11">
        <v>8087045611</v>
      </c>
      <c r="H3291" s="10" t="s">
        <v>7230</v>
      </c>
      <c r="I3291" s="10" t="s">
        <v>202</v>
      </c>
      <c r="J3291" s="10" t="s">
        <v>4005</v>
      </c>
      <c r="K3291" s="12">
        <v>46014</v>
      </c>
      <c r="L3291" s="28" t="s">
        <v>11</v>
      </c>
      <c r="M3291" s="14"/>
      <c r="N3291" s="10" t="s">
        <v>1028</v>
      </c>
    </row>
    <row r="3292" spans="1:14" ht="22.5" customHeight="1">
      <c r="A3292" s="8">
        <v>46014.623160798612</v>
      </c>
      <c r="B3292" s="9" t="s">
        <v>14</v>
      </c>
      <c r="C3292" s="9" t="s">
        <v>15</v>
      </c>
      <c r="D3292" s="10" t="s">
        <v>7231</v>
      </c>
      <c r="E3292" s="9" t="s">
        <v>17</v>
      </c>
      <c r="F3292" s="10">
        <v>28</v>
      </c>
      <c r="G3292" s="11">
        <v>9033269355</v>
      </c>
      <c r="H3292" s="10" t="s">
        <v>7232</v>
      </c>
      <c r="I3292" s="10" t="s">
        <v>27</v>
      </c>
      <c r="J3292" s="10" t="s">
        <v>94</v>
      </c>
      <c r="K3292" s="12">
        <v>46014</v>
      </c>
      <c r="L3292" s="28" t="s">
        <v>11</v>
      </c>
      <c r="M3292" s="14"/>
      <c r="N3292" s="10" t="s">
        <v>7233</v>
      </c>
    </row>
    <row r="3293" spans="1:14" ht="22.5" customHeight="1">
      <c r="A3293" s="8">
        <v>46014.624917048612</v>
      </c>
      <c r="B3293" s="9" t="s">
        <v>14</v>
      </c>
      <c r="C3293" s="9" t="s">
        <v>15</v>
      </c>
      <c r="D3293" s="10" t="s">
        <v>7234</v>
      </c>
      <c r="E3293" s="9" t="s">
        <v>17</v>
      </c>
      <c r="F3293" s="10">
        <v>23</v>
      </c>
      <c r="G3293" s="11">
        <v>9073337520</v>
      </c>
      <c r="H3293" s="10" t="s">
        <v>7235</v>
      </c>
      <c r="I3293" s="10" t="s">
        <v>27</v>
      </c>
      <c r="J3293" s="10" t="s">
        <v>94</v>
      </c>
      <c r="K3293" s="12">
        <v>46014</v>
      </c>
      <c r="L3293" s="28" t="s">
        <v>11</v>
      </c>
      <c r="M3293" s="14"/>
      <c r="N3293" s="10" t="s">
        <v>1028</v>
      </c>
    </row>
    <row r="3294" spans="1:14" ht="22.5" customHeight="1">
      <c r="A3294" s="8">
        <v>46014.625775231485</v>
      </c>
      <c r="B3294" s="9" t="s">
        <v>14</v>
      </c>
      <c r="C3294" s="9" t="s">
        <v>15</v>
      </c>
      <c r="D3294" s="10" t="s">
        <v>7236</v>
      </c>
      <c r="E3294" s="9" t="s">
        <v>17</v>
      </c>
      <c r="F3294" s="10">
        <v>25</v>
      </c>
      <c r="G3294" s="11">
        <v>8107497242</v>
      </c>
      <c r="H3294" s="10" t="s">
        <v>7237</v>
      </c>
      <c r="I3294" s="10" t="s">
        <v>27</v>
      </c>
      <c r="J3294" s="10" t="s">
        <v>1907</v>
      </c>
      <c r="K3294" s="12">
        <v>46014</v>
      </c>
      <c r="L3294" s="28" t="s">
        <v>11</v>
      </c>
      <c r="M3294" s="14"/>
      <c r="N3294" s="10" t="s">
        <v>1028</v>
      </c>
    </row>
    <row r="3295" spans="1:14" ht="22.5" customHeight="1">
      <c r="A3295" s="8">
        <v>46014.627403831022</v>
      </c>
      <c r="B3295" s="9" t="s">
        <v>14</v>
      </c>
      <c r="C3295" s="9" t="s">
        <v>15</v>
      </c>
      <c r="D3295" s="10" t="s">
        <v>7238</v>
      </c>
      <c r="E3295" s="9" t="s">
        <v>22</v>
      </c>
      <c r="F3295" s="10">
        <v>36</v>
      </c>
      <c r="G3295" s="11">
        <v>7031915116</v>
      </c>
      <c r="H3295" s="10" t="s">
        <v>7239</v>
      </c>
      <c r="I3295" s="10" t="s">
        <v>27</v>
      </c>
      <c r="J3295" s="10" t="s">
        <v>172</v>
      </c>
      <c r="K3295" s="12">
        <v>46014</v>
      </c>
      <c r="L3295" s="28" t="s">
        <v>11</v>
      </c>
      <c r="M3295" s="14"/>
      <c r="N3295" s="10" t="s">
        <v>1028</v>
      </c>
    </row>
    <row r="3296" spans="1:14" ht="22.5" customHeight="1">
      <c r="A3296" s="8">
        <v>46014.631318032407</v>
      </c>
      <c r="B3296" s="9" t="s">
        <v>14</v>
      </c>
      <c r="C3296" s="9" t="s">
        <v>15</v>
      </c>
      <c r="D3296" s="10" t="s">
        <v>7240</v>
      </c>
      <c r="E3296" s="9" t="s">
        <v>22</v>
      </c>
      <c r="F3296" s="10">
        <v>29</v>
      </c>
      <c r="G3296" s="11">
        <v>9043281522</v>
      </c>
      <c r="H3296" s="10" t="s">
        <v>7241</v>
      </c>
      <c r="I3296" s="10" t="s">
        <v>49</v>
      </c>
      <c r="J3296" s="10" t="s">
        <v>103</v>
      </c>
      <c r="K3296" s="12">
        <v>46014</v>
      </c>
      <c r="L3296" s="28" t="s">
        <v>11</v>
      </c>
      <c r="M3296" s="14"/>
      <c r="N3296" s="10" t="s">
        <v>1028</v>
      </c>
    </row>
    <row r="3297" spans="1:14" ht="22.5" customHeight="1">
      <c r="A3297" s="8">
        <v>46014.633526782403</v>
      </c>
      <c r="B3297" s="9" t="s">
        <v>14</v>
      </c>
      <c r="C3297" s="9" t="s">
        <v>15</v>
      </c>
      <c r="D3297" s="10" t="s">
        <v>7242</v>
      </c>
      <c r="E3297" s="9" t="s">
        <v>22</v>
      </c>
      <c r="F3297" s="10">
        <v>35</v>
      </c>
      <c r="G3297" s="11">
        <v>8062971529</v>
      </c>
      <c r="H3297" s="10" t="s">
        <v>7243</v>
      </c>
      <c r="I3297" s="10" t="s">
        <v>19</v>
      </c>
      <c r="J3297" s="10" t="s">
        <v>24</v>
      </c>
      <c r="K3297" s="12">
        <v>46014</v>
      </c>
      <c r="L3297" s="28" t="s">
        <v>11</v>
      </c>
      <c r="M3297" s="14"/>
      <c r="N3297" s="10" t="s">
        <v>1028</v>
      </c>
    </row>
    <row r="3298" spans="1:14" ht="22.5" customHeight="1">
      <c r="A3298" s="8">
        <v>46014.63707626157</v>
      </c>
      <c r="B3298" s="9" t="s">
        <v>14</v>
      </c>
      <c r="C3298" s="9" t="s">
        <v>15</v>
      </c>
      <c r="D3298" s="10" t="s">
        <v>7244</v>
      </c>
      <c r="E3298" s="9" t="s">
        <v>17</v>
      </c>
      <c r="F3298" s="10">
        <v>33</v>
      </c>
      <c r="G3298" s="11">
        <v>8118691706</v>
      </c>
      <c r="H3298" s="10" t="s">
        <v>7245</v>
      </c>
      <c r="I3298" s="10" t="s">
        <v>45</v>
      </c>
      <c r="J3298" s="10" t="s">
        <v>100</v>
      </c>
      <c r="K3298" s="12">
        <v>46014</v>
      </c>
      <c r="L3298" s="28" t="s">
        <v>11</v>
      </c>
      <c r="M3298" s="14"/>
      <c r="N3298" s="10" t="s">
        <v>1096</v>
      </c>
    </row>
    <row r="3299" spans="1:14" ht="22.5" customHeight="1">
      <c r="A3299" s="8">
        <v>46014.650097060185</v>
      </c>
      <c r="B3299" s="9" t="s">
        <v>14</v>
      </c>
      <c r="C3299" s="9" t="s">
        <v>15</v>
      </c>
      <c r="D3299" s="10" t="s">
        <v>7246</v>
      </c>
      <c r="E3299" s="9" t="s">
        <v>22</v>
      </c>
      <c r="F3299" s="18">
        <v>46</v>
      </c>
      <c r="G3299" s="11">
        <v>912935633</v>
      </c>
      <c r="H3299" s="10" t="s">
        <v>7247</v>
      </c>
      <c r="I3299" s="10" t="s">
        <v>27</v>
      </c>
      <c r="J3299" s="10" t="s">
        <v>94</v>
      </c>
      <c r="K3299" s="12">
        <v>29587</v>
      </c>
      <c r="L3299" s="28" t="s">
        <v>11</v>
      </c>
      <c r="M3299" s="14"/>
      <c r="N3299" s="10" t="s">
        <v>1028</v>
      </c>
    </row>
    <row r="3300" spans="1:14" ht="22.5" customHeight="1">
      <c r="A3300" s="8">
        <v>46014.651404606484</v>
      </c>
      <c r="B3300" s="9" t="s">
        <v>14</v>
      </c>
      <c r="C3300" s="9" t="s">
        <v>15</v>
      </c>
      <c r="D3300" s="10" t="s">
        <v>7248</v>
      </c>
      <c r="E3300" s="9" t="s">
        <v>17</v>
      </c>
      <c r="F3300" s="10">
        <v>33</v>
      </c>
      <c r="G3300" s="11">
        <v>8133921072</v>
      </c>
      <c r="H3300" s="10" t="s">
        <v>7249</v>
      </c>
      <c r="I3300" s="10" t="s">
        <v>31</v>
      </c>
      <c r="J3300" s="10" t="s">
        <v>32</v>
      </c>
      <c r="K3300" s="12">
        <v>46014</v>
      </c>
      <c r="L3300" s="28" t="s">
        <v>11</v>
      </c>
      <c r="M3300" s="14"/>
      <c r="N3300" s="10" t="s">
        <v>1028</v>
      </c>
    </row>
    <row r="3301" spans="1:14" ht="22.5" customHeight="1">
      <c r="A3301" s="8">
        <v>46014.65834623843</v>
      </c>
      <c r="B3301" s="9" t="s">
        <v>14</v>
      </c>
      <c r="C3301" s="9" t="s">
        <v>15</v>
      </c>
      <c r="D3301" s="10" t="s">
        <v>7250</v>
      </c>
      <c r="E3301" s="9" t="s">
        <v>17</v>
      </c>
      <c r="F3301" s="10">
        <v>35</v>
      </c>
      <c r="G3301" s="11">
        <v>8035671630</v>
      </c>
      <c r="H3301" s="10" t="s">
        <v>7251</v>
      </c>
      <c r="I3301" s="10" t="s">
        <v>27</v>
      </c>
      <c r="J3301" s="10" t="s">
        <v>2556</v>
      </c>
      <c r="K3301" s="12">
        <v>46014</v>
      </c>
      <c r="L3301" s="28" t="s">
        <v>11</v>
      </c>
      <c r="M3301" s="14"/>
      <c r="N3301" s="10" t="s">
        <v>1028</v>
      </c>
    </row>
    <row r="3302" spans="1:14" ht="22.5" hidden="1" customHeight="1">
      <c r="A3302" s="8">
        <v>46014.67216898148</v>
      </c>
      <c r="B3302" s="9" t="s">
        <v>14</v>
      </c>
      <c r="C3302" s="9" t="s">
        <v>15</v>
      </c>
      <c r="D3302" s="10" t="s">
        <v>7252</v>
      </c>
      <c r="E3302" s="9" t="s">
        <v>17</v>
      </c>
      <c r="F3302" s="19">
        <v>2</v>
      </c>
      <c r="G3302" s="11">
        <v>8136533077</v>
      </c>
      <c r="H3302" s="10" t="s">
        <v>7253</v>
      </c>
      <c r="I3302" s="10" t="s">
        <v>27</v>
      </c>
      <c r="J3302" s="10" t="s">
        <v>94</v>
      </c>
      <c r="K3302" s="12">
        <v>46014</v>
      </c>
      <c r="L3302" s="10" t="s">
        <v>441</v>
      </c>
      <c r="M3302" s="10" t="s">
        <v>1361</v>
      </c>
      <c r="N3302" s="10" t="s">
        <v>1028</v>
      </c>
    </row>
    <row r="3303" spans="1:14" ht="22.5" hidden="1" customHeight="1">
      <c r="A3303" s="8">
        <v>46014.678871122684</v>
      </c>
      <c r="B3303" s="9" t="s">
        <v>14</v>
      </c>
      <c r="C3303" s="9" t="s">
        <v>15</v>
      </c>
      <c r="D3303" s="10" t="s">
        <v>7254</v>
      </c>
      <c r="E3303" s="9" t="s">
        <v>17</v>
      </c>
      <c r="F3303" s="10">
        <v>22</v>
      </c>
      <c r="G3303" s="11">
        <v>9067058955</v>
      </c>
      <c r="H3303" s="10" t="s">
        <v>7255</v>
      </c>
      <c r="I3303" s="10" t="s">
        <v>27</v>
      </c>
      <c r="J3303" s="10" t="s">
        <v>7256</v>
      </c>
      <c r="K3303" s="12">
        <v>37790</v>
      </c>
      <c r="L3303" s="10" t="s">
        <v>441</v>
      </c>
      <c r="M3303" s="10" t="s">
        <v>1361</v>
      </c>
      <c r="N3303" s="10" t="s">
        <v>1028</v>
      </c>
    </row>
    <row r="3304" spans="1:14" ht="22.5" customHeight="1">
      <c r="A3304" s="8">
        <v>46014.683861863421</v>
      </c>
      <c r="B3304" s="9" t="s">
        <v>14</v>
      </c>
      <c r="C3304" s="9" t="s">
        <v>15</v>
      </c>
      <c r="D3304" s="10" t="s">
        <v>7257</v>
      </c>
      <c r="E3304" s="9" t="s">
        <v>22</v>
      </c>
      <c r="F3304" s="10">
        <v>20</v>
      </c>
      <c r="G3304" s="11">
        <v>9160815264</v>
      </c>
      <c r="H3304" s="10" t="s">
        <v>7258</v>
      </c>
      <c r="I3304" s="10" t="s">
        <v>45</v>
      </c>
      <c r="J3304" s="10" t="s">
        <v>521</v>
      </c>
      <c r="K3304" s="12">
        <v>46014</v>
      </c>
      <c r="L3304" s="28" t="s">
        <v>11</v>
      </c>
      <c r="M3304" s="14"/>
      <c r="N3304" s="10" t="s">
        <v>1028</v>
      </c>
    </row>
    <row r="3305" spans="1:14" ht="22.5" customHeight="1">
      <c r="A3305" s="8">
        <v>46014.688687291666</v>
      </c>
      <c r="B3305" s="9" t="s">
        <v>14</v>
      </c>
      <c r="C3305" s="9" t="s">
        <v>15</v>
      </c>
      <c r="D3305" s="10" t="s">
        <v>7259</v>
      </c>
      <c r="E3305" s="9" t="s">
        <v>22</v>
      </c>
      <c r="F3305" s="10">
        <v>29</v>
      </c>
      <c r="G3305" s="11">
        <v>9067147801</v>
      </c>
      <c r="H3305" s="10" t="s">
        <v>7260</v>
      </c>
      <c r="I3305" s="10" t="s">
        <v>31</v>
      </c>
      <c r="J3305" s="10" t="s">
        <v>2410</v>
      </c>
      <c r="K3305" s="12">
        <v>46014</v>
      </c>
      <c r="L3305" s="28" t="s">
        <v>11</v>
      </c>
      <c r="M3305" s="14"/>
      <c r="N3305" s="10" t="s">
        <v>1028</v>
      </c>
    </row>
    <row r="3306" spans="1:14" ht="22.5" customHeight="1">
      <c r="A3306" s="8">
        <v>46014.688965775465</v>
      </c>
      <c r="B3306" s="9" t="s">
        <v>14</v>
      </c>
      <c r="C3306" s="9" t="s">
        <v>15</v>
      </c>
      <c r="D3306" s="10" t="s">
        <v>7261</v>
      </c>
      <c r="E3306" s="9" t="s">
        <v>22</v>
      </c>
      <c r="F3306" s="10">
        <v>24</v>
      </c>
      <c r="G3306" s="11">
        <v>8085684775</v>
      </c>
      <c r="H3306" s="10" t="s">
        <v>7262</v>
      </c>
      <c r="I3306" s="10" t="s">
        <v>27</v>
      </c>
      <c r="J3306" s="10" t="s">
        <v>172</v>
      </c>
      <c r="K3306" s="12">
        <v>46014</v>
      </c>
      <c r="L3306" s="28" t="s">
        <v>11</v>
      </c>
      <c r="M3306" s="14"/>
      <c r="N3306" s="10" t="s">
        <v>1028</v>
      </c>
    </row>
    <row r="3307" spans="1:14" ht="22.5" customHeight="1">
      <c r="A3307" s="8">
        <v>46014.693481365743</v>
      </c>
      <c r="B3307" s="9" t="s">
        <v>14</v>
      </c>
      <c r="C3307" s="9" t="s">
        <v>15</v>
      </c>
      <c r="D3307" s="10" t="s">
        <v>7263</v>
      </c>
      <c r="E3307" s="9" t="s">
        <v>17</v>
      </c>
      <c r="F3307" s="10">
        <v>17</v>
      </c>
      <c r="G3307" s="11">
        <v>9025080663</v>
      </c>
      <c r="H3307" s="10" t="s">
        <v>7264</v>
      </c>
      <c r="I3307" s="10" t="s">
        <v>27</v>
      </c>
      <c r="J3307" s="10" t="s">
        <v>94</v>
      </c>
      <c r="K3307" s="12">
        <v>46014</v>
      </c>
      <c r="L3307" s="28" t="s">
        <v>11</v>
      </c>
      <c r="M3307" s="14"/>
      <c r="N3307" s="10" t="s">
        <v>1028</v>
      </c>
    </row>
    <row r="3308" spans="1:14" ht="22.5" customHeight="1">
      <c r="A3308" s="8">
        <v>46014.706343425925</v>
      </c>
      <c r="B3308" s="9" t="s">
        <v>14</v>
      </c>
      <c r="C3308" s="9" t="s">
        <v>15</v>
      </c>
      <c r="D3308" s="10" t="s">
        <v>7265</v>
      </c>
      <c r="E3308" s="9" t="s">
        <v>17</v>
      </c>
      <c r="F3308" s="10">
        <v>34</v>
      </c>
      <c r="G3308" s="11">
        <v>7035943842</v>
      </c>
      <c r="H3308" s="10" t="s">
        <v>7266</v>
      </c>
      <c r="I3308" s="10" t="s">
        <v>27</v>
      </c>
      <c r="J3308" s="10" t="s">
        <v>172</v>
      </c>
      <c r="K3308" s="12">
        <v>46014</v>
      </c>
      <c r="L3308" s="28" t="s">
        <v>11</v>
      </c>
      <c r="M3308" s="14"/>
      <c r="N3308" s="10" t="s">
        <v>1028</v>
      </c>
    </row>
    <row r="3309" spans="1:14" ht="22.5" customHeight="1">
      <c r="A3309" s="8">
        <v>46014.713745752313</v>
      </c>
      <c r="B3309" s="9" t="s">
        <v>14</v>
      </c>
      <c r="C3309" s="9" t="s">
        <v>15</v>
      </c>
      <c r="D3309" s="10" t="s">
        <v>7267</v>
      </c>
      <c r="E3309" s="9" t="s">
        <v>22</v>
      </c>
      <c r="F3309" s="10">
        <v>22</v>
      </c>
      <c r="G3309" s="11">
        <v>8145407591</v>
      </c>
      <c r="H3309" s="10" t="s">
        <v>7268</v>
      </c>
      <c r="I3309" s="10" t="s">
        <v>45</v>
      </c>
      <c r="J3309" s="10" t="s">
        <v>46</v>
      </c>
      <c r="K3309" s="12">
        <v>46014</v>
      </c>
      <c r="L3309" s="28" t="s">
        <v>11</v>
      </c>
      <c r="M3309" s="14"/>
      <c r="N3309" s="10" t="s">
        <v>3750</v>
      </c>
    </row>
    <row r="3310" spans="1:14" ht="22.5" hidden="1" customHeight="1">
      <c r="A3310" s="8">
        <v>46014.718346099537</v>
      </c>
      <c r="B3310" s="9" t="s">
        <v>14</v>
      </c>
      <c r="C3310" s="9" t="s">
        <v>15</v>
      </c>
      <c r="D3310" s="10" t="s">
        <v>7269</v>
      </c>
      <c r="E3310" s="9" t="s">
        <v>22</v>
      </c>
      <c r="F3310" s="10">
        <v>21</v>
      </c>
      <c r="G3310" s="11">
        <v>8060177146</v>
      </c>
      <c r="H3310" s="10" t="s">
        <v>7270</v>
      </c>
      <c r="I3310" s="10" t="s">
        <v>27</v>
      </c>
      <c r="J3310" s="10" t="s">
        <v>70</v>
      </c>
      <c r="K3310" s="12">
        <v>46014</v>
      </c>
      <c r="L3310" s="10" t="s">
        <v>441</v>
      </c>
      <c r="M3310" s="10" t="s">
        <v>1361</v>
      </c>
      <c r="N3310" s="10" t="s">
        <v>1028</v>
      </c>
    </row>
    <row r="3311" spans="1:14" ht="22.5" customHeight="1">
      <c r="A3311" s="8">
        <v>46014.721597384254</v>
      </c>
      <c r="B3311" s="9" t="s">
        <v>14</v>
      </c>
      <c r="C3311" s="9" t="s">
        <v>15</v>
      </c>
      <c r="D3311" s="10" t="s">
        <v>7271</v>
      </c>
      <c r="E3311" s="9" t="s">
        <v>22</v>
      </c>
      <c r="F3311" s="10">
        <v>32</v>
      </c>
      <c r="G3311" s="11">
        <v>8102604153</v>
      </c>
      <c r="H3311" s="10" t="s">
        <v>7272</v>
      </c>
      <c r="I3311" s="10" t="s">
        <v>27</v>
      </c>
      <c r="J3311" s="10" t="s">
        <v>94</v>
      </c>
      <c r="K3311" s="12">
        <v>46014</v>
      </c>
      <c r="L3311" s="28" t="s">
        <v>11</v>
      </c>
      <c r="M3311" s="14"/>
      <c r="N3311" s="10" t="s">
        <v>1028</v>
      </c>
    </row>
    <row r="3312" spans="1:14" ht="22.5" customHeight="1">
      <c r="A3312" s="8">
        <v>46014.727331932867</v>
      </c>
      <c r="B3312" s="9" t="s">
        <v>14</v>
      </c>
      <c r="C3312" s="9" t="s">
        <v>15</v>
      </c>
      <c r="D3312" s="10" t="s">
        <v>7273</v>
      </c>
      <c r="E3312" s="9" t="s">
        <v>17</v>
      </c>
      <c r="F3312" s="10">
        <v>41</v>
      </c>
      <c r="G3312" s="11">
        <v>8148748505</v>
      </c>
      <c r="H3312" s="10" t="s">
        <v>7274</v>
      </c>
      <c r="I3312" s="10" t="s">
        <v>27</v>
      </c>
      <c r="J3312" s="10" t="s">
        <v>2591</v>
      </c>
      <c r="K3312" s="12">
        <v>46014</v>
      </c>
      <c r="L3312" s="28" t="s">
        <v>11</v>
      </c>
      <c r="M3312" s="14"/>
      <c r="N3312" s="10" t="s">
        <v>1028</v>
      </c>
    </row>
    <row r="3313" spans="1:14" ht="22.5" customHeight="1">
      <c r="A3313" s="8">
        <v>46014.728501909718</v>
      </c>
      <c r="B3313" s="9" t="s">
        <v>14</v>
      </c>
      <c r="C3313" s="9" t="s">
        <v>15</v>
      </c>
      <c r="D3313" s="10" t="s">
        <v>7275</v>
      </c>
      <c r="E3313" s="9" t="s">
        <v>17</v>
      </c>
      <c r="F3313" s="10">
        <v>23</v>
      </c>
      <c r="G3313" s="11">
        <v>9026674852</v>
      </c>
      <c r="H3313" s="10" t="s">
        <v>7276</v>
      </c>
      <c r="I3313" s="10" t="s">
        <v>49</v>
      </c>
      <c r="J3313" s="10" t="s">
        <v>7277</v>
      </c>
      <c r="K3313" s="12">
        <v>37600</v>
      </c>
      <c r="L3313" s="28" t="s">
        <v>11</v>
      </c>
      <c r="M3313" s="14"/>
      <c r="N3313" s="10" t="s">
        <v>1028</v>
      </c>
    </row>
    <row r="3314" spans="1:14" ht="22.5" hidden="1" customHeight="1">
      <c r="A3314" s="8">
        <v>46014.729074282412</v>
      </c>
      <c r="B3314" s="9" t="s">
        <v>14</v>
      </c>
      <c r="C3314" s="9" t="s">
        <v>15</v>
      </c>
      <c r="D3314" s="10" t="s">
        <v>7278</v>
      </c>
      <c r="E3314" s="9" t="s">
        <v>17</v>
      </c>
      <c r="F3314" s="10">
        <v>26</v>
      </c>
      <c r="G3314" s="11">
        <v>9067074995</v>
      </c>
      <c r="H3314" s="10" t="s">
        <v>7279</v>
      </c>
      <c r="I3314" s="10" t="s">
        <v>27</v>
      </c>
      <c r="J3314" s="10" t="s">
        <v>2861</v>
      </c>
      <c r="K3314" s="12">
        <v>46014</v>
      </c>
      <c r="L3314" s="10" t="s">
        <v>441</v>
      </c>
      <c r="M3314" s="10" t="s">
        <v>1827</v>
      </c>
      <c r="N3314" s="10" t="s">
        <v>1096</v>
      </c>
    </row>
    <row r="3315" spans="1:14" ht="22.5" customHeight="1">
      <c r="A3315" s="8">
        <v>46014.733591296295</v>
      </c>
      <c r="B3315" s="9" t="s">
        <v>14</v>
      </c>
      <c r="C3315" s="9" t="s">
        <v>15</v>
      </c>
      <c r="D3315" s="10" t="s">
        <v>7280</v>
      </c>
      <c r="E3315" s="9" t="s">
        <v>17</v>
      </c>
      <c r="F3315" s="10">
        <v>24</v>
      </c>
      <c r="G3315" s="11">
        <v>9074592025</v>
      </c>
      <c r="H3315" s="10" t="s">
        <v>7281</v>
      </c>
      <c r="I3315" s="10" t="s">
        <v>27</v>
      </c>
      <c r="J3315" s="10" t="s">
        <v>70</v>
      </c>
      <c r="K3315" s="12">
        <v>46014</v>
      </c>
      <c r="L3315" s="28" t="s">
        <v>11</v>
      </c>
      <c r="M3315" s="14"/>
      <c r="N3315" s="10" t="s">
        <v>1028</v>
      </c>
    </row>
    <row r="3316" spans="1:14" ht="22.5" customHeight="1">
      <c r="A3316" s="8">
        <v>46014.735049097224</v>
      </c>
      <c r="B3316" s="9" t="s">
        <v>14</v>
      </c>
      <c r="C3316" s="9" t="s">
        <v>15</v>
      </c>
      <c r="D3316" s="10" t="s">
        <v>7282</v>
      </c>
      <c r="E3316" s="9" t="s">
        <v>22</v>
      </c>
      <c r="F3316" s="10">
        <v>27</v>
      </c>
      <c r="G3316" s="11">
        <v>8162643024</v>
      </c>
      <c r="H3316" s="10" t="s">
        <v>7283</v>
      </c>
      <c r="I3316" s="10" t="s">
        <v>27</v>
      </c>
      <c r="J3316" s="10" t="s">
        <v>1456</v>
      </c>
      <c r="K3316" s="12">
        <v>46014</v>
      </c>
      <c r="L3316" s="28" t="s">
        <v>11</v>
      </c>
      <c r="M3316" s="10"/>
      <c r="N3316" s="10" t="s">
        <v>1028</v>
      </c>
    </row>
    <row r="3317" spans="1:14" ht="22.5" customHeight="1">
      <c r="A3317" s="8">
        <v>46014.742546018519</v>
      </c>
      <c r="B3317" s="9" t="s">
        <v>14</v>
      </c>
      <c r="C3317" s="9" t="s">
        <v>15</v>
      </c>
      <c r="D3317" s="10" t="s">
        <v>7284</v>
      </c>
      <c r="E3317" s="9" t="s">
        <v>22</v>
      </c>
      <c r="F3317" s="10">
        <v>22</v>
      </c>
      <c r="G3317" s="11">
        <v>8140654032</v>
      </c>
      <c r="H3317" s="10" t="s">
        <v>7285</v>
      </c>
      <c r="I3317" s="10" t="s">
        <v>27</v>
      </c>
      <c r="J3317" s="10" t="s">
        <v>3044</v>
      </c>
      <c r="K3317" s="12">
        <v>46014</v>
      </c>
      <c r="L3317" s="28" t="s">
        <v>11</v>
      </c>
      <c r="M3317" s="14"/>
      <c r="N3317" s="10" t="s">
        <v>1028</v>
      </c>
    </row>
    <row r="3318" spans="1:14" ht="22.5" customHeight="1">
      <c r="A3318" s="8">
        <v>46014.747125810187</v>
      </c>
      <c r="B3318" s="9" t="s">
        <v>14</v>
      </c>
      <c r="C3318" s="9" t="s">
        <v>15</v>
      </c>
      <c r="D3318" s="10" t="s">
        <v>7286</v>
      </c>
      <c r="E3318" s="9" t="s">
        <v>22</v>
      </c>
      <c r="F3318" s="10">
        <v>25</v>
      </c>
      <c r="G3318" s="11">
        <v>9047714673</v>
      </c>
      <c r="H3318" s="10" t="s">
        <v>7287</v>
      </c>
      <c r="I3318" s="10" t="s">
        <v>19</v>
      </c>
      <c r="J3318" s="10" t="s">
        <v>7288</v>
      </c>
      <c r="K3318" s="12">
        <v>36659</v>
      </c>
      <c r="L3318" s="28" t="s">
        <v>11</v>
      </c>
      <c r="M3318" s="14"/>
      <c r="N3318" s="10" t="s">
        <v>1028</v>
      </c>
    </row>
    <row r="3319" spans="1:14" ht="22.5" customHeight="1">
      <c r="A3319" s="8">
        <v>46014.748431909728</v>
      </c>
      <c r="B3319" s="9" t="s">
        <v>14</v>
      </c>
      <c r="C3319" s="9" t="s">
        <v>15</v>
      </c>
      <c r="D3319" s="10" t="s">
        <v>7289</v>
      </c>
      <c r="E3319" s="9" t="s">
        <v>22</v>
      </c>
      <c r="F3319" s="10">
        <v>42</v>
      </c>
      <c r="G3319" s="11">
        <v>8166573296</v>
      </c>
      <c r="H3319" s="10" t="s">
        <v>7290</v>
      </c>
      <c r="I3319" s="10" t="s">
        <v>27</v>
      </c>
      <c r="J3319" s="10" t="s">
        <v>7291</v>
      </c>
      <c r="K3319" s="12">
        <v>46014</v>
      </c>
      <c r="L3319" s="28" t="s">
        <v>11</v>
      </c>
      <c r="M3319" s="14"/>
      <c r="N3319" s="10" t="s">
        <v>1028</v>
      </c>
    </row>
    <row r="3320" spans="1:14" ht="22.5" customHeight="1">
      <c r="A3320" s="8">
        <v>46014.750122731479</v>
      </c>
      <c r="B3320" s="9" t="s">
        <v>14</v>
      </c>
      <c r="C3320" s="9" t="s">
        <v>15</v>
      </c>
      <c r="D3320" s="10" t="s">
        <v>7292</v>
      </c>
      <c r="E3320" s="9" t="s">
        <v>17</v>
      </c>
      <c r="F3320" s="10">
        <v>33</v>
      </c>
      <c r="G3320" s="11">
        <v>8036520603</v>
      </c>
      <c r="H3320" s="10" t="s">
        <v>7293</v>
      </c>
      <c r="I3320" s="10" t="s">
        <v>27</v>
      </c>
      <c r="J3320" s="10" t="s">
        <v>94</v>
      </c>
      <c r="K3320" s="12">
        <v>46014</v>
      </c>
      <c r="L3320" s="28" t="s">
        <v>11</v>
      </c>
      <c r="M3320" s="14"/>
      <c r="N3320" s="10" t="s">
        <v>1028</v>
      </c>
    </row>
    <row r="3321" spans="1:14" ht="22.5" customHeight="1">
      <c r="A3321" s="8">
        <v>46014.756733194445</v>
      </c>
      <c r="B3321" s="9" t="s">
        <v>14</v>
      </c>
      <c r="C3321" s="9" t="s">
        <v>15</v>
      </c>
      <c r="D3321" s="10" t="s">
        <v>7294</v>
      </c>
      <c r="E3321" s="9" t="s">
        <v>17</v>
      </c>
      <c r="F3321" s="10">
        <v>18</v>
      </c>
      <c r="G3321" s="11">
        <v>8122092532</v>
      </c>
      <c r="H3321" s="10" t="s">
        <v>7295</v>
      </c>
      <c r="I3321" s="10" t="s">
        <v>45</v>
      </c>
      <c r="J3321" s="10" t="s">
        <v>5601</v>
      </c>
      <c r="K3321" s="12">
        <v>46014</v>
      </c>
      <c r="L3321" s="28" t="s">
        <v>11</v>
      </c>
      <c r="M3321" s="14"/>
      <c r="N3321" s="10" t="s">
        <v>1028</v>
      </c>
    </row>
    <row r="3322" spans="1:14" ht="22.5" customHeight="1">
      <c r="A3322" s="8">
        <v>46014.779483715276</v>
      </c>
      <c r="B3322" s="9" t="s">
        <v>14</v>
      </c>
      <c r="C3322" s="9" t="s">
        <v>15</v>
      </c>
      <c r="D3322" s="10" t="s">
        <v>7296</v>
      </c>
      <c r="E3322" s="9" t="s">
        <v>22</v>
      </c>
      <c r="F3322" s="10">
        <v>28</v>
      </c>
      <c r="G3322" s="11">
        <v>9023092149</v>
      </c>
      <c r="H3322" s="10" t="s">
        <v>7297</v>
      </c>
      <c r="I3322" s="10" t="s">
        <v>45</v>
      </c>
      <c r="J3322" s="10" t="s">
        <v>46</v>
      </c>
      <c r="K3322" s="12">
        <v>46014</v>
      </c>
      <c r="L3322" s="28" t="s">
        <v>11</v>
      </c>
      <c r="M3322" s="14"/>
      <c r="N3322" s="10" t="s">
        <v>1096</v>
      </c>
    </row>
    <row r="3323" spans="1:14" ht="22.5" customHeight="1">
      <c r="A3323" s="8">
        <v>46014.806120370369</v>
      </c>
      <c r="B3323" s="9" t="s">
        <v>14</v>
      </c>
      <c r="C3323" s="9" t="s">
        <v>15</v>
      </c>
      <c r="D3323" s="10" t="s">
        <v>7298</v>
      </c>
      <c r="E3323" s="9" t="s">
        <v>17</v>
      </c>
      <c r="F3323" s="10">
        <v>19</v>
      </c>
      <c r="G3323" s="11">
        <v>9132457628</v>
      </c>
      <c r="H3323" s="10" t="s">
        <v>7299</v>
      </c>
      <c r="I3323" s="10" t="s">
        <v>45</v>
      </c>
      <c r="J3323" s="10" t="s">
        <v>46</v>
      </c>
      <c r="K3323" s="12">
        <v>46014</v>
      </c>
      <c r="L3323" s="28" t="s">
        <v>11</v>
      </c>
      <c r="M3323" s="14"/>
      <c r="N3323" s="10" t="s">
        <v>1028</v>
      </c>
    </row>
    <row r="3324" spans="1:14" ht="22.5" customHeight="1">
      <c r="A3324" s="8">
        <v>46014.813451111113</v>
      </c>
      <c r="B3324" s="9" t="s">
        <v>14</v>
      </c>
      <c r="C3324" s="9" t="s">
        <v>15</v>
      </c>
      <c r="D3324" s="10" t="s">
        <v>7300</v>
      </c>
      <c r="E3324" s="9" t="s">
        <v>17</v>
      </c>
      <c r="F3324" s="10">
        <v>23</v>
      </c>
      <c r="G3324" s="11">
        <v>9026674852</v>
      </c>
      <c r="H3324" s="10" t="s">
        <v>7301</v>
      </c>
      <c r="I3324" s="10" t="s">
        <v>49</v>
      </c>
      <c r="J3324" s="10" t="s">
        <v>7277</v>
      </c>
      <c r="K3324" s="12">
        <v>46014</v>
      </c>
      <c r="L3324" s="28" t="s">
        <v>11</v>
      </c>
      <c r="M3324" s="14"/>
      <c r="N3324" s="10" t="s">
        <v>1028</v>
      </c>
    </row>
    <row r="3325" spans="1:14" ht="22.5" customHeight="1">
      <c r="A3325" s="8">
        <v>46014.815113761579</v>
      </c>
      <c r="B3325" s="9" t="s">
        <v>14</v>
      </c>
      <c r="C3325" s="9" t="s">
        <v>15</v>
      </c>
      <c r="D3325" s="10" t="s">
        <v>7302</v>
      </c>
      <c r="E3325" s="9" t="s">
        <v>17</v>
      </c>
      <c r="F3325" s="10">
        <v>33</v>
      </c>
      <c r="G3325" s="11">
        <v>8069365137</v>
      </c>
      <c r="H3325" s="10" t="s">
        <v>7303</v>
      </c>
      <c r="I3325" s="10" t="s">
        <v>27</v>
      </c>
      <c r="J3325" s="10" t="s">
        <v>1890</v>
      </c>
      <c r="K3325" s="12">
        <v>46014</v>
      </c>
      <c r="L3325" s="28" t="s">
        <v>11</v>
      </c>
      <c r="M3325" s="14"/>
      <c r="N3325" s="10" t="s">
        <v>1028</v>
      </c>
    </row>
    <row r="3326" spans="1:14" ht="22.5" customHeight="1">
      <c r="A3326" s="8">
        <v>46014.815643692127</v>
      </c>
      <c r="B3326" s="9" t="s">
        <v>14</v>
      </c>
      <c r="C3326" s="9" t="s">
        <v>15</v>
      </c>
      <c r="D3326" s="10" t="s">
        <v>7304</v>
      </c>
      <c r="E3326" s="9" t="s">
        <v>17</v>
      </c>
      <c r="F3326" s="10">
        <v>25</v>
      </c>
      <c r="G3326" s="11">
        <v>9054405454</v>
      </c>
      <c r="H3326" s="10" t="s">
        <v>7305</v>
      </c>
      <c r="I3326" s="10" t="s">
        <v>45</v>
      </c>
      <c r="J3326" s="10" t="s">
        <v>901</v>
      </c>
      <c r="K3326" s="12">
        <v>46014</v>
      </c>
      <c r="L3326" s="28" t="s">
        <v>11</v>
      </c>
      <c r="M3326" s="14"/>
      <c r="N3326" s="10" t="s">
        <v>1028</v>
      </c>
    </row>
    <row r="3327" spans="1:14" ht="22.5" hidden="1" customHeight="1">
      <c r="A3327" s="8">
        <v>46014.824325972222</v>
      </c>
      <c r="B3327" s="9" t="s">
        <v>14</v>
      </c>
      <c r="C3327" s="9" t="s">
        <v>15</v>
      </c>
      <c r="D3327" s="10" t="s">
        <v>7306</v>
      </c>
      <c r="E3327" s="9" t="s">
        <v>22</v>
      </c>
      <c r="F3327" s="10">
        <v>25</v>
      </c>
      <c r="G3327" s="11">
        <v>7062711738</v>
      </c>
      <c r="H3327" s="10" t="s">
        <v>7307</v>
      </c>
      <c r="I3327" s="10" t="s">
        <v>49</v>
      </c>
      <c r="J3327" s="10" t="s">
        <v>109</v>
      </c>
      <c r="K3327" s="12">
        <v>36714</v>
      </c>
      <c r="L3327" s="10" t="s">
        <v>441</v>
      </c>
      <c r="M3327" s="14"/>
      <c r="N3327" s="10" t="s">
        <v>1028</v>
      </c>
    </row>
    <row r="3328" spans="1:14" ht="22.5" customHeight="1">
      <c r="A3328" s="8">
        <v>46014.828511493055</v>
      </c>
      <c r="B3328" s="9" t="s">
        <v>14</v>
      </c>
      <c r="C3328" s="9" t="s">
        <v>15</v>
      </c>
      <c r="D3328" s="10" t="s">
        <v>7308</v>
      </c>
      <c r="E3328" s="9" t="s">
        <v>17</v>
      </c>
      <c r="F3328" s="10">
        <v>60</v>
      </c>
      <c r="G3328" s="11">
        <v>8065545292</v>
      </c>
      <c r="H3328" s="10" t="s">
        <v>7309</v>
      </c>
      <c r="I3328" s="10" t="s">
        <v>27</v>
      </c>
      <c r="J3328" s="10" t="s">
        <v>1456</v>
      </c>
      <c r="K3328" s="12">
        <v>46014</v>
      </c>
      <c r="L3328" s="28" t="s">
        <v>11</v>
      </c>
      <c r="M3328" s="14"/>
      <c r="N3328" s="10" t="s">
        <v>1028</v>
      </c>
    </row>
    <row r="3329" spans="1:14" ht="22.5" hidden="1" customHeight="1">
      <c r="A3329" s="8">
        <v>46014.832915243052</v>
      </c>
      <c r="B3329" s="9" t="s">
        <v>14</v>
      </c>
      <c r="C3329" s="9" t="s">
        <v>15</v>
      </c>
      <c r="D3329" s="10" t="s">
        <v>7310</v>
      </c>
      <c r="E3329" s="9" t="s">
        <v>17</v>
      </c>
      <c r="F3329" s="10">
        <v>35</v>
      </c>
      <c r="G3329" s="11">
        <v>8060228397</v>
      </c>
      <c r="H3329" s="10" t="s">
        <v>7311</v>
      </c>
      <c r="I3329" s="10" t="s">
        <v>27</v>
      </c>
      <c r="J3329" s="10" t="s">
        <v>94</v>
      </c>
      <c r="K3329" s="12">
        <v>32874</v>
      </c>
      <c r="L3329" s="10" t="s">
        <v>441</v>
      </c>
      <c r="M3329" s="10" t="s">
        <v>1361</v>
      </c>
      <c r="N3329" s="10" t="s">
        <v>1028</v>
      </c>
    </row>
    <row r="3330" spans="1:14" ht="22.5" customHeight="1">
      <c r="A3330" s="8">
        <v>46014.837670428242</v>
      </c>
      <c r="B3330" s="9" t="s">
        <v>14</v>
      </c>
      <c r="C3330" s="9" t="s">
        <v>15</v>
      </c>
      <c r="D3330" s="10" t="s">
        <v>7312</v>
      </c>
      <c r="E3330" s="9" t="s">
        <v>17</v>
      </c>
      <c r="F3330" s="10">
        <v>26</v>
      </c>
      <c r="G3330" s="11">
        <v>7067038774</v>
      </c>
      <c r="H3330" s="10" t="s">
        <v>7313</v>
      </c>
      <c r="I3330" s="10" t="s">
        <v>27</v>
      </c>
      <c r="J3330" s="10" t="s">
        <v>1194</v>
      </c>
      <c r="K3330" s="12">
        <v>46014</v>
      </c>
      <c r="L3330" s="28" t="s">
        <v>11</v>
      </c>
      <c r="M3330" s="14"/>
      <c r="N3330" s="10" t="s">
        <v>1096</v>
      </c>
    </row>
    <row r="3331" spans="1:14" ht="22.5" customHeight="1">
      <c r="A3331" s="8">
        <v>46014.842850740737</v>
      </c>
      <c r="B3331" s="9" t="s">
        <v>14</v>
      </c>
      <c r="C3331" s="9" t="s">
        <v>15</v>
      </c>
      <c r="D3331" s="10" t="s">
        <v>7314</v>
      </c>
      <c r="E3331" s="9" t="s">
        <v>22</v>
      </c>
      <c r="F3331" s="10">
        <v>24</v>
      </c>
      <c r="G3331" s="11">
        <v>7060727764</v>
      </c>
      <c r="H3331" s="10" t="s">
        <v>7315</v>
      </c>
      <c r="I3331" s="10" t="s">
        <v>27</v>
      </c>
      <c r="J3331" s="10" t="s">
        <v>94</v>
      </c>
      <c r="K3331" s="12">
        <v>46014</v>
      </c>
      <c r="L3331" s="28" t="s">
        <v>11</v>
      </c>
      <c r="M3331" s="14"/>
      <c r="N3331" s="10" t="s">
        <v>1028</v>
      </c>
    </row>
    <row r="3332" spans="1:14" ht="22.5" customHeight="1">
      <c r="A3332" s="8">
        <v>46014.847293993051</v>
      </c>
      <c r="B3332" s="9" t="s">
        <v>14</v>
      </c>
      <c r="C3332" s="9" t="s">
        <v>15</v>
      </c>
      <c r="D3332" s="10" t="s">
        <v>7316</v>
      </c>
      <c r="E3332" s="9" t="s">
        <v>17</v>
      </c>
      <c r="F3332" s="10">
        <v>44</v>
      </c>
      <c r="G3332" s="11">
        <v>8030610569</v>
      </c>
      <c r="H3332" s="10" t="s">
        <v>7317</v>
      </c>
      <c r="I3332" s="10" t="s">
        <v>27</v>
      </c>
      <c r="J3332" s="10" t="s">
        <v>1456</v>
      </c>
      <c r="K3332" s="12">
        <v>46014</v>
      </c>
      <c r="L3332" s="28" t="s">
        <v>11</v>
      </c>
      <c r="M3332" s="14"/>
      <c r="N3332" s="10" t="s">
        <v>7318</v>
      </c>
    </row>
    <row r="3333" spans="1:14" ht="22.5" customHeight="1">
      <c r="A3333" s="8">
        <v>46014.849559212962</v>
      </c>
      <c r="B3333" s="9" t="s">
        <v>14</v>
      </c>
      <c r="C3333" s="9" t="s">
        <v>15</v>
      </c>
      <c r="D3333" s="10" t="s">
        <v>7319</v>
      </c>
      <c r="E3333" s="9" t="s">
        <v>22</v>
      </c>
      <c r="F3333" s="10">
        <v>18</v>
      </c>
      <c r="G3333" s="11">
        <v>7062824102</v>
      </c>
      <c r="H3333" s="10" t="s">
        <v>7320</v>
      </c>
      <c r="I3333" s="10" t="s">
        <v>45</v>
      </c>
      <c r="J3333" s="10" t="s">
        <v>7321</v>
      </c>
      <c r="K3333" s="12">
        <v>46014</v>
      </c>
      <c r="L3333" s="28" t="s">
        <v>11</v>
      </c>
      <c r="M3333" s="14"/>
      <c r="N3333" s="10" t="s">
        <v>1096</v>
      </c>
    </row>
    <row r="3334" spans="1:14" ht="22.5" customHeight="1">
      <c r="A3334" s="8">
        <v>46014.852678657408</v>
      </c>
      <c r="B3334" s="9" t="s">
        <v>14</v>
      </c>
      <c r="C3334" s="9" t="s">
        <v>15</v>
      </c>
      <c r="D3334" s="10" t="s">
        <v>7322</v>
      </c>
      <c r="E3334" s="9" t="s">
        <v>22</v>
      </c>
      <c r="F3334" s="10">
        <v>28</v>
      </c>
      <c r="G3334" s="11">
        <v>9019721279</v>
      </c>
      <c r="H3334" s="10" t="s">
        <v>7323</v>
      </c>
      <c r="I3334" s="10" t="s">
        <v>45</v>
      </c>
      <c r="J3334" s="10" t="s">
        <v>1919</v>
      </c>
      <c r="K3334" s="12">
        <v>35417</v>
      </c>
      <c r="L3334" s="28" t="s">
        <v>11</v>
      </c>
      <c r="M3334" s="10"/>
      <c r="N3334" s="10" t="s">
        <v>1028</v>
      </c>
    </row>
    <row r="3335" spans="1:14" ht="22.5" customHeight="1">
      <c r="A3335" s="8">
        <v>46014.859403981478</v>
      </c>
      <c r="B3335" s="9" t="s">
        <v>14</v>
      </c>
      <c r="C3335" s="9" t="s">
        <v>15</v>
      </c>
      <c r="D3335" s="10" t="s">
        <v>7324</v>
      </c>
      <c r="E3335" s="9" t="s">
        <v>22</v>
      </c>
      <c r="F3335" s="10">
        <v>48</v>
      </c>
      <c r="G3335" s="11">
        <v>8182972984</v>
      </c>
      <c r="H3335" s="10" t="s">
        <v>7325</v>
      </c>
      <c r="I3335" s="10" t="s">
        <v>27</v>
      </c>
      <c r="J3335" s="10" t="s">
        <v>1456</v>
      </c>
      <c r="K3335" s="12">
        <v>46014</v>
      </c>
      <c r="L3335" s="28" t="s">
        <v>11</v>
      </c>
      <c r="M3335" s="14"/>
      <c r="N3335" s="10" t="s">
        <v>1028</v>
      </c>
    </row>
    <row r="3336" spans="1:14" ht="22.5" customHeight="1">
      <c r="A3336" s="8">
        <v>46014.861476203703</v>
      </c>
      <c r="B3336" s="9" t="s">
        <v>14</v>
      </c>
      <c r="C3336" s="9" t="s">
        <v>15</v>
      </c>
      <c r="D3336" s="10" t="s">
        <v>7326</v>
      </c>
      <c r="E3336" s="9" t="s">
        <v>17</v>
      </c>
      <c r="F3336" s="10">
        <v>31</v>
      </c>
      <c r="G3336" s="11">
        <v>8038784491</v>
      </c>
      <c r="H3336" s="10" t="s">
        <v>7327</v>
      </c>
      <c r="I3336" s="10" t="s">
        <v>27</v>
      </c>
      <c r="J3336" s="10" t="s">
        <v>67</v>
      </c>
      <c r="K3336" s="12">
        <v>46014</v>
      </c>
      <c r="L3336" s="28" t="s">
        <v>11</v>
      </c>
      <c r="M3336" s="14"/>
      <c r="N3336" s="10" t="s">
        <v>1028</v>
      </c>
    </row>
    <row r="3337" spans="1:14" ht="22.5" customHeight="1">
      <c r="A3337" s="8">
        <v>46014.865681701383</v>
      </c>
      <c r="B3337" s="9" t="s">
        <v>14</v>
      </c>
      <c r="C3337" s="9" t="s">
        <v>15</v>
      </c>
      <c r="D3337" s="10" t="s">
        <v>7328</v>
      </c>
      <c r="E3337" s="9" t="s">
        <v>17</v>
      </c>
      <c r="F3337" s="10">
        <v>35</v>
      </c>
      <c r="G3337" s="11">
        <v>7030035964</v>
      </c>
      <c r="H3337" s="10" t="s">
        <v>7329</v>
      </c>
      <c r="I3337" s="10" t="s">
        <v>27</v>
      </c>
      <c r="J3337" s="10" t="s">
        <v>7330</v>
      </c>
      <c r="K3337" s="12">
        <v>46014</v>
      </c>
      <c r="L3337" s="28" t="s">
        <v>11</v>
      </c>
      <c r="M3337" s="14"/>
      <c r="N3337" s="10" t="s">
        <v>1096</v>
      </c>
    </row>
    <row r="3338" spans="1:14" ht="22.5" customHeight="1">
      <c r="A3338" s="8">
        <v>46014.873934236108</v>
      </c>
      <c r="B3338" s="9" t="s">
        <v>14</v>
      </c>
      <c r="C3338" s="9" t="s">
        <v>15</v>
      </c>
      <c r="D3338" s="10" t="s">
        <v>7331</v>
      </c>
      <c r="E3338" s="9" t="s">
        <v>17</v>
      </c>
      <c r="F3338" s="10">
        <v>20</v>
      </c>
      <c r="G3338" s="11">
        <v>9160958145</v>
      </c>
      <c r="H3338" s="10" t="s">
        <v>7332</v>
      </c>
      <c r="I3338" s="10" t="s">
        <v>27</v>
      </c>
      <c r="J3338" s="10" t="s">
        <v>42</v>
      </c>
      <c r="K3338" s="12">
        <v>46014</v>
      </c>
      <c r="L3338" s="28" t="s">
        <v>11</v>
      </c>
      <c r="M3338" s="14"/>
      <c r="N3338" s="10" t="s">
        <v>1028</v>
      </c>
    </row>
    <row r="3339" spans="1:14" ht="22.5" hidden="1" customHeight="1">
      <c r="A3339" s="8">
        <v>46014.878004942133</v>
      </c>
      <c r="B3339" s="9" t="s">
        <v>14</v>
      </c>
      <c r="C3339" s="9" t="s">
        <v>15</v>
      </c>
      <c r="D3339" s="10" t="s">
        <v>7333</v>
      </c>
      <c r="E3339" s="9" t="s">
        <v>17</v>
      </c>
      <c r="F3339" s="10">
        <v>41</v>
      </c>
      <c r="G3339" s="11">
        <v>761690741</v>
      </c>
      <c r="H3339" s="10" t="s">
        <v>7334</v>
      </c>
      <c r="I3339" s="10" t="s">
        <v>49</v>
      </c>
      <c r="J3339" s="10" t="s">
        <v>106</v>
      </c>
      <c r="K3339" s="12">
        <v>46014</v>
      </c>
      <c r="L3339" s="10" t="s">
        <v>441</v>
      </c>
      <c r="M3339" s="10" t="s">
        <v>1361</v>
      </c>
      <c r="N3339" s="10" t="s">
        <v>1028</v>
      </c>
    </row>
    <row r="3340" spans="1:14" ht="22.5" customHeight="1">
      <c r="A3340" s="8">
        <v>46014.878447037037</v>
      </c>
      <c r="B3340" s="9" t="s">
        <v>14</v>
      </c>
      <c r="C3340" s="9" t="s">
        <v>15</v>
      </c>
      <c r="D3340" s="10" t="s">
        <v>7335</v>
      </c>
      <c r="E3340" s="9" t="s">
        <v>22</v>
      </c>
      <c r="F3340" s="10">
        <v>37</v>
      </c>
      <c r="G3340" s="11">
        <v>8081768356</v>
      </c>
      <c r="H3340" s="10" t="s">
        <v>7336</v>
      </c>
      <c r="I3340" s="10" t="s">
        <v>27</v>
      </c>
      <c r="J3340" s="10" t="s">
        <v>1456</v>
      </c>
      <c r="K3340" s="12">
        <v>46014</v>
      </c>
      <c r="L3340" s="28" t="s">
        <v>11</v>
      </c>
      <c r="M3340" s="14"/>
      <c r="N3340" s="10" t="s">
        <v>1028</v>
      </c>
    </row>
    <row r="3341" spans="1:14" ht="22.5" customHeight="1">
      <c r="A3341" s="8">
        <v>46014.886964004632</v>
      </c>
      <c r="B3341" s="9" t="s">
        <v>14</v>
      </c>
      <c r="C3341" s="9" t="s">
        <v>15</v>
      </c>
      <c r="D3341" s="10" t="s">
        <v>7337</v>
      </c>
      <c r="E3341" s="9" t="s">
        <v>17</v>
      </c>
      <c r="F3341" s="10">
        <v>18</v>
      </c>
      <c r="G3341" s="11">
        <v>7084458533</v>
      </c>
      <c r="H3341" s="10" t="s">
        <v>7338</v>
      </c>
      <c r="I3341" s="10" t="s">
        <v>27</v>
      </c>
      <c r="J3341" s="10" t="s">
        <v>7339</v>
      </c>
      <c r="K3341" s="12">
        <v>46014</v>
      </c>
      <c r="L3341" s="28" t="s">
        <v>11</v>
      </c>
      <c r="M3341" s="14"/>
      <c r="N3341" s="10" t="s">
        <v>1140</v>
      </c>
    </row>
    <row r="3342" spans="1:14" ht="22.5" customHeight="1">
      <c r="A3342" s="8">
        <v>46014.888582361113</v>
      </c>
      <c r="B3342" s="9" t="s">
        <v>14</v>
      </c>
      <c r="C3342" s="9" t="s">
        <v>15</v>
      </c>
      <c r="D3342" s="10" t="s">
        <v>7340</v>
      </c>
      <c r="E3342" s="9" t="s">
        <v>17</v>
      </c>
      <c r="F3342" s="10">
        <v>60</v>
      </c>
      <c r="G3342" s="11">
        <v>8065545292</v>
      </c>
      <c r="H3342" s="10" t="s">
        <v>7309</v>
      </c>
      <c r="I3342" s="10" t="s">
        <v>27</v>
      </c>
      <c r="J3342" s="10" t="s">
        <v>1456</v>
      </c>
      <c r="K3342" s="12">
        <v>46014</v>
      </c>
      <c r="L3342" s="28" t="s">
        <v>11</v>
      </c>
      <c r="M3342" s="14"/>
      <c r="N3342" s="10" t="s">
        <v>1028</v>
      </c>
    </row>
    <row r="3343" spans="1:14" ht="22.5" customHeight="1">
      <c r="A3343" s="8">
        <v>46014.892189745369</v>
      </c>
      <c r="B3343" s="9" t="s">
        <v>14</v>
      </c>
      <c r="C3343" s="9" t="s">
        <v>15</v>
      </c>
      <c r="D3343" s="10" t="s">
        <v>7341</v>
      </c>
      <c r="E3343" s="9" t="s">
        <v>17</v>
      </c>
      <c r="F3343" s="10">
        <v>21</v>
      </c>
      <c r="G3343" s="11">
        <v>8023889905</v>
      </c>
      <c r="H3343" s="10" t="s">
        <v>7342</v>
      </c>
      <c r="I3343" s="10" t="s">
        <v>27</v>
      </c>
      <c r="J3343" s="10" t="s">
        <v>1514</v>
      </c>
      <c r="K3343" s="12">
        <v>46014</v>
      </c>
      <c r="L3343" s="28" t="s">
        <v>11</v>
      </c>
      <c r="M3343" s="14"/>
      <c r="N3343" s="10" t="s">
        <v>1028</v>
      </c>
    </row>
    <row r="3344" spans="1:14" ht="22.5" customHeight="1">
      <c r="A3344" s="8">
        <v>46014.904343958333</v>
      </c>
      <c r="B3344" s="9" t="s">
        <v>14</v>
      </c>
      <c r="C3344" s="9" t="s">
        <v>15</v>
      </c>
      <c r="D3344" s="10" t="s">
        <v>7343</v>
      </c>
      <c r="E3344" s="9" t="s">
        <v>17</v>
      </c>
      <c r="F3344" s="10">
        <v>21</v>
      </c>
      <c r="G3344" s="11">
        <v>9012154769</v>
      </c>
      <c r="H3344" s="10" t="s">
        <v>7344</v>
      </c>
      <c r="I3344" s="10" t="s">
        <v>27</v>
      </c>
      <c r="J3344" s="10" t="s">
        <v>703</v>
      </c>
      <c r="K3344" s="12">
        <v>46014</v>
      </c>
      <c r="L3344" s="28" t="s">
        <v>11</v>
      </c>
      <c r="M3344" s="14"/>
      <c r="N3344" s="10" t="s">
        <v>1028</v>
      </c>
    </row>
    <row r="3345" spans="1:14" ht="22.5" customHeight="1">
      <c r="A3345" s="8">
        <v>46014.906173912037</v>
      </c>
      <c r="B3345" s="9" t="s">
        <v>14</v>
      </c>
      <c r="C3345" s="9" t="s">
        <v>15</v>
      </c>
      <c r="D3345" s="10" t="s">
        <v>7345</v>
      </c>
      <c r="E3345" s="9" t="s">
        <v>17</v>
      </c>
      <c r="F3345" s="10">
        <v>21</v>
      </c>
      <c r="G3345" s="11">
        <v>9039612015</v>
      </c>
      <c r="H3345" s="10" t="s">
        <v>7346</v>
      </c>
      <c r="I3345" s="10" t="s">
        <v>19</v>
      </c>
      <c r="J3345" s="10" t="s">
        <v>3369</v>
      </c>
      <c r="K3345" s="12">
        <v>46014</v>
      </c>
      <c r="L3345" s="28" t="s">
        <v>11</v>
      </c>
      <c r="M3345" s="14"/>
      <c r="N3345" s="10" t="s">
        <v>1028</v>
      </c>
    </row>
    <row r="3346" spans="1:14" ht="22.5" hidden="1" customHeight="1">
      <c r="A3346" s="8">
        <v>46014.908390613426</v>
      </c>
      <c r="B3346" s="9" t="s">
        <v>14</v>
      </c>
      <c r="C3346" s="9" t="s">
        <v>15</v>
      </c>
      <c r="D3346" s="10" t="s">
        <v>7347</v>
      </c>
      <c r="E3346" s="9" t="s">
        <v>17</v>
      </c>
      <c r="F3346" s="10">
        <v>42</v>
      </c>
      <c r="G3346" s="11">
        <v>8069566319</v>
      </c>
      <c r="H3346" s="10" t="s">
        <v>7348</v>
      </c>
      <c r="I3346" s="10" t="s">
        <v>27</v>
      </c>
      <c r="J3346" s="10" t="s">
        <v>5395</v>
      </c>
      <c r="K3346" s="12">
        <v>46014</v>
      </c>
      <c r="L3346" s="10" t="s">
        <v>441</v>
      </c>
      <c r="M3346" s="10" t="s">
        <v>1361</v>
      </c>
      <c r="N3346" s="10" t="s">
        <v>1028</v>
      </c>
    </row>
    <row r="3347" spans="1:14" ht="22.5" customHeight="1">
      <c r="A3347" s="8">
        <v>46014.917679872684</v>
      </c>
      <c r="B3347" s="9" t="s">
        <v>14</v>
      </c>
      <c r="C3347" s="9" t="s">
        <v>15</v>
      </c>
      <c r="D3347" s="10" t="s">
        <v>7349</v>
      </c>
      <c r="E3347" s="9" t="s">
        <v>17</v>
      </c>
      <c r="F3347" s="10">
        <v>31</v>
      </c>
      <c r="G3347" s="11">
        <v>8146948415</v>
      </c>
      <c r="H3347" s="10" t="s">
        <v>7350</v>
      </c>
      <c r="I3347" s="10" t="s">
        <v>45</v>
      </c>
      <c r="J3347" s="10" t="s">
        <v>901</v>
      </c>
      <c r="K3347" s="12">
        <v>46012</v>
      </c>
      <c r="L3347" s="28" t="s">
        <v>11</v>
      </c>
      <c r="M3347" s="14"/>
      <c r="N3347" s="10" t="s">
        <v>1096</v>
      </c>
    </row>
    <row r="3348" spans="1:14" ht="22.5" customHeight="1">
      <c r="A3348" s="8">
        <v>46014.917898981483</v>
      </c>
      <c r="B3348" s="9" t="s">
        <v>14</v>
      </c>
      <c r="C3348" s="9" t="s">
        <v>15</v>
      </c>
      <c r="D3348" s="10" t="s">
        <v>7351</v>
      </c>
      <c r="E3348" s="9" t="s">
        <v>22</v>
      </c>
      <c r="F3348" s="10">
        <v>22</v>
      </c>
      <c r="G3348" s="11">
        <v>9065750350</v>
      </c>
      <c r="H3348" s="10" t="s">
        <v>7352</v>
      </c>
      <c r="I3348" s="10" t="s">
        <v>27</v>
      </c>
      <c r="J3348" s="10" t="s">
        <v>94</v>
      </c>
      <c r="K3348" s="12">
        <v>46014</v>
      </c>
      <c r="L3348" s="28" t="s">
        <v>11</v>
      </c>
      <c r="M3348" s="14"/>
      <c r="N3348" s="10" t="s">
        <v>1028</v>
      </c>
    </row>
    <row r="3349" spans="1:14" ht="22.5" customHeight="1">
      <c r="A3349" s="8">
        <v>46014.934627546296</v>
      </c>
      <c r="B3349" s="9" t="s">
        <v>14</v>
      </c>
      <c r="C3349" s="9" t="s">
        <v>15</v>
      </c>
      <c r="D3349" s="10" t="s">
        <v>7353</v>
      </c>
      <c r="E3349" s="9" t="s">
        <v>22</v>
      </c>
      <c r="F3349" s="10">
        <v>25</v>
      </c>
      <c r="G3349" s="11">
        <v>8107491510</v>
      </c>
      <c r="H3349" s="10" t="s">
        <v>7354</v>
      </c>
      <c r="I3349" s="10" t="s">
        <v>45</v>
      </c>
      <c r="J3349" s="10" t="s">
        <v>46</v>
      </c>
      <c r="K3349" s="12">
        <v>36691</v>
      </c>
      <c r="L3349" s="28" t="s">
        <v>11</v>
      </c>
      <c r="M3349" s="14"/>
      <c r="N3349" s="10" t="s">
        <v>1028</v>
      </c>
    </row>
    <row r="3350" spans="1:14" ht="22.5" customHeight="1">
      <c r="A3350" s="8">
        <v>46014.936287175922</v>
      </c>
      <c r="B3350" s="9" t="s">
        <v>14</v>
      </c>
      <c r="C3350" s="9" t="s">
        <v>15</v>
      </c>
      <c r="D3350" s="10" t="s">
        <v>7355</v>
      </c>
      <c r="E3350" s="9" t="s">
        <v>17</v>
      </c>
      <c r="F3350" s="10">
        <v>31</v>
      </c>
      <c r="G3350" s="11">
        <v>7062667110</v>
      </c>
      <c r="H3350" s="10" t="s">
        <v>7356</v>
      </c>
      <c r="I3350" s="10" t="s">
        <v>45</v>
      </c>
      <c r="J3350" s="10" t="s">
        <v>1919</v>
      </c>
      <c r="K3350" s="12">
        <v>46014</v>
      </c>
      <c r="L3350" s="28" t="s">
        <v>11</v>
      </c>
      <c r="M3350" s="14"/>
      <c r="N3350" s="10" t="s">
        <v>1028</v>
      </c>
    </row>
    <row r="3351" spans="1:14" ht="22.5" customHeight="1">
      <c r="A3351" s="8">
        <v>46014.942949733799</v>
      </c>
      <c r="B3351" s="9" t="s">
        <v>14</v>
      </c>
      <c r="C3351" s="9" t="s">
        <v>15</v>
      </c>
      <c r="D3351" s="10" t="s">
        <v>7357</v>
      </c>
      <c r="E3351" s="9" t="s">
        <v>22</v>
      </c>
      <c r="F3351" s="10">
        <v>30</v>
      </c>
      <c r="G3351" s="11">
        <v>8067170741</v>
      </c>
      <c r="H3351" s="10" t="s">
        <v>7358</v>
      </c>
      <c r="I3351" s="10" t="s">
        <v>31</v>
      </c>
      <c r="J3351" s="10" t="s">
        <v>32</v>
      </c>
      <c r="K3351" s="12">
        <v>46014</v>
      </c>
      <c r="L3351" s="28" t="s">
        <v>11</v>
      </c>
      <c r="M3351" s="14"/>
      <c r="N3351" s="10" t="s">
        <v>1028</v>
      </c>
    </row>
    <row r="3352" spans="1:14" ht="22.5" customHeight="1">
      <c r="A3352" s="8">
        <v>46014.94502590278</v>
      </c>
      <c r="B3352" s="9" t="s">
        <v>14</v>
      </c>
      <c r="C3352" s="9" t="s">
        <v>15</v>
      </c>
      <c r="D3352" s="10" t="s">
        <v>7359</v>
      </c>
      <c r="E3352" s="9" t="s">
        <v>17</v>
      </c>
      <c r="F3352" s="10">
        <v>29</v>
      </c>
      <c r="G3352" s="11">
        <v>8141880441</v>
      </c>
      <c r="H3352" s="10" t="s">
        <v>7360</v>
      </c>
      <c r="I3352" s="10" t="s">
        <v>27</v>
      </c>
      <c r="J3352" s="10" t="s">
        <v>7361</v>
      </c>
      <c r="K3352" s="12">
        <v>46014</v>
      </c>
      <c r="L3352" s="28" t="s">
        <v>11</v>
      </c>
      <c r="M3352" s="10"/>
      <c r="N3352" s="10" t="s">
        <v>1140</v>
      </c>
    </row>
    <row r="3353" spans="1:14" ht="22.5" customHeight="1">
      <c r="A3353" s="8">
        <v>46014.954831875002</v>
      </c>
      <c r="B3353" s="9" t="s">
        <v>14</v>
      </c>
      <c r="C3353" s="9" t="s">
        <v>15</v>
      </c>
      <c r="D3353" s="10" t="s">
        <v>7362</v>
      </c>
      <c r="E3353" s="9" t="s">
        <v>17</v>
      </c>
      <c r="F3353" s="10">
        <v>24</v>
      </c>
      <c r="G3353" s="11">
        <v>7070464555</v>
      </c>
      <c r="H3353" s="10" t="s">
        <v>7363</v>
      </c>
      <c r="I3353" s="10" t="s">
        <v>27</v>
      </c>
      <c r="J3353" s="10" t="s">
        <v>172</v>
      </c>
      <c r="K3353" s="12">
        <v>46014</v>
      </c>
      <c r="L3353" s="28" t="s">
        <v>11</v>
      </c>
      <c r="M3353" s="14"/>
      <c r="N3353" s="10" t="s">
        <v>1028</v>
      </c>
    </row>
    <row r="3354" spans="1:14" ht="22.5" customHeight="1">
      <c r="A3354" s="8">
        <v>46014.958595358796</v>
      </c>
      <c r="B3354" s="9" t="s">
        <v>14</v>
      </c>
      <c r="C3354" s="9" t="s">
        <v>15</v>
      </c>
      <c r="D3354" s="10" t="s">
        <v>7364</v>
      </c>
      <c r="E3354" s="9" t="s">
        <v>17</v>
      </c>
      <c r="F3354" s="10">
        <v>32</v>
      </c>
      <c r="G3354" s="11">
        <v>8036874685</v>
      </c>
      <c r="H3354" s="10" t="s">
        <v>7202</v>
      </c>
      <c r="I3354" s="10" t="s">
        <v>27</v>
      </c>
      <c r="J3354" s="10" t="s">
        <v>97</v>
      </c>
      <c r="K3354" s="12">
        <v>46014</v>
      </c>
      <c r="L3354" s="28" t="s">
        <v>11</v>
      </c>
      <c r="M3354" s="10"/>
      <c r="N3354" s="10" t="s">
        <v>1096</v>
      </c>
    </row>
    <row r="3355" spans="1:14" ht="22.5" customHeight="1">
      <c r="A3355" s="8">
        <v>46014.982413414356</v>
      </c>
      <c r="B3355" s="9" t="s">
        <v>14</v>
      </c>
      <c r="C3355" s="9" t="s">
        <v>15</v>
      </c>
      <c r="D3355" s="10" t="s">
        <v>7365</v>
      </c>
      <c r="E3355" s="9" t="s">
        <v>17</v>
      </c>
      <c r="F3355" s="10">
        <v>18</v>
      </c>
      <c r="G3355" s="11">
        <v>7052626082</v>
      </c>
      <c r="H3355" s="10" t="s">
        <v>7366</v>
      </c>
      <c r="I3355" s="10" t="s">
        <v>19</v>
      </c>
      <c r="J3355" s="10" t="s">
        <v>2314</v>
      </c>
      <c r="K3355" s="12">
        <v>46014</v>
      </c>
      <c r="L3355" s="28" t="s">
        <v>11</v>
      </c>
      <c r="M3355" s="14"/>
      <c r="N3355" s="10" t="s">
        <v>1028</v>
      </c>
    </row>
    <row r="3356" spans="1:14" ht="22.5" customHeight="1">
      <c r="A3356" s="8">
        <v>46015.008674074073</v>
      </c>
      <c r="B3356" s="9" t="s">
        <v>14</v>
      </c>
      <c r="C3356" s="9" t="s">
        <v>15</v>
      </c>
      <c r="D3356" s="10" t="s">
        <v>7367</v>
      </c>
      <c r="E3356" s="9" t="s">
        <v>17</v>
      </c>
      <c r="F3356" s="10">
        <v>20</v>
      </c>
      <c r="G3356" s="11">
        <v>8039547202</v>
      </c>
      <c r="H3356" s="10" t="s">
        <v>7368</v>
      </c>
      <c r="I3356" s="10" t="s">
        <v>27</v>
      </c>
      <c r="J3356" s="10" t="s">
        <v>172</v>
      </c>
      <c r="K3356" s="12">
        <v>46015</v>
      </c>
      <c r="L3356" s="28" t="s">
        <v>11</v>
      </c>
      <c r="M3356" s="14"/>
      <c r="N3356" s="10" t="s">
        <v>1028</v>
      </c>
    </row>
    <row r="3357" spans="1:14" ht="22.5" customHeight="1">
      <c r="A3357" s="8">
        <v>46015.00905601852</v>
      </c>
      <c r="B3357" s="9" t="s">
        <v>14</v>
      </c>
      <c r="C3357" s="9" t="s">
        <v>15</v>
      </c>
      <c r="D3357" s="10" t="s">
        <v>7369</v>
      </c>
      <c r="E3357" s="9" t="s">
        <v>22</v>
      </c>
      <c r="F3357" s="10">
        <v>37</v>
      </c>
      <c r="G3357" s="11">
        <v>7037524645</v>
      </c>
      <c r="H3357" s="10" t="s">
        <v>7370</v>
      </c>
      <c r="I3357" s="10" t="s">
        <v>202</v>
      </c>
      <c r="J3357" s="10" t="s">
        <v>4651</v>
      </c>
      <c r="K3357" s="12">
        <v>46015</v>
      </c>
      <c r="L3357" s="28" t="s">
        <v>11</v>
      </c>
      <c r="M3357" s="14"/>
      <c r="N3357" s="10" t="s">
        <v>1028</v>
      </c>
    </row>
    <row r="3358" spans="1:14" ht="22.5" customHeight="1">
      <c r="A3358" s="8">
        <v>46015.043146712967</v>
      </c>
      <c r="B3358" s="9" t="s">
        <v>14</v>
      </c>
      <c r="C3358" s="9" t="s">
        <v>15</v>
      </c>
      <c r="D3358" s="10" t="s">
        <v>6981</v>
      </c>
      <c r="E3358" s="9" t="s">
        <v>17</v>
      </c>
      <c r="F3358" s="10">
        <v>25</v>
      </c>
      <c r="G3358" s="11">
        <v>7081167074</v>
      </c>
      <c r="H3358" s="10" t="s">
        <v>6982</v>
      </c>
      <c r="I3358" s="10" t="s">
        <v>45</v>
      </c>
      <c r="J3358" s="10" t="s">
        <v>178</v>
      </c>
      <c r="K3358" s="12">
        <v>46015</v>
      </c>
      <c r="L3358" s="28" t="s">
        <v>11</v>
      </c>
      <c r="M3358" s="14"/>
      <c r="N3358" s="10" t="s">
        <v>1028</v>
      </c>
    </row>
    <row r="3359" spans="1:14" ht="22.5" customHeight="1">
      <c r="A3359" s="8">
        <v>46015.056659560185</v>
      </c>
      <c r="B3359" s="9" t="s">
        <v>14</v>
      </c>
      <c r="C3359" s="9" t="s">
        <v>15</v>
      </c>
      <c r="D3359" s="10" t="s">
        <v>7371</v>
      </c>
      <c r="E3359" s="9" t="s">
        <v>17</v>
      </c>
      <c r="F3359" s="10">
        <v>38</v>
      </c>
      <c r="G3359" s="11">
        <v>8036939214</v>
      </c>
      <c r="H3359" s="10" t="s">
        <v>7372</v>
      </c>
      <c r="I3359" s="10" t="s">
        <v>27</v>
      </c>
      <c r="J3359" s="10" t="s">
        <v>2258</v>
      </c>
      <c r="K3359" s="12">
        <v>46015</v>
      </c>
      <c r="L3359" s="28" t="s">
        <v>11</v>
      </c>
      <c r="M3359" s="14"/>
      <c r="N3359" s="10" t="s">
        <v>1028</v>
      </c>
    </row>
    <row r="3360" spans="1:14" ht="22.5" customHeight="1">
      <c r="A3360" s="8">
        <v>46015.104311446761</v>
      </c>
      <c r="B3360" s="9" t="s">
        <v>14</v>
      </c>
      <c r="C3360" s="9" t="s">
        <v>15</v>
      </c>
      <c r="D3360" s="10" t="s">
        <v>7373</v>
      </c>
      <c r="E3360" s="9" t="s">
        <v>22</v>
      </c>
      <c r="F3360" s="10">
        <v>21</v>
      </c>
      <c r="G3360" s="11">
        <v>8109557111</v>
      </c>
      <c r="H3360" s="10" t="s">
        <v>7374</v>
      </c>
      <c r="I3360" s="10" t="s">
        <v>49</v>
      </c>
      <c r="J3360" s="10" t="s">
        <v>282</v>
      </c>
      <c r="K3360" s="12">
        <v>46015</v>
      </c>
      <c r="L3360" s="28" t="s">
        <v>11</v>
      </c>
      <c r="M3360" s="14"/>
      <c r="N3360" s="10" t="s">
        <v>1028</v>
      </c>
    </row>
    <row r="3361" spans="1:14" ht="22.5" customHeight="1">
      <c r="A3361" s="8">
        <v>46015.259015069445</v>
      </c>
      <c r="B3361" s="9" t="s">
        <v>14</v>
      </c>
      <c r="C3361" s="9" t="s">
        <v>15</v>
      </c>
      <c r="D3361" s="10" t="s">
        <v>7375</v>
      </c>
      <c r="E3361" s="9" t="s">
        <v>17</v>
      </c>
      <c r="F3361" s="10">
        <v>29</v>
      </c>
      <c r="G3361" s="11">
        <v>9114052250</v>
      </c>
      <c r="H3361" s="10" t="s">
        <v>7376</v>
      </c>
      <c r="I3361" s="10" t="s">
        <v>45</v>
      </c>
      <c r="J3361" s="10" t="s">
        <v>46</v>
      </c>
      <c r="K3361" s="12">
        <v>46015</v>
      </c>
      <c r="L3361" s="28" t="s">
        <v>11</v>
      </c>
      <c r="M3361" s="14"/>
      <c r="N3361" s="10" t="s">
        <v>1028</v>
      </c>
    </row>
    <row r="3362" spans="1:14" ht="22.5" customHeight="1">
      <c r="A3362" s="8">
        <v>46015.270556250005</v>
      </c>
      <c r="B3362" s="9" t="s">
        <v>14</v>
      </c>
      <c r="C3362" s="9" t="s">
        <v>15</v>
      </c>
      <c r="D3362" s="10" t="s">
        <v>7377</v>
      </c>
      <c r="E3362" s="9" t="s">
        <v>17</v>
      </c>
      <c r="F3362" s="10">
        <v>31</v>
      </c>
      <c r="G3362" s="11">
        <v>7076123227</v>
      </c>
      <c r="H3362" s="10" t="s">
        <v>7378</v>
      </c>
      <c r="I3362" s="10" t="s">
        <v>27</v>
      </c>
      <c r="J3362" s="10" t="s">
        <v>703</v>
      </c>
      <c r="K3362" s="12">
        <v>46015</v>
      </c>
      <c r="L3362" s="28" t="s">
        <v>11</v>
      </c>
      <c r="M3362" s="14"/>
      <c r="N3362" s="10" t="s">
        <v>1028</v>
      </c>
    </row>
    <row r="3363" spans="1:14" ht="22.5" customHeight="1">
      <c r="A3363" s="8">
        <v>46015.285483344909</v>
      </c>
      <c r="B3363" s="9" t="s">
        <v>14</v>
      </c>
      <c r="C3363" s="9" t="s">
        <v>15</v>
      </c>
      <c r="D3363" s="10" t="s">
        <v>7379</v>
      </c>
      <c r="E3363" s="9" t="s">
        <v>22</v>
      </c>
      <c r="F3363" s="10">
        <v>29</v>
      </c>
      <c r="G3363" s="11">
        <v>7035124505</v>
      </c>
      <c r="H3363" s="10" t="s">
        <v>7380</v>
      </c>
      <c r="I3363" s="10" t="s">
        <v>27</v>
      </c>
      <c r="J3363" s="10" t="s">
        <v>70</v>
      </c>
      <c r="K3363" s="12">
        <v>46015</v>
      </c>
      <c r="L3363" s="28" t="s">
        <v>11</v>
      </c>
      <c r="M3363" s="14"/>
      <c r="N3363" s="10" t="s">
        <v>1028</v>
      </c>
    </row>
    <row r="3364" spans="1:14" ht="22.5" customHeight="1">
      <c r="A3364" s="8">
        <v>46015.289493171294</v>
      </c>
      <c r="B3364" s="9" t="s">
        <v>14</v>
      </c>
      <c r="C3364" s="9" t="s">
        <v>15</v>
      </c>
      <c r="D3364" s="10" t="s">
        <v>7381</v>
      </c>
      <c r="E3364" s="9" t="s">
        <v>22</v>
      </c>
      <c r="F3364" s="10">
        <v>35</v>
      </c>
      <c r="G3364" s="11">
        <v>8109869973</v>
      </c>
      <c r="H3364" s="10" t="s">
        <v>7382</v>
      </c>
      <c r="I3364" s="10" t="s">
        <v>31</v>
      </c>
      <c r="J3364" s="10" t="s">
        <v>2410</v>
      </c>
      <c r="K3364" s="12">
        <v>46015</v>
      </c>
      <c r="L3364" s="28" t="s">
        <v>11</v>
      </c>
      <c r="M3364" s="14"/>
      <c r="N3364" s="10" t="s">
        <v>1028</v>
      </c>
    </row>
    <row r="3365" spans="1:14" ht="22.5" customHeight="1">
      <c r="A3365" s="8">
        <v>46015.316268750001</v>
      </c>
      <c r="B3365" s="9" t="s">
        <v>14</v>
      </c>
      <c r="C3365" s="9" t="s">
        <v>15</v>
      </c>
      <c r="D3365" s="10" t="s">
        <v>7383</v>
      </c>
      <c r="E3365" s="9" t="s">
        <v>17</v>
      </c>
      <c r="F3365" s="10">
        <v>34</v>
      </c>
      <c r="G3365" s="11">
        <v>8038872933</v>
      </c>
      <c r="H3365" s="10" t="s">
        <v>7384</v>
      </c>
      <c r="I3365" s="10" t="s">
        <v>27</v>
      </c>
      <c r="J3365" s="10" t="s">
        <v>1514</v>
      </c>
      <c r="K3365" s="12">
        <v>33573</v>
      </c>
      <c r="L3365" s="28" t="s">
        <v>11</v>
      </c>
      <c r="M3365" s="14"/>
      <c r="N3365" s="10" t="s">
        <v>1028</v>
      </c>
    </row>
    <row r="3366" spans="1:14" ht="22.5" customHeight="1">
      <c r="A3366" s="8">
        <v>46015.351591585648</v>
      </c>
      <c r="B3366" s="9" t="s">
        <v>14</v>
      </c>
      <c r="C3366" s="9" t="s">
        <v>15</v>
      </c>
      <c r="D3366" s="10" t="s">
        <v>7385</v>
      </c>
      <c r="E3366" s="9" t="s">
        <v>17</v>
      </c>
      <c r="F3366" s="10">
        <v>35</v>
      </c>
      <c r="G3366" s="11">
        <v>8068845510</v>
      </c>
      <c r="H3366" s="10" t="s">
        <v>7386</v>
      </c>
      <c r="I3366" s="10" t="s">
        <v>19</v>
      </c>
      <c r="J3366" s="10" t="s">
        <v>1664</v>
      </c>
      <c r="K3366" s="12">
        <v>46015</v>
      </c>
      <c r="L3366" s="28" t="s">
        <v>11</v>
      </c>
      <c r="M3366" s="14"/>
      <c r="N3366" s="10" t="s">
        <v>1028</v>
      </c>
    </row>
    <row r="3367" spans="1:14" ht="22.5" customHeight="1">
      <c r="A3367" s="8">
        <v>46015.364962557869</v>
      </c>
      <c r="B3367" s="9" t="s">
        <v>14</v>
      </c>
      <c r="C3367" s="9" t="s">
        <v>15</v>
      </c>
      <c r="D3367" s="10" t="s">
        <v>7387</v>
      </c>
      <c r="E3367" s="9" t="s">
        <v>22</v>
      </c>
      <c r="F3367" s="10">
        <v>20</v>
      </c>
      <c r="G3367" s="11">
        <v>7043777219</v>
      </c>
      <c r="H3367" s="10" t="s">
        <v>7388</v>
      </c>
      <c r="I3367" s="10" t="s">
        <v>45</v>
      </c>
      <c r="J3367" s="10" t="s">
        <v>932</v>
      </c>
      <c r="K3367" s="12">
        <v>46015</v>
      </c>
      <c r="L3367" s="28" t="s">
        <v>11</v>
      </c>
      <c r="M3367" s="14"/>
      <c r="N3367" s="10" t="s">
        <v>1028</v>
      </c>
    </row>
    <row r="3368" spans="1:14" ht="22.5" customHeight="1">
      <c r="A3368" s="8">
        <v>46015.371369548608</v>
      </c>
      <c r="B3368" s="9" t="s">
        <v>14</v>
      </c>
      <c r="C3368" s="9" t="s">
        <v>15</v>
      </c>
      <c r="D3368" s="10" t="s">
        <v>7389</v>
      </c>
      <c r="E3368" s="9" t="s">
        <v>17</v>
      </c>
      <c r="F3368" s="10">
        <v>23</v>
      </c>
      <c r="G3368" s="11">
        <v>817864042</v>
      </c>
      <c r="H3368" s="10" t="s">
        <v>7390</v>
      </c>
      <c r="I3368" s="10" t="s">
        <v>19</v>
      </c>
      <c r="J3368" s="10" t="s">
        <v>7391</v>
      </c>
      <c r="K3368" s="12">
        <v>46015</v>
      </c>
      <c r="L3368" s="28" t="s">
        <v>11</v>
      </c>
      <c r="M3368" s="14"/>
      <c r="N3368" s="10" t="s">
        <v>1028</v>
      </c>
    </row>
    <row r="3369" spans="1:14" ht="22.5" customHeight="1">
      <c r="A3369" s="8">
        <v>46015.372127141207</v>
      </c>
      <c r="B3369" s="9" t="s">
        <v>14</v>
      </c>
      <c r="C3369" s="9" t="s">
        <v>15</v>
      </c>
      <c r="D3369" s="10" t="s">
        <v>7392</v>
      </c>
      <c r="E3369" s="9" t="s">
        <v>22</v>
      </c>
      <c r="F3369" s="10">
        <v>33</v>
      </c>
      <c r="G3369" s="11">
        <v>8066575144</v>
      </c>
      <c r="H3369" s="10" t="s">
        <v>7393</v>
      </c>
      <c r="I3369" s="10" t="s">
        <v>19</v>
      </c>
      <c r="J3369" s="10" t="s">
        <v>1228</v>
      </c>
      <c r="K3369" s="12">
        <v>46015</v>
      </c>
      <c r="L3369" s="28" t="s">
        <v>11</v>
      </c>
      <c r="M3369" s="14"/>
      <c r="N3369" s="10" t="s">
        <v>1028</v>
      </c>
    </row>
    <row r="3370" spans="1:14" ht="22.5" customHeight="1">
      <c r="A3370" s="8">
        <v>46015.377302303241</v>
      </c>
      <c r="B3370" s="9" t="s">
        <v>14</v>
      </c>
      <c r="C3370" s="9" t="s">
        <v>15</v>
      </c>
      <c r="D3370" s="10" t="s">
        <v>7394</v>
      </c>
      <c r="E3370" s="9" t="s">
        <v>22</v>
      </c>
      <c r="F3370" s="10">
        <v>21</v>
      </c>
      <c r="G3370" s="11">
        <v>7038082854</v>
      </c>
      <c r="H3370" s="10" t="s">
        <v>7395</v>
      </c>
      <c r="I3370" s="10" t="s">
        <v>27</v>
      </c>
      <c r="J3370" s="10" t="s">
        <v>372</v>
      </c>
      <c r="K3370" s="12">
        <v>46003</v>
      </c>
      <c r="L3370" s="28" t="s">
        <v>11</v>
      </c>
      <c r="M3370" s="14"/>
      <c r="N3370" s="10" t="s">
        <v>1028</v>
      </c>
    </row>
    <row r="3371" spans="1:14" ht="22.5" customHeight="1">
      <c r="A3371" s="8">
        <v>46015.38457318287</v>
      </c>
      <c r="B3371" s="9" t="s">
        <v>14</v>
      </c>
      <c r="C3371" s="9" t="s">
        <v>15</v>
      </c>
      <c r="D3371" s="10" t="s">
        <v>7396</v>
      </c>
      <c r="E3371" s="9" t="s">
        <v>17</v>
      </c>
      <c r="F3371" s="10">
        <v>31</v>
      </c>
      <c r="G3371" s="11">
        <v>7065207050</v>
      </c>
      <c r="H3371" s="10" t="s">
        <v>7397</v>
      </c>
      <c r="I3371" s="10" t="s">
        <v>27</v>
      </c>
      <c r="J3371" s="10" t="s">
        <v>7339</v>
      </c>
      <c r="K3371" s="12">
        <v>46015</v>
      </c>
      <c r="L3371" s="28" t="s">
        <v>11</v>
      </c>
      <c r="M3371" s="14"/>
      <c r="N3371" s="10" t="s">
        <v>1028</v>
      </c>
    </row>
    <row r="3372" spans="1:14" ht="22.5" hidden="1" customHeight="1">
      <c r="A3372" s="8">
        <v>46015.386816562503</v>
      </c>
      <c r="B3372" s="9" t="s">
        <v>14</v>
      </c>
      <c r="C3372" s="9" t="s">
        <v>15</v>
      </c>
      <c r="D3372" s="10" t="s">
        <v>7398</v>
      </c>
      <c r="E3372" s="9" t="s">
        <v>17</v>
      </c>
      <c r="F3372" s="10">
        <v>22</v>
      </c>
      <c r="G3372" s="11">
        <v>8066826008</v>
      </c>
      <c r="H3372" s="10" t="s">
        <v>7399</v>
      </c>
      <c r="I3372" s="10" t="s">
        <v>27</v>
      </c>
      <c r="J3372" s="10" t="s">
        <v>94</v>
      </c>
      <c r="K3372" s="12">
        <v>37782</v>
      </c>
      <c r="L3372" s="10" t="s">
        <v>441</v>
      </c>
      <c r="M3372" s="10" t="s">
        <v>1361</v>
      </c>
      <c r="N3372" s="10" t="s">
        <v>1028</v>
      </c>
    </row>
    <row r="3373" spans="1:14" ht="22.5" customHeight="1">
      <c r="A3373" s="8">
        <v>46015.390224965275</v>
      </c>
      <c r="B3373" s="9" t="s">
        <v>14</v>
      </c>
      <c r="C3373" s="9" t="s">
        <v>15</v>
      </c>
      <c r="D3373" s="10" t="s">
        <v>7400</v>
      </c>
      <c r="E3373" s="9" t="s">
        <v>17</v>
      </c>
      <c r="F3373" s="10">
        <v>22</v>
      </c>
      <c r="G3373" s="11">
        <v>8085890432</v>
      </c>
      <c r="H3373" s="10" t="s">
        <v>7401</v>
      </c>
      <c r="I3373" s="10" t="s">
        <v>19</v>
      </c>
      <c r="J3373" s="10" t="s">
        <v>3466</v>
      </c>
      <c r="K3373" s="12">
        <v>46015</v>
      </c>
      <c r="L3373" s="28" t="s">
        <v>11</v>
      </c>
      <c r="M3373" s="14"/>
      <c r="N3373" s="10" t="s">
        <v>1028</v>
      </c>
    </row>
    <row r="3374" spans="1:14" ht="22.5" customHeight="1">
      <c r="A3374" s="8">
        <v>46015.390942500002</v>
      </c>
      <c r="B3374" s="9" t="s">
        <v>14</v>
      </c>
      <c r="C3374" s="9" t="s">
        <v>15</v>
      </c>
      <c r="D3374" s="10" t="s">
        <v>7402</v>
      </c>
      <c r="E3374" s="9" t="s">
        <v>17</v>
      </c>
      <c r="F3374" s="10">
        <v>34</v>
      </c>
      <c r="G3374" s="11">
        <v>7062583260</v>
      </c>
      <c r="H3374" s="10" t="s">
        <v>7403</v>
      </c>
      <c r="I3374" s="10" t="s">
        <v>27</v>
      </c>
      <c r="J3374" s="10" t="s">
        <v>94</v>
      </c>
      <c r="K3374" s="12">
        <v>46015</v>
      </c>
      <c r="L3374" s="28" t="s">
        <v>11</v>
      </c>
      <c r="M3374" s="14"/>
      <c r="N3374" s="10" t="s">
        <v>1028</v>
      </c>
    </row>
    <row r="3375" spans="1:14" ht="22.5" hidden="1" customHeight="1">
      <c r="A3375" s="8">
        <v>46015.401776469909</v>
      </c>
      <c r="B3375" s="9" t="s">
        <v>14</v>
      </c>
      <c r="C3375" s="9" t="s">
        <v>15</v>
      </c>
      <c r="D3375" s="10" t="s">
        <v>7404</v>
      </c>
      <c r="E3375" s="9" t="s">
        <v>17</v>
      </c>
      <c r="F3375" s="10">
        <v>23</v>
      </c>
      <c r="G3375" s="11">
        <v>9072764387</v>
      </c>
      <c r="H3375" s="10" t="s">
        <v>7405</v>
      </c>
      <c r="I3375" s="10" t="s">
        <v>27</v>
      </c>
      <c r="J3375" s="10" t="s">
        <v>1456</v>
      </c>
      <c r="K3375" s="12">
        <v>46015</v>
      </c>
      <c r="L3375" s="10" t="s">
        <v>441</v>
      </c>
      <c r="M3375" s="10" t="s">
        <v>845</v>
      </c>
      <c r="N3375" s="10" t="s">
        <v>1028</v>
      </c>
    </row>
    <row r="3376" spans="1:14" ht="22.5" customHeight="1">
      <c r="A3376" s="8">
        <v>46015.417103807871</v>
      </c>
      <c r="B3376" s="9" t="s">
        <v>14</v>
      </c>
      <c r="C3376" s="9" t="s">
        <v>15</v>
      </c>
      <c r="D3376" s="10" t="s">
        <v>7406</v>
      </c>
      <c r="E3376" s="9" t="s">
        <v>22</v>
      </c>
      <c r="F3376" s="18">
        <v>27</v>
      </c>
      <c r="G3376" s="11">
        <v>7045619066</v>
      </c>
      <c r="H3376" s="10" t="s">
        <v>7407</v>
      </c>
      <c r="I3376" s="10" t="s">
        <v>45</v>
      </c>
      <c r="J3376" s="10" t="s">
        <v>901</v>
      </c>
      <c r="K3376" s="12">
        <v>46015</v>
      </c>
      <c r="L3376" s="28" t="s">
        <v>11</v>
      </c>
      <c r="M3376" s="14"/>
      <c r="N3376" s="10" t="s">
        <v>2482</v>
      </c>
    </row>
    <row r="3377" spans="1:14" ht="22.5" customHeight="1">
      <c r="A3377" s="8">
        <v>46015.43251702546</v>
      </c>
      <c r="B3377" s="9" t="s">
        <v>14</v>
      </c>
      <c r="C3377" s="9" t="s">
        <v>15</v>
      </c>
      <c r="D3377" s="10" t="s">
        <v>7408</v>
      </c>
      <c r="E3377" s="9" t="s">
        <v>17</v>
      </c>
      <c r="F3377" s="10">
        <v>29</v>
      </c>
      <c r="G3377" s="11">
        <v>8037333060</v>
      </c>
      <c r="H3377" s="10" t="s">
        <v>7409</v>
      </c>
      <c r="I3377" s="10" t="s">
        <v>27</v>
      </c>
      <c r="J3377" s="10" t="s">
        <v>2258</v>
      </c>
      <c r="K3377" s="12">
        <v>46015</v>
      </c>
      <c r="L3377" s="28" t="s">
        <v>11</v>
      </c>
      <c r="M3377" s="10"/>
      <c r="N3377" s="10" t="s">
        <v>1028</v>
      </c>
    </row>
    <row r="3378" spans="1:14" ht="22.5" customHeight="1">
      <c r="A3378" s="8">
        <v>46015.441965243052</v>
      </c>
      <c r="B3378" s="9" t="s">
        <v>14</v>
      </c>
      <c r="C3378" s="9" t="s">
        <v>15</v>
      </c>
      <c r="D3378" s="10" t="s">
        <v>7410</v>
      </c>
      <c r="E3378" s="9" t="s">
        <v>17</v>
      </c>
      <c r="F3378" s="10">
        <v>26</v>
      </c>
      <c r="G3378" s="11">
        <v>8103900588</v>
      </c>
      <c r="H3378" s="10" t="s">
        <v>7411</v>
      </c>
      <c r="I3378" s="10" t="s">
        <v>27</v>
      </c>
      <c r="J3378" s="10" t="s">
        <v>1288</v>
      </c>
      <c r="K3378" s="12">
        <v>46015</v>
      </c>
      <c r="L3378" s="28" t="s">
        <v>11</v>
      </c>
      <c r="M3378" s="14"/>
      <c r="N3378" s="10" t="s">
        <v>1028</v>
      </c>
    </row>
    <row r="3379" spans="1:14" ht="22.5" customHeight="1">
      <c r="A3379" s="8">
        <v>46015.467846481479</v>
      </c>
      <c r="B3379" s="9" t="s">
        <v>14</v>
      </c>
      <c r="C3379" s="9" t="s">
        <v>15</v>
      </c>
      <c r="D3379" s="10" t="s">
        <v>7412</v>
      </c>
      <c r="E3379" s="9" t="s">
        <v>17</v>
      </c>
      <c r="F3379" s="10">
        <v>44</v>
      </c>
      <c r="G3379" s="11">
        <v>7031316495</v>
      </c>
      <c r="H3379" s="10" t="s">
        <v>7413</v>
      </c>
      <c r="I3379" s="10" t="s">
        <v>27</v>
      </c>
      <c r="J3379" s="10" t="s">
        <v>172</v>
      </c>
      <c r="K3379" s="12">
        <v>46015</v>
      </c>
      <c r="L3379" s="28" t="s">
        <v>11</v>
      </c>
      <c r="M3379" s="14"/>
      <c r="N3379" s="10" t="s">
        <v>1028</v>
      </c>
    </row>
    <row r="3380" spans="1:14" ht="22.5" customHeight="1">
      <c r="A3380" s="8">
        <v>46015.472952465279</v>
      </c>
      <c r="B3380" s="9" t="s">
        <v>14</v>
      </c>
      <c r="C3380" s="9" t="s">
        <v>15</v>
      </c>
      <c r="D3380" s="10" t="s">
        <v>7414</v>
      </c>
      <c r="E3380" s="9" t="s">
        <v>22</v>
      </c>
      <c r="F3380" s="10">
        <v>25</v>
      </c>
      <c r="G3380" s="11">
        <f>2348075229576</f>
        <v>2348075229576</v>
      </c>
      <c r="H3380" s="10" t="s">
        <v>7415</v>
      </c>
      <c r="I3380" s="10" t="s">
        <v>45</v>
      </c>
      <c r="J3380" s="10" t="s">
        <v>131</v>
      </c>
      <c r="K3380" s="12">
        <v>46015</v>
      </c>
      <c r="L3380" s="28" t="s">
        <v>11</v>
      </c>
      <c r="M3380" s="14"/>
      <c r="N3380" s="10" t="s">
        <v>1096</v>
      </c>
    </row>
    <row r="3381" spans="1:14" ht="22.5" customHeight="1">
      <c r="A3381" s="8">
        <v>46015.475451192135</v>
      </c>
      <c r="B3381" s="9" t="s">
        <v>14</v>
      </c>
      <c r="C3381" s="9" t="s">
        <v>15</v>
      </c>
      <c r="D3381" s="10" t="s">
        <v>7416</v>
      </c>
      <c r="E3381" s="9" t="s">
        <v>22</v>
      </c>
      <c r="F3381" s="10">
        <v>39</v>
      </c>
      <c r="G3381" s="11">
        <v>8032109874</v>
      </c>
      <c r="H3381" s="10" t="s">
        <v>7417</v>
      </c>
      <c r="I3381" s="10" t="s">
        <v>27</v>
      </c>
      <c r="J3381" s="10" t="s">
        <v>172</v>
      </c>
      <c r="K3381" s="12">
        <v>46015</v>
      </c>
      <c r="L3381" s="28" t="s">
        <v>11</v>
      </c>
      <c r="M3381" s="14"/>
      <c r="N3381" s="10" t="s">
        <v>1028</v>
      </c>
    </row>
    <row r="3382" spans="1:14" ht="22.5" customHeight="1">
      <c r="A3382" s="8">
        <v>46015.491482199075</v>
      </c>
      <c r="B3382" s="9" t="s">
        <v>14</v>
      </c>
      <c r="C3382" s="9" t="s">
        <v>15</v>
      </c>
      <c r="D3382" s="10" t="s">
        <v>7418</v>
      </c>
      <c r="E3382" s="9" t="s">
        <v>22</v>
      </c>
      <c r="F3382" s="10">
        <v>23</v>
      </c>
      <c r="G3382" s="11">
        <v>8132146234</v>
      </c>
      <c r="H3382" s="10" t="s">
        <v>7419</v>
      </c>
      <c r="I3382" s="10" t="s">
        <v>27</v>
      </c>
      <c r="J3382" s="10" t="s">
        <v>7420</v>
      </c>
      <c r="K3382" s="12">
        <v>46008</v>
      </c>
      <c r="L3382" s="28" t="s">
        <v>11</v>
      </c>
      <c r="M3382" s="14"/>
      <c r="N3382" s="10" t="s">
        <v>1028</v>
      </c>
    </row>
    <row r="3383" spans="1:14" ht="22.5" customHeight="1">
      <c r="A3383" s="8">
        <v>46015.494076469906</v>
      </c>
      <c r="B3383" s="9" t="s">
        <v>14</v>
      </c>
      <c r="C3383" s="9" t="s">
        <v>15</v>
      </c>
      <c r="D3383" s="10" t="s">
        <v>7421</v>
      </c>
      <c r="E3383" s="9" t="s">
        <v>17</v>
      </c>
      <c r="F3383" s="10">
        <v>24</v>
      </c>
      <c r="G3383" s="11">
        <v>9137081217</v>
      </c>
      <c r="H3383" s="10" t="s">
        <v>7422</v>
      </c>
      <c r="I3383" s="10" t="s">
        <v>27</v>
      </c>
      <c r="J3383" s="10" t="s">
        <v>53</v>
      </c>
      <c r="K3383" s="12">
        <v>46015</v>
      </c>
      <c r="L3383" s="28" t="s">
        <v>11</v>
      </c>
      <c r="M3383" s="14"/>
      <c r="N3383" s="10" t="s">
        <v>1028</v>
      </c>
    </row>
    <row r="3384" spans="1:14" ht="22.5" customHeight="1">
      <c r="A3384" s="8">
        <v>46015.502780428244</v>
      </c>
      <c r="B3384" s="9" t="s">
        <v>14</v>
      </c>
      <c r="C3384" s="9" t="s">
        <v>15</v>
      </c>
      <c r="D3384" s="10" t="s">
        <v>7423</v>
      </c>
      <c r="E3384" s="9" t="s">
        <v>22</v>
      </c>
      <c r="F3384" s="10">
        <v>30</v>
      </c>
      <c r="G3384" s="11">
        <f>2348137754457</f>
        <v>2348137754457</v>
      </c>
      <c r="H3384" s="10" t="s">
        <v>7424</v>
      </c>
      <c r="I3384" s="10" t="s">
        <v>27</v>
      </c>
      <c r="J3384" s="10" t="s">
        <v>94</v>
      </c>
      <c r="K3384" s="12">
        <v>46015</v>
      </c>
      <c r="L3384" s="28" t="s">
        <v>11</v>
      </c>
      <c r="M3384" s="14"/>
      <c r="N3384" s="10" t="s">
        <v>1028</v>
      </c>
    </row>
    <row r="3385" spans="1:14" ht="22.5" customHeight="1">
      <c r="A3385" s="8">
        <v>46015.509837187499</v>
      </c>
      <c r="B3385" s="9" t="s">
        <v>14</v>
      </c>
      <c r="C3385" s="9" t="s">
        <v>15</v>
      </c>
      <c r="D3385" s="10" t="s">
        <v>7425</v>
      </c>
      <c r="E3385" s="9" t="s">
        <v>17</v>
      </c>
      <c r="F3385" s="19">
        <v>22</v>
      </c>
      <c r="G3385" s="11">
        <v>8105015548</v>
      </c>
      <c r="H3385" s="10" t="s">
        <v>7426</v>
      </c>
      <c r="I3385" s="10" t="s">
        <v>19</v>
      </c>
      <c r="J3385" s="10" t="s">
        <v>812</v>
      </c>
      <c r="K3385" s="12">
        <v>46015</v>
      </c>
      <c r="L3385" s="28" t="s">
        <v>11</v>
      </c>
      <c r="M3385" s="14"/>
      <c r="N3385" s="10" t="s">
        <v>1028</v>
      </c>
    </row>
    <row r="3386" spans="1:14" ht="22.5" customHeight="1">
      <c r="A3386" s="8">
        <v>46015.514783784718</v>
      </c>
      <c r="B3386" s="9" t="s">
        <v>14</v>
      </c>
      <c r="C3386" s="9" t="s">
        <v>15</v>
      </c>
      <c r="D3386" s="10" t="s">
        <v>7427</v>
      </c>
      <c r="E3386" s="9" t="s">
        <v>17</v>
      </c>
      <c r="F3386" s="10">
        <v>28</v>
      </c>
      <c r="G3386" s="11">
        <v>8063234463</v>
      </c>
      <c r="H3386" s="10" t="s">
        <v>7428</v>
      </c>
      <c r="I3386" s="10" t="s">
        <v>27</v>
      </c>
      <c r="J3386" s="10" t="s">
        <v>1514</v>
      </c>
      <c r="K3386" s="12">
        <v>46015</v>
      </c>
      <c r="L3386" s="28" t="s">
        <v>11</v>
      </c>
      <c r="M3386" s="14"/>
      <c r="N3386" s="10" t="s">
        <v>1028</v>
      </c>
    </row>
    <row r="3387" spans="1:14" ht="22.5" customHeight="1">
      <c r="A3387" s="8">
        <v>46015.524914895832</v>
      </c>
      <c r="B3387" s="9" t="s">
        <v>14</v>
      </c>
      <c r="C3387" s="9" t="s">
        <v>15</v>
      </c>
      <c r="D3387" s="10" t="s">
        <v>7429</v>
      </c>
      <c r="E3387" s="9" t="s">
        <v>17</v>
      </c>
      <c r="F3387" s="10">
        <v>33</v>
      </c>
      <c r="G3387" s="11">
        <v>8168018618</v>
      </c>
      <c r="H3387" s="10" t="s">
        <v>7430</v>
      </c>
      <c r="I3387" s="10" t="s">
        <v>45</v>
      </c>
      <c r="J3387" s="10" t="s">
        <v>46</v>
      </c>
      <c r="K3387" s="12">
        <v>46015</v>
      </c>
      <c r="L3387" s="28" t="s">
        <v>11</v>
      </c>
      <c r="M3387" s="14"/>
      <c r="N3387" s="10" t="s">
        <v>1028</v>
      </c>
    </row>
    <row r="3388" spans="1:14" ht="22.5" customHeight="1">
      <c r="A3388" s="8">
        <v>46015.527683263892</v>
      </c>
      <c r="B3388" s="9" t="s">
        <v>14</v>
      </c>
      <c r="C3388" s="9" t="s">
        <v>15</v>
      </c>
      <c r="D3388" s="10" t="s">
        <v>7431</v>
      </c>
      <c r="E3388" s="9" t="s">
        <v>17</v>
      </c>
      <c r="F3388" s="10">
        <v>23</v>
      </c>
      <c r="G3388" s="11">
        <v>7081653330</v>
      </c>
      <c r="H3388" s="10" t="s">
        <v>7432</v>
      </c>
      <c r="I3388" s="10" t="s">
        <v>27</v>
      </c>
      <c r="J3388" s="10" t="s">
        <v>172</v>
      </c>
      <c r="K3388" s="12">
        <v>46015</v>
      </c>
      <c r="L3388" s="28" t="s">
        <v>11</v>
      </c>
      <c r="M3388" s="14"/>
      <c r="N3388" s="10" t="s">
        <v>1028</v>
      </c>
    </row>
    <row r="3389" spans="1:14" ht="22.5" customHeight="1">
      <c r="A3389" s="8">
        <v>46015.537608483792</v>
      </c>
      <c r="B3389" s="9" t="s">
        <v>14</v>
      </c>
      <c r="C3389" s="9" t="s">
        <v>15</v>
      </c>
      <c r="D3389" s="10" t="s">
        <v>7433</v>
      </c>
      <c r="E3389" s="9" t="s">
        <v>17</v>
      </c>
      <c r="F3389" s="10">
        <v>26</v>
      </c>
      <c r="G3389" s="11">
        <v>8165476774</v>
      </c>
      <c r="H3389" s="10" t="s">
        <v>7434</v>
      </c>
      <c r="I3389" s="10" t="s">
        <v>145</v>
      </c>
      <c r="J3389" s="10" t="s">
        <v>7435</v>
      </c>
      <c r="K3389" s="12">
        <v>46015</v>
      </c>
      <c r="L3389" s="28" t="s">
        <v>11</v>
      </c>
      <c r="M3389" s="14"/>
      <c r="N3389" s="10" t="s">
        <v>1028</v>
      </c>
    </row>
    <row r="3390" spans="1:14" ht="22.5" customHeight="1">
      <c r="A3390" s="8">
        <v>46015.541219780091</v>
      </c>
      <c r="B3390" s="9" t="s">
        <v>14</v>
      </c>
      <c r="C3390" s="9" t="s">
        <v>15</v>
      </c>
      <c r="D3390" s="10" t="s">
        <v>7436</v>
      </c>
      <c r="E3390" s="9" t="s">
        <v>17</v>
      </c>
      <c r="F3390" s="10">
        <v>28</v>
      </c>
      <c r="G3390" s="11">
        <v>8102566848</v>
      </c>
      <c r="H3390" s="10" t="s">
        <v>7437</v>
      </c>
      <c r="I3390" s="10" t="s">
        <v>27</v>
      </c>
      <c r="J3390" s="10" t="s">
        <v>2417</v>
      </c>
      <c r="K3390" s="12">
        <v>46015</v>
      </c>
      <c r="L3390" s="28" t="s">
        <v>11</v>
      </c>
      <c r="M3390" s="14"/>
      <c r="N3390" s="10" t="s">
        <v>1028</v>
      </c>
    </row>
    <row r="3391" spans="1:14" ht="22.5" customHeight="1">
      <c r="A3391" s="8">
        <v>46015.562772129633</v>
      </c>
      <c r="B3391" s="9" t="s">
        <v>14</v>
      </c>
      <c r="C3391" s="9" t="s">
        <v>15</v>
      </c>
      <c r="D3391" s="10" t="s">
        <v>7438</v>
      </c>
      <c r="E3391" s="9" t="s">
        <v>17</v>
      </c>
      <c r="F3391" s="10">
        <v>32</v>
      </c>
      <c r="G3391" s="11">
        <v>8144597424</v>
      </c>
      <c r="H3391" s="10" t="s">
        <v>7439</v>
      </c>
      <c r="I3391" s="10" t="s">
        <v>31</v>
      </c>
      <c r="J3391" s="10" t="s">
        <v>32</v>
      </c>
      <c r="K3391" s="12">
        <v>46015</v>
      </c>
      <c r="L3391" s="28" t="s">
        <v>11</v>
      </c>
      <c r="M3391" s="14"/>
      <c r="N3391" s="10" t="s">
        <v>1028</v>
      </c>
    </row>
    <row r="3392" spans="1:14" ht="22.5" customHeight="1">
      <c r="A3392" s="8">
        <v>46015.589312511569</v>
      </c>
      <c r="B3392" s="9" t="s">
        <v>14</v>
      </c>
      <c r="C3392" s="9" t="s">
        <v>15</v>
      </c>
      <c r="D3392" s="10" t="s">
        <v>7440</v>
      </c>
      <c r="E3392" s="9" t="s">
        <v>17</v>
      </c>
      <c r="F3392" s="10">
        <v>30</v>
      </c>
      <c r="G3392" s="11">
        <v>9123002541</v>
      </c>
      <c r="H3392" s="10" t="s">
        <v>7441</v>
      </c>
      <c r="I3392" s="10" t="s">
        <v>27</v>
      </c>
      <c r="J3392" s="10" t="s">
        <v>7442</v>
      </c>
      <c r="K3392" s="12">
        <v>46015</v>
      </c>
      <c r="L3392" s="28" t="s">
        <v>11</v>
      </c>
      <c r="M3392" s="14"/>
      <c r="N3392" s="10" t="s">
        <v>1028</v>
      </c>
    </row>
    <row r="3393" spans="1:14" ht="22.5" customHeight="1">
      <c r="A3393" s="8">
        <v>46015.595589965276</v>
      </c>
      <c r="B3393" s="9" t="s">
        <v>14</v>
      </c>
      <c r="C3393" s="9" t="s">
        <v>15</v>
      </c>
      <c r="D3393" s="10" t="s">
        <v>7443</v>
      </c>
      <c r="E3393" s="9" t="s">
        <v>22</v>
      </c>
      <c r="F3393" s="10">
        <v>25</v>
      </c>
      <c r="G3393" s="11">
        <v>8103426187</v>
      </c>
      <c r="H3393" s="10" t="s">
        <v>7444</v>
      </c>
      <c r="I3393" s="10" t="s">
        <v>19</v>
      </c>
      <c r="J3393" s="10" t="s">
        <v>7445</v>
      </c>
      <c r="K3393" s="12">
        <v>46015</v>
      </c>
      <c r="L3393" s="28" t="s">
        <v>11</v>
      </c>
      <c r="M3393" s="14"/>
      <c r="N3393" s="10" t="s">
        <v>1028</v>
      </c>
    </row>
    <row r="3394" spans="1:14" ht="22.5" customHeight="1">
      <c r="A3394" s="8">
        <v>46015.603982442131</v>
      </c>
      <c r="B3394" s="9" t="s">
        <v>14</v>
      </c>
      <c r="C3394" s="9" t="s">
        <v>15</v>
      </c>
      <c r="D3394" s="10" t="s">
        <v>1628</v>
      </c>
      <c r="E3394" s="9" t="s">
        <v>22</v>
      </c>
      <c r="F3394" s="10">
        <v>25</v>
      </c>
      <c r="G3394" s="11">
        <v>8155054957</v>
      </c>
      <c r="H3394" s="10" t="s">
        <v>1629</v>
      </c>
      <c r="I3394" s="10" t="s">
        <v>45</v>
      </c>
      <c r="J3394" s="10" t="s">
        <v>46</v>
      </c>
      <c r="K3394" s="12">
        <v>46015</v>
      </c>
      <c r="L3394" s="28" t="s">
        <v>11</v>
      </c>
      <c r="M3394" s="14"/>
      <c r="N3394" s="10" t="s">
        <v>1028</v>
      </c>
    </row>
    <row r="3395" spans="1:14" ht="22.5" customHeight="1">
      <c r="A3395" s="8">
        <v>46015.605836539355</v>
      </c>
      <c r="B3395" s="9" t="s">
        <v>14</v>
      </c>
      <c r="C3395" s="9" t="s">
        <v>15</v>
      </c>
      <c r="D3395" s="10" t="s">
        <v>6366</v>
      </c>
      <c r="E3395" s="9" t="s">
        <v>22</v>
      </c>
      <c r="F3395" s="10">
        <v>25</v>
      </c>
      <c r="G3395" s="11">
        <v>7036397471</v>
      </c>
      <c r="H3395" s="10" t="s">
        <v>7446</v>
      </c>
      <c r="I3395" s="10" t="s">
        <v>27</v>
      </c>
      <c r="J3395" s="10" t="s">
        <v>94</v>
      </c>
      <c r="K3395" s="12">
        <v>46015</v>
      </c>
      <c r="L3395" s="28" t="s">
        <v>11</v>
      </c>
      <c r="M3395" s="14"/>
      <c r="N3395" s="10" t="s">
        <v>1028</v>
      </c>
    </row>
    <row r="3396" spans="1:14" ht="22.5" hidden="1" customHeight="1">
      <c r="A3396" s="8">
        <v>46015.617286701388</v>
      </c>
      <c r="B3396" s="9" t="s">
        <v>14</v>
      </c>
      <c r="C3396" s="9" t="s">
        <v>15</v>
      </c>
      <c r="D3396" s="10" t="s">
        <v>7447</v>
      </c>
      <c r="E3396" s="9" t="s">
        <v>17</v>
      </c>
      <c r="F3396" s="10">
        <v>20</v>
      </c>
      <c r="G3396" s="11">
        <v>9033380261</v>
      </c>
      <c r="H3396" s="10" t="s">
        <v>7448</v>
      </c>
      <c r="I3396" s="10" t="s">
        <v>27</v>
      </c>
      <c r="J3396" s="10" t="s">
        <v>7449</v>
      </c>
      <c r="K3396" s="12">
        <v>46015</v>
      </c>
      <c r="L3396" s="10" t="s">
        <v>441</v>
      </c>
      <c r="M3396" s="10" t="s">
        <v>1562</v>
      </c>
      <c r="N3396" s="10" t="s">
        <v>1096</v>
      </c>
    </row>
    <row r="3397" spans="1:14" ht="22.5" customHeight="1">
      <c r="A3397" s="8">
        <v>46015.6203508912</v>
      </c>
      <c r="B3397" s="9" t="s">
        <v>14</v>
      </c>
      <c r="C3397" s="9" t="s">
        <v>15</v>
      </c>
      <c r="D3397" s="10" t="s">
        <v>7450</v>
      </c>
      <c r="E3397" s="9" t="s">
        <v>22</v>
      </c>
      <c r="F3397" s="10">
        <v>24</v>
      </c>
      <c r="G3397" s="11">
        <v>8135963102</v>
      </c>
      <c r="H3397" s="10" t="s">
        <v>7451</v>
      </c>
      <c r="I3397" s="10" t="s">
        <v>27</v>
      </c>
      <c r="J3397" s="10" t="s">
        <v>1456</v>
      </c>
      <c r="K3397" s="12">
        <v>46015</v>
      </c>
      <c r="L3397" s="28" t="s">
        <v>11</v>
      </c>
      <c r="M3397" s="14"/>
      <c r="N3397" s="10" t="s">
        <v>1028</v>
      </c>
    </row>
    <row r="3398" spans="1:14" ht="22.5" customHeight="1">
      <c r="A3398" s="8">
        <v>46015.627151724533</v>
      </c>
      <c r="B3398" s="9" t="s">
        <v>14</v>
      </c>
      <c r="C3398" s="9" t="s">
        <v>15</v>
      </c>
      <c r="D3398" s="10" t="s">
        <v>7452</v>
      </c>
      <c r="E3398" s="9" t="s">
        <v>22</v>
      </c>
      <c r="F3398" s="10">
        <v>25</v>
      </c>
      <c r="G3398" s="11">
        <v>8061991204</v>
      </c>
      <c r="H3398" s="10" t="s">
        <v>7453</v>
      </c>
      <c r="I3398" s="10" t="s">
        <v>27</v>
      </c>
      <c r="J3398" s="10" t="s">
        <v>1456</v>
      </c>
      <c r="K3398" s="12">
        <v>46015</v>
      </c>
      <c r="L3398" s="28" t="s">
        <v>11</v>
      </c>
      <c r="M3398" s="14"/>
      <c r="N3398" s="10" t="s">
        <v>1028</v>
      </c>
    </row>
    <row r="3399" spans="1:14" ht="22.5" customHeight="1">
      <c r="A3399" s="8">
        <v>46015.644416979165</v>
      </c>
      <c r="B3399" s="9" t="s">
        <v>14</v>
      </c>
      <c r="C3399" s="9" t="s">
        <v>15</v>
      </c>
      <c r="D3399" s="10" t="s">
        <v>7454</v>
      </c>
      <c r="E3399" s="9" t="s">
        <v>22</v>
      </c>
      <c r="F3399" s="10">
        <v>27</v>
      </c>
      <c r="G3399" s="11">
        <v>9035555806</v>
      </c>
      <c r="H3399" s="10" t="s">
        <v>7455</v>
      </c>
      <c r="I3399" s="10" t="s">
        <v>27</v>
      </c>
      <c r="J3399" s="10" t="s">
        <v>172</v>
      </c>
      <c r="K3399" s="12">
        <v>46015</v>
      </c>
      <c r="L3399" s="28" t="s">
        <v>11</v>
      </c>
      <c r="M3399" s="14"/>
      <c r="N3399" s="10" t="s">
        <v>1028</v>
      </c>
    </row>
    <row r="3400" spans="1:14" ht="22.5" customHeight="1">
      <c r="A3400" s="8">
        <v>46015.68776753472</v>
      </c>
      <c r="B3400" s="9" t="s">
        <v>14</v>
      </c>
      <c r="C3400" s="9" t="s">
        <v>15</v>
      </c>
      <c r="D3400" s="10" t="s">
        <v>7456</v>
      </c>
      <c r="E3400" s="9" t="s">
        <v>22</v>
      </c>
      <c r="F3400" s="10">
        <v>26</v>
      </c>
      <c r="G3400" s="11">
        <v>7046135426</v>
      </c>
      <c r="H3400" s="10" t="s">
        <v>7457</v>
      </c>
      <c r="I3400" s="10" t="s">
        <v>31</v>
      </c>
      <c r="J3400" s="10" t="s">
        <v>1786</v>
      </c>
      <c r="K3400" s="12">
        <v>46015</v>
      </c>
      <c r="L3400" s="28" t="s">
        <v>11</v>
      </c>
      <c r="M3400" s="14"/>
      <c r="N3400" s="10" t="s">
        <v>1028</v>
      </c>
    </row>
    <row r="3401" spans="1:14" ht="22.5" customHeight="1">
      <c r="A3401" s="8">
        <v>46015.731350312504</v>
      </c>
      <c r="B3401" s="9" t="s">
        <v>14</v>
      </c>
      <c r="C3401" s="9" t="s">
        <v>15</v>
      </c>
      <c r="D3401" s="10" t="s">
        <v>7458</v>
      </c>
      <c r="E3401" s="9" t="s">
        <v>17</v>
      </c>
      <c r="F3401" s="10">
        <v>27</v>
      </c>
      <c r="G3401" s="11">
        <v>8060089565</v>
      </c>
      <c r="H3401" s="10" t="s">
        <v>7459</v>
      </c>
      <c r="I3401" s="10" t="s">
        <v>27</v>
      </c>
      <c r="J3401" s="10" t="s">
        <v>1456</v>
      </c>
      <c r="K3401" s="12">
        <v>46015</v>
      </c>
      <c r="L3401" s="28" t="s">
        <v>11</v>
      </c>
      <c r="M3401" s="14"/>
      <c r="N3401" s="10" t="s">
        <v>1028</v>
      </c>
    </row>
    <row r="3402" spans="1:14" ht="22.5" customHeight="1">
      <c r="A3402" s="8">
        <v>46015.744187083328</v>
      </c>
      <c r="B3402" s="9" t="s">
        <v>14</v>
      </c>
      <c r="C3402" s="9" t="s">
        <v>15</v>
      </c>
      <c r="D3402" s="10" t="s">
        <v>7460</v>
      </c>
      <c r="E3402" s="9" t="s">
        <v>17</v>
      </c>
      <c r="F3402" s="10">
        <v>25</v>
      </c>
      <c r="G3402" s="11">
        <v>9073899362</v>
      </c>
      <c r="H3402" s="10" t="s">
        <v>7461</v>
      </c>
      <c r="I3402" s="10" t="s">
        <v>45</v>
      </c>
      <c r="J3402" s="10" t="s">
        <v>339</v>
      </c>
      <c r="K3402" s="12">
        <v>46015</v>
      </c>
      <c r="L3402" s="28" t="s">
        <v>11</v>
      </c>
      <c r="M3402" s="14"/>
      <c r="N3402" s="10" t="s">
        <v>1096</v>
      </c>
    </row>
    <row r="3403" spans="1:14" ht="22.5" customHeight="1">
      <c r="A3403" s="8">
        <v>46015.748796967593</v>
      </c>
      <c r="B3403" s="9" t="s">
        <v>14</v>
      </c>
      <c r="C3403" s="9" t="s">
        <v>15</v>
      </c>
      <c r="D3403" s="10" t="s">
        <v>7462</v>
      </c>
      <c r="E3403" s="9" t="s">
        <v>17</v>
      </c>
      <c r="F3403" s="10">
        <v>26</v>
      </c>
      <c r="G3403" s="11">
        <v>9034920959</v>
      </c>
      <c r="H3403" s="10" t="s">
        <v>7463</v>
      </c>
      <c r="I3403" s="10" t="s">
        <v>31</v>
      </c>
      <c r="J3403" s="10" t="s">
        <v>1582</v>
      </c>
      <c r="K3403" s="12">
        <v>46015</v>
      </c>
      <c r="L3403" s="28" t="s">
        <v>11</v>
      </c>
      <c r="M3403" s="14"/>
      <c r="N3403" s="10" t="s">
        <v>1028</v>
      </c>
    </row>
    <row r="3404" spans="1:14" ht="22.5" customHeight="1">
      <c r="A3404" s="8">
        <v>46015.805566435185</v>
      </c>
      <c r="B3404" s="9" t="s">
        <v>14</v>
      </c>
      <c r="C3404" s="9" t="s">
        <v>15</v>
      </c>
      <c r="D3404" s="10" t="s">
        <v>7464</v>
      </c>
      <c r="E3404" s="9" t="s">
        <v>17</v>
      </c>
      <c r="F3404" s="10">
        <v>19</v>
      </c>
      <c r="G3404" s="11">
        <v>7036396500</v>
      </c>
      <c r="H3404" s="10" t="s">
        <v>7465</v>
      </c>
      <c r="I3404" s="10" t="s">
        <v>49</v>
      </c>
      <c r="J3404" s="10" t="s">
        <v>60</v>
      </c>
      <c r="K3404" s="12">
        <v>46015</v>
      </c>
      <c r="L3404" s="28" t="s">
        <v>11</v>
      </c>
      <c r="M3404" s="14"/>
      <c r="N3404" s="10" t="s">
        <v>1028</v>
      </c>
    </row>
    <row r="3405" spans="1:14" ht="22.5" customHeight="1">
      <c r="A3405" s="8">
        <v>46015.847574155094</v>
      </c>
      <c r="B3405" s="9" t="s">
        <v>14</v>
      </c>
      <c r="C3405" s="9" t="s">
        <v>15</v>
      </c>
      <c r="D3405" s="10" t="s">
        <v>7466</v>
      </c>
      <c r="E3405" s="9" t="s">
        <v>17</v>
      </c>
      <c r="F3405" s="10">
        <v>35</v>
      </c>
      <c r="G3405" s="11">
        <v>7037393783</v>
      </c>
      <c r="H3405" s="10" t="s">
        <v>7467</v>
      </c>
      <c r="I3405" s="10" t="s">
        <v>27</v>
      </c>
      <c r="J3405" s="10" t="s">
        <v>2858</v>
      </c>
      <c r="K3405" s="12">
        <v>32874</v>
      </c>
      <c r="L3405" s="28" t="s">
        <v>11</v>
      </c>
      <c r="M3405" s="14"/>
      <c r="N3405" s="10" t="s">
        <v>1028</v>
      </c>
    </row>
    <row r="3406" spans="1:14" ht="22.5" customHeight="1">
      <c r="A3406" s="8">
        <v>46015.84864625</v>
      </c>
      <c r="B3406" s="9" t="s">
        <v>14</v>
      </c>
      <c r="C3406" s="9" t="s">
        <v>15</v>
      </c>
      <c r="D3406" s="10" t="s">
        <v>7468</v>
      </c>
      <c r="E3406" s="9" t="s">
        <v>17</v>
      </c>
      <c r="F3406" s="10">
        <v>27</v>
      </c>
      <c r="G3406" s="11">
        <f t="shared" ref="G3406" si="86">2348165776958</f>
        <v>2348165776958</v>
      </c>
      <c r="H3406" s="10" t="s">
        <v>7469</v>
      </c>
      <c r="I3406" s="10" t="s">
        <v>45</v>
      </c>
      <c r="J3406" s="10" t="s">
        <v>901</v>
      </c>
      <c r="K3406" s="12">
        <v>46015</v>
      </c>
      <c r="L3406" s="28" t="s">
        <v>11</v>
      </c>
      <c r="M3406" s="14"/>
      <c r="N3406" s="10" t="s">
        <v>1028</v>
      </c>
    </row>
    <row r="3407" spans="1:14" ht="22.5" customHeight="1">
      <c r="A3407" s="8">
        <v>46015.849425949069</v>
      </c>
      <c r="B3407" s="9" t="s">
        <v>14</v>
      </c>
      <c r="C3407" s="9" t="s">
        <v>15</v>
      </c>
      <c r="D3407" s="10" t="s">
        <v>7470</v>
      </c>
      <c r="E3407" s="9" t="s">
        <v>22</v>
      </c>
      <c r="F3407" s="10">
        <v>23</v>
      </c>
      <c r="G3407" s="11">
        <v>9061652581</v>
      </c>
      <c r="H3407" s="10" t="s">
        <v>7471</v>
      </c>
      <c r="I3407" s="10" t="s">
        <v>27</v>
      </c>
      <c r="J3407" s="10" t="s">
        <v>2766</v>
      </c>
      <c r="K3407" s="12">
        <v>46015</v>
      </c>
      <c r="L3407" s="28" t="s">
        <v>11</v>
      </c>
      <c r="M3407" s="14"/>
      <c r="N3407" s="10" t="s">
        <v>1028</v>
      </c>
    </row>
    <row r="3408" spans="1:14" ht="22.5" customHeight="1">
      <c r="A3408" s="8">
        <v>46015.850760601854</v>
      </c>
      <c r="B3408" s="9" t="s">
        <v>14</v>
      </c>
      <c r="C3408" s="9" t="s">
        <v>15</v>
      </c>
      <c r="D3408" s="10" t="s">
        <v>7472</v>
      </c>
      <c r="E3408" s="9" t="s">
        <v>17</v>
      </c>
      <c r="F3408" s="10">
        <v>24</v>
      </c>
      <c r="G3408" s="11">
        <v>9066058822</v>
      </c>
      <c r="H3408" s="10" t="s">
        <v>7473</v>
      </c>
      <c r="I3408" s="10" t="s">
        <v>31</v>
      </c>
      <c r="J3408" s="10" t="s">
        <v>39</v>
      </c>
      <c r="K3408" s="12">
        <v>46015</v>
      </c>
      <c r="L3408" s="28" t="s">
        <v>11</v>
      </c>
      <c r="M3408" s="14"/>
      <c r="N3408" s="10" t="s">
        <v>1028</v>
      </c>
    </row>
    <row r="3409" spans="1:14" ht="22.5" customHeight="1">
      <c r="A3409" s="8">
        <v>46015.869015162039</v>
      </c>
      <c r="B3409" s="9" t="s">
        <v>14</v>
      </c>
      <c r="C3409" s="9" t="s">
        <v>15</v>
      </c>
      <c r="D3409" s="10" t="s">
        <v>7474</v>
      </c>
      <c r="E3409" s="9" t="s">
        <v>17</v>
      </c>
      <c r="F3409" s="10">
        <v>39</v>
      </c>
      <c r="G3409" s="11">
        <v>7040357521</v>
      </c>
      <c r="H3409" s="10" t="s">
        <v>7475</v>
      </c>
      <c r="I3409" s="10" t="s">
        <v>27</v>
      </c>
      <c r="J3409" s="10" t="s">
        <v>94</v>
      </c>
      <c r="K3409" s="12">
        <v>46015</v>
      </c>
      <c r="L3409" s="28" t="s">
        <v>11</v>
      </c>
      <c r="M3409" s="14"/>
      <c r="N3409" s="10" t="s">
        <v>1028</v>
      </c>
    </row>
    <row r="3410" spans="1:14" ht="22.5" customHeight="1">
      <c r="A3410" s="8">
        <v>46015.887524409722</v>
      </c>
      <c r="B3410" s="9" t="s">
        <v>14</v>
      </c>
      <c r="C3410" s="9" t="s">
        <v>15</v>
      </c>
      <c r="D3410" s="10" t="s">
        <v>7476</v>
      </c>
      <c r="E3410" s="9" t="s">
        <v>17</v>
      </c>
      <c r="F3410" s="10">
        <v>45</v>
      </c>
      <c r="G3410" s="11">
        <v>80333362598</v>
      </c>
      <c r="H3410" s="10" t="s">
        <v>7477</v>
      </c>
      <c r="I3410" s="10" t="s">
        <v>27</v>
      </c>
      <c r="J3410" s="10" t="s">
        <v>94</v>
      </c>
      <c r="K3410" s="12">
        <v>46015</v>
      </c>
      <c r="L3410" s="28" t="s">
        <v>11</v>
      </c>
      <c r="M3410" s="10"/>
      <c r="N3410" s="10" t="s">
        <v>1140</v>
      </c>
    </row>
    <row r="3411" spans="1:14" ht="22.5" customHeight="1">
      <c r="A3411" s="8">
        <v>46015.892778333335</v>
      </c>
      <c r="B3411" s="9" t="s">
        <v>14</v>
      </c>
      <c r="C3411" s="9" t="s">
        <v>15</v>
      </c>
      <c r="D3411" s="10" t="s">
        <v>7478</v>
      </c>
      <c r="E3411" s="9" t="s">
        <v>22</v>
      </c>
      <c r="F3411" s="10">
        <v>22</v>
      </c>
      <c r="G3411" s="11">
        <v>8147710660</v>
      </c>
      <c r="H3411" s="10" t="s">
        <v>7479</v>
      </c>
      <c r="I3411" s="10" t="s">
        <v>45</v>
      </c>
      <c r="J3411" s="10" t="s">
        <v>7480</v>
      </c>
      <c r="K3411" s="12">
        <v>46015</v>
      </c>
      <c r="L3411" s="28" t="s">
        <v>11</v>
      </c>
      <c r="M3411" s="14"/>
      <c r="N3411" s="10" t="s">
        <v>1096</v>
      </c>
    </row>
    <row r="3412" spans="1:14" ht="22.5" customHeight="1">
      <c r="A3412" s="8">
        <v>46015.892878344908</v>
      </c>
      <c r="B3412" s="9" t="s">
        <v>14</v>
      </c>
      <c r="C3412" s="9" t="s">
        <v>15</v>
      </c>
      <c r="D3412" s="10" t="s">
        <v>7481</v>
      </c>
      <c r="E3412" s="9" t="s">
        <v>17</v>
      </c>
      <c r="F3412" s="10">
        <v>33</v>
      </c>
      <c r="G3412" s="11">
        <v>8063456923</v>
      </c>
      <c r="H3412" s="10" t="s">
        <v>7482</v>
      </c>
      <c r="I3412" s="10" t="s">
        <v>27</v>
      </c>
      <c r="J3412" s="10" t="s">
        <v>94</v>
      </c>
      <c r="K3412" s="12">
        <v>46015</v>
      </c>
      <c r="L3412" s="28" t="s">
        <v>11</v>
      </c>
      <c r="M3412" s="10"/>
      <c r="N3412" s="10" t="s">
        <v>1028</v>
      </c>
    </row>
    <row r="3413" spans="1:14" ht="22.5" customHeight="1">
      <c r="A3413" s="8">
        <v>46015.894792685183</v>
      </c>
      <c r="B3413" s="9" t="s">
        <v>14</v>
      </c>
      <c r="C3413" s="9" t="s">
        <v>15</v>
      </c>
      <c r="D3413" s="10" t="s">
        <v>7483</v>
      </c>
      <c r="E3413" s="9" t="s">
        <v>17</v>
      </c>
      <c r="F3413" s="10">
        <v>29</v>
      </c>
      <c r="G3413" s="11">
        <v>7063259302</v>
      </c>
      <c r="H3413" s="10" t="s">
        <v>7484</v>
      </c>
      <c r="I3413" s="10" t="s">
        <v>27</v>
      </c>
      <c r="J3413" s="10" t="s">
        <v>94</v>
      </c>
      <c r="K3413" s="12">
        <v>46015</v>
      </c>
      <c r="L3413" s="28" t="s">
        <v>11</v>
      </c>
      <c r="M3413" s="14"/>
      <c r="N3413" s="10" t="s">
        <v>1028</v>
      </c>
    </row>
    <row r="3414" spans="1:14" ht="22.5" customHeight="1">
      <c r="A3414" s="8">
        <v>46015.911904664354</v>
      </c>
      <c r="B3414" s="9" t="s">
        <v>14</v>
      </c>
      <c r="C3414" s="9" t="s">
        <v>15</v>
      </c>
      <c r="D3414" s="10" t="s">
        <v>7485</v>
      </c>
      <c r="E3414" s="9" t="s">
        <v>17</v>
      </c>
      <c r="F3414" s="10">
        <v>34</v>
      </c>
      <c r="G3414" s="11">
        <v>8066416360</v>
      </c>
      <c r="H3414" s="10" t="s">
        <v>7486</v>
      </c>
      <c r="I3414" s="10" t="s">
        <v>27</v>
      </c>
      <c r="J3414" s="10" t="s">
        <v>7487</v>
      </c>
      <c r="K3414" s="12">
        <v>46015</v>
      </c>
      <c r="L3414" s="28" t="s">
        <v>11</v>
      </c>
      <c r="M3414" s="14"/>
      <c r="N3414" s="10" t="s">
        <v>1028</v>
      </c>
    </row>
    <row r="3415" spans="1:14" ht="22.5" customHeight="1">
      <c r="A3415" s="8">
        <v>46015.91847956019</v>
      </c>
      <c r="B3415" s="9" t="s">
        <v>14</v>
      </c>
      <c r="C3415" s="9" t="s">
        <v>15</v>
      </c>
      <c r="D3415" s="10" t="s">
        <v>7488</v>
      </c>
      <c r="E3415" s="9" t="s">
        <v>17</v>
      </c>
      <c r="F3415" s="10">
        <v>47</v>
      </c>
      <c r="G3415" s="11">
        <v>8134409533</v>
      </c>
      <c r="H3415" s="10" t="s">
        <v>7489</v>
      </c>
      <c r="I3415" s="10" t="s">
        <v>202</v>
      </c>
      <c r="J3415" s="10" t="s">
        <v>3396</v>
      </c>
      <c r="K3415" s="12">
        <v>46015</v>
      </c>
      <c r="L3415" s="28" t="s">
        <v>11</v>
      </c>
      <c r="M3415" s="14"/>
      <c r="N3415" s="10" t="s">
        <v>1028</v>
      </c>
    </row>
    <row r="3416" spans="1:14" ht="22.5" customHeight="1">
      <c r="A3416" s="8">
        <v>46015.950100636575</v>
      </c>
      <c r="B3416" s="9" t="s">
        <v>14</v>
      </c>
      <c r="C3416" s="9" t="s">
        <v>15</v>
      </c>
      <c r="D3416" s="10" t="s">
        <v>7490</v>
      </c>
      <c r="E3416" s="9" t="s">
        <v>17</v>
      </c>
      <c r="F3416" s="18">
        <v>26</v>
      </c>
      <c r="G3416" s="11">
        <v>9035056417</v>
      </c>
      <c r="H3416" s="10" t="s">
        <v>7491</v>
      </c>
      <c r="I3416" s="10" t="s">
        <v>19</v>
      </c>
      <c r="J3416" s="10" t="s">
        <v>7492</v>
      </c>
      <c r="K3416" s="12">
        <v>46015</v>
      </c>
      <c r="L3416" s="28" t="s">
        <v>11</v>
      </c>
      <c r="M3416" s="14"/>
      <c r="N3416" s="10" t="s">
        <v>1028</v>
      </c>
    </row>
    <row r="3417" spans="1:14" ht="22.5" customHeight="1">
      <c r="A3417" s="8">
        <v>46015.958831782409</v>
      </c>
      <c r="B3417" s="9" t="s">
        <v>14</v>
      </c>
      <c r="C3417" s="9" t="s">
        <v>15</v>
      </c>
      <c r="D3417" s="10" t="s">
        <v>7493</v>
      </c>
      <c r="E3417" s="9" t="s">
        <v>17</v>
      </c>
      <c r="F3417" s="10">
        <v>27</v>
      </c>
      <c r="G3417" s="11">
        <v>9037557130</v>
      </c>
      <c r="H3417" s="10" t="s">
        <v>7494</v>
      </c>
      <c r="I3417" s="10" t="s">
        <v>27</v>
      </c>
      <c r="J3417" s="10" t="s">
        <v>94</v>
      </c>
      <c r="K3417" s="12">
        <v>46015</v>
      </c>
      <c r="L3417" s="28" t="s">
        <v>11</v>
      </c>
      <c r="M3417" s="14"/>
      <c r="N3417" s="10" t="s">
        <v>1028</v>
      </c>
    </row>
    <row r="3418" spans="1:14" ht="22.5" customHeight="1">
      <c r="A3418" s="8">
        <v>46015.963902592594</v>
      </c>
      <c r="B3418" s="9" t="s">
        <v>14</v>
      </c>
      <c r="C3418" s="9" t="s">
        <v>15</v>
      </c>
      <c r="D3418" s="10" t="s">
        <v>7495</v>
      </c>
      <c r="E3418" s="9" t="s">
        <v>17</v>
      </c>
      <c r="F3418" s="10">
        <v>34</v>
      </c>
      <c r="G3418" s="11">
        <v>8140908474</v>
      </c>
      <c r="H3418" s="10" t="s">
        <v>7496</v>
      </c>
      <c r="I3418" s="10" t="s">
        <v>31</v>
      </c>
      <c r="J3418" s="10" t="s">
        <v>32</v>
      </c>
      <c r="K3418" s="12">
        <v>46015</v>
      </c>
      <c r="L3418" s="28" t="s">
        <v>11</v>
      </c>
      <c r="M3418" s="14"/>
      <c r="N3418" s="10" t="s">
        <v>1028</v>
      </c>
    </row>
    <row r="3419" spans="1:14" ht="22.5" customHeight="1">
      <c r="A3419" s="8">
        <v>46015.973607569445</v>
      </c>
      <c r="B3419" s="9" t="s">
        <v>14</v>
      </c>
      <c r="C3419" s="9" t="s">
        <v>15</v>
      </c>
      <c r="D3419" s="10" t="s">
        <v>7497</v>
      </c>
      <c r="E3419" s="9" t="s">
        <v>17</v>
      </c>
      <c r="F3419" s="10">
        <v>30</v>
      </c>
      <c r="G3419" s="11">
        <v>7069600052</v>
      </c>
      <c r="H3419" s="10" t="s">
        <v>7498</v>
      </c>
      <c r="I3419" s="10" t="s">
        <v>27</v>
      </c>
      <c r="J3419" s="10" t="s">
        <v>28</v>
      </c>
      <c r="K3419" s="12">
        <v>46015</v>
      </c>
      <c r="L3419" s="28" t="s">
        <v>11</v>
      </c>
      <c r="M3419" s="14"/>
      <c r="N3419" s="10" t="s">
        <v>1028</v>
      </c>
    </row>
    <row r="3420" spans="1:14" ht="22.5" customHeight="1">
      <c r="A3420" s="8">
        <v>46015.982824502316</v>
      </c>
      <c r="B3420" s="9" t="s">
        <v>14</v>
      </c>
      <c r="C3420" s="9" t="s">
        <v>15</v>
      </c>
      <c r="D3420" s="10" t="s">
        <v>7499</v>
      </c>
      <c r="E3420" s="9" t="s">
        <v>22</v>
      </c>
      <c r="F3420" s="10">
        <v>27</v>
      </c>
      <c r="G3420" s="11">
        <v>9164119485</v>
      </c>
      <c r="H3420" s="10" t="s">
        <v>7500</v>
      </c>
      <c r="I3420" s="10" t="s">
        <v>49</v>
      </c>
      <c r="J3420" s="10" t="s">
        <v>109</v>
      </c>
      <c r="K3420" s="12">
        <v>46015</v>
      </c>
      <c r="L3420" s="28" t="s">
        <v>11</v>
      </c>
      <c r="M3420" s="14"/>
      <c r="N3420" s="10" t="s">
        <v>1028</v>
      </c>
    </row>
    <row r="3421" spans="1:14" ht="22.5" customHeight="1">
      <c r="A3421" s="8">
        <v>46015.983098263889</v>
      </c>
      <c r="B3421" s="9" t="s">
        <v>14</v>
      </c>
      <c r="C3421" s="9" t="s">
        <v>15</v>
      </c>
      <c r="D3421" s="10" t="s">
        <v>7501</v>
      </c>
      <c r="E3421" s="9" t="s">
        <v>17</v>
      </c>
      <c r="F3421" s="10">
        <v>23</v>
      </c>
      <c r="G3421" s="11">
        <v>8148325142</v>
      </c>
      <c r="H3421" s="10" t="s">
        <v>7502</v>
      </c>
      <c r="I3421" s="10" t="s">
        <v>27</v>
      </c>
      <c r="J3421" s="10" t="s">
        <v>94</v>
      </c>
      <c r="K3421" s="12">
        <v>46015</v>
      </c>
      <c r="L3421" s="28" t="s">
        <v>11</v>
      </c>
      <c r="M3421" s="14"/>
      <c r="N3421" s="10" t="s">
        <v>1028</v>
      </c>
    </row>
    <row r="3422" spans="1:14" ht="22.5" customHeight="1">
      <c r="A3422" s="8">
        <v>46015.992459583329</v>
      </c>
      <c r="B3422" s="9" t="s">
        <v>14</v>
      </c>
      <c r="C3422" s="9" t="s">
        <v>15</v>
      </c>
      <c r="D3422" s="10" t="s">
        <v>7503</v>
      </c>
      <c r="E3422" s="9" t="s">
        <v>17</v>
      </c>
      <c r="F3422" s="10">
        <v>28</v>
      </c>
      <c r="G3422" s="11">
        <v>7085878809</v>
      </c>
      <c r="H3422" s="10" t="s">
        <v>7504</v>
      </c>
      <c r="I3422" s="10" t="s">
        <v>27</v>
      </c>
      <c r="J3422" s="10" t="s">
        <v>3066</v>
      </c>
      <c r="K3422" s="12">
        <v>46015</v>
      </c>
      <c r="L3422" s="28" t="s">
        <v>11</v>
      </c>
      <c r="M3422" s="14"/>
      <c r="N3422" s="10" t="s">
        <v>1096</v>
      </c>
    </row>
    <row r="3423" spans="1:14" ht="22.5" customHeight="1">
      <c r="A3423" s="8">
        <v>46016.029600543981</v>
      </c>
      <c r="B3423" s="9" t="s">
        <v>14</v>
      </c>
      <c r="C3423" s="9" t="s">
        <v>15</v>
      </c>
      <c r="D3423" s="10" t="s">
        <v>7505</v>
      </c>
      <c r="E3423" s="9" t="s">
        <v>22</v>
      </c>
      <c r="F3423" s="10">
        <v>21</v>
      </c>
      <c r="G3423" s="11">
        <f>2290151875224</f>
        <v>2290151875224</v>
      </c>
      <c r="H3423" s="10" t="s">
        <v>7506</v>
      </c>
      <c r="I3423" s="10" t="s">
        <v>45</v>
      </c>
      <c r="J3423" s="10" t="s">
        <v>7507</v>
      </c>
      <c r="K3423" s="12">
        <v>46016</v>
      </c>
      <c r="L3423" s="28" t="s">
        <v>11</v>
      </c>
      <c r="M3423" s="14"/>
      <c r="N3423" s="10" t="s">
        <v>7508</v>
      </c>
    </row>
    <row r="3424" spans="1:14" ht="22.5" customHeight="1">
      <c r="A3424" s="8">
        <v>46016.03959137731</v>
      </c>
      <c r="B3424" s="9" t="s">
        <v>14</v>
      </c>
      <c r="C3424" s="9" t="s">
        <v>15</v>
      </c>
      <c r="D3424" s="10" t="s">
        <v>7509</v>
      </c>
      <c r="E3424" s="9" t="s">
        <v>17</v>
      </c>
      <c r="F3424" s="10">
        <v>21</v>
      </c>
      <c r="G3424" s="11">
        <v>8104482779</v>
      </c>
      <c r="H3424" s="10" t="s">
        <v>7510</v>
      </c>
      <c r="I3424" s="10" t="s">
        <v>27</v>
      </c>
      <c r="J3424" s="10" t="s">
        <v>1514</v>
      </c>
      <c r="K3424" s="12">
        <v>46016</v>
      </c>
      <c r="L3424" s="28" t="s">
        <v>11</v>
      </c>
      <c r="M3424" s="14"/>
      <c r="N3424" s="10" t="s">
        <v>1028</v>
      </c>
    </row>
    <row r="3425" spans="1:14" ht="22.5" customHeight="1">
      <c r="A3425" s="8">
        <v>46016.050198159719</v>
      </c>
      <c r="B3425" s="9" t="s">
        <v>14</v>
      </c>
      <c r="C3425" s="9" t="s">
        <v>15</v>
      </c>
      <c r="D3425" s="10" t="s">
        <v>7511</v>
      </c>
      <c r="E3425" s="9" t="s">
        <v>22</v>
      </c>
      <c r="F3425" s="10">
        <v>33</v>
      </c>
      <c r="G3425" s="11">
        <v>8109209859</v>
      </c>
      <c r="H3425" s="10" t="s">
        <v>7512</v>
      </c>
      <c r="I3425" s="10" t="s">
        <v>45</v>
      </c>
      <c r="J3425" s="10" t="s">
        <v>2099</v>
      </c>
      <c r="K3425" s="12">
        <v>46016</v>
      </c>
      <c r="L3425" s="28" t="s">
        <v>11</v>
      </c>
      <c r="M3425" s="14"/>
      <c r="N3425" s="10" t="s">
        <v>1028</v>
      </c>
    </row>
    <row r="3426" spans="1:14" ht="22.5" customHeight="1">
      <c r="A3426" s="8">
        <v>46016.081352291665</v>
      </c>
      <c r="B3426" s="9" t="s">
        <v>14</v>
      </c>
      <c r="C3426" s="9" t="s">
        <v>15</v>
      </c>
      <c r="D3426" s="10" t="s">
        <v>7513</v>
      </c>
      <c r="E3426" s="9" t="s">
        <v>22</v>
      </c>
      <c r="F3426" s="10">
        <v>27</v>
      </c>
      <c r="G3426" s="11">
        <f t="shared" ref="G3426" si="87">221779851120</f>
        <v>221779851120</v>
      </c>
      <c r="H3426" s="10" t="s">
        <v>7514</v>
      </c>
      <c r="I3426" s="10" t="s">
        <v>19</v>
      </c>
      <c r="J3426" s="10" t="s">
        <v>7515</v>
      </c>
      <c r="K3426" s="12">
        <v>36086</v>
      </c>
      <c r="L3426" s="28" t="s">
        <v>11</v>
      </c>
      <c r="M3426" s="10"/>
      <c r="N3426" s="10" t="s">
        <v>7516</v>
      </c>
    </row>
    <row r="3427" spans="1:14" ht="22.5" customHeight="1">
      <c r="A3427" s="8">
        <v>46016.206055162038</v>
      </c>
      <c r="B3427" s="9" t="s">
        <v>14</v>
      </c>
      <c r="C3427" s="9" t="s">
        <v>15</v>
      </c>
      <c r="D3427" s="10" t="s">
        <v>7517</v>
      </c>
      <c r="E3427" s="9" t="s">
        <v>22</v>
      </c>
      <c r="F3427" s="10">
        <v>35</v>
      </c>
      <c r="G3427" s="11">
        <v>8060517290</v>
      </c>
      <c r="H3427" s="10" t="s">
        <v>7518</v>
      </c>
      <c r="I3427" s="10" t="s">
        <v>145</v>
      </c>
      <c r="J3427" s="10" t="s">
        <v>4100</v>
      </c>
      <c r="K3427" s="12">
        <v>46016</v>
      </c>
      <c r="L3427" s="28" t="s">
        <v>11</v>
      </c>
      <c r="M3427" s="14"/>
      <c r="N3427" s="10" t="s">
        <v>1028</v>
      </c>
    </row>
    <row r="3428" spans="1:14" ht="22.5" customHeight="1">
      <c r="A3428" s="8">
        <v>46016.240633425929</v>
      </c>
      <c r="B3428" s="9" t="s">
        <v>14</v>
      </c>
      <c r="C3428" s="9" t="s">
        <v>15</v>
      </c>
      <c r="D3428" s="10" t="s">
        <v>7519</v>
      </c>
      <c r="E3428" s="9" t="s">
        <v>22</v>
      </c>
      <c r="F3428" s="10">
        <v>33</v>
      </c>
      <c r="G3428" s="11">
        <v>8134261048</v>
      </c>
      <c r="H3428" s="10" t="s">
        <v>7520</v>
      </c>
      <c r="I3428" s="10" t="s">
        <v>27</v>
      </c>
      <c r="J3428" s="10" t="s">
        <v>372</v>
      </c>
      <c r="K3428" s="12">
        <v>33822</v>
      </c>
      <c r="L3428" s="28" t="s">
        <v>11</v>
      </c>
      <c r="M3428" s="10"/>
      <c r="N3428" s="10" t="s">
        <v>1028</v>
      </c>
    </row>
    <row r="3429" spans="1:14" ht="22.5" customHeight="1">
      <c r="A3429" s="8">
        <v>46016.249171921299</v>
      </c>
      <c r="B3429" s="9" t="s">
        <v>14</v>
      </c>
      <c r="C3429" s="9" t="s">
        <v>15</v>
      </c>
      <c r="D3429" s="10" t="s">
        <v>7521</v>
      </c>
      <c r="E3429" s="9" t="s">
        <v>17</v>
      </c>
      <c r="F3429" s="10">
        <v>28</v>
      </c>
      <c r="G3429" s="11">
        <v>8030697110</v>
      </c>
      <c r="H3429" s="10" t="s">
        <v>7522</v>
      </c>
      <c r="I3429" s="10" t="s">
        <v>27</v>
      </c>
      <c r="J3429" s="10" t="s">
        <v>2258</v>
      </c>
      <c r="K3429" s="12">
        <v>46016</v>
      </c>
      <c r="L3429" s="28" t="s">
        <v>11</v>
      </c>
      <c r="M3429" s="14"/>
      <c r="N3429" s="10" t="s">
        <v>1028</v>
      </c>
    </row>
    <row r="3430" spans="1:14" ht="22.5" customHeight="1">
      <c r="A3430" s="8">
        <v>46016.250968402775</v>
      </c>
      <c r="B3430" s="9" t="s">
        <v>14</v>
      </c>
      <c r="C3430" s="9" t="s">
        <v>15</v>
      </c>
      <c r="D3430" s="10" t="s">
        <v>7523</v>
      </c>
      <c r="E3430" s="9" t="s">
        <v>17</v>
      </c>
      <c r="F3430" s="10">
        <v>31</v>
      </c>
      <c r="G3430" s="11">
        <v>8167451973</v>
      </c>
      <c r="H3430" s="10" t="s">
        <v>7524</v>
      </c>
      <c r="I3430" s="10" t="s">
        <v>45</v>
      </c>
      <c r="J3430" s="10" t="s">
        <v>46</v>
      </c>
      <c r="K3430" s="12">
        <v>46016</v>
      </c>
      <c r="L3430" s="28" t="s">
        <v>11</v>
      </c>
      <c r="M3430" s="14"/>
      <c r="N3430" s="10" t="s">
        <v>1028</v>
      </c>
    </row>
    <row r="3431" spans="1:14" ht="22.5" customHeight="1">
      <c r="A3431" s="8">
        <v>46016.32476393519</v>
      </c>
      <c r="B3431" s="9" t="s">
        <v>14</v>
      </c>
      <c r="C3431" s="9" t="s">
        <v>15</v>
      </c>
      <c r="D3431" s="10" t="s">
        <v>7525</v>
      </c>
      <c r="E3431" s="9" t="s">
        <v>17</v>
      </c>
      <c r="F3431" s="10">
        <v>25</v>
      </c>
      <c r="G3431" s="11">
        <v>9131328948</v>
      </c>
      <c r="H3431" s="10" t="s">
        <v>7526</v>
      </c>
      <c r="I3431" s="10" t="s">
        <v>19</v>
      </c>
      <c r="J3431" s="10" t="s">
        <v>5064</v>
      </c>
      <c r="K3431" s="12">
        <v>46016</v>
      </c>
      <c r="L3431" s="28" t="s">
        <v>11</v>
      </c>
      <c r="M3431" s="14"/>
      <c r="N3431" s="10" t="s">
        <v>1028</v>
      </c>
    </row>
    <row r="3432" spans="1:14" ht="22.5" customHeight="1">
      <c r="A3432" s="8">
        <v>46016.326071944444</v>
      </c>
      <c r="B3432" s="9" t="s">
        <v>14</v>
      </c>
      <c r="C3432" s="9" t="s">
        <v>15</v>
      </c>
      <c r="D3432" s="10" t="s">
        <v>7527</v>
      </c>
      <c r="E3432" s="9" t="s">
        <v>17</v>
      </c>
      <c r="F3432" s="10">
        <v>29</v>
      </c>
      <c r="G3432" s="11">
        <f t="shared" ref="G3432" si="88">252615931712</f>
        <v>252615931712</v>
      </c>
      <c r="H3432" s="10" t="s">
        <v>7528</v>
      </c>
      <c r="I3432" s="10" t="s">
        <v>19</v>
      </c>
      <c r="J3432" s="10" t="s">
        <v>7529</v>
      </c>
      <c r="K3432" s="12">
        <v>35256</v>
      </c>
      <c r="L3432" s="28" t="s">
        <v>11</v>
      </c>
      <c r="M3432" s="14"/>
      <c r="N3432" s="10" t="s">
        <v>7530</v>
      </c>
    </row>
    <row r="3433" spans="1:14" ht="22.5" customHeight="1">
      <c r="A3433" s="8">
        <v>46016.358342037041</v>
      </c>
      <c r="B3433" s="9" t="s">
        <v>14</v>
      </c>
      <c r="C3433" s="9" t="s">
        <v>15</v>
      </c>
      <c r="D3433" s="10" t="s">
        <v>7531</v>
      </c>
      <c r="E3433" s="9" t="s">
        <v>17</v>
      </c>
      <c r="F3433" s="10">
        <v>37</v>
      </c>
      <c r="G3433" s="11">
        <v>8031850718</v>
      </c>
      <c r="H3433" s="10" t="s">
        <v>7532</v>
      </c>
      <c r="I3433" s="10" t="s">
        <v>27</v>
      </c>
      <c r="J3433" s="10" t="s">
        <v>2591</v>
      </c>
      <c r="K3433" s="12">
        <v>46016</v>
      </c>
      <c r="L3433" s="28" t="s">
        <v>11</v>
      </c>
      <c r="M3433" s="14"/>
      <c r="N3433" s="10" t="s">
        <v>1028</v>
      </c>
    </row>
    <row r="3434" spans="1:14" ht="22.5" customHeight="1">
      <c r="A3434" s="8">
        <v>46016.368665983799</v>
      </c>
      <c r="B3434" s="9" t="s">
        <v>14</v>
      </c>
      <c r="C3434" s="9" t="s">
        <v>15</v>
      </c>
      <c r="D3434" s="10" t="s">
        <v>7533</v>
      </c>
      <c r="E3434" s="9" t="s">
        <v>17</v>
      </c>
      <c r="F3434" s="10">
        <v>23</v>
      </c>
      <c r="G3434" s="11">
        <v>8169063761</v>
      </c>
      <c r="H3434" s="10" t="s">
        <v>7534</v>
      </c>
      <c r="I3434" s="10" t="s">
        <v>27</v>
      </c>
      <c r="J3434" s="10" t="s">
        <v>1456</v>
      </c>
      <c r="K3434" s="12">
        <v>46016</v>
      </c>
      <c r="L3434" s="28" t="s">
        <v>11</v>
      </c>
      <c r="M3434" s="14"/>
      <c r="N3434" s="10" t="s">
        <v>1028</v>
      </c>
    </row>
    <row r="3435" spans="1:14" ht="22.5" customHeight="1">
      <c r="A3435" s="8">
        <v>46016.379860914356</v>
      </c>
      <c r="B3435" s="9" t="s">
        <v>14</v>
      </c>
      <c r="C3435" s="9" t="s">
        <v>15</v>
      </c>
      <c r="D3435" s="10" t="s">
        <v>7535</v>
      </c>
      <c r="E3435" s="9" t="s">
        <v>17</v>
      </c>
      <c r="F3435" s="10">
        <v>37</v>
      </c>
      <c r="G3435" s="11">
        <v>7081911776</v>
      </c>
      <c r="H3435" s="10" t="s">
        <v>7536</v>
      </c>
      <c r="I3435" s="10" t="s">
        <v>27</v>
      </c>
      <c r="J3435" s="10" t="s">
        <v>2591</v>
      </c>
      <c r="K3435" s="12">
        <v>46016</v>
      </c>
      <c r="L3435" s="28" t="s">
        <v>11</v>
      </c>
      <c r="M3435" s="14"/>
      <c r="N3435" s="10" t="s">
        <v>1028</v>
      </c>
    </row>
    <row r="3436" spans="1:14" ht="22.5" customHeight="1">
      <c r="A3436" s="8">
        <v>46016.389036967594</v>
      </c>
      <c r="B3436" s="9" t="s">
        <v>14</v>
      </c>
      <c r="C3436" s="9" t="s">
        <v>15</v>
      </c>
      <c r="D3436" s="10" t="s">
        <v>7537</v>
      </c>
      <c r="E3436" s="9" t="s">
        <v>22</v>
      </c>
      <c r="F3436" s="10">
        <v>28</v>
      </c>
      <c r="G3436" s="11">
        <v>7037085709</v>
      </c>
      <c r="H3436" s="10" t="s">
        <v>7538</v>
      </c>
      <c r="I3436" s="10" t="s">
        <v>145</v>
      </c>
      <c r="J3436" s="10" t="s">
        <v>7539</v>
      </c>
      <c r="K3436" s="12">
        <v>46016</v>
      </c>
      <c r="L3436" s="28" t="s">
        <v>11</v>
      </c>
      <c r="M3436" s="14"/>
      <c r="N3436" s="10" t="s">
        <v>1028</v>
      </c>
    </row>
    <row r="3437" spans="1:14" ht="22.5" customHeight="1">
      <c r="A3437" s="8">
        <v>46016.420823749999</v>
      </c>
      <c r="B3437" s="9" t="s">
        <v>14</v>
      </c>
      <c r="C3437" s="9" t="s">
        <v>15</v>
      </c>
      <c r="D3437" s="10" t="s">
        <v>7540</v>
      </c>
      <c r="E3437" s="9" t="s">
        <v>22</v>
      </c>
      <c r="F3437" s="10">
        <v>37</v>
      </c>
      <c r="G3437" s="11">
        <v>8139665389</v>
      </c>
      <c r="H3437" s="10" t="s">
        <v>7541</v>
      </c>
      <c r="I3437" s="10" t="s">
        <v>31</v>
      </c>
      <c r="J3437" s="10" t="s">
        <v>32</v>
      </c>
      <c r="K3437" s="12">
        <v>46016</v>
      </c>
      <c r="L3437" s="28" t="s">
        <v>11</v>
      </c>
      <c r="M3437" s="14"/>
      <c r="N3437" s="10" t="s">
        <v>1028</v>
      </c>
    </row>
    <row r="3438" spans="1:14" ht="22.5" customHeight="1">
      <c r="A3438" s="8">
        <v>46016.426541712965</v>
      </c>
      <c r="B3438" s="9" t="s">
        <v>14</v>
      </c>
      <c r="C3438" s="9" t="s">
        <v>15</v>
      </c>
      <c r="D3438" s="10" t="s">
        <v>7542</v>
      </c>
      <c r="E3438" s="9" t="s">
        <v>17</v>
      </c>
      <c r="F3438" s="10">
        <v>33</v>
      </c>
      <c r="G3438" s="11">
        <v>8065224776</v>
      </c>
      <c r="H3438" s="10" t="s">
        <v>7543</v>
      </c>
      <c r="I3438" s="10" t="s">
        <v>49</v>
      </c>
      <c r="J3438" s="10" t="s">
        <v>599</v>
      </c>
      <c r="K3438" s="12">
        <v>46016</v>
      </c>
      <c r="L3438" s="28" t="s">
        <v>11</v>
      </c>
      <c r="M3438" s="14"/>
      <c r="N3438" s="10" t="s">
        <v>1096</v>
      </c>
    </row>
    <row r="3439" spans="1:14" ht="22.5" customHeight="1">
      <c r="A3439" s="8">
        <v>46016.427311770836</v>
      </c>
      <c r="B3439" s="9" t="s">
        <v>14</v>
      </c>
      <c r="C3439" s="9" t="s">
        <v>15</v>
      </c>
      <c r="D3439" s="10" t="s">
        <v>7544</v>
      </c>
      <c r="E3439" s="9" t="s">
        <v>22</v>
      </c>
      <c r="F3439" s="10">
        <v>30</v>
      </c>
      <c r="G3439" s="11">
        <v>9035899061</v>
      </c>
      <c r="H3439" s="10" t="s">
        <v>7545</v>
      </c>
      <c r="I3439" s="10" t="s">
        <v>27</v>
      </c>
      <c r="J3439" s="10" t="s">
        <v>372</v>
      </c>
      <c r="K3439" s="12">
        <v>46016</v>
      </c>
      <c r="L3439" s="28" t="s">
        <v>11</v>
      </c>
      <c r="M3439" s="10"/>
      <c r="N3439" s="10" t="s">
        <v>1028</v>
      </c>
    </row>
    <row r="3440" spans="1:14" ht="22.5" customHeight="1">
      <c r="A3440" s="8">
        <v>46016.429969131947</v>
      </c>
      <c r="B3440" s="9" t="s">
        <v>14</v>
      </c>
      <c r="C3440" s="9" t="s">
        <v>15</v>
      </c>
      <c r="D3440" s="10" t="s">
        <v>7546</v>
      </c>
      <c r="E3440" s="9" t="s">
        <v>17</v>
      </c>
      <c r="F3440" s="10">
        <v>21</v>
      </c>
      <c r="G3440" s="11">
        <v>8137814636</v>
      </c>
      <c r="H3440" s="10" t="s">
        <v>7547</v>
      </c>
      <c r="I3440" s="10" t="s">
        <v>19</v>
      </c>
      <c r="J3440" s="10" t="s">
        <v>7492</v>
      </c>
      <c r="K3440" s="12">
        <v>46016</v>
      </c>
      <c r="L3440" s="28" t="s">
        <v>11</v>
      </c>
      <c r="M3440" s="14"/>
      <c r="N3440" s="10" t="s">
        <v>1028</v>
      </c>
    </row>
    <row r="3441" spans="1:14" ht="22.5" customHeight="1">
      <c r="A3441" s="8">
        <v>46016.451651400464</v>
      </c>
      <c r="B3441" s="9" t="s">
        <v>14</v>
      </c>
      <c r="C3441" s="9" t="s">
        <v>15</v>
      </c>
      <c r="D3441" s="10" t="s">
        <v>7548</v>
      </c>
      <c r="E3441" s="9" t="s">
        <v>22</v>
      </c>
      <c r="F3441" s="10">
        <v>19</v>
      </c>
      <c r="G3441" s="11">
        <v>7043300810</v>
      </c>
      <c r="H3441" s="10" t="s">
        <v>7549</v>
      </c>
      <c r="I3441" s="10" t="s">
        <v>45</v>
      </c>
      <c r="J3441" s="10" t="s">
        <v>6827</v>
      </c>
      <c r="K3441" s="12">
        <v>46016</v>
      </c>
      <c r="L3441" s="28" t="s">
        <v>11</v>
      </c>
      <c r="M3441" s="14"/>
      <c r="N3441" s="10" t="s">
        <v>1028</v>
      </c>
    </row>
    <row r="3442" spans="1:14" ht="22.5" customHeight="1">
      <c r="A3442" s="8">
        <v>46016.483568958334</v>
      </c>
      <c r="B3442" s="9" t="s">
        <v>14</v>
      </c>
      <c r="C3442" s="9" t="s">
        <v>15</v>
      </c>
      <c r="D3442" s="10" t="s">
        <v>7550</v>
      </c>
      <c r="E3442" s="9" t="s">
        <v>17</v>
      </c>
      <c r="F3442" s="10">
        <v>25</v>
      </c>
      <c r="G3442" s="11">
        <v>8035476687</v>
      </c>
      <c r="H3442" s="10" t="s">
        <v>7551</v>
      </c>
      <c r="I3442" s="10" t="s">
        <v>27</v>
      </c>
      <c r="J3442" s="10" t="s">
        <v>94</v>
      </c>
      <c r="K3442" s="12">
        <v>46016</v>
      </c>
      <c r="L3442" s="28" t="s">
        <v>11</v>
      </c>
      <c r="M3442" s="14"/>
      <c r="N3442" s="10" t="s">
        <v>1489</v>
      </c>
    </row>
    <row r="3443" spans="1:14" ht="22.5" customHeight="1">
      <c r="A3443" s="8">
        <v>46016.486272175927</v>
      </c>
      <c r="B3443" s="9" t="s">
        <v>14</v>
      </c>
      <c r="C3443" s="9" t="s">
        <v>15</v>
      </c>
      <c r="D3443" s="10" t="s">
        <v>7552</v>
      </c>
      <c r="E3443" s="9" t="s">
        <v>17</v>
      </c>
      <c r="F3443" s="10">
        <v>32</v>
      </c>
      <c r="G3443" s="11">
        <v>9039434610</v>
      </c>
      <c r="H3443" s="10" t="s">
        <v>7553</v>
      </c>
      <c r="I3443" s="10" t="s">
        <v>27</v>
      </c>
      <c r="J3443" s="10" t="s">
        <v>172</v>
      </c>
      <c r="K3443" s="12">
        <v>46016</v>
      </c>
      <c r="L3443" s="28" t="s">
        <v>11</v>
      </c>
      <c r="M3443" s="14"/>
      <c r="N3443" s="10" t="s">
        <v>1028</v>
      </c>
    </row>
    <row r="3444" spans="1:14" ht="22.5" customHeight="1">
      <c r="A3444" s="8">
        <v>46016.503329942134</v>
      </c>
      <c r="B3444" s="9" t="s">
        <v>14</v>
      </c>
      <c r="C3444" s="9" t="s">
        <v>15</v>
      </c>
      <c r="D3444" s="10" t="s">
        <v>7554</v>
      </c>
      <c r="E3444" s="9" t="s">
        <v>17</v>
      </c>
      <c r="F3444" s="10">
        <v>41</v>
      </c>
      <c r="G3444" s="11">
        <v>7033402826</v>
      </c>
      <c r="H3444" s="10" t="s">
        <v>7555</v>
      </c>
      <c r="I3444" s="10" t="s">
        <v>27</v>
      </c>
      <c r="J3444" s="10" t="s">
        <v>94</v>
      </c>
      <c r="K3444" s="12">
        <v>46016</v>
      </c>
      <c r="L3444" s="28" t="s">
        <v>11</v>
      </c>
      <c r="M3444" s="14"/>
      <c r="N3444" s="10" t="s">
        <v>1028</v>
      </c>
    </row>
    <row r="3445" spans="1:14" ht="22.5" customHeight="1">
      <c r="A3445" s="8">
        <v>46016.54833056713</v>
      </c>
      <c r="B3445" s="9" t="s">
        <v>14</v>
      </c>
      <c r="C3445" s="9" t="s">
        <v>15</v>
      </c>
      <c r="D3445" s="10" t="s">
        <v>7556</v>
      </c>
      <c r="E3445" s="9" t="s">
        <v>17</v>
      </c>
      <c r="F3445" s="10">
        <v>32</v>
      </c>
      <c r="G3445" s="11">
        <v>9039945564</v>
      </c>
      <c r="H3445" s="10" t="s">
        <v>7557</v>
      </c>
      <c r="I3445" s="10" t="s">
        <v>49</v>
      </c>
      <c r="J3445" s="10" t="s">
        <v>229</v>
      </c>
      <c r="K3445" s="12">
        <v>46016</v>
      </c>
      <c r="L3445" s="28" t="s">
        <v>11</v>
      </c>
      <c r="M3445" s="14"/>
      <c r="N3445" s="10" t="s">
        <v>1028</v>
      </c>
    </row>
    <row r="3446" spans="1:14" ht="22.5" customHeight="1">
      <c r="A3446" s="8">
        <v>46016.564553738426</v>
      </c>
      <c r="B3446" s="9" t="s">
        <v>14</v>
      </c>
      <c r="C3446" s="9" t="s">
        <v>15</v>
      </c>
      <c r="D3446" s="10" t="s">
        <v>7558</v>
      </c>
      <c r="E3446" s="9" t="s">
        <v>22</v>
      </c>
      <c r="F3446" s="10">
        <v>25</v>
      </c>
      <c r="G3446" s="11">
        <v>9068966808</v>
      </c>
      <c r="H3446" s="10" t="s">
        <v>7559</v>
      </c>
      <c r="I3446" s="10" t="s">
        <v>202</v>
      </c>
      <c r="J3446" s="10" t="s">
        <v>4651</v>
      </c>
      <c r="K3446" s="12">
        <v>46016</v>
      </c>
      <c r="L3446" s="28" t="s">
        <v>11</v>
      </c>
      <c r="M3446" s="14"/>
      <c r="N3446" s="10" t="s">
        <v>1096</v>
      </c>
    </row>
    <row r="3447" spans="1:14" ht="22.5" customHeight="1">
      <c r="A3447" s="8">
        <v>46016.566165960649</v>
      </c>
      <c r="B3447" s="9" t="s">
        <v>14</v>
      </c>
      <c r="C3447" s="9" t="s">
        <v>15</v>
      </c>
      <c r="D3447" s="10" t="s">
        <v>7560</v>
      </c>
      <c r="E3447" s="9" t="s">
        <v>17</v>
      </c>
      <c r="F3447" s="10">
        <v>31</v>
      </c>
      <c r="G3447" s="11">
        <v>7037450608</v>
      </c>
      <c r="H3447" s="10" t="s">
        <v>7561</v>
      </c>
      <c r="I3447" s="10" t="s">
        <v>27</v>
      </c>
      <c r="J3447" s="10" t="s">
        <v>94</v>
      </c>
      <c r="K3447" s="12">
        <v>46016</v>
      </c>
      <c r="L3447" s="28" t="s">
        <v>11</v>
      </c>
      <c r="M3447" s="14"/>
      <c r="N3447" s="10" t="s">
        <v>1028</v>
      </c>
    </row>
    <row r="3448" spans="1:14" ht="22.5" customHeight="1">
      <c r="A3448" s="8">
        <v>46016.575374444445</v>
      </c>
      <c r="B3448" s="9" t="s">
        <v>14</v>
      </c>
      <c r="C3448" s="9" t="s">
        <v>15</v>
      </c>
      <c r="D3448" s="10" t="s">
        <v>7562</v>
      </c>
      <c r="E3448" s="9" t="s">
        <v>22</v>
      </c>
      <c r="F3448" s="10">
        <v>55</v>
      </c>
      <c r="G3448" s="11">
        <v>8037332840</v>
      </c>
      <c r="H3448" s="10" t="s">
        <v>7563</v>
      </c>
      <c r="I3448" s="10" t="s">
        <v>27</v>
      </c>
      <c r="J3448" s="10" t="s">
        <v>1456</v>
      </c>
      <c r="K3448" s="12">
        <v>46016</v>
      </c>
      <c r="L3448" s="28" t="s">
        <v>11</v>
      </c>
      <c r="M3448" s="10"/>
      <c r="N3448" s="10" t="s">
        <v>1028</v>
      </c>
    </row>
    <row r="3449" spans="1:14" ht="22.5" customHeight="1">
      <c r="A3449" s="8">
        <v>46016.582102546294</v>
      </c>
      <c r="B3449" s="9" t="s">
        <v>14</v>
      </c>
      <c r="C3449" s="9" t="s">
        <v>15</v>
      </c>
      <c r="D3449" s="10" t="s">
        <v>7564</v>
      </c>
      <c r="E3449" s="9" t="s">
        <v>17</v>
      </c>
      <c r="F3449" s="10">
        <v>29</v>
      </c>
      <c r="G3449" s="11">
        <v>8036344995</v>
      </c>
      <c r="H3449" s="10" t="s">
        <v>7565</v>
      </c>
      <c r="I3449" s="10" t="s">
        <v>27</v>
      </c>
      <c r="J3449" s="10" t="s">
        <v>7566</v>
      </c>
      <c r="K3449" s="12">
        <v>46016</v>
      </c>
      <c r="L3449" s="28" t="s">
        <v>11</v>
      </c>
      <c r="M3449" s="14"/>
      <c r="N3449" s="10" t="s">
        <v>1028</v>
      </c>
    </row>
    <row r="3450" spans="1:14" ht="22.5" customHeight="1">
      <c r="A3450" s="8">
        <v>46016.602241967594</v>
      </c>
      <c r="B3450" s="9" t="s">
        <v>14</v>
      </c>
      <c r="C3450" s="9" t="s">
        <v>15</v>
      </c>
      <c r="D3450" s="10" t="s">
        <v>7567</v>
      </c>
      <c r="E3450" s="9" t="s">
        <v>17</v>
      </c>
      <c r="F3450" s="10">
        <v>48</v>
      </c>
      <c r="G3450" s="11">
        <v>8036897480</v>
      </c>
      <c r="H3450" s="10" t="s">
        <v>7568</v>
      </c>
      <c r="I3450" s="10" t="s">
        <v>49</v>
      </c>
      <c r="J3450" s="10" t="s">
        <v>109</v>
      </c>
      <c r="K3450" s="12">
        <v>46016</v>
      </c>
      <c r="L3450" s="28" t="s">
        <v>11</v>
      </c>
      <c r="M3450" s="14"/>
      <c r="N3450" s="10" t="s">
        <v>4132</v>
      </c>
    </row>
    <row r="3451" spans="1:14" ht="22.5" customHeight="1">
      <c r="A3451" s="8">
        <v>46016.681395613428</v>
      </c>
      <c r="B3451" s="9" t="s">
        <v>14</v>
      </c>
      <c r="C3451" s="9" t="s">
        <v>15</v>
      </c>
      <c r="D3451" s="10" t="s">
        <v>7569</v>
      </c>
      <c r="E3451" s="9" t="s">
        <v>22</v>
      </c>
      <c r="F3451" s="10">
        <v>23</v>
      </c>
      <c r="G3451" s="11">
        <v>9161408065</v>
      </c>
      <c r="H3451" s="10" t="s">
        <v>7570</v>
      </c>
      <c r="I3451" s="10" t="s">
        <v>27</v>
      </c>
      <c r="J3451" s="10" t="s">
        <v>1456</v>
      </c>
      <c r="K3451" s="12">
        <v>46016</v>
      </c>
      <c r="L3451" s="28" t="s">
        <v>11</v>
      </c>
      <c r="M3451" s="14"/>
      <c r="N3451" s="10" t="s">
        <v>1028</v>
      </c>
    </row>
    <row r="3452" spans="1:14" ht="22.5" customHeight="1">
      <c r="A3452" s="8">
        <v>46016.698795925928</v>
      </c>
      <c r="B3452" s="9" t="s">
        <v>14</v>
      </c>
      <c r="C3452" s="9" t="s">
        <v>15</v>
      </c>
      <c r="D3452" s="10" t="s">
        <v>7571</v>
      </c>
      <c r="E3452" s="9" t="s">
        <v>22</v>
      </c>
      <c r="F3452" s="10">
        <v>26</v>
      </c>
      <c r="G3452" s="11">
        <v>9069305602</v>
      </c>
      <c r="H3452" s="10" t="s">
        <v>7572</v>
      </c>
      <c r="I3452" s="10" t="s">
        <v>27</v>
      </c>
      <c r="J3452" s="10" t="s">
        <v>3992</v>
      </c>
      <c r="K3452" s="12">
        <v>46016</v>
      </c>
      <c r="L3452" s="28" t="s">
        <v>11</v>
      </c>
      <c r="M3452" s="14"/>
      <c r="N3452" s="10" t="s">
        <v>1028</v>
      </c>
    </row>
    <row r="3453" spans="1:14" ht="22.5" customHeight="1">
      <c r="A3453" s="8">
        <v>46016.721807372684</v>
      </c>
      <c r="B3453" s="9" t="s">
        <v>14</v>
      </c>
      <c r="C3453" s="9" t="s">
        <v>15</v>
      </c>
      <c r="D3453" s="10" t="s">
        <v>7573</v>
      </c>
      <c r="E3453" s="9" t="s">
        <v>22</v>
      </c>
      <c r="F3453" s="10">
        <v>24</v>
      </c>
      <c r="G3453" s="11">
        <v>8061507994</v>
      </c>
      <c r="H3453" s="10" t="s">
        <v>7574</v>
      </c>
      <c r="I3453" s="10" t="s">
        <v>49</v>
      </c>
      <c r="J3453" s="10" t="s">
        <v>109</v>
      </c>
      <c r="K3453" s="12">
        <v>46013</v>
      </c>
      <c r="L3453" s="28" t="s">
        <v>11</v>
      </c>
      <c r="M3453" s="14"/>
      <c r="N3453" s="10" t="s">
        <v>1209</v>
      </c>
    </row>
    <row r="3454" spans="1:14" ht="22.5" customHeight="1">
      <c r="A3454" s="8">
        <v>46016.722771284723</v>
      </c>
      <c r="B3454" s="9" t="s">
        <v>14</v>
      </c>
      <c r="C3454" s="9" t="s">
        <v>15</v>
      </c>
      <c r="D3454" s="10" t="s">
        <v>7575</v>
      </c>
      <c r="E3454" s="9" t="s">
        <v>22</v>
      </c>
      <c r="F3454" s="10">
        <v>37</v>
      </c>
      <c r="G3454" s="11">
        <v>8032595293</v>
      </c>
      <c r="H3454" s="10" t="s">
        <v>7576</v>
      </c>
      <c r="I3454" s="10" t="s">
        <v>27</v>
      </c>
      <c r="J3454" s="10" t="s">
        <v>172</v>
      </c>
      <c r="K3454" s="12">
        <v>46016</v>
      </c>
      <c r="L3454" s="28" t="s">
        <v>11</v>
      </c>
      <c r="M3454" s="14"/>
      <c r="N3454" s="10" t="s">
        <v>1028</v>
      </c>
    </row>
    <row r="3455" spans="1:14" ht="22.5" customHeight="1">
      <c r="A3455" s="8">
        <v>46016.730678402775</v>
      </c>
      <c r="B3455" s="9" t="s">
        <v>14</v>
      </c>
      <c r="C3455" s="9" t="s">
        <v>15</v>
      </c>
      <c r="D3455" s="10" t="s">
        <v>7577</v>
      </c>
      <c r="E3455" s="9" t="s">
        <v>22</v>
      </c>
      <c r="F3455" s="10">
        <v>33</v>
      </c>
      <c r="G3455" s="11">
        <v>8131897875</v>
      </c>
      <c r="H3455" s="10" t="s">
        <v>7578</v>
      </c>
      <c r="I3455" s="10" t="s">
        <v>27</v>
      </c>
      <c r="J3455" s="10" t="s">
        <v>172</v>
      </c>
      <c r="K3455" s="12">
        <v>46016</v>
      </c>
      <c r="L3455" s="28" t="s">
        <v>11</v>
      </c>
      <c r="M3455" s="14"/>
      <c r="N3455" s="10" t="s">
        <v>1028</v>
      </c>
    </row>
    <row r="3456" spans="1:14" ht="22.5" customHeight="1">
      <c r="A3456" s="8">
        <v>46016.742409849539</v>
      </c>
      <c r="B3456" s="9" t="s">
        <v>14</v>
      </c>
      <c r="C3456" s="9" t="s">
        <v>15</v>
      </c>
      <c r="D3456" s="10" t="s">
        <v>7579</v>
      </c>
      <c r="E3456" s="9" t="s">
        <v>22</v>
      </c>
      <c r="F3456" s="10">
        <v>33</v>
      </c>
      <c r="G3456" s="11">
        <v>8141369127</v>
      </c>
      <c r="H3456" s="10" t="s">
        <v>7580</v>
      </c>
      <c r="I3456" s="10" t="s">
        <v>27</v>
      </c>
      <c r="J3456" s="10" t="s">
        <v>172</v>
      </c>
      <c r="K3456" s="12">
        <v>46016</v>
      </c>
      <c r="L3456" s="28" t="s">
        <v>11</v>
      </c>
      <c r="M3456" s="14"/>
      <c r="N3456" s="10" t="s">
        <v>1028</v>
      </c>
    </row>
    <row r="3457" spans="1:14" ht="22.5" customHeight="1">
      <c r="A3457" s="8">
        <v>46016.781650219906</v>
      </c>
      <c r="B3457" s="9" t="s">
        <v>14</v>
      </c>
      <c r="C3457" s="9" t="s">
        <v>15</v>
      </c>
      <c r="D3457" s="10" t="s">
        <v>7581</v>
      </c>
      <c r="E3457" s="9" t="s">
        <v>17</v>
      </c>
      <c r="F3457" s="10">
        <v>37</v>
      </c>
      <c r="G3457" s="11">
        <v>8065745135</v>
      </c>
      <c r="H3457" s="10" t="s">
        <v>7582</v>
      </c>
      <c r="I3457" s="10" t="s">
        <v>27</v>
      </c>
      <c r="J3457" s="10" t="s">
        <v>7583</v>
      </c>
      <c r="K3457" s="12">
        <v>46016</v>
      </c>
      <c r="L3457" s="28" t="s">
        <v>11</v>
      </c>
      <c r="M3457" s="14"/>
      <c r="N3457" s="10" t="s">
        <v>1028</v>
      </c>
    </row>
    <row r="3458" spans="1:14" ht="22.5" customHeight="1">
      <c r="A3458" s="8">
        <v>46016.828418472222</v>
      </c>
      <c r="B3458" s="9" t="s">
        <v>14</v>
      </c>
      <c r="C3458" s="9" t="s">
        <v>15</v>
      </c>
      <c r="D3458" s="10" t="s">
        <v>7584</v>
      </c>
      <c r="E3458" s="9" t="s">
        <v>22</v>
      </c>
      <c r="F3458" s="10">
        <v>25</v>
      </c>
      <c r="G3458" s="11">
        <v>7039601646</v>
      </c>
      <c r="H3458" s="10" t="s">
        <v>7585</v>
      </c>
      <c r="I3458" s="10" t="s">
        <v>27</v>
      </c>
      <c r="J3458" s="10" t="s">
        <v>7586</v>
      </c>
      <c r="K3458" s="12">
        <v>46016</v>
      </c>
      <c r="L3458" s="28" t="s">
        <v>11</v>
      </c>
      <c r="M3458" s="14"/>
      <c r="N3458" s="10" t="s">
        <v>1028</v>
      </c>
    </row>
    <row r="3459" spans="1:14" ht="22.5" customHeight="1">
      <c r="A3459" s="8">
        <v>46016.842779675921</v>
      </c>
      <c r="B3459" s="9" t="s">
        <v>14</v>
      </c>
      <c r="C3459" s="9" t="s">
        <v>15</v>
      </c>
      <c r="D3459" s="10" t="s">
        <v>7587</v>
      </c>
      <c r="E3459" s="9" t="s">
        <v>17</v>
      </c>
      <c r="F3459" s="19">
        <v>30</v>
      </c>
      <c r="G3459" s="11">
        <v>8031810800</v>
      </c>
      <c r="H3459" s="10" t="s">
        <v>7588</v>
      </c>
      <c r="I3459" s="10" t="s">
        <v>27</v>
      </c>
      <c r="J3459" s="10" t="s">
        <v>94</v>
      </c>
      <c r="K3459" s="12">
        <v>46016</v>
      </c>
      <c r="L3459" s="28" t="s">
        <v>11</v>
      </c>
      <c r="M3459" s="14"/>
      <c r="N3459" s="10" t="s">
        <v>1028</v>
      </c>
    </row>
    <row r="3460" spans="1:14" ht="22.5" customHeight="1">
      <c r="A3460" s="8">
        <v>46016.858835787032</v>
      </c>
      <c r="B3460" s="9" t="s">
        <v>14</v>
      </c>
      <c r="C3460" s="9" t="s">
        <v>15</v>
      </c>
      <c r="D3460" s="10" t="s">
        <v>7589</v>
      </c>
      <c r="E3460" s="9" t="s">
        <v>17</v>
      </c>
      <c r="F3460" s="10">
        <v>32</v>
      </c>
      <c r="G3460" s="11">
        <v>8031139737</v>
      </c>
      <c r="H3460" s="10" t="s">
        <v>7590</v>
      </c>
      <c r="I3460" s="10" t="s">
        <v>27</v>
      </c>
      <c r="J3460" s="10" t="s">
        <v>7591</v>
      </c>
      <c r="K3460" s="12">
        <v>46016</v>
      </c>
      <c r="L3460" s="28" t="s">
        <v>11</v>
      </c>
      <c r="M3460" s="14"/>
      <c r="N3460" s="10" t="s">
        <v>1028</v>
      </c>
    </row>
    <row r="3461" spans="1:14" ht="22.5" customHeight="1">
      <c r="A3461" s="8">
        <v>46017.030215995372</v>
      </c>
      <c r="B3461" s="9" t="s">
        <v>14</v>
      </c>
      <c r="C3461" s="9" t="s">
        <v>15</v>
      </c>
      <c r="D3461" s="10" t="s">
        <v>7592</v>
      </c>
      <c r="E3461" s="9" t="s">
        <v>17</v>
      </c>
      <c r="F3461" s="10">
        <v>28</v>
      </c>
      <c r="G3461" s="11">
        <v>7066440860</v>
      </c>
      <c r="H3461" s="10" t="s">
        <v>7593</v>
      </c>
      <c r="I3461" s="10" t="s">
        <v>27</v>
      </c>
      <c r="J3461" s="10" t="s">
        <v>2258</v>
      </c>
      <c r="K3461" s="12">
        <v>46017</v>
      </c>
      <c r="L3461" s="28" t="s">
        <v>11</v>
      </c>
      <c r="M3461" s="14"/>
      <c r="N3461" s="10" t="s">
        <v>1028</v>
      </c>
    </row>
    <row r="3462" spans="1:14" ht="22.5" customHeight="1">
      <c r="A3462" s="8">
        <v>46017.063239537034</v>
      </c>
      <c r="B3462" s="9" t="s">
        <v>14</v>
      </c>
      <c r="C3462" s="9" t="s">
        <v>15</v>
      </c>
      <c r="D3462" s="10" t="s">
        <v>7594</v>
      </c>
      <c r="E3462" s="9" t="s">
        <v>17</v>
      </c>
      <c r="F3462" s="10">
        <v>25</v>
      </c>
      <c r="G3462" s="11">
        <v>8135948673</v>
      </c>
      <c r="H3462" s="10" t="s">
        <v>7595</v>
      </c>
      <c r="I3462" s="10" t="s">
        <v>27</v>
      </c>
      <c r="J3462" s="10" t="s">
        <v>6667</v>
      </c>
      <c r="K3462" s="12">
        <v>46017</v>
      </c>
      <c r="L3462" s="28" t="s">
        <v>11</v>
      </c>
      <c r="M3462" s="14"/>
      <c r="N3462" s="10" t="s">
        <v>1028</v>
      </c>
    </row>
    <row r="3463" spans="1:14" ht="22.5" customHeight="1">
      <c r="A3463" s="8">
        <v>46017.300340775459</v>
      </c>
      <c r="B3463" s="9" t="s">
        <v>14</v>
      </c>
      <c r="C3463" s="9" t="s">
        <v>15</v>
      </c>
      <c r="D3463" s="10" t="s">
        <v>7596</v>
      </c>
      <c r="E3463" s="9" t="s">
        <v>17</v>
      </c>
      <c r="F3463" s="10">
        <v>34</v>
      </c>
      <c r="G3463" s="11">
        <v>8134600071</v>
      </c>
      <c r="H3463" s="10" t="s">
        <v>7597</v>
      </c>
      <c r="I3463" s="10" t="s">
        <v>31</v>
      </c>
      <c r="J3463" s="10" t="s">
        <v>32</v>
      </c>
      <c r="K3463" s="12">
        <v>46017</v>
      </c>
      <c r="L3463" s="28" t="s">
        <v>11</v>
      </c>
      <c r="M3463" s="14"/>
      <c r="N3463" s="10" t="s">
        <v>1028</v>
      </c>
    </row>
    <row r="3464" spans="1:14" ht="22.5" customHeight="1">
      <c r="A3464" s="8">
        <v>46017.32370429398</v>
      </c>
      <c r="B3464" s="9" t="s">
        <v>14</v>
      </c>
      <c r="C3464" s="9" t="s">
        <v>15</v>
      </c>
      <c r="D3464" s="10" t="s">
        <v>7598</v>
      </c>
      <c r="E3464" s="9" t="s">
        <v>17</v>
      </c>
      <c r="F3464" s="10">
        <v>29</v>
      </c>
      <c r="G3464" s="11">
        <v>7038144007</v>
      </c>
      <c r="H3464" s="10" t="s">
        <v>7599</v>
      </c>
      <c r="I3464" s="10" t="s">
        <v>27</v>
      </c>
      <c r="J3464" s="10" t="s">
        <v>7600</v>
      </c>
      <c r="K3464" s="12">
        <v>46017</v>
      </c>
      <c r="L3464" s="28" t="s">
        <v>11</v>
      </c>
      <c r="M3464" s="14"/>
      <c r="N3464" s="10" t="s">
        <v>1096</v>
      </c>
    </row>
    <row r="3465" spans="1:14" ht="22.5" customHeight="1">
      <c r="A3465" s="8">
        <v>46017.323855312497</v>
      </c>
      <c r="B3465" s="9" t="s">
        <v>14</v>
      </c>
      <c r="C3465" s="9" t="s">
        <v>15</v>
      </c>
      <c r="D3465" s="10" t="s">
        <v>7601</v>
      </c>
      <c r="E3465" s="9" t="s">
        <v>17</v>
      </c>
      <c r="F3465" s="10">
        <v>42</v>
      </c>
      <c r="G3465" s="11">
        <v>8061551136</v>
      </c>
      <c r="H3465" s="10" t="s">
        <v>7602</v>
      </c>
      <c r="I3465" s="10" t="s">
        <v>202</v>
      </c>
      <c r="J3465" s="10" t="s">
        <v>3895</v>
      </c>
      <c r="K3465" s="12">
        <v>46017</v>
      </c>
      <c r="L3465" s="28" t="s">
        <v>11</v>
      </c>
      <c r="M3465" s="14"/>
      <c r="N3465" s="10" t="s">
        <v>1028</v>
      </c>
    </row>
    <row r="3466" spans="1:14" ht="22.5" customHeight="1">
      <c r="A3466" s="8">
        <v>46017.414983796298</v>
      </c>
      <c r="B3466" s="9" t="s">
        <v>14</v>
      </c>
      <c r="C3466" s="9" t="s">
        <v>15</v>
      </c>
      <c r="D3466" s="10" t="s">
        <v>7603</v>
      </c>
      <c r="E3466" s="9" t="s">
        <v>17</v>
      </c>
      <c r="F3466" s="10">
        <v>38</v>
      </c>
      <c r="G3466" s="11">
        <v>8033646350</v>
      </c>
      <c r="H3466" s="10" t="s">
        <v>7604</v>
      </c>
      <c r="I3466" s="10" t="s">
        <v>49</v>
      </c>
      <c r="J3466" s="10" t="s">
        <v>50</v>
      </c>
      <c r="K3466" s="12">
        <v>46017</v>
      </c>
      <c r="L3466" s="28" t="s">
        <v>11</v>
      </c>
      <c r="M3466" s="14"/>
      <c r="N3466" s="10" t="s">
        <v>1028</v>
      </c>
    </row>
    <row r="3467" spans="1:14" ht="22.5" customHeight="1">
      <c r="A3467" s="8">
        <v>46017.446452488424</v>
      </c>
      <c r="B3467" s="9" t="s">
        <v>14</v>
      </c>
      <c r="C3467" s="9" t="s">
        <v>15</v>
      </c>
      <c r="D3467" s="10" t="s">
        <v>7605</v>
      </c>
      <c r="E3467" s="9" t="s">
        <v>17</v>
      </c>
      <c r="F3467" s="10">
        <v>31</v>
      </c>
      <c r="G3467" s="11">
        <v>8038932497</v>
      </c>
      <c r="H3467" s="10" t="s">
        <v>7606</v>
      </c>
      <c r="I3467" s="10" t="s">
        <v>27</v>
      </c>
      <c r="J3467" s="10" t="s">
        <v>2258</v>
      </c>
      <c r="K3467" s="12">
        <v>46017</v>
      </c>
      <c r="L3467" s="28" t="s">
        <v>11</v>
      </c>
      <c r="M3467" s="14"/>
      <c r="N3467" s="10" t="s">
        <v>1028</v>
      </c>
    </row>
    <row r="3468" spans="1:14" ht="22.5" customHeight="1">
      <c r="A3468" s="8">
        <v>46017.498733506945</v>
      </c>
      <c r="B3468" s="9" t="s">
        <v>14</v>
      </c>
      <c r="C3468" s="9" t="s">
        <v>15</v>
      </c>
      <c r="D3468" s="10" t="s">
        <v>7607</v>
      </c>
      <c r="E3468" s="9" t="s">
        <v>17</v>
      </c>
      <c r="F3468" s="10">
        <v>28</v>
      </c>
      <c r="G3468" s="11">
        <v>7041058465</v>
      </c>
      <c r="H3468" s="10" t="s">
        <v>7608</v>
      </c>
      <c r="I3468" s="10" t="s">
        <v>27</v>
      </c>
      <c r="J3468" s="10" t="s">
        <v>1890</v>
      </c>
      <c r="K3468" s="12">
        <v>46017</v>
      </c>
      <c r="L3468" s="28" t="s">
        <v>11</v>
      </c>
      <c r="M3468" s="14"/>
      <c r="N3468" s="10" t="s">
        <v>1028</v>
      </c>
    </row>
    <row r="3469" spans="1:14" ht="22.5" customHeight="1">
      <c r="A3469" s="8">
        <v>46017.513644837964</v>
      </c>
      <c r="B3469" s="9" t="s">
        <v>14</v>
      </c>
      <c r="C3469" s="9" t="s">
        <v>15</v>
      </c>
      <c r="D3469" s="10" t="s">
        <v>7609</v>
      </c>
      <c r="E3469" s="9" t="s">
        <v>17</v>
      </c>
      <c r="F3469" s="10">
        <v>24</v>
      </c>
      <c r="G3469" s="11">
        <v>9166020857</v>
      </c>
      <c r="H3469" s="10" t="s">
        <v>7610</v>
      </c>
      <c r="I3469" s="10" t="s">
        <v>19</v>
      </c>
      <c r="J3469" s="10" t="s">
        <v>7611</v>
      </c>
      <c r="K3469" s="12">
        <v>46017</v>
      </c>
      <c r="L3469" s="28" t="s">
        <v>11</v>
      </c>
      <c r="M3469" s="14"/>
      <c r="N3469" s="10" t="s">
        <v>1028</v>
      </c>
    </row>
    <row r="3470" spans="1:14" ht="22.5" customHeight="1">
      <c r="A3470" s="8">
        <v>46017.525413854164</v>
      </c>
      <c r="B3470" s="9" t="s">
        <v>14</v>
      </c>
      <c r="C3470" s="9" t="s">
        <v>15</v>
      </c>
      <c r="D3470" s="10" t="s">
        <v>7612</v>
      </c>
      <c r="E3470" s="9" t="s">
        <v>22</v>
      </c>
      <c r="F3470" s="10">
        <v>30</v>
      </c>
      <c r="G3470" s="11">
        <v>8100916575</v>
      </c>
      <c r="H3470" s="10" t="s">
        <v>7613</v>
      </c>
      <c r="I3470" s="10" t="s">
        <v>27</v>
      </c>
      <c r="J3470" s="10" t="s">
        <v>1924</v>
      </c>
      <c r="K3470" s="12">
        <v>35012</v>
      </c>
      <c r="L3470" s="28" t="s">
        <v>11</v>
      </c>
      <c r="M3470" s="14"/>
      <c r="N3470" s="10" t="s">
        <v>1028</v>
      </c>
    </row>
    <row r="3471" spans="1:14" ht="22.5" customHeight="1">
      <c r="A3471" s="8">
        <v>46017.553303726847</v>
      </c>
      <c r="B3471" s="9" t="s">
        <v>14</v>
      </c>
      <c r="C3471" s="9" t="s">
        <v>15</v>
      </c>
      <c r="D3471" s="10" t="s">
        <v>7614</v>
      </c>
      <c r="E3471" s="9" t="s">
        <v>22</v>
      </c>
      <c r="F3471" s="10">
        <v>27</v>
      </c>
      <c r="G3471" s="11">
        <v>9150155147</v>
      </c>
      <c r="H3471" s="10" t="s">
        <v>7615</v>
      </c>
      <c r="I3471" s="10" t="s">
        <v>45</v>
      </c>
      <c r="J3471" s="10" t="s">
        <v>7616</v>
      </c>
      <c r="K3471" s="12">
        <v>46017</v>
      </c>
      <c r="L3471" s="28" t="s">
        <v>11</v>
      </c>
      <c r="M3471" s="14"/>
      <c r="N3471" s="10" t="s">
        <v>1028</v>
      </c>
    </row>
    <row r="3472" spans="1:14" ht="22.5" hidden="1" customHeight="1">
      <c r="A3472" s="8">
        <v>46017.607085023148</v>
      </c>
      <c r="B3472" s="9" t="s">
        <v>14</v>
      </c>
      <c r="C3472" s="9" t="s">
        <v>15</v>
      </c>
      <c r="D3472" s="10" t="s">
        <v>7617</v>
      </c>
      <c r="E3472" s="9" t="s">
        <v>22</v>
      </c>
      <c r="F3472" s="10">
        <v>30</v>
      </c>
      <c r="G3472" s="11">
        <v>8145984027</v>
      </c>
      <c r="H3472" s="10" t="s">
        <v>7618</v>
      </c>
      <c r="I3472" s="10" t="s">
        <v>202</v>
      </c>
      <c r="J3472" s="10" t="s">
        <v>7619</v>
      </c>
      <c r="K3472" s="12">
        <v>46017</v>
      </c>
      <c r="L3472" s="10" t="s">
        <v>441</v>
      </c>
      <c r="M3472" s="10" t="s">
        <v>1361</v>
      </c>
      <c r="N3472" s="10" t="s">
        <v>1028</v>
      </c>
    </row>
    <row r="3473" spans="1:14" ht="22.5" customHeight="1">
      <c r="A3473" s="8">
        <v>46017.638553217592</v>
      </c>
      <c r="B3473" s="9" t="s">
        <v>14</v>
      </c>
      <c r="C3473" s="9" t="s">
        <v>15</v>
      </c>
      <c r="D3473" s="10" t="s">
        <v>7620</v>
      </c>
      <c r="E3473" s="9" t="s">
        <v>17</v>
      </c>
      <c r="F3473" s="10">
        <v>26</v>
      </c>
      <c r="G3473" s="11">
        <v>7047050883</v>
      </c>
      <c r="H3473" s="10" t="s">
        <v>7621</v>
      </c>
      <c r="I3473" s="10" t="s">
        <v>202</v>
      </c>
      <c r="J3473" s="10" t="s">
        <v>3062</v>
      </c>
      <c r="K3473" s="12">
        <v>46017</v>
      </c>
      <c r="L3473" s="28" t="s">
        <v>11</v>
      </c>
      <c r="M3473" s="14"/>
      <c r="N3473" s="10" t="s">
        <v>1096</v>
      </c>
    </row>
    <row r="3474" spans="1:14" ht="22.5" hidden="1" customHeight="1">
      <c r="A3474" s="8">
        <v>46017.706520011576</v>
      </c>
      <c r="B3474" s="9" t="s">
        <v>14</v>
      </c>
      <c r="C3474" s="9" t="s">
        <v>15</v>
      </c>
      <c r="D3474" s="10" t="s">
        <v>7622</v>
      </c>
      <c r="E3474" s="9" t="s">
        <v>17</v>
      </c>
      <c r="F3474" s="10">
        <v>24</v>
      </c>
      <c r="G3474" s="11">
        <v>9070650458</v>
      </c>
      <c r="H3474" s="10" t="s">
        <v>7623</v>
      </c>
      <c r="I3474" s="10" t="s">
        <v>27</v>
      </c>
      <c r="J3474" s="10" t="s">
        <v>2105</v>
      </c>
      <c r="K3474" s="12">
        <v>46017</v>
      </c>
      <c r="L3474" s="10" t="s">
        <v>441</v>
      </c>
      <c r="M3474" s="10" t="s">
        <v>1361</v>
      </c>
      <c r="N3474" s="10" t="s">
        <v>1028</v>
      </c>
    </row>
    <row r="3475" spans="1:14" ht="22.5" customHeight="1">
      <c r="A3475" s="8">
        <v>46017.753663252312</v>
      </c>
      <c r="B3475" s="9" t="s">
        <v>14</v>
      </c>
      <c r="C3475" s="9" t="s">
        <v>15</v>
      </c>
      <c r="D3475" s="10" t="s">
        <v>7624</v>
      </c>
      <c r="E3475" s="9" t="s">
        <v>17</v>
      </c>
      <c r="F3475" s="10">
        <v>19</v>
      </c>
      <c r="G3475" s="11">
        <v>9075017670</v>
      </c>
      <c r="H3475" s="10" t="s">
        <v>7625</v>
      </c>
      <c r="I3475" s="10" t="s">
        <v>27</v>
      </c>
      <c r="J3475" s="10" t="s">
        <v>67</v>
      </c>
      <c r="K3475" s="12">
        <v>46017</v>
      </c>
      <c r="L3475" s="28" t="s">
        <v>11</v>
      </c>
      <c r="M3475" s="14"/>
      <c r="N3475" s="10" t="s">
        <v>1028</v>
      </c>
    </row>
    <row r="3476" spans="1:14" ht="22.5" customHeight="1">
      <c r="A3476" s="8">
        <v>46017.806825150459</v>
      </c>
      <c r="B3476" s="9" t="s">
        <v>14</v>
      </c>
      <c r="C3476" s="9" t="s">
        <v>15</v>
      </c>
      <c r="D3476" s="10" t="s">
        <v>2534</v>
      </c>
      <c r="E3476" s="9" t="s">
        <v>17</v>
      </c>
      <c r="F3476" s="10">
        <v>35</v>
      </c>
      <c r="G3476" s="11">
        <v>7035902680</v>
      </c>
      <c r="H3476" s="10" t="s">
        <v>7626</v>
      </c>
      <c r="I3476" s="10" t="s">
        <v>27</v>
      </c>
      <c r="J3476" s="10" t="s">
        <v>94</v>
      </c>
      <c r="K3476" s="12">
        <v>46017</v>
      </c>
      <c r="L3476" s="28" t="s">
        <v>11</v>
      </c>
      <c r="M3476" s="14"/>
      <c r="N3476" s="10" t="s">
        <v>1028</v>
      </c>
    </row>
    <row r="3477" spans="1:14" ht="22.5" customHeight="1">
      <c r="A3477" s="8">
        <v>46017.829430277779</v>
      </c>
      <c r="B3477" s="9" t="s">
        <v>14</v>
      </c>
      <c r="C3477" s="9" t="s">
        <v>15</v>
      </c>
      <c r="D3477" s="10" t="s">
        <v>7627</v>
      </c>
      <c r="E3477" s="9" t="s">
        <v>17</v>
      </c>
      <c r="F3477" s="10">
        <v>36</v>
      </c>
      <c r="G3477" s="11">
        <v>8066726439</v>
      </c>
      <c r="H3477" s="10" t="s">
        <v>7628</v>
      </c>
      <c r="I3477" s="10" t="s">
        <v>31</v>
      </c>
      <c r="J3477" s="10" t="s">
        <v>39</v>
      </c>
      <c r="K3477" s="12">
        <v>32582</v>
      </c>
      <c r="L3477" s="28" t="s">
        <v>11</v>
      </c>
      <c r="M3477" s="14"/>
      <c r="N3477" s="10" t="s">
        <v>1028</v>
      </c>
    </row>
    <row r="3478" spans="1:14" ht="22.5" customHeight="1">
      <c r="A3478" s="8">
        <v>46017.91007460648</v>
      </c>
      <c r="B3478" s="9" t="s">
        <v>14</v>
      </c>
      <c r="C3478" s="9" t="s">
        <v>15</v>
      </c>
      <c r="D3478" s="10" t="s">
        <v>7629</v>
      </c>
      <c r="E3478" s="9" t="s">
        <v>17</v>
      </c>
      <c r="F3478" s="10">
        <v>24</v>
      </c>
      <c r="G3478" s="11">
        <v>7042255641</v>
      </c>
      <c r="H3478" s="10" t="s">
        <v>7630</v>
      </c>
      <c r="I3478" s="10" t="s">
        <v>45</v>
      </c>
      <c r="J3478" s="10" t="s">
        <v>7631</v>
      </c>
      <c r="K3478" s="12">
        <v>46017</v>
      </c>
      <c r="L3478" s="28" t="s">
        <v>11</v>
      </c>
      <c r="M3478" s="14"/>
      <c r="N3478" s="10" t="s">
        <v>1028</v>
      </c>
    </row>
    <row r="3479" spans="1:14" ht="22.5" customHeight="1">
      <c r="A3479" s="8">
        <v>46017.916287465283</v>
      </c>
      <c r="B3479" s="9" t="s">
        <v>14</v>
      </c>
      <c r="C3479" s="9" t="s">
        <v>15</v>
      </c>
      <c r="D3479" s="10" t="s">
        <v>7632</v>
      </c>
      <c r="E3479" s="9" t="s">
        <v>22</v>
      </c>
      <c r="F3479" s="10">
        <v>49</v>
      </c>
      <c r="G3479" s="11">
        <v>8058994329</v>
      </c>
      <c r="H3479" s="10" t="s">
        <v>7633</v>
      </c>
      <c r="I3479" s="10" t="s">
        <v>27</v>
      </c>
      <c r="J3479" s="10" t="s">
        <v>1456</v>
      </c>
      <c r="K3479" s="12">
        <v>46017</v>
      </c>
      <c r="L3479" s="28" t="s">
        <v>11</v>
      </c>
      <c r="M3479" s="14"/>
      <c r="N3479" s="10" t="s">
        <v>1028</v>
      </c>
    </row>
    <row r="3480" spans="1:14" ht="22.5" customHeight="1">
      <c r="A3480" s="8">
        <v>46018.071127974537</v>
      </c>
      <c r="B3480" s="9" t="s">
        <v>14</v>
      </c>
      <c r="C3480" s="9" t="s">
        <v>15</v>
      </c>
      <c r="D3480" s="10" t="s">
        <v>7634</v>
      </c>
      <c r="E3480" s="9" t="s">
        <v>22</v>
      </c>
      <c r="F3480" s="10">
        <v>23</v>
      </c>
      <c r="G3480" s="11">
        <v>9065303703</v>
      </c>
      <c r="H3480" s="10" t="s">
        <v>7635</v>
      </c>
      <c r="I3480" s="10" t="s">
        <v>145</v>
      </c>
      <c r="J3480" s="10" t="s">
        <v>3296</v>
      </c>
      <c r="K3480" s="12">
        <v>46018</v>
      </c>
      <c r="L3480" s="28" t="s">
        <v>11</v>
      </c>
      <c r="M3480" s="14"/>
      <c r="N3480" s="10" t="s">
        <v>1028</v>
      </c>
    </row>
    <row r="3481" spans="1:14" ht="22.5" customHeight="1">
      <c r="A3481" s="8">
        <v>46018.218469976855</v>
      </c>
      <c r="B3481" s="9" t="s">
        <v>14</v>
      </c>
      <c r="C3481" s="9" t="s">
        <v>15</v>
      </c>
      <c r="D3481" s="10" t="s">
        <v>7636</v>
      </c>
      <c r="E3481" s="9" t="s">
        <v>17</v>
      </c>
      <c r="F3481" s="10">
        <v>31</v>
      </c>
      <c r="G3481" s="11">
        <v>7088284699</v>
      </c>
      <c r="H3481" s="10" t="s">
        <v>7637</v>
      </c>
      <c r="I3481" s="10" t="s">
        <v>145</v>
      </c>
      <c r="J3481" s="10" t="s">
        <v>530</v>
      </c>
      <c r="K3481" s="12">
        <v>46018</v>
      </c>
      <c r="L3481" s="28" t="s">
        <v>11</v>
      </c>
      <c r="M3481" s="14"/>
      <c r="N3481" s="10" t="s">
        <v>1096</v>
      </c>
    </row>
    <row r="3482" spans="1:14" ht="22.5" customHeight="1">
      <c r="A3482" s="8">
        <v>46018.261201215282</v>
      </c>
      <c r="B3482" s="9" t="s">
        <v>14</v>
      </c>
      <c r="C3482" s="9" t="s">
        <v>15</v>
      </c>
      <c r="D3482" s="10" t="s">
        <v>7638</v>
      </c>
      <c r="E3482" s="9" t="s">
        <v>22</v>
      </c>
      <c r="F3482" s="10">
        <v>31</v>
      </c>
      <c r="G3482" s="11">
        <v>8130734756</v>
      </c>
      <c r="H3482" s="10" t="s">
        <v>7639</v>
      </c>
      <c r="I3482" s="10" t="s">
        <v>202</v>
      </c>
      <c r="J3482" s="10" t="s">
        <v>1619</v>
      </c>
      <c r="K3482" s="12">
        <v>46018</v>
      </c>
      <c r="L3482" s="28" t="s">
        <v>11</v>
      </c>
      <c r="M3482" s="14"/>
      <c r="N3482" s="10" t="s">
        <v>1028</v>
      </c>
    </row>
    <row r="3483" spans="1:14" ht="22.5" customHeight="1">
      <c r="A3483" s="8">
        <v>46018.294598391207</v>
      </c>
      <c r="B3483" s="9" t="s">
        <v>14</v>
      </c>
      <c r="C3483" s="9" t="s">
        <v>15</v>
      </c>
      <c r="D3483" s="10" t="s">
        <v>7640</v>
      </c>
      <c r="E3483" s="9" t="s">
        <v>17</v>
      </c>
      <c r="F3483" s="10">
        <v>35</v>
      </c>
      <c r="G3483" s="11">
        <v>8036299633</v>
      </c>
      <c r="H3483" s="10" t="s">
        <v>7641</v>
      </c>
      <c r="I3483" s="10" t="s">
        <v>27</v>
      </c>
      <c r="J3483" s="10" t="s">
        <v>372</v>
      </c>
      <c r="K3483" s="12">
        <v>45993</v>
      </c>
      <c r="L3483" s="28" t="s">
        <v>11</v>
      </c>
      <c r="M3483" s="14"/>
      <c r="N3483" s="10" t="s">
        <v>1028</v>
      </c>
    </row>
    <row r="3484" spans="1:14" ht="22.5" customHeight="1">
      <c r="A3484" s="8">
        <v>46018.312248414353</v>
      </c>
      <c r="B3484" s="9" t="s">
        <v>14</v>
      </c>
      <c r="C3484" s="9" t="s">
        <v>15</v>
      </c>
      <c r="D3484" s="10" t="s">
        <v>7642</v>
      </c>
      <c r="E3484" s="9" t="s">
        <v>17</v>
      </c>
      <c r="F3484" s="10">
        <v>32</v>
      </c>
      <c r="G3484" s="11">
        <v>8066595226</v>
      </c>
      <c r="H3484" s="10" t="s">
        <v>7643</v>
      </c>
      <c r="I3484" s="10" t="s">
        <v>27</v>
      </c>
      <c r="J3484" s="10" t="s">
        <v>94</v>
      </c>
      <c r="K3484" s="12">
        <v>34075</v>
      </c>
      <c r="L3484" s="28" t="s">
        <v>11</v>
      </c>
      <c r="M3484" s="14"/>
      <c r="N3484" s="10" t="s">
        <v>1028</v>
      </c>
    </row>
    <row r="3485" spans="1:14" ht="22.5" customHeight="1">
      <c r="A3485" s="8">
        <v>46018.348064560181</v>
      </c>
      <c r="B3485" s="9" t="s">
        <v>14</v>
      </c>
      <c r="C3485" s="9" t="s">
        <v>15</v>
      </c>
      <c r="D3485" s="10" t="s">
        <v>7644</v>
      </c>
      <c r="E3485" s="9" t="s">
        <v>22</v>
      </c>
      <c r="F3485" s="10">
        <v>22</v>
      </c>
      <c r="G3485" s="11">
        <v>3420875068</v>
      </c>
      <c r="H3485" s="10" t="s">
        <v>7645</v>
      </c>
      <c r="I3485" s="10" t="s">
        <v>19</v>
      </c>
      <c r="J3485" s="10" t="s">
        <v>7646</v>
      </c>
      <c r="K3485" s="12">
        <v>46018</v>
      </c>
      <c r="L3485" s="28" t="s">
        <v>11</v>
      </c>
      <c r="M3485" s="14"/>
      <c r="N3485" s="10" t="s">
        <v>1028</v>
      </c>
    </row>
    <row r="3486" spans="1:14" ht="22.5" customHeight="1">
      <c r="A3486" s="8">
        <v>46018.349865925928</v>
      </c>
      <c r="B3486" s="9" t="s">
        <v>14</v>
      </c>
      <c r="C3486" s="9" t="s">
        <v>15</v>
      </c>
      <c r="D3486" s="10" t="s">
        <v>7647</v>
      </c>
      <c r="E3486" s="9" t="s">
        <v>17</v>
      </c>
      <c r="F3486" s="10">
        <v>18</v>
      </c>
      <c r="G3486" s="11">
        <v>8122092532</v>
      </c>
      <c r="H3486" s="10" t="s">
        <v>7295</v>
      </c>
      <c r="I3486" s="10" t="s">
        <v>45</v>
      </c>
      <c r="J3486" s="10" t="s">
        <v>5601</v>
      </c>
      <c r="K3486" s="12">
        <v>46018</v>
      </c>
      <c r="L3486" s="28" t="s">
        <v>11</v>
      </c>
      <c r="M3486" s="14"/>
      <c r="N3486" s="10" t="s">
        <v>1028</v>
      </c>
    </row>
    <row r="3487" spans="1:14" ht="22.5" customHeight="1">
      <c r="A3487" s="8">
        <v>46018.366715717595</v>
      </c>
      <c r="B3487" s="9" t="s">
        <v>14</v>
      </c>
      <c r="C3487" s="9" t="s">
        <v>15</v>
      </c>
      <c r="D3487" s="10" t="s">
        <v>7648</v>
      </c>
      <c r="E3487" s="9" t="s">
        <v>22</v>
      </c>
      <c r="F3487" s="10">
        <v>24</v>
      </c>
      <c r="G3487" s="11">
        <v>8032064731</v>
      </c>
      <c r="H3487" s="10" t="s">
        <v>7649</v>
      </c>
      <c r="I3487" s="10" t="s">
        <v>45</v>
      </c>
      <c r="J3487" s="10" t="s">
        <v>932</v>
      </c>
      <c r="K3487" s="12">
        <v>46018</v>
      </c>
      <c r="L3487" s="28" t="s">
        <v>11</v>
      </c>
      <c r="M3487" s="14"/>
      <c r="N3487" s="10" t="s">
        <v>1096</v>
      </c>
    </row>
    <row r="3488" spans="1:14" ht="22.5" customHeight="1">
      <c r="A3488" s="8">
        <v>46018.458745277778</v>
      </c>
      <c r="B3488" s="9" t="s">
        <v>14</v>
      </c>
      <c r="C3488" s="9" t="s">
        <v>15</v>
      </c>
      <c r="D3488" s="10" t="s">
        <v>7650</v>
      </c>
      <c r="E3488" s="9" t="s">
        <v>17</v>
      </c>
      <c r="F3488" s="10">
        <v>29</v>
      </c>
      <c r="G3488" s="11">
        <v>9068248350</v>
      </c>
      <c r="H3488" s="10" t="s">
        <v>7651</v>
      </c>
      <c r="I3488" s="10" t="s">
        <v>19</v>
      </c>
      <c r="J3488" s="10" t="s">
        <v>166</v>
      </c>
      <c r="K3488" s="12">
        <v>46018</v>
      </c>
      <c r="L3488" s="28" t="s">
        <v>11</v>
      </c>
      <c r="M3488" s="14"/>
      <c r="N3488" s="10" t="s">
        <v>1028</v>
      </c>
    </row>
    <row r="3489" spans="1:14" ht="22.5" customHeight="1">
      <c r="A3489" s="8">
        <v>46018.461538645832</v>
      </c>
      <c r="B3489" s="9" t="s">
        <v>14</v>
      </c>
      <c r="C3489" s="9" t="s">
        <v>15</v>
      </c>
      <c r="D3489" s="10" t="s">
        <v>7652</v>
      </c>
      <c r="E3489" s="9" t="s">
        <v>17</v>
      </c>
      <c r="F3489" s="10">
        <v>22</v>
      </c>
      <c r="G3489" s="11">
        <v>8020407829</v>
      </c>
      <c r="H3489" s="10" t="s">
        <v>7653</v>
      </c>
      <c r="I3489" s="10" t="s">
        <v>45</v>
      </c>
      <c r="J3489" s="10" t="s">
        <v>901</v>
      </c>
      <c r="K3489" s="12">
        <v>46018</v>
      </c>
      <c r="L3489" s="28" t="s">
        <v>11</v>
      </c>
      <c r="M3489" s="14"/>
      <c r="N3489" s="10" t="s">
        <v>1028</v>
      </c>
    </row>
    <row r="3490" spans="1:14" ht="22.5" customHeight="1">
      <c r="A3490" s="8">
        <v>46018.485364444445</v>
      </c>
      <c r="B3490" s="9" t="s">
        <v>14</v>
      </c>
      <c r="C3490" s="9" t="s">
        <v>15</v>
      </c>
      <c r="D3490" s="10" t="s">
        <v>7654</v>
      </c>
      <c r="E3490" s="9" t="s">
        <v>17</v>
      </c>
      <c r="F3490" s="10">
        <v>31</v>
      </c>
      <c r="G3490" s="11">
        <v>9033272825</v>
      </c>
      <c r="H3490" s="10" t="s">
        <v>7655</v>
      </c>
      <c r="I3490" s="10" t="s">
        <v>31</v>
      </c>
      <c r="J3490" s="10" t="s">
        <v>2410</v>
      </c>
      <c r="K3490" s="12">
        <v>46018</v>
      </c>
      <c r="L3490" s="28" t="s">
        <v>11</v>
      </c>
      <c r="M3490" s="14"/>
      <c r="N3490" s="10" t="s">
        <v>1028</v>
      </c>
    </row>
    <row r="3491" spans="1:14" ht="22.5" customHeight="1">
      <c r="A3491" s="8">
        <v>46018.491930185184</v>
      </c>
      <c r="B3491" s="9" t="s">
        <v>14</v>
      </c>
      <c r="C3491" s="9" t="s">
        <v>15</v>
      </c>
      <c r="D3491" s="10" t="s">
        <v>7656</v>
      </c>
      <c r="E3491" s="9" t="s">
        <v>17</v>
      </c>
      <c r="F3491" s="10">
        <v>33</v>
      </c>
      <c r="G3491" s="11">
        <v>9150818193</v>
      </c>
      <c r="H3491" s="10" t="s">
        <v>7657</v>
      </c>
      <c r="I3491" s="10" t="s">
        <v>31</v>
      </c>
      <c r="J3491" s="10" t="s">
        <v>2358</v>
      </c>
      <c r="K3491" s="12">
        <v>46018</v>
      </c>
      <c r="L3491" s="28" t="s">
        <v>11</v>
      </c>
      <c r="M3491" s="14"/>
      <c r="N3491" s="10" t="s">
        <v>1028</v>
      </c>
    </row>
    <row r="3492" spans="1:14" ht="22.5" customHeight="1">
      <c r="A3492" s="8">
        <v>46018.502373657408</v>
      </c>
      <c r="B3492" s="9" t="s">
        <v>14</v>
      </c>
      <c r="C3492" s="9" t="s">
        <v>15</v>
      </c>
      <c r="D3492" s="10" t="s">
        <v>7658</v>
      </c>
      <c r="E3492" s="9" t="s">
        <v>17</v>
      </c>
      <c r="F3492" s="10">
        <v>28</v>
      </c>
      <c r="G3492" s="11">
        <v>9074932420</v>
      </c>
      <c r="H3492" s="10" t="s">
        <v>7659</v>
      </c>
      <c r="I3492" s="10" t="s">
        <v>45</v>
      </c>
      <c r="J3492" s="10" t="s">
        <v>901</v>
      </c>
      <c r="K3492" s="12">
        <v>46018</v>
      </c>
      <c r="L3492" s="28" t="s">
        <v>11</v>
      </c>
      <c r="M3492" s="14"/>
      <c r="N3492" s="10" t="s">
        <v>1028</v>
      </c>
    </row>
    <row r="3493" spans="1:14" ht="22.5" customHeight="1">
      <c r="A3493" s="8">
        <v>46018.507893275462</v>
      </c>
      <c r="B3493" s="9" t="s">
        <v>14</v>
      </c>
      <c r="C3493" s="9" t="s">
        <v>15</v>
      </c>
      <c r="D3493" s="10" t="s">
        <v>7660</v>
      </c>
      <c r="E3493" s="9" t="s">
        <v>22</v>
      </c>
      <c r="F3493" s="10">
        <v>35</v>
      </c>
      <c r="G3493" s="11">
        <v>8102301448</v>
      </c>
      <c r="H3493" s="10" t="s">
        <v>7661</v>
      </c>
      <c r="I3493" s="10" t="s">
        <v>31</v>
      </c>
      <c r="J3493" s="10" t="s">
        <v>39</v>
      </c>
      <c r="K3493" s="12">
        <v>46018</v>
      </c>
      <c r="L3493" s="28" t="s">
        <v>11</v>
      </c>
      <c r="M3493" s="14"/>
      <c r="N3493" s="10" t="s">
        <v>1028</v>
      </c>
    </row>
    <row r="3494" spans="1:14" ht="22.5" customHeight="1">
      <c r="A3494" s="8">
        <v>46018.550043587966</v>
      </c>
      <c r="B3494" s="9" t="s">
        <v>14</v>
      </c>
      <c r="C3494" s="9" t="s">
        <v>15</v>
      </c>
      <c r="D3494" s="10" t="s">
        <v>7662</v>
      </c>
      <c r="E3494" s="9" t="s">
        <v>17</v>
      </c>
      <c r="F3494" s="10">
        <v>27</v>
      </c>
      <c r="G3494" s="11">
        <v>7033864154</v>
      </c>
      <c r="H3494" s="10" t="s">
        <v>7663</v>
      </c>
      <c r="I3494" s="10" t="s">
        <v>45</v>
      </c>
      <c r="J3494" s="10" t="s">
        <v>5955</v>
      </c>
      <c r="K3494" s="12">
        <v>35919</v>
      </c>
      <c r="L3494" s="28" t="s">
        <v>11</v>
      </c>
      <c r="M3494" s="14"/>
      <c r="N3494" s="10" t="s">
        <v>1028</v>
      </c>
    </row>
    <row r="3495" spans="1:14" ht="22.5" customHeight="1">
      <c r="A3495" s="8">
        <v>46018.554458935185</v>
      </c>
      <c r="B3495" s="9" t="s">
        <v>14</v>
      </c>
      <c r="C3495" s="9" t="s">
        <v>15</v>
      </c>
      <c r="D3495" s="10" t="s">
        <v>7664</v>
      </c>
      <c r="E3495" s="9" t="s">
        <v>22</v>
      </c>
      <c r="F3495" s="10">
        <v>23</v>
      </c>
      <c r="G3495" s="11">
        <v>9067232462</v>
      </c>
      <c r="H3495" s="10" t="s">
        <v>7665</v>
      </c>
      <c r="I3495" s="10" t="s">
        <v>45</v>
      </c>
      <c r="J3495" s="10" t="s">
        <v>932</v>
      </c>
      <c r="K3495" s="12">
        <v>46018</v>
      </c>
      <c r="L3495" s="28" t="s">
        <v>11</v>
      </c>
      <c r="M3495" s="14"/>
      <c r="N3495" s="10" t="s">
        <v>1028</v>
      </c>
    </row>
    <row r="3496" spans="1:14" ht="22.5" customHeight="1">
      <c r="A3496" s="8">
        <v>46018.562020034718</v>
      </c>
      <c r="B3496" s="9" t="s">
        <v>14</v>
      </c>
      <c r="C3496" s="9" t="s">
        <v>15</v>
      </c>
      <c r="D3496" s="10" t="s">
        <v>7666</v>
      </c>
      <c r="E3496" s="9" t="s">
        <v>17</v>
      </c>
      <c r="F3496" s="18">
        <v>22</v>
      </c>
      <c r="G3496" s="11">
        <v>8158560135</v>
      </c>
      <c r="H3496" s="10" t="s">
        <v>7667</v>
      </c>
      <c r="I3496" s="10" t="s">
        <v>45</v>
      </c>
      <c r="J3496" s="10" t="s">
        <v>7668</v>
      </c>
      <c r="K3496" s="12">
        <v>46018</v>
      </c>
      <c r="L3496" s="28" t="s">
        <v>11</v>
      </c>
      <c r="M3496" s="14"/>
      <c r="N3496" s="10" t="s">
        <v>1028</v>
      </c>
    </row>
    <row r="3497" spans="1:14" ht="22.5" customHeight="1">
      <c r="A3497" s="8">
        <v>46018.58688185185</v>
      </c>
      <c r="B3497" s="9" t="s">
        <v>14</v>
      </c>
      <c r="C3497" s="9" t="s">
        <v>15</v>
      </c>
      <c r="D3497" s="10" t="s">
        <v>7669</v>
      </c>
      <c r="E3497" s="9" t="s">
        <v>17</v>
      </c>
      <c r="F3497" s="10">
        <v>26</v>
      </c>
      <c r="G3497" s="11">
        <v>7085213479</v>
      </c>
      <c r="H3497" s="10" t="s">
        <v>7670</v>
      </c>
      <c r="I3497" s="10" t="s">
        <v>45</v>
      </c>
      <c r="J3497" s="10" t="s">
        <v>339</v>
      </c>
      <c r="K3497" s="12">
        <v>46018</v>
      </c>
      <c r="L3497" s="28" t="s">
        <v>11</v>
      </c>
      <c r="M3497" s="14"/>
      <c r="N3497" s="10" t="s">
        <v>1096</v>
      </c>
    </row>
    <row r="3498" spans="1:14" ht="22.5" customHeight="1">
      <c r="A3498" s="8">
        <v>46018.603954664351</v>
      </c>
      <c r="B3498" s="9" t="s">
        <v>14</v>
      </c>
      <c r="C3498" s="9" t="s">
        <v>15</v>
      </c>
      <c r="D3498" s="10" t="s">
        <v>1505</v>
      </c>
      <c r="E3498" s="9" t="s">
        <v>17</v>
      </c>
      <c r="F3498" s="10">
        <v>23</v>
      </c>
      <c r="G3498" s="11">
        <v>8055526814</v>
      </c>
      <c r="H3498" s="10" t="s">
        <v>7671</v>
      </c>
      <c r="I3498" s="10" t="s">
        <v>45</v>
      </c>
      <c r="J3498" s="10" t="s">
        <v>932</v>
      </c>
      <c r="K3498" s="12">
        <v>46018</v>
      </c>
      <c r="L3498" s="28" t="s">
        <v>11</v>
      </c>
      <c r="M3498" s="14"/>
      <c r="N3498" s="10" t="s">
        <v>1028</v>
      </c>
    </row>
    <row r="3499" spans="1:14" ht="22.5" customHeight="1">
      <c r="A3499" s="8">
        <v>46018.604195717591</v>
      </c>
      <c r="B3499" s="9" t="s">
        <v>14</v>
      </c>
      <c r="C3499" s="9" t="s">
        <v>15</v>
      </c>
      <c r="D3499" s="10" t="s">
        <v>7672</v>
      </c>
      <c r="E3499" s="9" t="s">
        <v>17</v>
      </c>
      <c r="F3499" s="10">
        <v>25</v>
      </c>
      <c r="G3499" s="11">
        <v>7082367550</v>
      </c>
      <c r="H3499" s="10" t="s">
        <v>7673</v>
      </c>
      <c r="I3499" s="10" t="s">
        <v>145</v>
      </c>
      <c r="J3499" s="10" t="s">
        <v>3584</v>
      </c>
      <c r="K3499" s="12">
        <v>46018</v>
      </c>
      <c r="L3499" s="28" t="s">
        <v>11</v>
      </c>
      <c r="M3499" s="14"/>
      <c r="N3499" s="10" t="s">
        <v>1028</v>
      </c>
    </row>
    <row r="3500" spans="1:14" ht="22.5" customHeight="1">
      <c r="A3500" s="8">
        <v>46018.636455254629</v>
      </c>
      <c r="B3500" s="9" t="s">
        <v>14</v>
      </c>
      <c r="C3500" s="9" t="s">
        <v>15</v>
      </c>
      <c r="D3500" s="10" t="s">
        <v>7674</v>
      </c>
      <c r="E3500" s="9" t="s">
        <v>22</v>
      </c>
      <c r="F3500" s="10">
        <v>30</v>
      </c>
      <c r="G3500" s="11">
        <v>8146794884</v>
      </c>
      <c r="H3500" s="10" t="s">
        <v>7675</v>
      </c>
      <c r="I3500" s="10" t="s">
        <v>145</v>
      </c>
      <c r="J3500" s="10" t="s">
        <v>1717</v>
      </c>
      <c r="K3500" s="12">
        <v>46018</v>
      </c>
      <c r="L3500" s="28" t="s">
        <v>11</v>
      </c>
      <c r="M3500" s="14"/>
      <c r="N3500" s="10" t="s">
        <v>1028</v>
      </c>
    </row>
    <row r="3501" spans="1:14" ht="22.5" customHeight="1">
      <c r="A3501" s="8">
        <v>46018.679237546297</v>
      </c>
      <c r="B3501" s="9" t="s">
        <v>14</v>
      </c>
      <c r="C3501" s="9" t="s">
        <v>15</v>
      </c>
      <c r="D3501" s="10" t="s">
        <v>7676</v>
      </c>
      <c r="E3501" s="9" t="s">
        <v>17</v>
      </c>
      <c r="F3501" s="10">
        <v>35</v>
      </c>
      <c r="G3501" s="11">
        <v>8085060892</v>
      </c>
      <c r="H3501" s="10" t="s">
        <v>7677</v>
      </c>
      <c r="I3501" s="10" t="s">
        <v>202</v>
      </c>
      <c r="J3501" s="10" t="s">
        <v>4651</v>
      </c>
      <c r="K3501" s="12">
        <v>32950</v>
      </c>
      <c r="L3501" s="28" t="s">
        <v>11</v>
      </c>
      <c r="M3501" s="14"/>
      <c r="N3501" s="10" t="s">
        <v>1028</v>
      </c>
    </row>
    <row r="3502" spans="1:14" ht="22.5" customHeight="1">
      <c r="A3502" s="8">
        <v>46018.753517997684</v>
      </c>
      <c r="B3502" s="9" t="s">
        <v>14</v>
      </c>
      <c r="C3502" s="9" t="s">
        <v>15</v>
      </c>
      <c r="D3502" s="10" t="s">
        <v>7678</v>
      </c>
      <c r="E3502" s="9" t="s">
        <v>17</v>
      </c>
      <c r="F3502" s="10">
        <v>30</v>
      </c>
      <c r="G3502" s="11">
        <f t="shared" ref="G3502" si="89">2347039474589</f>
        <v>2347039474589</v>
      </c>
      <c r="H3502" s="10" t="s">
        <v>7679</v>
      </c>
      <c r="I3502" s="10" t="s">
        <v>49</v>
      </c>
      <c r="J3502" s="10" t="s">
        <v>109</v>
      </c>
      <c r="K3502" s="12">
        <v>46018</v>
      </c>
      <c r="L3502" s="28" t="s">
        <v>11</v>
      </c>
      <c r="M3502" s="14"/>
      <c r="N3502" s="10" t="s">
        <v>1028</v>
      </c>
    </row>
    <row r="3503" spans="1:14" ht="22.5" customHeight="1">
      <c r="A3503" s="8">
        <v>46018.763426678241</v>
      </c>
      <c r="B3503" s="9" t="s">
        <v>14</v>
      </c>
      <c r="C3503" s="9" t="s">
        <v>15</v>
      </c>
      <c r="D3503" s="10" t="s">
        <v>7680</v>
      </c>
      <c r="E3503" s="9" t="s">
        <v>17</v>
      </c>
      <c r="F3503" s="10">
        <v>28</v>
      </c>
      <c r="G3503" s="11">
        <v>9035092049</v>
      </c>
      <c r="H3503" s="10" t="s">
        <v>7681</v>
      </c>
      <c r="I3503" s="10" t="s">
        <v>202</v>
      </c>
      <c r="J3503" s="10" t="s">
        <v>203</v>
      </c>
      <c r="K3503" s="12">
        <v>46018</v>
      </c>
      <c r="L3503" s="28" t="s">
        <v>11</v>
      </c>
      <c r="M3503" s="14"/>
      <c r="N3503" s="10" t="s">
        <v>1028</v>
      </c>
    </row>
    <row r="3504" spans="1:14" ht="22.5" customHeight="1">
      <c r="A3504" s="8">
        <v>46018.771367777779</v>
      </c>
      <c r="B3504" s="9" t="s">
        <v>14</v>
      </c>
      <c r="C3504" s="9" t="s">
        <v>15</v>
      </c>
      <c r="D3504" s="10" t="s">
        <v>7682</v>
      </c>
      <c r="E3504" s="9" t="s">
        <v>17</v>
      </c>
      <c r="F3504" s="10">
        <v>25</v>
      </c>
      <c r="G3504" s="11">
        <v>9065401194</v>
      </c>
      <c r="H3504" s="10" t="s">
        <v>7683</v>
      </c>
      <c r="I3504" s="10" t="s">
        <v>45</v>
      </c>
      <c r="J3504" s="10" t="s">
        <v>287</v>
      </c>
      <c r="K3504" s="12">
        <v>46018</v>
      </c>
      <c r="L3504" s="28" t="s">
        <v>11</v>
      </c>
      <c r="M3504" s="14"/>
      <c r="N3504" s="10" t="s">
        <v>1096</v>
      </c>
    </row>
    <row r="3505" spans="1:14" ht="22.5" customHeight="1">
      <c r="A3505" s="8">
        <v>46018.794393055556</v>
      </c>
      <c r="B3505" s="9" t="s">
        <v>14</v>
      </c>
      <c r="C3505" s="9" t="s">
        <v>15</v>
      </c>
      <c r="D3505" s="10" t="s">
        <v>7684</v>
      </c>
      <c r="E3505" s="9" t="s">
        <v>22</v>
      </c>
      <c r="F3505" s="10">
        <v>28</v>
      </c>
      <c r="G3505" s="11">
        <v>7088104753</v>
      </c>
      <c r="H3505" s="10" t="s">
        <v>7685</v>
      </c>
      <c r="I3505" s="10" t="s">
        <v>45</v>
      </c>
      <c r="J3505" s="10" t="s">
        <v>46</v>
      </c>
      <c r="K3505" s="12">
        <v>46018</v>
      </c>
      <c r="L3505" s="28" t="s">
        <v>11</v>
      </c>
      <c r="M3505" s="14"/>
      <c r="N3505" s="10" t="s">
        <v>1096</v>
      </c>
    </row>
    <row r="3506" spans="1:14" ht="22.5" customHeight="1">
      <c r="A3506" s="8">
        <v>46018.796475925927</v>
      </c>
      <c r="B3506" s="9" t="s">
        <v>14</v>
      </c>
      <c r="C3506" s="9" t="s">
        <v>15</v>
      </c>
      <c r="D3506" s="10" t="s">
        <v>7686</v>
      </c>
      <c r="E3506" s="9" t="s">
        <v>22</v>
      </c>
      <c r="F3506" s="19">
        <v>18</v>
      </c>
      <c r="G3506" s="11">
        <v>9037544622</v>
      </c>
      <c r="H3506" s="10" t="s">
        <v>7687</v>
      </c>
      <c r="I3506" s="10" t="s">
        <v>19</v>
      </c>
      <c r="J3506" s="10" t="s">
        <v>7688</v>
      </c>
      <c r="K3506" s="12">
        <v>46018</v>
      </c>
      <c r="L3506" s="28" t="s">
        <v>11</v>
      </c>
      <c r="M3506" s="14"/>
      <c r="N3506" s="10" t="s">
        <v>1028</v>
      </c>
    </row>
    <row r="3507" spans="1:14" ht="22.5" customHeight="1">
      <c r="A3507" s="8">
        <v>46018.79716898148</v>
      </c>
      <c r="B3507" s="9" t="s">
        <v>14</v>
      </c>
      <c r="C3507" s="9" t="s">
        <v>15</v>
      </c>
      <c r="D3507" s="10" t="s">
        <v>7689</v>
      </c>
      <c r="E3507" s="9" t="s">
        <v>17</v>
      </c>
      <c r="F3507" s="10">
        <v>28</v>
      </c>
      <c r="G3507" s="11">
        <v>8106733016</v>
      </c>
      <c r="H3507" s="10" t="s">
        <v>7690</v>
      </c>
      <c r="I3507" s="10" t="s">
        <v>19</v>
      </c>
      <c r="J3507" s="10" t="s">
        <v>812</v>
      </c>
      <c r="K3507" s="12">
        <v>46018</v>
      </c>
      <c r="L3507" s="28" t="s">
        <v>11</v>
      </c>
      <c r="M3507" s="14"/>
      <c r="N3507" s="10" t="s">
        <v>1096</v>
      </c>
    </row>
    <row r="3508" spans="1:14" ht="22.5" hidden="1" customHeight="1">
      <c r="A3508" s="8">
        <v>46018.801287685186</v>
      </c>
      <c r="B3508" s="9" t="s">
        <v>14</v>
      </c>
      <c r="C3508" s="9" t="s">
        <v>15</v>
      </c>
      <c r="D3508" s="10" t="s">
        <v>7691</v>
      </c>
      <c r="E3508" s="9" t="s">
        <v>22</v>
      </c>
      <c r="F3508" s="10">
        <v>45</v>
      </c>
      <c r="G3508" s="11">
        <v>8037533720</v>
      </c>
      <c r="H3508" s="10" t="s">
        <v>7692</v>
      </c>
      <c r="I3508" s="10" t="s">
        <v>202</v>
      </c>
      <c r="J3508" s="10" t="s">
        <v>7688</v>
      </c>
      <c r="K3508" s="12">
        <v>46018</v>
      </c>
      <c r="L3508" s="10" t="s">
        <v>441</v>
      </c>
      <c r="M3508" s="10" t="s">
        <v>1361</v>
      </c>
      <c r="N3508" s="10" t="s">
        <v>1028</v>
      </c>
    </row>
    <row r="3509" spans="1:14" ht="22.5" customHeight="1">
      <c r="A3509" s="8">
        <v>46018.811729548615</v>
      </c>
      <c r="B3509" s="9" t="s">
        <v>14</v>
      </c>
      <c r="C3509" s="9" t="s">
        <v>15</v>
      </c>
      <c r="D3509" s="10" t="s">
        <v>7693</v>
      </c>
      <c r="E3509" s="9" t="s">
        <v>17</v>
      </c>
      <c r="F3509" s="10">
        <v>26</v>
      </c>
      <c r="G3509" s="11">
        <f t="shared" ref="G3509" si="90">923450568343</f>
        <v>923450568343</v>
      </c>
      <c r="H3509" s="10" t="s">
        <v>7694</v>
      </c>
      <c r="I3509" s="10" t="s">
        <v>19</v>
      </c>
      <c r="J3509" s="10" t="s">
        <v>7695</v>
      </c>
      <c r="K3509" s="12">
        <v>46018</v>
      </c>
      <c r="L3509" s="28" t="s">
        <v>11</v>
      </c>
      <c r="M3509" s="14"/>
      <c r="N3509" s="10" t="s">
        <v>7696</v>
      </c>
    </row>
    <row r="3510" spans="1:14" ht="22.5" customHeight="1">
      <c r="A3510" s="8">
        <v>46018.812709641206</v>
      </c>
      <c r="B3510" s="9" t="s">
        <v>14</v>
      </c>
      <c r="C3510" s="9" t="s">
        <v>15</v>
      </c>
      <c r="D3510" s="10" t="s">
        <v>7697</v>
      </c>
      <c r="E3510" s="9" t="s">
        <v>17</v>
      </c>
      <c r="F3510" s="10">
        <v>28</v>
      </c>
      <c r="G3510" s="11">
        <v>973787293</v>
      </c>
      <c r="H3510" s="10" t="s">
        <v>7698</v>
      </c>
      <c r="I3510" s="10" t="s">
        <v>31</v>
      </c>
      <c r="J3510" s="10" t="s">
        <v>2809</v>
      </c>
      <c r="K3510" s="12">
        <v>46018</v>
      </c>
      <c r="L3510" s="28" t="s">
        <v>11</v>
      </c>
      <c r="M3510" s="14"/>
      <c r="N3510" s="10" t="s">
        <v>1028</v>
      </c>
    </row>
    <row r="3511" spans="1:14" ht="22.5" customHeight="1">
      <c r="A3511" s="8">
        <v>46018.814295034725</v>
      </c>
      <c r="B3511" s="9" t="s">
        <v>14</v>
      </c>
      <c r="C3511" s="9" t="s">
        <v>15</v>
      </c>
      <c r="D3511" s="10" t="s">
        <v>7699</v>
      </c>
      <c r="E3511" s="9" t="s">
        <v>17</v>
      </c>
      <c r="F3511" s="10">
        <v>32</v>
      </c>
      <c r="G3511" s="11">
        <f t="shared" ref="G3511" si="91">2347062123790</f>
        <v>2347062123790</v>
      </c>
      <c r="H3511" s="10" t="s">
        <v>7700</v>
      </c>
      <c r="I3511" s="10" t="s">
        <v>145</v>
      </c>
      <c r="J3511" s="10" t="s">
        <v>1717</v>
      </c>
      <c r="K3511" s="12">
        <v>46018</v>
      </c>
      <c r="L3511" s="28" t="s">
        <v>11</v>
      </c>
      <c r="M3511" s="14"/>
      <c r="N3511" s="10" t="s">
        <v>1028</v>
      </c>
    </row>
    <row r="3512" spans="1:14" ht="22.5" customHeight="1">
      <c r="A3512" s="8">
        <v>46018.86604439815</v>
      </c>
      <c r="B3512" s="9" t="s">
        <v>14</v>
      </c>
      <c r="C3512" s="9" t="s">
        <v>15</v>
      </c>
      <c r="D3512" s="10" t="s">
        <v>7701</v>
      </c>
      <c r="E3512" s="9" t="s">
        <v>22</v>
      </c>
      <c r="F3512" s="10">
        <v>28</v>
      </c>
      <c r="G3512" s="11">
        <v>8034467330</v>
      </c>
      <c r="H3512" s="10" t="s">
        <v>7702</v>
      </c>
      <c r="I3512" s="10" t="s">
        <v>45</v>
      </c>
      <c r="J3512" s="10" t="s">
        <v>287</v>
      </c>
      <c r="K3512" s="12">
        <v>46018</v>
      </c>
      <c r="L3512" s="28" t="s">
        <v>11</v>
      </c>
      <c r="M3512" s="14"/>
      <c r="N3512" s="10" t="s">
        <v>1028</v>
      </c>
    </row>
    <row r="3513" spans="1:14" ht="22.5" customHeight="1">
      <c r="A3513" s="8">
        <v>46018.882691516206</v>
      </c>
      <c r="B3513" s="9" t="s">
        <v>14</v>
      </c>
      <c r="C3513" s="9" t="s">
        <v>15</v>
      </c>
      <c r="D3513" s="10" t="s">
        <v>7703</v>
      </c>
      <c r="E3513" s="9" t="s">
        <v>22</v>
      </c>
      <c r="F3513" s="10">
        <v>21</v>
      </c>
      <c r="G3513" s="11">
        <v>9161125375</v>
      </c>
      <c r="H3513" s="10" t="s">
        <v>7704</v>
      </c>
      <c r="I3513" s="10" t="s">
        <v>19</v>
      </c>
      <c r="J3513" s="10" t="s">
        <v>7705</v>
      </c>
      <c r="K3513" s="12">
        <v>46018</v>
      </c>
      <c r="L3513" s="28" t="s">
        <v>11</v>
      </c>
      <c r="M3513" s="14"/>
      <c r="N3513" s="10" t="s">
        <v>1028</v>
      </c>
    </row>
    <row r="3514" spans="1:14" ht="22.5" customHeight="1">
      <c r="A3514" s="8">
        <v>46018.882949872685</v>
      </c>
      <c r="B3514" s="9" t="s">
        <v>14</v>
      </c>
      <c r="C3514" s="9" t="s">
        <v>15</v>
      </c>
      <c r="D3514" s="10" t="s">
        <v>7706</v>
      </c>
      <c r="E3514" s="9" t="s">
        <v>22</v>
      </c>
      <c r="F3514" s="10">
        <v>31</v>
      </c>
      <c r="G3514" s="11">
        <v>8168114320</v>
      </c>
      <c r="H3514" s="10" t="s">
        <v>7707</v>
      </c>
      <c r="I3514" s="10" t="s">
        <v>145</v>
      </c>
      <c r="J3514" s="10" t="s">
        <v>7708</v>
      </c>
      <c r="K3514" s="12">
        <v>46018</v>
      </c>
      <c r="L3514" s="28" t="s">
        <v>11</v>
      </c>
      <c r="M3514" s="14"/>
      <c r="N3514" s="10" t="s">
        <v>1028</v>
      </c>
    </row>
    <row r="3515" spans="1:14" ht="22.5" customHeight="1">
      <c r="A3515" s="8">
        <v>46018.91005726852</v>
      </c>
      <c r="B3515" s="9" t="s">
        <v>14</v>
      </c>
      <c r="C3515" s="9" t="s">
        <v>15</v>
      </c>
      <c r="D3515" s="10" t="s">
        <v>7709</v>
      </c>
      <c r="E3515" s="9" t="s">
        <v>22</v>
      </c>
      <c r="F3515" s="10">
        <v>25</v>
      </c>
      <c r="G3515" s="11">
        <v>9064112135</v>
      </c>
      <c r="H3515" s="10" t="s">
        <v>7710</v>
      </c>
      <c r="I3515" s="10" t="s">
        <v>19</v>
      </c>
      <c r="J3515" s="10" t="s">
        <v>1582</v>
      </c>
      <c r="K3515" s="12">
        <v>46018</v>
      </c>
      <c r="L3515" s="28" t="s">
        <v>11</v>
      </c>
      <c r="M3515" s="14"/>
      <c r="N3515" s="10" t="s">
        <v>1028</v>
      </c>
    </row>
    <row r="3516" spans="1:14" ht="22.5" customHeight="1">
      <c r="A3516" s="8">
        <v>46018.914254039351</v>
      </c>
      <c r="B3516" s="9" t="s">
        <v>14</v>
      </c>
      <c r="C3516" s="9" t="s">
        <v>15</v>
      </c>
      <c r="D3516" s="10" t="s">
        <v>7711</v>
      </c>
      <c r="E3516" s="9" t="s">
        <v>22</v>
      </c>
      <c r="F3516" s="10">
        <v>29</v>
      </c>
      <c r="G3516" s="11">
        <v>8106046226</v>
      </c>
      <c r="H3516" s="10" t="s">
        <v>7712</v>
      </c>
      <c r="I3516" s="10" t="s">
        <v>202</v>
      </c>
      <c r="J3516" s="10" t="s">
        <v>3895</v>
      </c>
      <c r="K3516" s="12">
        <v>46018</v>
      </c>
      <c r="L3516" s="28" t="s">
        <v>11</v>
      </c>
      <c r="M3516" s="14"/>
      <c r="N3516" s="10" t="s">
        <v>1028</v>
      </c>
    </row>
    <row r="3517" spans="1:14" ht="22.5" customHeight="1">
      <c r="A3517" s="8">
        <v>46019.260414872682</v>
      </c>
      <c r="B3517" s="9" t="s">
        <v>14</v>
      </c>
      <c r="C3517" s="9" t="s">
        <v>15</v>
      </c>
      <c r="D3517" s="10" t="s">
        <v>7713</v>
      </c>
      <c r="E3517" s="9" t="s">
        <v>22</v>
      </c>
      <c r="F3517" s="10">
        <v>22</v>
      </c>
      <c r="G3517" s="11">
        <v>8132799704</v>
      </c>
      <c r="H3517" s="10" t="s">
        <v>7714</v>
      </c>
      <c r="I3517" s="10" t="s">
        <v>202</v>
      </c>
      <c r="J3517" s="10" t="s">
        <v>4651</v>
      </c>
      <c r="K3517" s="12">
        <v>46019</v>
      </c>
      <c r="L3517" s="28" t="s">
        <v>11</v>
      </c>
      <c r="M3517" s="14"/>
      <c r="N3517" s="10" t="s">
        <v>1028</v>
      </c>
    </row>
    <row r="3518" spans="1:14" ht="22.5" customHeight="1">
      <c r="A3518" s="8">
        <v>46019.261143090276</v>
      </c>
      <c r="B3518" s="9" t="s">
        <v>14</v>
      </c>
      <c r="C3518" s="9" t="s">
        <v>15</v>
      </c>
      <c r="D3518" s="10" t="s">
        <v>7715</v>
      </c>
      <c r="E3518" s="9" t="s">
        <v>17</v>
      </c>
      <c r="F3518" s="10">
        <v>24</v>
      </c>
      <c r="G3518" s="11">
        <v>8139428354</v>
      </c>
      <c r="H3518" s="10" t="s">
        <v>7716</v>
      </c>
      <c r="I3518" s="10" t="s">
        <v>49</v>
      </c>
      <c r="J3518" s="10" t="s">
        <v>50</v>
      </c>
      <c r="K3518" s="12">
        <v>46019</v>
      </c>
      <c r="L3518" s="28" t="s">
        <v>11</v>
      </c>
      <c r="M3518" s="14"/>
      <c r="N3518" s="10" t="s">
        <v>1096</v>
      </c>
    </row>
    <row r="3519" spans="1:14" ht="22.5" customHeight="1">
      <c r="A3519" s="8">
        <v>46019.26384428241</v>
      </c>
      <c r="B3519" s="9" t="s">
        <v>14</v>
      </c>
      <c r="C3519" s="9" t="s">
        <v>15</v>
      </c>
      <c r="D3519" s="10" t="s">
        <v>7717</v>
      </c>
      <c r="E3519" s="9" t="s">
        <v>22</v>
      </c>
      <c r="F3519" s="10">
        <v>23</v>
      </c>
      <c r="G3519" s="11">
        <v>7071871431</v>
      </c>
      <c r="H3519" s="10" t="s">
        <v>7718</v>
      </c>
      <c r="I3519" s="10" t="s">
        <v>45</v>
      </c>
      <c r="J3519" s="10" t="s">
        <v>901</v>
      </c>
      <c r="K3519" s="12">
        <v>46019</v>
      </c>
      <c r="L3519" s="28" t="s">
        <v>11</v>
      </c>
      <c r="M3519" s="14"/>
      <c r="N3519" s="10" t="s">
        <v>1028</v>
      </c>
    </row>
    <row r="3520" spans="1:14" ht="22.5" hidden="1" customHeight="1">
      <c r="A3520" s="8">
        <v>46019.281556956019</v>
      </c>
      <c r="B3520" s="9" t="s">
        <v>14</v>
      </c>
      <c r="C3520" s="9" t="s">
        <v>15</v>
      </c>
      <c r="D3520" s="10" t="s">
        <v>7719</v>
      </c>
      <c r="E3520" s="9" t="s">
        <v>17</v>
      </c>
      <c r="F3520" s="18">
        <v>29</v>
      </c>
      <c r="G3520" s="11">
        <v>8068185147</v>
      </c>
      <c r="H3520" s="10" t="s">
        <v>7720</v>
      </c>
      <c r="I3520" s="10" t="s">
        <v>27</v>
      </c>
      <c r="J3520" s="10" t="s">
        <v>7721</v>
      </c>
      <c r="K3520" s="12">
        <v>46019</v>
      </c>
      <c r="L3520" s="10" t="s">
        <v>441</v>
      </c>
      <c r="M3520" s="10" t="s">
        <v>7722</v>
      </c>
      <c r="N3520" s="10" t="s">
        <v>1028</v>
      </c>
    </row>
    <row r="3521" spans="1:14" ht="22.5" customHeight="1">
      <c r="A3521" s="8">
        <v>46019.29832710648</v>
      </c>
      <c r="B3521" s="9" t="s">
        <v>14</v>
      </c>
      <c r="C3521" s="9" t="s">
        <v>15</v>
      </c>
      <c r="D3521" s="10" t="s">
        <v>7723</v>
      </c>
      <c r="E3521" s="9" t="s">
        <v>17</v>
      </c>
      <c r="F3521" s="10">
        <v>27</v>
      </c>
      <c r="G3521" s="11">
        <v>8133678238</v>
      </c>
      <c r="H3521" s="10" t="s">
        <v>7724</v>
      </c>
      <c r="I3521" s="10" t="s">
        <v>19</v>
      </c>
      <c r="J3521" s="10" t="s">
        <v>3448</v>
      </c>
      <c r="K3521" s="12">
        <v>46019</v>
      </c>
      <c r="L3521" s="28" t="s">
        <v>11</v>
      </c>
      <c r="M3521" s="14"/>
      <c r="N3521" s="10" t="s">
        <v>1028</v>
      </c>
    </row>
    <row r="3522" spans="1:14" ht="22.5" customHeight="1">
      <c r="A3522" s="8">
        <v>46019.338184236112</v>
      </c>
      <c r="B3522" s="9" t="s">
        <v>14</v>
      </c>
      <c r="C3522" s="9" t="s">
        <v>15</v>
      </c>
      <c r="D3522" s="10" t="s">
        <v>7725</v>
      </c>
      <c r="E3522" s="9" t="s">
        <v>17</v>
      </c>
      <c r="F3522" s="10">
        <v>29</v>
      </c>
      <c r="G3522" s="11">
        <v>9032834726</v>
      </c>
      <c r="H3522" s="10" t="s">
        <v>7726</v>
      </c>
      <c r="I3522" s="10" t="s">
        <v>31</v>
      </c>
      <c r="J3522" s="10" t="s">
        <v>2358</v>
      </c>
      <c r="K3522" s="12">
        <v>46019</v>
      </c>
      <c r="L3522" s="28" t="s">
        <v>11</v>
      </c>
      <c r="M3522" s="14"/>
      <c r="N3522" s="10" t="s">
        <v>1028</v>
      </c>
    </row>
    <row r="3523" spans="1:14" ht="22.5" customHeight="1">
      <c r="A3523" s="8">
        <v>46019.339137291667</v>
      </c>
      <c r="B3523" s="9" t="s">
        <v>14</v>
      </c>
      <c r="C3523" s="9" t="s">
        <v>15</v>
      </c>
      <c r="D3523" s="10" t="s">
        <v>7727</v>
      </c>
      <c r="E3523" s="9" t="s">
        <v>22</v>
      </c>
      <c r="F3523" s="10">
        <v>34</v>
      </c>
      <c r="G3523" s="11">
        <v>9860236104</v>
      </c>
      <c r="H3523" s="10" t="s">
        <v>7728</v>
      </c>
      <c r="I3523" s="10" t="s">
        <v>19</v>
      </c>
      <c r="J3523" s="10" t="s">
        <v>7729</v>
      </c>
      <c r="K3523" s="12">
        <v>46019</v>
      </c>
      <c r="L3523" s="28" t="s">
        <v>11</v>
      </c>
      <c r="M3523" s="14"/>
      <c r="N3523" s="10" t="s">
        <v>1028</v>
      </c>
    </row>
    <row r="3524" spans="1:14" ht="22.5" customHeight="1">
      <c r="A3524" s="8">
        <v>46019.459845034726</v>
      </c>
      <c r="B3524" s="9" t="s">
        <v>14</v>
      </c>
      <c r="C3524" s="9" t="s">
        <v>15</v>
      </c>
      <c r="D3524" s="10" t="s">
        <v>7730</v>
      </c>
      <c r="E3524" s="9" t="s">
        <v>17</v>
      </c>
      <c r="F3524" s="10">
        <v>31</v>
      </c>
      <c r="G3524" s="11">
        <v>8136963404</v>
      </c>
      <c r="H3524" s="10" t="s">
        <v>7731</v>
      </c>
      <c r="I3524" s="10" t="s">
        <v>145</v>
      </c>
      <c r="J3524" s="10" t="s">
        <v>7732</v>
      </c>
      <c r="K3524" s="12">
        <v>46019</v>
      </c>
      <c r="L3524" s="28" t="s">
        <v>11</v>
      </c>
      <c r="M3524" s="14"/>
      <c r="N3524" s="10" t="s">
        <v>1096</v>
      </c>
    </row>
    <row r="3525" spans="1:14" ht="22.5" customHeight="1">
      <c r="A3525" s="8">
        <v>46019.51687850694</v>
      </c>
      <c r="B3525" s="9" t="s">
        <v>14</v>
      </c>
      <c r="C3525" s="9" t="s">
        <v>15</v>
      </c>
      <c r="D3525" s="10" t="s">
        <v>7733</v>
      </c>
      <c r="E3525" s="9" t="s">
        <v>17</v>
      </c>
      <c r="F3525" s="10">
        <v>21</v>
      </c>
      <c r="G3525" s="11">
        <v>81288166330</v>
      </c>
      <c r="H3525" s="10" t="s">
        <v>7734</v>
      </c>
      <c r="I3525" s="10" t="s">
        <v>19</v>
      </c>
      <c r="J3525" s="10" t="s">
        <v>7735</v>
      </c>
      <c r="K3525" s="12">
        <v>46019</v>
      </c>
      <c r="L3525" s="28" t="s">
        <v>11</v>
      </c>
      <c r="M3525" s="14"/>
      <c r="N3525" s="10" t="s">
        <v>2308</v>
      </c>
    </row>
    <row r="3526" spans="1:14" ht="22.5" customHeight="1">
      <c r="A3526" s="8">
        <v>46019.517194965279</v>
      </c>
      <c r="B3526" s="9" t="s">
        <v>14</v>
      </c>
      <c r="C3526" s="9" t="s">
        <v>15</v>
      </c>
      <c r="D3526" s="10" t="s">
        <v>7736</v>
      </c>
      <c r="E3526" s="9" t="s">
        <v>22</v>
      </c>
      <c r="F3526" s="10">
        <v>27</v>
      </c>
      <c r="G3526" s="11">
        <v>8116177275</v>
      </c>
      <c r="H3526" s="10" t="s">
        <v>7737</v>
      </c>
      <c r="I3526" s="10" t="s">
        <v>145</v>
      </c>
      <c r="J3526" s="10" t="s">
        <v>4100</v>
      </c>
      <c r="K3526" s="12">
        <v>46019</v>
      </c>
      <c r="L3526" s="28" t="s">
        <v>11</v>
      </c>
      <c r="M3526" s="14"/>
      <c r="N3526" s="10" t="s">
        <v>1028</v>
      </c>
    </row>
    <row r="3527" spans="1:14" ht="22.5" hidden="1" customHeight="1">
      <c r="A3527" s="8">
        <v>46019.517216782406</v>
      </c>
      <c r="B3527" s="9" t="s">
        <v>14</v>
      </c>
      <c r="C3527" s="9" t="s">
        <v>15</v>
      </c>
      <c r="D3527" s="10" t="s">
        <v>7738</v>
      </c>
      <c r="E3527" s="9" t="s">
        <v>22</v>
      </c>
      <c r="F3527" s="10">
        <v>25</v>
      </c>
      <c r="G3527" s="11">
        <v>8039324358</v>
      </c>
      <c r="H3527" s="10" t="s">
        <v>7739</v>
      </c>
      <c r="I3527" s="10" t="s">
        <v>31</v>
      </c>
      <c r="J3527" s="10" t="s">
        <v>1582</v>
      </c>
      <c r="K3527" s="12">
        <v>46019</v>
      </c>
      <c r="L3527" s="10" t="s">
        <v>441</v>
      </c>
      <c r="M3527" s="10" t="s">
        <v>1562</v>
      </c>
      <c r="N3527" s="10" t="s">
        <v>1028</v>
      </c>
    </row>
    <row r="3528" spans="1:14" ht="22.5" customHeight="1">
      <c r="A3528" s="8">
        <v>46019.558390046295</v>
      </c>
      <c r="B3528" s="9" t="s">
        <v>14</v>
      </c>
      <c r="C3528" s="9" t="s">
        <v>15</v>
      </c>
      <c r="D3528" s="10" t="s">
        <v>7740</v>
      </c>
      <c r="E3528" s="9" t="s">
        <v>17</v>
      </c>
      <c r="F3528" s="10">
        <v>25</v>
      </c>
      <c r="G3528" s="11">
        <f t="shared" ref="G3528" si="92">2348135950986</f>
        <v>2348135950986</v>
      </c>
      <c r="H3528" s="10" t="s">
        <v>7741</v>
      </c>
      <c r="I3528" s="10" t="s">
        <v>19</v>
      </c>
      <c r="J3528" s="10" t="s">
        <v>166</v>
      </c>
      <c r="K3528" s="12">
        <v>46019</v>
      </c>
      <c r="L3528" s="28" t="s">
        <v>11</v>
      </c>
      <c r="M3528" s="14"/>
      <c r="N3528" s="10" t="s">
        <v>1028</v>
      </c>
    </row>
    <row r="3529" spans="1:14" ht="22.5" customHeight="1">
      <c r="A3529" s="8">
        <v>46019.581927650463</v>
      </c>
      <c r="B3529" s="9" t="s">
        <v>14</v>
      </c>
      <c r="C3529" s="9" t="s">
        <v>15</v>
      </c>
      <c r="D3529" s="10" t="s">
        <v>7742</v>
      </c>
      <c r="E3529" s="9" t="s">
        <v>22</v>
      </c>
      <c r="F3529" s="10">
        <v>24</v>
      </c>
      <c r="G3529" s="11">
        <v>7016802200</v>
      </c>
      <c r="H3529" s="10" t="s">
        <v>7743</v>
      </c>
      <c r="I3529" s="10" t="s">
        <v>31</v>
      </c>
      <c r="J3529" s="10" t="s">
        <v>7744</v>
      </c>
      <c r="K3529" s="12">
        <v>46019</v>
      </c>
      <c r="L3529" s="28" t="s">
        <v>11</v>
      </c>
      <c r="M3529" s="14"/>
      <c r="N3529" s="10" t="s">
        <v>1028</v>
      </c>
    </row>
    <row r="3530" spans="1:14" ht="22.5" customHeight="1">
      <c r="A3530" s="8">
        <v>46019.607322858792</v>
      </c>
      <c r="B3530" s="9" t="s">
        <v>14</v>
      </c>
      <c r="C3530" s="9" t="s">
        <v>15</v>
      </c>
      <c r="D3530" s="10" t="s">
        <v>7745</v>
      </c>
      <c r="E3530" s="9" t="s">
        <v>17</v>
      </c>
      <c r="F3530" s="10">
        <v>37</v>
      </c>
      <c r="G3530" s="11">
        <v>8087621138</v>
      </c>
      <c r="H3530" s="10" t="s">
        <v>7746</v>
      </c>
      <c r="I3530" s="10" t="s">
        <v>202</v>
      </c>
      <c r="J3530" s="10" t="s">
        <v>4005</v>
      </c>
      <c r="K3530" s="12">
        <v>46019</v>
      </c>
      <c r="L3530" s="28" t="s">
        <v>11</v>
      </c>
      <c r="M3530" s="14"/>
      <c r="N3530" s="10" t="s">
        <v>1028</v>
      </c>
    </row>
    <row r="3531" spans="1:14" ht="22.5" customHeight="1">
      <c r="A3531" s="8">
        <v>46019.642985138889</v>
      </c>
      <c r="B3531" s="9" t="s">
        <v>14</v>
      </c>
      <c r="C3531" s="9" t="s">
        <v>15</v>
      </c>
      <c r="D3531" s="10" t="s">
        <v>7747</v>
      </c>
      <c r="E3531" s="9" t="s">
        <v>17</v>
      </c>
      <c r="F3531" s="10">
        <v>34</v>
      </c>
      <c r="G3531" s="11">
        <v>8065430230</v>
      </c>
      <c r="H3531" s="10" t="s">
        <v>7748</v>
      </c>
      <c r="I3531" s="10" t="s">
        <v>202</v>
      </c>
      <c r="J3531" s="10" t="s">
        <v>4005</v>
      </c>
      <c r="K3531" s="12">
        <v>46019</v>
      </c>
      <c r="L3531" s="28" t="s">
        <v>11</v>
      </c>
      <c r="M3531" s="14"/>
      <c r="N3531" s="10" t="s">
        <v>1028</v>
      </c>
    </row>
    <row r="3532" spans="1:14" ht="22.5" customHeight="1">
      <c r="A3532" s="8">
        <v>46019.650636956023</v>
      </c>
      <c r="B3532" s="9" t="s">
        <v>14</v>
      </c>
      <c r="C3532" s="9" t="s">
        <v>15</v>
      </c>
      <c r="D3532" s="10" t="s">
        <v>7749</v>
      </c>
      <c r="E3532" s="9" t="s">
        <v>17</v>
      </c>
      <c r="F3532" s="10">
        <v>35</v>
      </c>
      <c r="G3532" s="11">
        <v>8158575372</v>
      </c>
      <c r="H3532" s="10" t="s">
        <v>7750</v>
      </c>
      <c r="I3532" s="10" t="s">
        <v>31</v>
      </c>
      <c r="J3532" s="10" t="s">
        <v>1952</v>
      </c>
      <c r="K3532" s="12">
        <v>46019</v>
      </c>
      <c r="L3532" s="28" t="s">
        <v>11</v>
      </c>
      <c r="M3532" s="14"/>
      <c r="N3532" s="10" t="s">
        <v>1028</v>
      </c>
    </row>
    <row r="3533" spans="1:14" ht="22.5" customHeight="1">
      <c r="A3533" s="8">
        <v>46019.657569212963</v>
      </c>
      <c r="B3533" s="9" t="s">
        <v>14</v>
      </c>
      <c r="C3533" s="9" t="s">
        <v>15</v>
      </c>
      <c r="D3533" s="10" t="s">
        <v>7751</v>
      </c>
      <c r="E3533" s="9" t="s">
        <v>17</v>
      </c>
      <c r="F3533" s="10">
        <v>22</v>
      </c>
      <c r="G3533" s="11">
        <v>8115975004</v>
      </c>
      <c r="H3533" s="10" t="s">
        <v>7752</v>
      </c>
      <c r="I3533" s="10" t="s">
        <v>202</v>
      </c>
      <c r="J3533" s="10" t="s">
        <v>4005</v>
      </c>
      <c r="K3533" s="12">
        <v>46019</v>
      </c>
      <c r="L3533" s="28" t="s">
        <v>11</v>
      </c>
      <c r="M3533" s="14"/>
      <c r="N3533" s="10" t="s">
        <v>1028</v>
      </c>
    </row>
    <row r="3534" spans="1:14" ht="22.5" customHeight="1">
      <c r="A3534" s="8">
        <v>46019.675767048611</v>
      </c>
      <c r="B3534" s="9" t="s">
        <v>14</v>
      </c>
      <c r="C3534" s="9" t="s">
        <v>15</v>
      </c>
      <c r="D3534" s="10" t="s">
        <v>7753</v>
      </c>
      <c r="E3534" s="9" t="s">
        <v>22</v>
      </c>
      <c r="F3534" s="10">
        <v>30</v>
      </c>
      <c r="G3534" s="11">
        <v>8067574447</v>
      </c>
      <c r="H3534" s="10" t="s">
        <v>7754</v>
      </c>
      <c r="I3534" s="10" t="s">
        <v>202</v>
      </c>
      <c r="J3534" s="10" t="s">
        <v>1619</v>
      </c>
      <c r="K3534" s="12">
        <v>46019</v>
      </c>
      <c r="L3534" s="28" t="s">
        <v>11</v>
      </c>
      <c r="M3534" s="14"/>
      <c r="N3534" s="10" t="s">
        <v>1028</v>
      </c>
    </row>
    <row r="3535" spans="1:14" ht="22.5" customHeight="1">
      <c r="A3535" s="8">
        <v>46019.678074490745</v>
      </c>
      <c r="B3535" s="9" t="s">
        <v>14</v>
      </c>
      <c r="C3535" s="9" t="s">
        <v>15</v>
      </c>
      <c r="D3535" s="10" t="s">
        <v>7755</v>
      </c>
      <c r="E3535" s="9" t="s">
        <v>17</v>
      </c>
      <c r="F3535" s="10">
        <v>23</v>
      </c>
      <c r="G3535" s="11">
        <v>9842102024</v>
      </c>
      <c r="H3535" s="10" t="s">
        <v>7756</v>
      </c>
      <c r="I3535" s="10" t="s">
        <v>202</v>
      </c>
      <c r="J3535" s="10" t="s">
        <v>7729</v>
      </c>
      <c r="K3535" s="12">
        <v>46019</v>
      </c>
      <c r="L3535" s="28" t="s">
        <v>11</v>
      </c>
      <c r="M3535" s="14"/>
      <c r="N3535" s="10" t="s">
        <v>1028</v>
      </c>
    </row>
    <row r="3536" spans="1:14" ht="22.5" customHeight="1">
      <c r="A3536" s="8">
        <v>46019.708015254626</v>
      </c>
      <c r="B3536" s="9" t="s">
        <v>14</v>
      </c>
      <c r="C3536" s="9" t="s">
        <v>15</v>
      </c>
      <c r="D3536" s="10" t="s">
        <v>7757</v>
      </c>
      <c r="E3536" s="9" t="s">
        <v>17</v>
      </c>
      <c r="F3536" s="10">
        <v>41</v>
      </c>
      <c r="G3536" s="11">
        <v>28</v>
      </c>
      <c r="H3536" s="10" t="s">
        <v>7758</v>
      </c>
      <c r="I3536" s="10" t="s">
        <v>27</v>
      </c>
      <c r="J3536" s="10" t="s">
        <v>7759</v>
      </c>
      <c r="K3536" s="12">
        <v>46019</v>
      </c>
      <c r="L3536" s="28" t="s">
        <v>11</v>
      </c>
      <c r="M3536" s="14"/>
      <c r="N3536" s="10" t="s">
        <v>1028</v>
      </c>
    </row>
    <row r="3537" spans="1:14" ht="22.5" customHeight="1">
      <c r="A3537" s="8">
        <v>46019.715885173609</v>
      </c>
      <c r="B3537" s="9" t="s">
        <v>14</v>
      </c>
      <c r="C3537" s="9" t="s">
        <v>15</v>
      </c>
      <c r="D3537" s="10" t="s">
        <v>7760</v>
      </c>
      <c r="E3537" s="9" t="s">
        <v>22</v>
      </c>
      <c r="F3537" s="10">
        <v>23</v>
      </c>
      <c r="G3537" s="11">
        <v>7088136597</v>
      </c>
      <c r="H3537" s="10" t="s">
        <v>7761</v>
      </c>
      <c r="I3537" s="10" t="s">
        <v>31</v>
      </c>
      <c r="J3537" s="10" t="s">
        <v>2410</v>
      </c>
      <c r="K3537" s="12">
        <v>46019</v>
      </c>
      <c r="L3537" s="28" t="s">
        <v>11</v>
      </c>
      <c r="M3537" s="14"/>
      <c r="N3537" s="10" t="s">
        <v>1028</v>
      </c>
    </row>
    <row r="3538" spans="1:14" ht="22.5" customHeight="1">
      <c r="A3538" s="8">
        <v>46019.758064548616</v>
      </c>
      <c r="B3538" s="9" t="s">
        <v>14</v>
      </c>
      <c r="C3538" s="9" t="s">
        <v>15</v>
      </c>
      <c r="D3538" s="10" t="s">
        <v>7762</v>
      </c>
      <c r="E3538" s="9" t="s">
        <v>22</v>
      </c>
      <c r="F3538" s="10">
        <v>35</v>
      </c>
      <c r="G3538" s="11">
        <v>9033227311</v>
      </c>
      <c r="H3538" s="10" t="s">
        <v>7763</v>
      </c>
      <c r="I3538" s="10" t="s">
        <v>31</v>
      </c>
      <c r="J3538" s="10" t="s">
        <v>7764</v>
      </c>
      <c r="K3538" s="12">
        <v>46019</v>
      </c>
      <c r="L3538" s="28" t="s">
        <v>11</v>
      </c>
      <c r="M3538" s="14"/>
      <c r="N3538" s="10" t="s">
        <v>1028</v>
      </c>
    </row>
    <row r="3539" spans="1:14" ht="22.5" customHeight="1">
      <c r="A3539" s="8">
        <v>46019.781446180554</v>
      </c>
      <c r="B3539" s="9" t="s">
        <v>14</v>
      </c>
      <c r="C3539" s="9" t="s">
        <v>15</v>
      </c>
      <c r="D3539" s="10" t="s">
        <v>7765</v>
      </c>
      <c r="E3539" s="9" t="s">
        <v>17</v>
      </c>
      <c r="F3539" s="10">
        <v>26</v>
      </c>
      <c r="G3539" s="11">
        <v>8154499636</v>
      </c>
      <c r="H3539" s="10" t="s">
        <v>7766</v>
      </c>
      <c r="I3539" s="10" t="s">
        <v>31</v>
      </c>
      <c r="J3539" s="10" t="s">
        <v>4115</v>
      </c>
      <c r="K3539" s="12">
        <v>46019</v>
      </c>
      <c r="L3539" s="28" t="s">
        <v>11</v>
      </c>
      <c r="M3539" s="14"/>
      <c r="N3539" s="10" t="s">
        <v>1028</v>
      </c>
    </row>
    <row r="3540" spans="1:14" ht="22.5" customHeight="1">
      <c r="A3540" s="8">
        <v>46019.788012766207</v>
      </c>
      <c r="B3540" s="9" t="s">
        <v>14</v>
      </c>
      <c r="C3540" s="9" t="s">
        <v>15</v>
      </c>
      <c r="D3540" s="10" t="s">
        <v>7767</v>
      </c>
      <c r="E3540" s="9" t="s">
        <v>17</v>
      </c>
      <c r="F3540" s="10">
        <v>28</v>
      </c>
      <c r="G3540" s="11">
        <v>8152096474</v>
      </c>
      <c r="H3540" s="10" t="s">
        <v>7768</v>
      </c>
      <c r="I3540" s="10" t="s">
        <v>45</v>
      </c>
      <c r="J3540" s="10" t="s">
        <v>6916</v>
      </c>
      <c r="K3540" s="12">
        <v>46019</v>
      </c>
      <c r="L3540" s="28" t="s">
        <v>11</v>
      </c>
      <c r="M3540" s="14"/>
      <c r="N3540" s="10" t="s">
        <v>1096</v>
      </c>
    </row>
    <row r="3541" spans="1:14" ht="22.5" hidden="1" customHeight="1">
      <c r="A3541" s="8">
        <v>46019.816962881945</v>
      </c>
      <c r="B3541" s="9" t="s">
        <v>14</v>
      </c>
      <c r="C3541" s="9" t="s">
        <v>15</v>
      </c>
      <c r="D3541" s="10" t="s">
        <v>7769</v>
      </c>
      <c r="E3541" s="9" t="s">
        <v>17</v>
      </c>
      <c r="F3541" s="10">
        <v>26</v>
      </c>
      <c r="G3541" s="11">
        <v>8068239413</v>
      </c>
      <c r="H3541" s="10" t="s">
        <v>7770</v>
      </c>
      <c r="I3541" s="10" t="s">
        <v>27</v>
      </c>
      <c r="J3541" s="10" t="s">
        <v>703</v>
      </c>
      <c r="K3541" s="12">
        <v>36323</v>
      </c>
      <c r="L3541" s="10" t="s">
        <v>441</v>
      </c>
      <c r="M3541" s="14"/>
      <c r="N3541" s="10" t="s">
        <v>1028</v>
      </c>
    </row>
    <row r="3542" spans="1:14" ht="22.5" customHeight="1">
      <c r="A3542" s="8">
        <v>46019.850665474536</v>
      </c>
      <c r="B3542" s="9" t="s">
        <v>14</v>
      </c>
      <c r="C3542" s="9" t="s">
        <v>15</v>
      </c>
      <c r="D3542" s="10" t="s">
        <v>7771</v>
      </c>
      <c r="E3542" s="9" t="s">
        <v>22</v>
      </c>
      <c r="F3542" s="10">
        <v>23</v>
      </c>
      <c r="G3542" s="11">
        <v>9037118758</v>
      </c>
      <c r="H3542" s="10" t="s">
        <v>7772</v>
      </c>
      <c r="I3542" s="10" t="s">
        <v>31</v>
      </c>
      <c r="J3542" s="10" t="s">
        <v>2410</v>
      </c>
      <c r="K3542" s="12">
        <v>46019</v>
      </c>
      <c r="L3542" s="28" t="s">
        <v>11</v>
      </c>
      <c r="M3542" s="14"/>
      <c r="N3542" s="10" t="s">
        <v>1028</v>
      </c>
    </row>
    <row r="3543" spans="1:14" ht="22.5" customHeight="1">
      <c r="A3543" s="8">
        <v>46019.863668020829</v>
      </c>
      <c r="B3543" s="9" t="s">
        <v>14</v>
      </c>
      <c r="C3543" s="9" t="s">
        <v>15</v>
      </c>
      <c r="D3543" s="10" t="s">
        <v>7773</v>
      </c>
      <c r="E3543" s="9" t="s">
        <v>22</v>
      </c>
      <c r="F3543" s="10">
        <v>21</v>
      </c>
      <c r="G3543" s="11">
        <v>8053934279</v>
      </c>
      <c r="H3543" s="10" t="s">
        <v>7774</v>
      </c>
      <c r="I3543" s="10" t="s">
        <v>45</v>
      </c>
      <c r="J3543" s="10" t="s">
        <v>4074</v>
      </c>
      <c r="K3543" s="12">
        <v>46019</v>
      </c>
      <c r="L3543" s="28" t="s">
        <v>11</v>
      </c>
      <c r="M3543" s="14"/>
      <c r="N3543" s="10" t="s">
        <v>1028</v>
      </c>
    </row>
    <row r="3544" spans="1:14" ht="22.5" customHeight="1">
      <c r="A3544" s="8">
        <v>46019.868572326392</v>
      </c>
      <c r="B3544" s="9" t="s">
        <v>14</v>
      </c>
      <c r="C3544" s="9" t="s">
        <v>15</v>
      </c>
      <c r="D3544" s="10" t="s">
        <v>6678</v>
      </c>
      <c r="E3544" s="9" t="s">
        <v>22</v>
      </c>
      <c r="F3544" s="10">
        <v>21</v>
      </c>
      <c r="G3544" s="11">
        <v>8131312307</v>
      </c>
      <c r="H3544" s="10" t="s">
        <v>7775</v>
      </c>
      <c r="I3544" s="10" t="s">
        <v>45</v>
      </c>
      <c r="J3544" s="10" t="s">
        <v>7776</v>
      </c>
      <c r="K3544" s="12">
        <v>46019</v>
      </c>
      <c r="L3544" s="28" t="s">
        <v>11</v>
      </c>
      <c r="M3544" s="10"/>
      <c r="N3544" s="10" t="s">
        <v>1028</v>
      </c>
    </row>
    <row r="3545" spans="1:14" ht="22.5" customHeight="1">
      <c r="A3545" s="8">
        <v>46019.958656192131</v>
      </c>
      <c r="B3545" s="9" t="s">
        <v>14</v>
      </c>
      <c r="C3545" s="9" t="s">
        <v>15</v>
      </c>
      <c r="D3545" s="10" t="s">
        <v>7777</v>
      </c>
      <c r="E3545" s="9" t="s">
        <v>17</v>
      </c>
      <c r="F3545" s="10">
        <v>23</v>
      </c>
      <c r="G3545" s="11">
        <f t="shared" ref="G3545" si="93">2347061116217</f>
        <v>2347061116217</v>
      </c>
      <c r="H3545" s="10" t="s">
        <v>7778</v>
      </c>
      <c r="I3545" s="10" t="s">
        <v>45</v>
      </c>
      <c r="J3545" s="10" t="s">
        <v>7779</v>
      </c>
      <c r="K3545" s="12">
        <v>46019</v>
      </c>
      <c r="L3545" s="28" t="s">
        <v>11</v>
      </c>
      <c r="M3545" s="14"/>
      <c r="N3545" s="10" t="s">
        <v>1028</v>
      </c>
    </row>
    <row r="3546" spans="1:14" ht="22.5" customHeight="1">
      <c r="A3546" s="8">
        <v>46019.959627418983</v>
      </c>
      <c r="B3546" s="9" t="s">
        <v>14</v>
      </c>
      <c r="C3546" s="9" t="s">
        <v>15</v>
      </c>
      <c r="D3546" s="10" t="s">
        <v>7780</v>
      </c>
      <c r="E3546" s="9" t="s">
        <v>17</v>
      </c>
      <c r="F3546" s="10">
        <v>29</v>
      </c>
      <c r="G3546" s="11">
        <v>9038000835</v>
      </c>
      <c r="H3546" s="10" t="s">
        <v>7781</v>
      </c>
      <c r="I3546" s="10" t="s">
        <v>145</v>
      </c>
      <c r="J3546" s="10" t="s">
        <v>145</v>
      </c>
      <c r="K3546" s="12">
        <v>46019</v>
      </c>
      <c r="L3546" s="28" t="s">
        <v>11</v>
      </c>
      <c r="M3546" s="14"/>
      <c r="N3546" s="10" t="s">
        <v>1028</v>
      </c>
    </row>
    <row r="3547" spans="1:14" ht="22.5" hidden="1" customHeight="1">
      <c r="A3547" s="8">
        <v>46020.098584074076</v>
      </c>
      <c r="B3547" s="9" t="s">
        <v>14</v>
      </c>
      <c r="C3547" s="9" t="s">
        <v>15</v>
      </c>
      <c r="D3547" s="10" t="s">
        <v>7782</v>
      </c>
      <c r="E3547" s="9" t="s">
        <v>22</v>
      </c>
      <c r="F3547" s="10">
        <v>34</v>
      </c>
      <c r="G3547" s="11">
        <v>8063920998</v>
      </c>
      <c r="H3547" s="10" t="s">
        <v>7783</v>
      </c>
      <c r="I3547" s="10" t="s">
        <v>202</v>
      </c>
      <c r="J3547" s="10" t="s">
        <v>3437</v>
      </c>
      <c r="K3547" s="12">
        <v>46008</v>
      </c>
      <c r="L3547" s="10" t="s">
        <v>441</v>
      </c>
      <c r="M3547" s="10" t="s">
        <v>1361</v>
      </c>
      <c r="N3547" s="10" t="s">
        <v>1028</v>
      </c>
    </row>
    <row r="3548" spans="1:14" ht="22.5" customHeight="1">
      <c r="A3548" s="8">
        <v>46020.313461203703</v>
      </c>
      <c r="B3548" s="9" t="s">
        <v>14</v>
      </c>
      <c r="C3548" s="9" t="s">
        <v>15</v>
      </c>
      <c r="D3548" s="10" t="s">
        <v>7784</v>
      </c>
      <c r="E3548" s="9" t="s">
        <v>17</v>
      </c>
      <c r="F3548" s="10">
        <v>35</v>
      </c>
      <c r="G3548" s="11">
        <v>7065406651</v>
      </c>
      <c r="H3548" s="10" t="s">
        <v>7785</v>
      </c>
      <c r="I3548" s="10" t="s">
        <v>145</v>
      </c>
      <c r="J3548" s="10" t="s">
        <v>4352</v>
      </c>
      <c r="K3548" s="12">
        <v>46020</v>
      </c>
      <c r="L3548" s="28" t="s">
        <v>11</v>
      </c>
      <c r="M3548" s="14"/>
      <c r="N3548" s="10" t="s">
        <v>1028</v>
      </c>
    </row>
    <row r="3549" spans="1:14" ht="22.5" customHeight="1">
      <c r="A3549" s="8">
        <v>46020.36393334491</v>
      </c>
      <c r="B3549" s="9" t="s">
        <v>14</v>
      </c>
      <c r="C3549" s="9" t="s">
        <v>15</v>
      </c>
      <c r="D3549" s="10" t="s">
        <v>7786</v>
      </c>
      <c r="E3549" s="9" t="s">
        <v>17</v>
      </c>
      <c r="F3549" s="19">
        <v>26</v>
      </c>
      <c r="G3549" s="11">
        <v>9072794514</v>
      </c>
      <c r="H3549" s="10" t="s">
        <v>7787</v>
      </c>
      <c r="I3549" s="10" t="s">
        <v>202</v>
      </c>
      <c r="J3549" s="10" t="s">
        <v>4015</v>
      </c>
      <c r="K3549" s="12">
        <v>46020</v>
      </c>
      <c r="L3549" s="28" t="s">
        <v>11</v>
      </c>
      <c r="M3549" s="14"/>
      <c r="N3549" s="10" t="s">
        <v>1028</v>
      </c>
    </row>
    <row r="3550" spans="1:14" ht="22.5" customHeight="1">
      <c r="A3550" s="8">
        <v>46020.369081817131</v>
      </c>
      <c r="B3550" s="9" t="s">
        <v>14</v>
      </c>
      <c r="C3550" s="9" t="s">
        <v>15</v>
      </c>
      <c r="D3550" s="10" t="s">
        <v>7788</v>
      </c>
      <c r="E3550" s="9" t="s">
        <v>22</v>
      </c>
      <c r="F3550" s="10">
        <v>27</v>
      </c>
      <c r="G3550" s="11">
        <v>8132990293</v>
      </c>
      <c r="H3550" s="10" t="s">
        <v>7789</v>
      </c>
      <c r="I3550" s="10" t="s">
        <v>31</v>
      </c>
      <c r="J3550" s="10" t="s">
        <v>32</v>
      </c>
      <c r="K3550" s="12">
        <v>46020</v>
      </c>
      <c r="L3550" s="28" t="s">
        <v>11</v>
      </c>
      <c r="M3550" s="14"/>
      <c r="N3550" s="10" t="s">
        <v>1096</v>
      </c>
    </row>
    <row r="3551" spans="1:14" ht="22.5" customHeight="1">
      <c r="A3551" s="8">
        <v>46020.395252627313</v>
      </c>
      <c r="B3551" s="9" t="s">
        <v>14</v>
      </c>
      <c r="C3551" s="9" t="s">
        <v>15</v>
      </c>
      <c r="D3551" s="10" t="s">
        <v>7790</v>
      </c>
      <c r="E3551" s="9" t="s">
        <v>22</v>
      </c>
      <c r="F3551" s="10">
        <v>30</v>
      </c>
      <c r="G3551" s="11">
        <v>8020581991</v>
      </c>
      <c r="H3551" s="10" t="s">
        <v>7791</v>
      </c>
      <c r="I3551" s="10" t="s">
        <v>202</v>
      </c>
      <c r="J3551" s="10" t="s">
        <v>3062</v>
      </c>
      <c r="K3551" s="12">
        <v>46020</v>
      </c>
      <c r="L3551" s="28" t="s">
        <v>11</v>
      </c>
      <c r="M3551" s="14"/>
      <c r="N3551" s="10" t="s">
        <v>1028</v>
      </c>
    </row>
    <row r="3552" spans="1:14" ht="22.5" customHeight="1">
      <c r="A3552" s="8">
        <v>46020.42583482639</v>
      </c>
      <c r="B3552" s="9" t="s">
        <v>14</v>
      </c>
      <c r="C3552" s="9" t="s">
        <v>15</v>
      </c>
      <c r="D3552" s="10" t="s">
        <v>7792</v>
      </c>
      <c r="E3552" s="9" t="s">
        <v>17</v>
      </c>
      <c r="F3552" s="18">
        <v>42</v>
      </c>
      <c r="G3552" s="11">
        <v>8062931048</v>
      </c>
      <c r="H3552" s="10" t="s">
        <v>7793</v>
      </c>
      <c r="I3552" s="10" t="s">
        <v>27</v>
      </c>
      <c r="J3552" s="10" t="s">
        <v>2105</v>
      </c>
      <c r="K3552" s="12">
        <v>30480</v>
      </c>
      <c r="L3552" s="28" t="s">
        <v>11</v>
      </c>
      <c r="M3552" s="14"/>
      <c r="N3552" s="10" t="s">
        <v>1028</v>
      </c>
    </row>
    <row r="3553" spans="1:14" ht="22.5" customHeight="1">
      <c r="A3553" s="8">
        <v>46020.489287384262</v>
      </c>
      <c r="B3553" s="9" t="s">
        <v>14</v>
      </c>
      <c r="C3553" s="9" t="s">
        <v>15</v>
      </c>
      <c r="D3553" s="10" t="s">
        <v>7794</v>
      </c>
      <c r="E3553" s="9" t="s">
        <v>17</v>
      </c>
      <c r="F3553" s="10">
        <v>25</v>
      </c>
      <c r="G3553" s="11">
        <v>7038260392</v>
      </c>
      <c r="H3553" s="10" t="s">
        <v>7795</v>
      </c>
      <c r="I3553" s="10" t="s">
        <v>145</v>
      </c>
      <c r="J3553" s="10" t="s">
        <v>7053</v>
      </c>
      <c r="K3553" s="12">
        <v>46020</v>
      </c>
      <c r="L3553" s="28" t="s">
        <v>11</v>
      </c>
      <c r="M3553" s="14"/>
      <c r="N3553" s="10" t="s">
        <v>1028</v>
      </c>
    </row>
    <row r="3554" spans="1:14" ht="22.5" customHeight="1">
      <c r="A3554" s="8">
        <v>46020.528504236107</v>
      </c>
      <c r="B3554" s="9" t="s">
        <v>14</v>
      </c>
      <c r="C3554" s="9" t="s">
        <v>15</v>
      </c>
      <c r="D3554" s="10" t="s">
        <v>7796</v>
      </c>
      <c r="E3554" s="9" t="s">
        <v>17</v>
      </c>
      <c r="F3554" s="10">
        <v>33</v>
      </c>
      <c r="G3554" s="11">
        <v>8066465787</v>
      </c>
      <c r="H3554" s="10" t="s">
        <v>7797</v>
      </c>
      <c r="I3554" s="10" t="s">
        <v>27</v>
      </c>
      <c r="J3554" s="10" t="s">
        <v>2348</v>
      </c>
      <c r="K3554" s="12">
        <v>46020</v>
      </c>
      <c r="L3554" s="28" t="s">
        <v>11</v>
      </c>
      <c r="M3554" s="14"/>
      <c r="N3554" s="10" t="s">
        <v>1028</v>
      </c>
    </row>
    <row r="3555" spans="1:14" ht="22.5" customHeight="1">
      <c r="A3555" s="8">
        <v>46020.554761388892</v>
      </c>
      <c r="B3555" s="9" t="s">
        <v>14</v>
      </c>
      <c r="C3555" s="9" t="s">
        <v>15</v>
      </c>
      <c r="D3555" s="10" t="s">
        <v>7798</v>
      </c>
      <c r="E3555" s="9" t="s">
        <v>22</v>
      </c>
      <c r="F3555" s="10">
        <v>21</v>
      </c>
      <c r="G3555" s="11">
        <v>9015213767</v>
      </c>
      <c r="H3555" s="10" t="s">
        <v>7799</v>
      </c>
      <c r="I3555" s="10" t="s">
        <v>145</v>
      </c>
      <c r="J3555" s="10" t="s">
        <v>7800</v>
      </c>
      <c r="K3555" s="12">
        <v>46020</v>
      </c>
      <c r="L3555" s="28" t="s">
        <v>11</v>
      </c>
      <c r="M3555" s="14"/>
      <c r="N3555" s="10" t="s">
        <v>1028</v>
      </c>
    </row>
    <row r="3556" spans="1:14" ht="22.5" customHeight="1">
      <c r="A3556" s="8">
        <v>46020.562770671298</v>
      </c>
      <c r="B3556" s="9" t="s">
        <v>14</v>
      </c>
      <c r="C3556" s="9" t="s">
        <v>15</v>
      </c>
      <c r="D3556" s="10" t="s">
        <v>7801</v>
      </c>
      <c r="E3556" s="9" t="s">
        <v>22</v>
      </c>
      <c r="F3556" s="19">
        <v>19</v>
      </c>
      <c r="G3556" s="11">
        <v>9079766429</v>
      </c>
      <c r="H3556" s="10" t="s">
        <v>7802</v>
      </c>
      <c r="I3556" s="10" t="s">
        <v>145</v>
      </c>
      <c r="J3556" s="10" t="s">
        <v>7803</v>
      </c>
      <c r="K3556" s="12">
        <v>46020</v>
      </c>
      <c r="L3556" s="28" t="s">
        <v>11</v>
      </c>
      <c r="M3556" s="14"/>
      <c r="N3556" s="10" t="s">
        <v>1028</v>
      </c>
    </row>
    <row r="3557" spans="1:14" ht="22.5" customHeight="1">
      <c r="A3557" s="8">
        <v>46020.584032002313</v>
      </c>
      <c r="B3557" s="9" t="s">
        <v>14</v>
      </c>
      <c r="C3557" s="9" t="s">
        <v>15</v>
      </c>
      <c r="D3557" s="10" t="s">
        <v>7804</v>
      </c>
      <c r="E3557" s="9" t="s">
        <v>22</v>
      </c>
      <c r="F3557" s="10">
        <v>27</v>
      </c>
      <c r="G3557" s="11">
        <v>8061318629</v>
      </c>
      <c r="H3557" s="10" t="s">
        <v>7805</v>
      </c>
      <c r="I3557" s="10" t="s">
        <v>27</v>
      </c>
      <c r="J3557" s="10" t="s">
        <v>703</v>
      </c>
      <c r="K3557" s="12">
        <v>35958</v>
      </c>
      <c r="L3557" s="28" t="s">
        <v>11</v>
      </c>
      <c r="M3557" s="14"/>
      <c r="N3557" s="10" t="s">
        <v>1028</v>
      </c>
    </row>
    <row r="3558" spans="1:14" ht="22.5" customHeight="1">
      <c r="A3558" s="8">
        <v>46020.58476258102</v>
      </c>
      <c r="B3558" s="9" t="s">
        <v>14</v>
      </c>
      <c r="C3558" s="9" t="s">
        <v>15</v>
      </c>
      <c r="D3558" s="10" t="s">
        <v>7806</v>
      </c>
      <c r="E3558" s="9" t="s">
        <v>22</v>
      </c>
      <c r="F3558" s="10">
        <v>26</v>
      </c>
      <c r="G3558" s="11">
        <v>201062185362</v>
      </c>
      <c r="H3558" s="10" t="s">
        <v>7807</v>
      </c>
      <c r="I3558" s="10" t="s">
        <v>19</v>
      </c>
      <c r="J3558" s="10" t="s">
        <v>7808</v>
      </c>
      <c r="K3558" s="12">
        <v>46019</v>
      </c>
      <c r="L3558" s="28" t="s">
        <v>11</v>
      </c>
      <c r="M3558" s="14"/>
      <c r="N3558" s="10" t="s">
        <v>1028</v>
      </c>
    </row>
    <row r="3559" spans="1:14" ht="22.5" customHeight="1">
      <c r="A3559" s="8">
        <v>46020.587708055551</v>
      </c>
      <c r="B3559" s="9" t="s">
        <v>14</v>
      </c>
      <c r="C3559" s="9" t="s">
        <v>15</v>
      </c>
      <c r="D3559" s="10" t="s">
        <v>7809</v>
      </c>
      <c r="E3559" s="9" t="s">
        <v>22</v>
      </c>
      <c r="F3559" s="10">
        <v>18</v>
      </c>
      <c r="G3559" s="11">
        <v>8024020734</v>
      </c>
      <c r="H3559" s="10" t="s">
        <v>7810</v>
      </c>
      <c r="I3559" s="10" t="s">
        <v>145</v>
      </c>
      <c r="J3559" s="10" t="s">
        <v>3366</v>
      </c>
      <c r="K3559" s="12">
        <v>46020</v>
      </c>
      <c r="L3559" s="28" t="s">
        <v>11</v>
      </c>
      <c r="M3559" s="14"/>
      <c r="N3559" s="10" t="s">
        <v>1028</v>
      </c>
    </row>
    <row r="3560" spans="1:14" ht="22.5" customHeight="1">
      <c r="A3560" s="8">
        <v>46020.595949502313</v>
      </c>
      <c r="B3560" s="9" t="s">
        <v>14</v>
      </c>
      <c r="C3560" s="9" t="s">
        <v>15</v>
      </c>
      <c r="D3560" s="10" t="s">
        <v>7811</v>
      </c>
      <c r="E3560" s="9" t="s">
        <v>17</v>
      </c>
      <c r="F3560" s="10">
        <v>25</v>
      </c>
      <c r="G3560" s="11">
        <v>9136601340</v>
      </c>
      <c r="H3560" s="10" t="s">
        <v>7812</v>
      </c>
      <c r="I3560" s="10" t="s">
        <v>145</v>
      </c>
      <c r="J3560" s="10" t="s">
        <v>7813</v>
      </c>
      <c r="K3560" s="12">
        <v>46020</v>
      </c>
      <c r="L3560" s="28" t="s">
        <v>11</v>
      </c>
      <c r="M3560" s="14"/>
      <c r="N3560" s="10" t="s">
        <v>1028</v>
      </c>
    </row>
    <row r="3561" spans="1:14" ht="22.5" customHeight="1">
      <c r="A3561" s="8">
        <v>46020.597451724534</v>
      </c>
      <c r="B3561" s="9" t="s">
        <v>14</v>
      </c>
      <c r="C3561" s="9" t="s">
        <v>15</v>
      </c>
      <c r="D3561" s="10" t="s">
        <v>7814</v>
      </c>
      <c r="E3561" s="9" t="s">
        <v>17</v>
      </c>
      <c r="F3561" s="10">
        <v>31</v>
      </c>
      <c r="G3561" s="11">
        <v>8101202517</v>
      </c>
      <c r="H3561" s="10" t="s">
        <v>7815</v>
      </c>
      <c r="I3561" s="10" t="s">
        <v>145</v>
      </c>
      <c r="J3561" s="10" t="s">
        <v>1607</v>
      </c>
      <c r="K3561" s="12">
        <v>46020</v>
      </c>
      <c r="L3561" s="28" t="s">
        <v>11</v>
      </c>
      <c r="M3561" s="14"/>
      <c r="N3561" s="10" t="s">
        <v>1028</v>
      </c>
    </row>
    <row r="3562" spans="1:14" ht="22.5" hidden="1" customHeight="1">
      <c r="A3562" s="8">
        <v>46020.609924687495</v>
      </c>
      <c r="B3562" s="9" t="s">
        <v>14</v>
      </c>
      <c r="C3562" s="9" t="s">
        <v>15</v>
      </c>
      <c r="D3562" s="10" t="s">
        <v>7816</v>
      </c>
      <c r="E3562" s="9" t="s">
        <v>17</v>
      </c>
      <c r="F3562" s="10">
        <v>27</v>
      </c>
      <c r="G3562" s="11">
        <v>9032772384</v>
      </c>
      <c r="H3562" s="10" t="s">
        <v>7817</v>
      </c>
      <c r="I3562" s="10" t="s">
        <v>45</v>
      </c>
      <c r="J3562" s="10" t="s">
        <v>287</v>
      </c>
      <c r="K3562" s="12">
        <v>46020</v>
      </c>
      <c r="L3562" s="10" t="s">
        <v>441</v>
      </c>
      <c r="M3562" s="14"/>
      <c r="N3562" s="10" t="s">
        <v>1096</v>
      </c>
    </row>
    <row r="3563" spans="1:14" ht="22.5" customHeight="1">
      <c r="A3563" s="8">
        <v>46020.614261099538</v>
      </c>
      <c r="B3563" s="9" t="s">
        <v>14</v>
      </c>
      <c r="C3563" s="9" t="s">
        <v>15</v>
      </c>
      <c r="D3563" s="10" t="s">
        <v>7818</v>
      </c>
      <c r="E3563" s="9" t="s">
        <v>17</v>
      </c>
      <c r="F3563" s="10">
        <v>26</v>
      </c>
      <c r="G3563" s="11">
        <f t="shared" ref="G3563" si="94">263784035248</f>
        <v>263784035248</v>
      </c>
      <c r="H3563" s="10" t="s">
        <v>7819</v>
      </c>
      <c r="I3563" s="10" t="s">
        <v>202</v>
      </c>
      <c r="J3563" s="10" t="s">
        <v>7820</v>
      </c>
      <c r="K3563" s="12">
        <v>36462</v>
      </c>
      <c r="L3563" s="28" t="s">
        <v>11</v>
      </c>
      <c r="M3563" s="14"/>
      <c r="N3563" s="10" t="s">
        <v>1028</v>
      </c>
    </row>
    <row r="3564" spans="1:14" ht="22.5" customHeight="1">
      <c r="A3564" s="8">
        <v>46020.614610486111</v>
      </c>
      <c r="B3564" s="9" t="s">
        <v>14</v>
      </c>
      <c r="C3564" s="9" t="s">
        <v>15</v>
      </c>
      <c r="D3564" s="10" t="s">
        <v>7821</v>
      </c>
      <c r="E3564" s="9" t="s">
        <v>22</v>
      </c>
      <c r="F3564" s="10">
        <v>26</v>
      </c>
      <c r="G3564" s="11">
        <v>8169816136</v>
      </c>
      <c r="H3564" s="10" t="s">
        <v>7822</v>
      </c>
      <c r="I3564" s="10" t="s">
        <v>27</v>
      </c>
      <c r="J3564" s="10" t="s">
        <v>1907</v>
      </c>
      <c r="K3564" s="12">
        <v>46020</v>
      </c>
      <c r="L3564" s="28" t="s">
        <v>11</v>
      </c>
      <c r="M3564" s="14"/>
      <c r="N3564" s="10" t="s">
        <v>1028</v>
      </c>
    </row>
    <row r="3565" spans="1:14" ht="22.5" customHeight="1">
      <c r="A3565" s="8">
        <v>46020.620451203707</v>
      </c>
      <c r="B3565" s="9" t="s">
        <v>14</v>
      </c>
      <c r="C3565" s="9" t="s">
        <v>15</v>
      </c>
      <c r="D3565" s="10" t="s">
        <v>7823</v>
      </c>
      <c r="E3565" s="9" t="s">
        <v>17</v>
      </c>
      <c r="F3565" s="10">
        <v>22</v>
      </c>
      <c r="G3565" s="11">
        <v>9018051490</v>
      </c>
      <c r="H3565" s="10" t="s">
        <v>7824</v>
      </c>
      <c r="I3565" s="10" t="s">
        <v>145</v>
      </c>
      <c r="J3565" s="10" t="s">
        <v>7825</v>
      </c>
      <c r="K3565" s="12">
        <v>46020</v>
      </c>
      <c r="L3565" s="28" t="s">
        <v>11</v>
      </c>
      <c r="M3565" s="14"/>
      <c r="N3565" s="10" t="s">
        <v>1028</v>
      </c>
    </row>
    <row r="3566" spans="1:14" ht="22.5" customHeight="1">
      <c r="A3566" s="8">
        <v>46020.622379351851</v>
      </c>
      <c r="B3566" s="9" t="s">
        <v>14</v>
      </c>
      <c r="C3566" s="9" t="s">
        <v>15</v>
      </c>
      <c r="D3566" s="10" t="s">
        <v>7826</v>
      </c>
      <c r="E3566" s="9" t="s">
        <v>22</v>
      </c>
      <c r="F3566" s="10">
        <v>21</v>
      </c>
      <c r="G3566" s="11">
        <v>9033064639</v>
      </c>
      <c r="H3566" s="10" t="s">
        <v>7827</v>
      </c>
      <c r="I3566" s="10" t="s">
        <v>27</v>
      </c>
      <c r="J3566" s="10" t="s">
        <v>372</v>
      </c>
      <c r="K3566" s="12">
        <v>46020</v>
      </c>
      <c r="L3566" s="28" t="s">
        <v>11</v>
      </c>
      <c r="M3566" s="14"/>
      <c r="N3566" s="10" t="s">
        <v>1028</v>
      </c>
    </row>
    <row r="3567" spans="1:14" ht="22.5" customHeight="1">
      <c r="A3567" s="8">
        <v>46020.622779328703</v>
      </c>
      <c r="B3567" s="9" t="s">
        <v>14</v>
      </c>
      <c r="C3567" s="9" t="s">
        <v>15</v>
      </c>
      <c r="D3567" s="10" t="s">
        <v>7828</v>
      </c>
      <c r="E3567" s="9" t="s">
        <v>22</v>
      </c>
      <c r="F3567" s="10">
        <v>24</v>
      </c>
      <c r="G3567" s="11">
        <v>8143653554</v>
      </c>
      <c r="H3567" s="10" t="s">
        <v>7829</v>
      </c>
      <c r="I3567" s="10" t="s">
        <v>145</v>
      </c>
      <c r="J3567" s="10" t="s">
        <v>3584</v>
      </c>
      <c r="K3567" s="12">
        <v>46020</v>
      </c>
      <c r="L3567" s="28" t="s">
        <v>11</v>
      </c>
      <c r="M3567" s="10"/>
      <c r="N3567" s="10" t="s">
        <v>1028</v>
      </c>
    </row>
    <row r="3568" spans="1:14" ht="22.5" customHeight="1">
      <c r="A3568" s="8">
        <v>46020.624821817131</v>
      </c>
      <c r="B3568" s="9" t="s">
        <v>14</v>
      </c>
      <c r="C3568" s="9" t="s">
        <v>15</v>
      </c>
      <c r="D3568" s="10" t="s">
        <v>7830</v>
      </c>
      <c r="E3568" s="9" t="s">
        <v>17</v>
      </c>
      <c r="F3568" s="10">
        <v>30</v>
      </c>
      <c r="G3568" s="11">
        <v>8107725756</v>
      </c>
      <c r="H3568" s="10" t="s">
        <v>7831</v>
      </c>
      <c r="I3568" s="10" t="s">
        <v>19</v>
      </c>
      <c r="J3568" s="10" t="s">
        <v>3466</v>
      </c>
      <c r="K3568" s="12">
        <v>46020</v>
      </c>
      <c r="L3568" s="28" t="s">
        <v>11</v>
      </c>
      <c r="M3568" s="14"/>
      <c r="N3568" s="10" t="s">
        <v>1028</v>
      </c>
    </row>
    <row r="3569" spans="1:14" ht="22.5" customHeight="1">
      <c r="A3569" s="8">
        <v>46020.632198692125</v>
      </c>
      <c r="B3569" s="9" t="s">
        <v>14</v>
      </c>
      <c r="C3569" s="9" t="s">
        <v>15</v>
      </c>
      <c r="D3569" s="10" t="s">
        <v>7832</v>
      </c>
      <c r="E3569" s="9" t="s">
        <v>22</v>
      </c>
      <c r="F3569" s="10">
        <v>35</v>
      </c>
      <c r="G3569" s="11">
        <v>7068826120</v>
      </c>
      <c r="H3569" s="10" t="s">
        <v>7833</v>
      </c>
      <c r="I3569" s="10" t="s">
        <v>49</v>
      </c>
      <c r="J3569" s="10" t="s">
        <v>326</v>
      </c>
      <c r="K3569" s="12">
        <v>46020</v>
      </c>
      <c r="L3569" s="28" t="s">
        <v>11</v>
      </c>
      <c r="M3569" s="10"/>
      <c r="N3569" s="10" t="s">
        <v>1096</v>
      </c>
    </row>
    <row r="3570" spans="1:14" ht="22.5" customHeight="1">
      <c r="A3570" s="8">
        <v>46020.63373976852</v>
      </c>
      <c r="B3570" s="9" t="s">
        <v>14</v>
      </c>
      <c r="C3570" s="9" t="s">
        <v>15</v>
      </c>
      <c r="D3570" s="10" t="s">
        <v>7834</v>
      </c>
      <c r="E3570" s="9" t="s">
        <v>17</v>
      </c>
      <c r="F3570" s="10">
        <v>29</v>
      </c>
      <c r="G3570" s="11">
        <f t="shared" ref="G3570" si="95">254715639317</f>
        <v>254715639317</v>
      </c>
      <c r="H3570" s="10" t="s">
        <v>7835</v>
      </c>
      <c r="I3570" s="10" t="s">
        <v>202</v>
      </c>
      <c r="J3570" s="10" t="s">
        <v>4341</v>
      </c>
      <c r="K3570" s="12">
        <v>46020</v>
      </c>
      <c r="L3570" s="28" t="s">
        <v>11</v>
      </c>
      <c r="M3570" s="14"/>
      <c r="N3570" s="10" t="s">
        <v>1563</v>
      </c>
    </row>
    <row r="3571" spans="1:14" ht="22.5" customHeight="1">
      <c r="A3571" s="8">
        <v>46020.637449525464</v>
      </c>
      <c r="B3571" s="9" t="s">
        <v>14</v>
      </c>
      <c r="C3571" s="9" t="s">
        <v>15</v>
      </c>
      <c r="D3571" s="10" t="s">
        <v>7836</v>
      </c>
      <c r="E3571" s="9" t="s">
        <v>22</v>
      </c>
      <c r="F3571" s="10">
        <v>35</v>
      </c>
      <c r="G3571" s="11">
        <f t="shared" ref="G3571" si="96">23276516858</f>
        <v>23276516858</v>
      </c>
      <c r="H3571" s="10" t="s">
        <v>7837</v>
      </c>
      <c r="I3571" s="10" t="s">
        <v>49</v>
      </c>
      <c r="J3571" s="10" t="s">
        <v>7838</v>
      </c>
      <c r="K3571" s="12">
        <v>33199</v>
      </c>
      <c r="L3571" s="28" t="s">
        <v>11</v>
      </c>
      <c r="M3571" s="14"/>
      <c r="N3571" s="10" t="s">
        <v>1028</v>
      </c>
    </row>
    <row r="3572" spans="1:14" ht="22.5" hidden="1" customHeight="1">
      <c r="A3572" s="8">
        <v>46020.641926400465</v>
      </c>
      <c r="B3572" s="9" t="s">
        <v>14</v>
      </c>
      <c r="C3572" s="9" t="s">
        <v>15</v>
      </c>
      <c r="D3572" s="10" t="s">
        <v>7839</v>
      </c>
      <c r="E3572" s="9" t="s">
        <v>17</v>
      </c>
      <c r="F3572" s="10">
        <v>27</v>
      </c>
      <c r="G3572" s="11">
        <v>791882187</v>
      </c>
      <c r="H3572" s="10" t="s">
        <v>7840</v>
      </c>
      <c r="I3572" s="10" t="s">
        <v>202</v>
      </c>
      <c r="J3572" s="10" t="s">
        <v>7841</v>
      </c>
      <c r="K3572" s="12">
        <v>46020</v>
      </c>
      <c r="L3572" s="10" t="s">
        <v>441</v>
      </c>
      <c r="M3572" s="10" t="s">
        <v>2051</v>
      </c>
      <c r="N3572" s="10" t="s">
        <v>7842</v>
      </c>
    </row>
    <row r="3573" spans="1:14" ht="22.5" customHeight="1">
      <c r="A3573" s="8">
        <v>46020.660348449077</v>
      </c>
      <c r="B3573" s="9" t="s">
        <v>14</v>
      </c>
      <c r="C3573" s="9" t="s">
        <v>15</v>
      </c>
      <c r="D3573" s="10" t="s">
        <v>7843</v>
      </c>
      <c r="E3573" s="9" t="s">
        <v>22</v>
      </c>
      <c r="F3573" s="10">
        <v>29</v>
      </c>
      <c r="G3573" s="11">
        <v>8139947024</v>
      </c>
      <c r="H3573" s="10" t="s">
        <v>7844</v>
      </c>
      <c r="I3573" s="10" t="s">
        <v>145</v>
      </c>
      <c r="J3573" s="10" t="s">
        <v>4352</v>
      </c>
      <c r="K3573" s="12">
        <v>46020</v>
      </c>
      <c r="L3573" s="28" t="s">
        <v>11</v>
      </c>
      <c r="M3573" s="10"/>
      <c r="N3573" s="10" t="s">
        <v>1028</v>
      </c>
    </row>
    <row r="3574" spans="1:14" ht="22.5" customHeight="1">
      <c r="A3574" s="8">
        <v>46020.661167152779</v>
      </c>
      <c r="B3574" s="9" t="s">
        <v>14</v>
      </c>
      <c r="C3574" s="9" t="s">
        <v>15</v>
      </c>
      <c r="D3574" s="10" t="s">
        <v>7845</v>
      </c>
      <c r="E3574" s="9" t="s">
        <v>22</v>
      </c>
      <c r="F3574" s="10">
        <v>30</v>
      </c>
      <c r="G3574" s="11">
        <v>7062333885</v>
      </c>
      <c r="H3574" s="10" t="s">
        <v>7846</v>
      </c>
      <c r="I3574" s="10" t="s">
        <v>31</v>
      </c>
      <c r="J3574" s="10" t="s">
        <v>7847</v>
      </c>
      <c r="K3574" s="12">
        <v>46020</v>
      </c>
      <c r="L3574" s="28" t="s">
        <v>11</v>
      </c>
      <c r="M3574" s="14"/>
      <c r="N3574" s="10" t="s">
        <v>1028</v>
      </c>
    </row>
    <row r="3575" spans="1:14" ht="22.5" customHeight="1">
      <c r="A3575" s="8">
        <v>46020.662903715274</v>
      </c>
      <c r="B3575" s="9" t="s">
        <v>14</v>
      </c>
      <c r="C3575" s="9" t="s">
        <v>15</v>
      </c>
      <c r="D3575" s="10" t="s">
        <v>7848</v>
      </c>
      <c r="E3575" s="9" t="s">
        <v>17</v>
      </c>
      <c r="F3575" s="10">
        <v>23</v>
      </c>
      <c r="G3575" s="11">
        <v>8143364973</v>
      </c>
      <c r="H3575" s="10" t="s">
        <v>7849</v>
      </c>
      <c r="I3575" s="10" t="s">
        <v>145</v>
      </c>
      <c r="J3575" s="10" t="s">
        <v>1607</v>
      </c>
      <c r="K3575" s="12">
        <v>46020</v>
      </c>
      <c r="L3575" s="28" t="s">
        <v>11</v>
      </c>
      <c r="M3575" s="14"/>
      <c r="N3575" s="10" t="s">
        <v>1028</v>
      </c>
    </row>
    <row r="3576" spans="1:14" ht="22.5" customHeight="1">
      <c r="A3576" s="8">
        <v>46020.669495451388</v>
      </c>
      <c r="B3576" s="9" t="s">
        <v>14</v>
      </c>
      <c r="C3576" s="9" t="s">
        <v>15</v>
      </c>
      <c r="D3576" s="10" t="s">
        <v>7850</v>
      </c>
      <c r="E3576" s="9" t="s">
        <v>22</v>
      </c>
      <c r="F3576" s="10">
        <v>21</v>
      </c>
      <c r="G3576" s="11">
        <v>8139262270</v>
      </c>
      <c r="H3576" s="10" t="s">
        <v>7851</v>
      </c>
      <c r="I3576" s="10" t="s">
        <v>202</v>
      </c>
      <c r="J3576" s="10" t="s">
        <v>4015</v>
      </c>
      <c r="K3576" s="12">
        <v>46020</v>
      </c>
      <c r="L3576" s="28" t="s">
        <v>11</v>
      </c>
      <c r="M3576" s="14"/>
      <c r="N3576" s="10" t="s">
        <v>1028</v>
      </c>
    </row>
    <row r="3577" spans="1:14" ht="22.5" customHeight="1">
      <c r="A3577" s="8">
        <v>46020.680790081024</v>
      </c>
      <c r="B3577" s="9" t="s">
        <v>14</v>
      </c>
      <c r="C3577" s="9" t="s">
        <v>15</v>
      </c>
      <c r="D3577" s="10" t="s">
        <v>7852</v>
      </c>
      <c r="E3577" s="9" t="s">
        <v>22</v>
      </c>
      <c r="F3577" s="10">
        <v>35</v>
      </c>
      <c r="G3577" s="11">
        <f t="shared" ref="G3577" si="97">2347060872230</f>
        <v>2347060872230</v>
      </c>
      <c r="H3577" s="10" t="s">
        <v>7853</v>
      </c>
      <c r="I3577" s="10" t="s">
        <v>45</v>
      </c>
      <c r="J3577" s="10" t="s">
        <v>5142</v>
      </c>
      <c r="K3577" s="12">
        <v>46020</v>
      </c>
      <c r="L3577" s="28" t="s">
        <v>11</v>
      </c>
      <c r="M3577" s="14"/>
      <c r="N3577" s="10" t="s">
        <v>1096</v>
      </c>
    </row>
    <row r="3578" spans="1:14" ht="22.5" customHeight="1">
      <c r="A3578" s="8">
        <v>46020.691315914351</v>
      </c>
      <c r="B3578" s="9" t="s">
        <v>14</v>
      </c>
      <c r="C3578" s="9" t="s">
        <v>15</v>
      </c>
      <c r="D3578" s="10" t="s">
        <v>7854</v>
      </c>
      <c r="E3578" s="9" t="s">
        <v>22</v>
      </c>
      <c r="F3578" s="10">
        <v>21</v>
      </c>
      <c r="G3578" s="11">
        <v>8071272386</v>
      </c>
      <c r="H3578" s="10" t="s">
        <v>7855</v>
      </c>
      <c r="I3578" s="10" t="s">
        <v>145</v>
      </c>
      <c r="J3578" s="10" t="s">
        <v>530</v>
      </c>
      <c r="K3578" s="12">
        <v>46020</v>
      </c>
      <c r="L3578" s="28" t="s">
        <v>11</v>
      </c>
      <c r="M3578" s="14"/>
      <c r="N3578" s="10" t="s">
        <v>1096</v>
      </c>
    </row>
    <row r="3579" spans="1:14" ht="22.5" customHeight="1">
      <c r="A3579" s="8">
        <v>46020.696252465277</v>
      </c>
      <c r="B3579" s="9" t="s">
        <v>14</v>
      </c>
      <c r="C3579" s="9" t="s">
        <v>15</v>
      </c>
      <c r="D3579" s="10" t="s">
        <v>7856</v>
      </c>
      <c r="E3579" s="9" t="s">
        <v>22</v>
      </c>
      <c r="F3579" s="10">
        <v>19</v>
      </c>
      <c r="G3579" s="11">
        <f t="shared" ref="G3579" si="98">254792066220</f>
        <v>254792066220</v>
      </c>
      <c r="H3579" s="10" t="s">
        <v>7857</v>
      </c>
      <c r="I3579" s="10" t="s">
        <v>19</v>
      </c>
      <c r="J3579" s="10" t="s">
        <v>2167</v>
      </c>
      <c r="K3579" s="12">
        <v>46020</v>
      </c>
      <c r="L3579" s="28" t="s">
        <v>11</v>
      </c>
      <c r="M3579" s="14"/>
      <c r="N3579" s="10" t="s">
        <v>1563</v>
      </c>
    </row>
    <row r="3580" spans="1:14" ht="22.5" customHeight="1">
      <c r="A3580" s="8">
        <v>46020.696589513886</v>
      </c>
      <c r="B3580" s="9" t="s">
        <v>14</v>
      </c>
      <c r="C3580" s="9" t="s">
        <v>15</v>
      </c>
      <c r="D3580" s="10" t="s">
        <v>7858</v>
      </c>
      <c r="E3580" s="9" t="s">
        <v>17</v>
      </c>
      <c r="F3580" s="10">
        <v>29</v>
      </c>
      <c r="G3580" s="11">
        <v>998430141</v>
      </c>
      <c r="H3580" s="10" t="s">
        <v>7859</v>
      </c>
      <c r="I3580" s="10" t="s">
        <v>19</v>
      </c>
      <c r="J3580" s="10" t="s">
        <v>7860</v>
      </c>
      <c r="K3580" s="12">
        <v>46020</v>
      </c>
      <c r="L3580" s="28" t="s">
        <v>11</v>
      </c>
      <c r="M3580" s="14"/>
      <c r="N3580" s="10" t="s">
        <v>1028</v>
      </c>
    </row>
    <row r="3581" spans="1:14" ht="22.5" customHeight="1">
      <c r="A3581" s="8">
        <v>46020.698848483793</v>
      </c>
      <c r="B3581" s="9" t="s">
        <v>14</v>
      </c>
      <c r="C3581" s="9" t="s">
        <v>15</v>
      </c>
      <c r="D3581" s="10" t="s">
        <v>7861</v>
      </c>
      <c r="E3581" s="9" t="s">
        <v>17</v>
      </c>
      <c r="F3581" s="10">
        <v>25</v>
      </c>
      <c r="G3581" s="11">
        <v>9027770223</v>
      </c>
      <c r="H3581" s="10" t="s">
        <v>7862</v>
      </c>
      <c r="I3581" s="10" t="s">
        <v>202</v>
      </c>
      <c r="J3581" s="10" t="s">
        <v>4005</v>
      </c>
      <c r="K3581" s="12">
        <v>46020</v>
      </c>
      <c r="L3581" s="28" t="s">
        <v>11</v>
      </c>
      <c r="M3581" s="14"/>
      <c r="N3581" s="10" t="s">
        <v>1028</v>
      </c>
    </row>
    <row r="3582" spans="1:14" ht="22.5" customHeight="1">
      <c r="A3582" s="8">
        <v>46020.700035081019</v>
      </c>
      <c r="B3582" s="9" t="s">
        <v>14</v>
      </c>
      <c r="C3582" s="9" t="s">
        <v>15</v>
      </c>
      <c r="D3582" s="10" t="s">
        <v>7863</v>
      </c>
      <c r="E3582" s="9" t="s">
        <v>22</v>
      </c>
      <c r="F3582" s="10">
        <v>26</v>
      </c>
      <c r="G3582" s="11">
        <v>9073367208</v>
      </c>
      <c r="H3582" s="10" t="s">
        <v>7864</v>
      </c>
      <c r="I3582" s="10" t="s">
        <v>145</v>
      </c>
      <c r="J3582" s="10" t="s">
        <v>530</v>
      </c>
      <c r="K3582" s="12">
        <v>46020</v>
      </c>
      <c r="L3582" s="28" t="s">
        <v>11</v>
      </c>
      <c r="M3582" s="14"/>
      <c r="N3582" s="10" t="s">
        <v>1028</v>
      </c>
    </row>
    <row r="3583" spans="1:14" ht="22.5" hidden="1" customHeight="1">
      <c r="A3583" s="8">
        <v>46020.702033055553</v>
      </c>
      <c r="B3583" s="9" t="s">
        <v>14</v>
      </c>
      <c r="C3583" s="9" t="s">
        <v>15</v>
      </c>
      <c r="D3583" s="10" t="s">
        <v>7865</v>
      </c>
      <c r="E3583" s="9" t="s">
        <v>17</v>
      </c>
      <c r="F3583" s="10">
        <v>20</v>
      </c>
      <c r="G3583" s="11">
        <v>7076102354</v>
      </c>
      <c r="H3583" s="10" t="s">
        <v>7866</v>
      </c>
      <c r="I3583" s="10" t="s">
        <v>49</v>
      </c>
      <c r="J3583" s="10" t="s">
        <v>109</v>
      </c>
      <c r="K3583" s="12">
        <v>46020</v>
      </c>
      <c r="L3583" s="10" t="s">
        <v>441</v>
      </c>
      <c r="M3583" s="10" t="s">
        <v>2844</v>
      </c>
      <c r="N3583" s="10" t="s">
        <v>1028</v>
      </c>
    </row>
    <row r="3584" spans="1:14" ht="22.5" customHeight="1">
      <c r="A3584" s="8">
        <v>46020.702280740741</v>
      </c>
      <c r="B3584" s="9" t="s">
        <v>14</v>
      </c>
      <c r="C3584" s="9" t="s">
        <v>15</v>
      </c>
      <c r="D3584" s="10" t="s">
        <v>7867</v>
      </c>
      <c r="E3584" s="9" t="s">
        <v>22</v>
      </c>
      <c r="F3584" s="10">
        <v>27</v>
      </c>
      <c r="G3584" s="11">
        <v>7035761401</v>
      </c>
      <c r="H3584" s="10" t="s">
        <v>7868</v>
      </c>
      <c r="I3584" s="10" t="s">
        <v>19</v>
      </c>
      <c r="J3584" s="10" t="s">
        <v>7492</v>
      </c>
      <c r="K3584" s="12">
        <v>46020</v>
      </c>
      <c r="L3584" s="28" t="s">
        <v>11</v>
      </c>
      <c r="M3584" s="14"/>
      <c r="N3584" s="10" t="s">
        <v>1028</v>
      </c>
    </row>
    <row r="3585" spans="1:14" ht="22.5" customHeight="1">
      <c r="A3585" s="8">
        <v>46020.709063738424</v>
      </c>
      <c r="B3585" s="9" t="s">
        <v>14</v>
      </c>
      <c r="C3585" s="9" t="s">
        <v>15</v>
      </c>
      <c r="D3585" s="10" t="s">
        <v>7869</v>
      </c>
      <c r="E3585" s="9" t="s">
        <v>22</v>
      </c>
      <c r="F3585" s="10">
        <v>26</v>
      </c>
      <c r="G3585" s="11">
        <v>8032479345</v>
      </c>
      <c r="H3585" s="10" t="s">
        <v>7870</v>
      </c>
      <c r="I3585" s="10" t="s">
        <v>49</v>
      </c>
      <c r="J3585" s="10" t="s">
        <v>445</v>
      </c>
      <c r="K3585" s="12">
        <v>46020</v>
      </c>
      <c r="L3585" s="28" t="s">
        <v>11</v>
      </c>
      <c r="M3585" s="14"/>
      <c r="N3585" s="10" t="s">
        <v>1028</v>
      </c>
    </row>
    <row r="3586" spans="1:14" ht="22.5" customHeight="1">
      <c r="A3586" s="8">
        <v>46020.728971828707</v>
      </c>
      <c r="B3586" s="9" t="s">
        <v>14</v>
      </c>
      <c r="C3586" s="9" t="s">
        <v>15</v>
      </c>
      <c r="D3586" s="10" t="s">
        <v>7871</v>
      </c>
      <c r="E3586" s="9" t="s">
        <v>17</v>
      </c>
      <c r="F3586" s="10">
        <v>31</v>
      </c>
      <c r="G3586" s="11">
        <v>9069980267</v>
      </c>
      <c r="H3586" s="10" t="s">
        <v>7872</v>
      </c>
      <c r="I3586" s="10" t="s">
        <v>31</v>
      </c>
      <c r="J3586" s="10" t="s">
        <v>7873</v>
      </c>
      <c r="K3586" s="12">
        <v>46020</v>
      </c>
      <c r="L3586" s="28" t="s">
        <v>11</v>
      </c>
      <c r="M3586" s="14"/>
      <c r="N3586" s="10" t="s">
        <v>1028</v>
      </c>
    </row>
    <row r="3587" spans="1:14" ht="22.5" customHeight="1">
      <c r="A3587" s="8">
        <v>46020.73093273148</v>
      </c>
      <c r="B3587" s="9" t="s">
        <v>14</v>
      </c>
      <c r="C3587" s="9" t="s">
        <v>15</v>
      </c>
      <c r="D3587" s="10" t="s">
        <v>7874</v>
      </c>
      <c r="E3587" s="9" t="s">
        <v>17</v>
      </c>
      <c r="F3587" s="10">
        <v>26</v>
      </c>
      <c r="G3587" s="11">
        <v>8054756807</v>
      </c>
      <c r="H3587" s="10" t="s">
        <v>7875</v>
      </c>
      <c r="I3587" s="10" t="s">
        <v>45</v>
      </c>
      <c r="J3587" s="10" t="s">
        <v>7876</v>
      </c>
      <c r="K3587" s="12">
        <v>46020</v>
      </c>
      <c r="L3587" s="28" t="s">
        <v>11</v>
      </c>
      <c r="M3587" s="14"/>
      <c r="N3587" s="10" t="s">
        <v>1028</v>
      </c>
    </row>
    <row r="3588" spans="1:14" ht="22.5" customHeight="1">
      <c r="A3588" s="8">
        <v>46020.731945925931</v>
      </c>
      <c r="B3588" s="9" t="s">
        <v>14</v>
      </c>
      <c r="C3588" s="9" t="s">
        <v>15</v>
      </c>
      <c r="D3588" s="10" t="s">
        <v>7877</v>
      </c>
      <c r="E3588" s="9" t="s">
        <v>17</v>
      </c>
      <c r="F3588" s="10">
        <v>23</v>
      </c>
      <c r="G3588" s="11">
        <v>9158993669</v>
      </c>
      <c r="H3588" s="10" t="s">
        <v>7878</v>
      </c>
      <c r="I3588" s="10" t="s">
        <v>145</v>
      </c>
      <c r="J3588" s="10" t="s">
        <v>530</v>
      </c>
      <c r="K3588" s="12">
        <v>46020</v>
      </c>
      <c r="L3588" s="28" t="s">
        <v>11</v>
      </c>
      <c r="M3588" s="14"/>
      <c r="N3588" s="10" t="s">
        <v>1028</v>
      </c>
    </row>
    <row r="3589" spans="1:14" ht="22.5" customHeight="1">
      <c r="A3589" s="8">
        <v>46020.738502662032</v>
      </c>
      <c r="B3589" s="9" t="s">
        <v>14</v>
      </c>
      <c r="C3589" s="9" t="s">
        <v>15</v>
      </c>
      <c r="D3589" s="10" t="s">
        <v>7879</v>
      </c>
      <c r="E3589" s="9" t="s">
        <v>22</v>
      </c>
      <c r="F3589" s="10">
        <v>36</v>
      </c>
      <c r="G3589" s="11">
        <f>2349037933585</f>
        <v>2349037933585</v>
      </c>
      <c r="H3589" s="10" t="s">
        <v>7880</v>
      </c>
      <c r="I3589" s="10" t="s">
        <v>145</v>
      </c>
      <c r="J3589" s="10" t="s">
        <v>3584</v>
      </c>
      <c r="K3589" s="12">
        <v>32807</v>
      </c>
      <c r="L3589" s="28" t="s">
        <v>11</v>
      </c>
      <c r="M3589" s="14"/>
      <c r="N3589" s="10" t="s">
        <v>1028</v>
      </c>
    </row>
    <row r="3590" spans="1:14" ht="22.5" customHeight="1">
      <c r="A3590" s="8">
        <v>46020.744004039356</v>
      </c>
      <c r="B3590" s="9" t="s">
        <v>14</v>
      </c>
      <c r="C3590" s="9" t="s">
        <v>15</v>
      </c>
      <c r="D3590" s="10" t="s">
        <v>7881</v>
      </c>
      <c r="E3590" s="9" t="s">
        <v>17</v>
      </c>
      <c r="F3590" s="10">
        <v>30</v>
      </c>
      <c r="G3590" s="11">
        <v>9066425223</v>
      </c>
      <c r="H3590" s="10" t="s">
        <v>7882</v>
      </c>
      <c r="I3590" s="10" t="s">
        <v>49</v>
      </c>
      <c r="J3590" s="10" t="s">
        <v>109</v>
      </c>
      <c r="K3590" s="12">
        <v>46020</v>
      </c>
      <c r="L3590" s="28" t="s">
        <v>11</v>
      </c>
      <c r="M3590" s="14"/>
      <c r="N3590" s="10" t="s">
        <v>1028</v>
      </c>
    </row>
    <row r="3591" spans="1:14" ht="22.5" customHeight="1">
      <c r="A3591" s="8">
        <v>46020.747426504633</v>
      </c>
      <c r="B3591" s="9" t="s">
        <v>14</v>
      </c>
      <c r="C3591" s="9" t="s">
        <v>15</v>
      </c>
      <c r="D3591" s="10" t="s">
        <v>7883</v>
      </c>
      <c r="E3591" s="9" t="s">
        <v>17</v>
      </c>
      <c r="F3591" s="10">
        <v>26</v>
      </c>
      <c r="G3591" s="11">
        <v>8145341383</v>
      </c>
      <c r="H3591" s="10" t="s">
        <v>7884</v>
      </c>
      <c r="I3591" s="10" t="s">
        <v>49</v>
      </c>
      <c r="J3591" s="10" t="s">
        <v>106</v>
      </c>
      <c r="K3591" s="12">
        <v>46020</v>
      </c>
      <c r="L3591" s="28" t="s">
        <v>11</v>
      </c>
      <c r="M3591" s="14"/>
      <c r="N3591" s="10" t="s">
        <v>1028</v>
      </c>
    </row>
    <row r="3592" spans="1:14" ht="22.5" customHeight="1">
      <c r="A3592" s="8">
        <v>46020.749185636574</v>
      </c>
      <c r="B3592" s="9" t="s">
        <v>14</v>
      </c>
      <c r="C3592" s="9" t="s">
        <v>15</v>
      </c>
      <c r="D3592" s="10" t="s">
        <v>7885</v>
      </c>
      <c r="E3592" s="9" t="s">
        <v>17</v>
      </c>
      <c r="F3592" s="10">
        <v>42</v>
      </c>
      <c r="G3592" s="11">
        <v>8033078883</v>
      </c>
      <c r="H3592" s="10" t="s">
        <v>7886</v>
      </c>
      <c r="I3592" s="10" t="s">
        <v>49</v>
      </c>
      <c r="J3592" s="10" t="s">
        <v>106</v>
      </c>
      <c r="K3592" s="12">
        <v>46020</v>
      </c>
      <c r="L3592" s="28" t="s">
        <v>11</v>
      </c>
      <c r="M3592" s="14"/>
      <c r="N3592" s="10" t="s">
        <v>1028</v>
      </c>
    </row>
    <row r="3593" spans="1:14" ht="22.5" customHeight="1">
      <c r="A3593" s="8">
        <v>46020.749880856485</v>
      </c>
      <c r="B3593" s="9" t="s">
        <v>14</v>
      </c>
      <c r="C3593" s="9" t="s">
        <v>15</v>
      </c>
      <c r="D3593" s="10" t="s">
        <v>7887</v>
      </c>
      <c r="E3593" s="9" t="s">
        <v>17</v>
      </c>
      <c r="F3593" s="10">
        <v>28</v>
      </c>
      <c r="G3593" s="11">
        <v>8064695064</v>
      </c>
      <c r="H3593" s="10" t="s">
        <v>7888</v>
      </c>
      <c r="I3593" s="10" t="s">
        <v>49</v>
      </c>
      <c r="J3593" s="10" t="s">
        <v>103</v>
      </c>
      <c r="K3593" s="12">
        <v>46020</v>
      </c>
      <c r="L3593" s="28" t="s">
        <v>11</v>
      </c>
      <c r="M3593" s="14"/>
      <c r="N3593" s="10" t="s">
        <v>1028</v>
      </c>
    </row>
    <row r="3594" spans="1:14" ht="22.5" customHeight="1">
      <c r="A3594" s="8">
        <v>46020.755561446756</v>
      </c>
      <c r="B3594" s="9" t="s">
        <v>14</v>
      </c>
      <c r="C3594" s="9" t="s">
        <v>15</v>
      </c>
      <c r="D3594" s="10" t="s">
        <v>7889</v>
      </c>
      <c r="E3594" s="9" t="s">
        <v>17</v>
      </c>
      <c r="F3594" s="10">
        <v>27</v>
      </c>
      <c r="G3594" s="11">
        <v>8130500563</v>
      </c>
      <c r="H3594" s="10" t="s">
        <v>7890</v>
      </c>
      <c r="I3594" s="10" t="s">
        <v>49</v>
      </c>
      <c r="J3594" s="10" t="s">
        <v>50</v>
      </c>
      <c r="K3594" s="12">
        <v>46020</v>
      </c>
      <c r="L3594" s="28" t="s">
        <v>11</v>
      </c>
      <c r="M3594" s="14"/>
      <c r="N3594" s="10" t="s">
        <v>1028</v>
      </c>
    </row>
    <row r="3595" spans="1:14" ht="22.5" customHeight="1">
      <c r="A3595" s="8">
        <v>46020.759656643517</v>
      </c>
      <c r="B3595" s="9" t="s">
        <v>14</v>
      </c>
      <c r="C3595" s="9" t="s">
        <v>15</v>
      </c>
      <c r="D3595" s="10" t="s">
        <v>7891</v>
      </c>
      <c r="E3595" s="9" t="s">
        <v>22</v>
      </c>
      <c r="F3595" s="10">
        <v>22</v>
      </c>
      <c r="G3595" s="11">
        <v>9132374197</v>
      </c>
      <c r="H3595" s="10" t="s">
        <v>7892</v>
      </c>
      <c r="I3595" s="10" t="s">
        <v>49</v>
      </c>
      <c r="J3595" s="10" t="s">
        <v>73</v>
      </c>
      <c r="K3595" s="12">
        <v>46020</v>
      </c>
      <c r="L3595" s="28" t="s">
        <v>11</v>
      </c>
      <c r="M3595" s="14"/>
      <c r="N3595" s="10" t="s">
        <v>1028</v>
      </c>
    </row>
    <row r="3596" spans="1:14" ht="22.5" customHeight="1">
      <c r="A3596" s="8">
        <v>46020.764995648147</v>
      </c>
      <c r="B3596" s="9" t="s">
        <v>14</v>
      </c>
      <c r="C3596" s="9" t="s">
        <v>15</v>
      </c>
      <c r="D3596" s="10" t="s">
        <v>7893</v>
      </c>
      <c r="E3596" s="9" t="s">
        <v>17</v>
      </c>
      <c r="F3596" s="10">
        <v>29</v>
      </c>
      <c r="G3596" s="11">
        <f t="shared" ref="G3596" si="99">260974795780</f>
        <v>260974795780</v>
      </c>
      <c r="H3596" s="10" t="s">
        <v>7894</v>
      </c>
      <c r="I3596" s="10" t="s">
        <v>19</v>
      </c>
      <c r="J3596" s="10" t="s">
        <v>845</v>
      </c>
      <c r="K3596" s="12">
        <v>46020</v>
      </c>
      <c r="L3596" s="28" t="s">
        <v>11</v>
      </c>
      <c r="M3596" s="14"/>
      <c r="N3596" s="10" t="s">
        <v>1140</v>
      </c>
    </row>
    <row r="3597" spans="1:14" ht="22.5" customHeight="1">
      <c r="A3597" s="8">
        <v>46020.772697685185</v>
      </c>
      <c r="B3597" s="9" t="s">
        <v>14</v>
      </c>
      <c r="C3597" s="9" t="s">
        <v>15</v>
      </c>
      <c r="D3597" s="10" t="s">
        <v>7895</v>
      </c>
      <c r="E3597" s="9" t="s">
        <v>17</v>
      </c>
      <c r="F3597" s="10">
        <v>27</v>
      </c>
      <c r="G3597" s="11">
        <v>7033197893</v>
      </c>
      <c r="H3597" s="10" t="s">
        <v>7896</v>
      </c>
      <c r="I3597" s="10" t="s">
        <v>49</v>
      </c>
      <c r="J3597" s="10" t="s">
        <v>109</v>
      </c>
      <c r="K3597" s="12">
        <v>46020</v>
      </c>
      <c r="L3597" s="28" t="s">
        <v>11</v>
      </c>
      <c r="M3597" s="14"/>
      <c r="N3597" s="10" t="s">
        <v>1028</v>
      </c>
    </row>
    <row r="3598" spans="1:14" ht="22.5" customHeight="1">
      <c r="A3598" s="8">
        <v>46020.774415578708</v>
      </c>
      <c r="B3598" s="9" t="s">
        <v>14</v>
      </c>
      <c r="C3598" s="9" t="s">
        <v>15</v>
      </c>
      <c r="D3598" s="10" t="s">
        <v>7897</v>
      </c>
      <c r="E3598" s="9" t="s">
        <v>22</v>
      </c>
      <c r="F3598" s="10">
        <v>27</v>
      </c>
      <c r="G3598" s="11">
        <v>8160558434</v>
      </c>
      <c r="H3598" s="10" t="s">
        <v>7898</v>
      </c>
      <c r="I3598" s="10" t="s">
        <v>27</v>
      </c>
      <c r="J3598" s="10" t="s">
        <v>70</v>
      </c>
      <c r="K3598" s="12">
        <v>36090</v>
      </c>
      <c r="L3598" s="28" t="s">
        <v>11</v>
      </c>
      <c r="M3598" s="14"/>
      <c r="N3598" s="10" t="s">
        <v>1028</v>
      </c>
    </row>
    <row r="3599" spans="1:14" ht="22.5" customHeight="1">
      <c r="A3599" s="8">
        <v>46020.774787777773</v>
      </c>
      <c r="B3599" s="9" t="s">
        <v>14</v>
      </c>
      <c r="C3599" s="9" t="s">
        <v>15</v>
      </c>
      <c r="D3599" s="10" t="s">
        <v>7871</v>
      </c>
      <c r="E3599" s="9" t="s">
        <v>17</v>
      </c>
      <c r="F3599" s="10">
        <v>31</v>
      </c>
      <c r="G3599" s="11">
        <v>9069980267</v>
      </c>
      <c r="H3599" s="10" t="s">
        <v>7872</v>
      </c>
      <c r="I3599" s="10" t="s">
        <v>31</v>
      </c>
      <c r="J3599" s="10" t="s">
        <v>7873</v>
      </c>
      <c r="K3599" s="12">
        <v>46020</v>
      </c>
      <c r="L3599" s="28" t="s">
        <v>11</v>
      </c>
      <c r="M3599" s="14"/>
      <c r="N3599" s="10" t="s">
        <v>1028</v>
      </c>
    </row>
    <row r="3600" spans="1:14" ht="22.5" customHeight="1">
      <c r="A3600" s="8">
        <v>46020.775419224534</v>
      </c>
      <c r="B3600" s="9" t="s">
        <v>14</v>
      </c>
      <c r="C3600" s="9" t="s">
        <v>15</v>
      </c>
      <c r="D3600" s="10" t="s">
        <v>7899</v>
      </c>
      <c r="E3600" s="9" t="s">
        <v>22</v>
      </c>
      <c r="F3600" s="10">
        <v>32</v>
      </c>
      <c r="G3600" s="11">
        <v>8029007125</v>
      </c>
      <c r="H3600" s="10" t="s">
        <v>7900</v>
      </c>
      <c r="I3600" s="10" t="s">
        <v>49</v>
      </c>
      <c r="J3600" s="10" t="s">
        <v>73</v>
      </c>
      <c r="K3600" s="12">
        <v>46020</v>
      </c>
      <c r="L3600" s="28" t="s">
        <v>11</v>
      </c>
      <c r="M3600" s="14"/>
      <c r="N3600" s="10" t="s">
        <v>1028</v>
      </c>
    </row>
    <row r="3601" spans="1:14" ht="22.5" customHeight="1">
      <c r="A3601" s="8">
        <v>46020.778570023147</v>
      </c>
      <c r="B3601" s="9" t="s">
        <v>14</v>
      </c>
      <c r="C3601" s="9" t="s">
        <v>15</v>
      </c>
      <c r="D3601" s="10" t="s">
        <v>7901</v>
      </c>
      <c r="E3601" s="9" t="s">
        <v>17</v>
      </c>
      <c r="F3601" s="18">
        <v>35</v>
      </c>
      <c r="G3601" s="11">
        <v>8032330292</v>
      </c>
      <c r="H3601" s="10" t="s">
        <v>7902</v>
      </c>
      <c r="I3601" s="10" t="s">
        <v>45</v>
      </c>
      <c r="J3601" s="10" t="s">
        <v>7903</v>
      </c>
      <c r="K3601" s="12">
        <v>46020</v>
      </c>
      <c r="L3601" s="28" t="s">
        <v>11</v>
      </c>
      <c r="M3601" s="14"/>
      <c r="N3601" s="10" t="s">
        <v>1096</v>
      </c>
    </row>
    <row r="3602" spans="1:14" ht="22.5" customHeight="1">
      <c r="A3602" s="8">
        <v>46020.782233622682</v>
      </c>
      <c r="B3602" s="9" t="s">
        <v>14</v>
      </c>
      <c r="C3602" s="9" t="s">
        <v>15</v>
      </c>
      <c r="D3602" s="10" t="s">
        <v>7904</v>
      </c>
      <c r="E3602" s="9" t="s">
        <v>17</v>
      </c>
      <c r="F3602" s="10">
        <v>34</v>
      </c>
      <c r="G3602" s="11">
        <v>9124099466</v>
      </c>
      <c r="H3602" s="10" t="s">
        <v>7905</v>
      </c>
      <c r="I3602" s="10" t="s">
        <v>27</v>
      </c>
      <c r="J3602" s="10" t="s">
        <v>7906</v>
      </c>
      <c r="K3602" s="12">
        <v>46020</v>
      </c>
      <c r="L3602" s="28" t="s">
        <v>11</v>
      </c>
      <c r="M3602" s="14"/>
      <c r="N3602" s="10" t="s">
        <v>1028</v>
      </c>
    </row>
    <row r="3603" spans="1:14" ht="22.5" customHeight="1">
      <c r="A3603" s="8">
        <v>46020.79154987268</v>
      </c>
      <c r="B3603" s="9" t="s">
        <v>14</v>
      </c>
      <c r="C3603" s="9" t="s">
        <v>15</v>
      </c>
      <c r="D3603" s="10" t="s">
        <v>382</v>
      </c>
      <c r="E3603" s="9" t="s">
        <v>22</v>
      </c>
      <c r="F3603" s="10">
        <v>32</v>
      </c>
      <c r="G3603" s="11">
        <v>8068367446</v>
      </c>
      <c r="H3603" s="10" t="s">
        <v>383</v>
      </c>
      <c r="I3603" s="10" t="s">
        <v>49</v>
      </c>
      <c r="J3603" s="10" t="s">
        <v>109</v>
      </c>
      <c r="K3603" s="12">
        <v>46020</v>
      </c>
      <c r="L3603" s="28" t="s">
        <v>11</v>
      </c>
      <c r="M3603" s="14"/>
      <c r="N3603" s="10" t="s">
        <v>1028</v>
      </c>
    </row>
    <row r="3604" spans="1:14" ht="22.5" customHeight="1">
      <c r="A3604" s="8">
        <v>46020.798091076387</v>
      </c>
      <c r="B3604" s="9" t="s">
        <v>14</v>
      </c>
      <c r="C3604" s="9" t="s">
        <v>15</v>
      </c>
      <c r="D3604" s="10" t="s">
        <v>7907</v>
      </c>
      <c r="E3604" s="9" t="s">
        <v>17</v>
      </c>
      <c r="F3604" s="10">
        <v>49</v>
      </c>
      <c r="G3604" s="11">
        <v>8058226812</v>
      </c>
      <c r="H3604" s="10" t="s">
        <v>7908</v>
      </c>
      <c r="I3604" s="10" t="s">
        <v>49</v>
      </c>
      <c r="J3604" s="10" t="s">
        <v>50</v>
      </c>
      <c r="K3604" s="12">
        <v>46020</v>
      </c>
      <c r="L3604" s="28" t="s">
        <v>11</v>
      </c>
      <c r="M3604" s="14"/>
      <c r="N3604" s="10" t="s">
        <v>1028</v>
      </c>
    </row>
    <row r="3605" spans="1:14" ht="22.5" customHeight="1">
      <c r="A3605" s="8">
        <v>46020.79972466435</v>
      </c>
      <c r="B3605" s="9" t="s">
        <v>14</v>
      </c>
      <c r="C3605" s="9" t="s">
        <v>15</v>
      </c>
      <c r="D3605" s="10" t="s">
        <v>7909</v>
      </c>
      <c r="E3605" s="9" t="s">
        <v>22</v>
      </c>
      <c r="F3605" s="10">
        <v>35</v>
      </c>
      <c r="G3605" s="11">
        <v>8076515836</v>
      </c>
      <c r="H3605" s="10" t="s">
        <v>7910</v>
      </c>
      <c r="I3605" s="10" t="s">
        <v>49</v>
      </c>
      <c r="J3605" s="10" t="s">
        <v>73</v>
      </c>
      <c r="K3605" s="12">
        <v>46020</v>
      </c>
      <c r="L3605" s="28" t="s">
        <v>11</v>
      </c>
      <c r="M3605" s="14"/>
      <c r="N3605" s="10" t="s">
        <v>1028</v>
      </c>
    </row>
    <row r="3606" spans="1:14" ht="22.5" customHeight="1">
      <c r="A3606" s="8">
        <v>46020.8035422338</v>
      </c>
      <c r="B3606" s="9" t="s">
        <v>14</v>
      </c>
      <c r="C3606" s="9" t="s">
        <v>15</v>
      </c>
      <c r="D3606" s="10" t="s">
        <v>7911</v>
      </c>
      <c r="E3606" s="9" t="s">
        <v>22</v>
      </c>
      <c r="F3606" s="10">
        <v>31</v>
      </c>
      <c r="G3606" s="11">
        <v>7038846624</v>
      </c>
      <c r="H3606" s="10" t="s">
        <v>7912</v>
      </c>
      <c r="I3606" s="10" t="s">
        <v>49</v>
      </c>
      <c r="J3606" s="10" t="s">
        <v>303</v>
      </c>
      <c r="K3606" s="12">
        <v>46020</v>
      </c>
      <c r="L3606" s="28" t="s">
        <v>11</v>
      </c>
      <c r="M3606" s="14"/>
      <c r="N3606" s="10" t="s">
        <v>1096</v>
      </c>
    </row>
    <row r="3607" spans="1:14" ht="22.5" customHeight="1">
      <c r="A3607" s="8">
        <v>46020.804959027781</v>
      </c>
      <c r="B3607" s="9" t="s">
        <v>14</v>
      </c>
      <c r="C3607" s="9" t="s">
        <v>15</v>
      </c>
      <c r="D3607" s="10" t="s">
        <v>7913</v>
      </c>
      <c r="E3607" s="9" t="s">
        <v>22</v>
      </c>
      <c r="F3607" s="10">
        <v>22</v>
      </c>
      <c r="G3607" s="11">
        <v>8145573812</v>
      </c>
      <c r="H3607" s="10" t="s">
        <v>7914</v>
      </c>
      <c r="I3607" s="10" t="s">
        <v>145</v>
      </c>
      <c r="J3607" s="10" t="s">
        <v>530</v>
      </c>
      <c r="K3607" s="12">
        <v>46020</v>
      </c>
      <c r="L3607" s="28" t="s">
        <v>11</v>
      </c>
      <c r="M3607" s="14"/>
      <c r="N3607" s="10" t="s">
        <v>1028</v>
      </c>
    </row>
    <row r="3608" spans="1:14" ht="22.5" customHeight="1">
      <c r="A3608" s="8">
        <v>46020.805548020835</v>
      </c>
      <c r="B3608" s="9" t="s">
        <v>14</v>
      </c>
      <c r="C3608" s="9" t="s">
        <v>15</v>
      </c>
      <c r="D3608" s="10" t="s">
        <v>7915</v>
      </c>
      <c r="E3608" s="9" t="s">
        <v>17</v>
      </c>
      <c r="F3608" s="10">
        <v>36</v>
      </c>
      <c r="G3608" s="11">
        <v>8069594647</v>
      </c>
      <c r="H3608" s="10" t="s">
        <v>7916</v>
      </c>
      <c r="I3608" s="10" t="s">
        <v>49</v>
      </c>
      <c r="J3608" s="10" t="s">
        <v>50</v>
      </c>
      <c r="K3608" s="12">
        <v>46020</v>
      </c>
      <c r="L3608" s="28" t="s">
        <v>11</v>
      </c>
      <c r="M3608" s="14"/>
      <c r="N3608" s="10" t="s">
        <v>1028</v>
      </c>
    </row>
    <row r="3609" spans="1:14" ht="22.5" customHeight="1">
      <c r="A3609" s="8">
        <v>46020.812388877312</v>
      </c>
      <c r="B3609" s="9" t="s">
        <v>14</v>
      </c>
      <c r="C3609" s="9" t="s">
        <v>15</v>
      </c>
      <c r="D3609" s="10" t="s">
        <v>7917</v>
      </c>
      <c r="E3609" s="9" t="s">
        <v>22</v>
      </c>
      <c r="F3609" s="10">
        <v>37</v>
      </c>
      <c r="G3609" s="11">
        <v>7030301876</v>
      </c>
      <c r="H3609" s="10" t="s">
        <v>7918</v>
      </c>
      <c r="I3609" s="10" t="s">
        <v>49</v>
      </c>
      <c r="J3609" s="10" t="s">
        <v>599</v>
      </c>
      <c r="K3609" s="12">
        <v>46020</v>
      </c>
      <c r="L3609" s="28" t="s">
        <v>11</v>
      </c>
      <c r="M3609" s="14"/>
      <c r="N3609" s="10" t="s">
        <v>1028</v>
      </c>
    </row>
    <row r="3610" spans="1:14" ht="22.5" customHeight="1">
      <c r="A3610" s="8">
        <v>46020.827258993057</v>
      </c>
      <c r="B3610" s="9" t="s">
        <v>14</v>
      </c>
      <c r="C3610" s="9" t="s">
        <v>15</v>
      </c>
      <c r="D3610" s="10" t="s">
        <v>7919</v>
      </c>
      <c r="E3610" s="9" t="s">
        <v>17</v>
      </c>
      <c r="F3610" s="10">
        <v>25</v>
      </c>
      <c r="G3610" s="11">
        <v>727772417</v>
      </c>
      <c r="H3610" s="10" t="s">
        <v>7920</v>
      </c>
      <c r="I3610" s="10" t="s">
        <v>19</v>
      </c>
      <c r="J3610" s="10" t="s">
        <v>7921</v>
      </c>
      <c r="K3610" s="12">
        <v>46020</v>
      </c>
      <c r="L3610" s="28" t="s">
        <v>11</v>
      </c>
      <c r="M3610" s="10"/>
      <c r="N3610" s="10" t="s">
        <v>7922</v>
      </c>
    </row>
    <row r="3611" spans="1:14" ht="22.5" customHeight="1">
      <c r="A3611" s="8">
        <v>46020.828455520837</v>
      </c>
      <c r="B3611" s="9" t="s">
        <v>14</v>
      </c>
      <c r="C3611" s="9" t="s">
        <v>15</v>
      </c>
      <c r="D3611" s="10" t="s">
        <v>7923</v>
      </c>
      <c r="E3611" s="9" t="s">
        <v>17</v>
      </c>
      <c r="F3611" s="10">
        <v>38</v>
      </c>
      <c r="G3611" s="11">
        <v>7065067278</v>
      </c>
      <c r="H3611" s="10" t="s">
        <v>7924</v>
      </c>
      <c r="I3611" s="10" t="s">
        <v>49</v>
      </c>
      <c r="J3611" s="10" t="s">
        <v>109</v>
      </c>
      <c r="K3611" s="12">
        <v>46020</v>
      </c>
      <c r="L3611" s="28" t="s">
        <v>11</v>
      </c>
      <c r="M3611" s="14"/>
      <c r="N3611" s="10" t="s">
        <v>1028</v>
      </c>
    </row>
    <row r="3612" spans="1:14" ht="22.5" customHeight="1">
      <c r="A3612" s="8">
        <v>46020.831225960646</v>
      </c>
      <c r="B3612" s="9" t="s">
        <v>14</v>
      </c>
      <c r="C3612" s="9" t="s">
        <v>15</v>
      </c>
      <c r="D3612" s="10" t="s">
        <v>7925</v>
      </c>
      <c r="E3612" s="9" t="s">
        <v>17</v>
      </c>
      <c r="F3612" s="10">
        <v>28</v>
      </c>
      <c r="G3612" s="11">
        <v>7066861551</v>
      </c>
      <c r="H3612" s="10" t="s">
        <v>7926</v>
      </c>
      <c r="I3612" s="10" t="s">
        <v>19</v>
      </c>
      <c r="J3612" s="10" t="s">
        <v>166</v>
      </c>
      <c r="K3612" s="12">
        <v>46020</v>
      </c>
      <c r="L3612" s="28" t="s">
        <v>11</v>
      </c>
      <c r="M3612" s="14"/>
      <c r="N3612" s="10" t="s">
        <v>1028</v>
      </c>
    </row>
    <row r="3613" spans="1:14" ht="22.5" customHeight="1">
      <c r="A3613" s="8">
        <v>46020.854882002313</v>
      </c>
      <c r="B3613" s="9" t="s">
        <v>14</v>
      </c>
      <c r="C3613" s="9" t="s">
        <v>15</v>
      </c>
      <c r="D3613" s="10" t="s">
        <v>7927</v>
      </c>
      <c r="E3613" s="9" t="s">
        <v>17</v>
      </c>
      <c r="F3613" s="10">
        <v>40</v>
      </c>
      <c r="G3613" s="11">
        <v>8134806040</v>
      </c>
      <c r="H3613" s="10" t="s">
        <v>7928</v>
      </c>
      <c r="I3613" s="10" t="s">
        <v>49</v>
      </c>
      <c r="J3613" s="10" t="s">
        <v>599</v>
      </c>
      <c r="K3613" s="12">
        <v>46020</v>
      </c>
      <c r="L3613" s="28" t="s">
        <v>11</v>
      </c>
      <c r="M3613" s="14"/>
      <c r="N3613" s="10" t="s">
        <v>1028</v>
      </c>
    </row>
    <row r="3614" spans="1:14" ht="22.5" customHeight="1">
      <c r="A3614" s="8">
        <v>46020.855459837963</v>
      </c>
      <c r="B3614" s="9" t="s">
        <v>14</v>
      </c>
      <c r="C3614" s="9" t="s">
        <v>15</v>
      </c>
      <c r="D3614" s="10" t="s">
        <v>7929</v>
      </c>
      <c r="E3614" s="9" t="s">
        <v>17</v>
      </c>
      <c r="F3614" s="10">
        <v>30</v>
      </c>
      <c r="G3614" s="11">
        <v>7038380613</v>
      </c>
      <c r="H3614" s="10" t="s">
        <v>7930</v>
      </c>
      <c r="I3614" s="10" t="s">
        <v>49</v>
      </c>
      <c r="J3614" s="10" t="s">
        <v>50</v>
      </c>
      <c r="K3614" s="12">
        <v>46020</v>
      </c>
      <c r="L3614" s="28" t="s">
        <v>11</v>
      </c>
      <c r="M3614" s="14"/>
      <c r="N3614" s="10" t="s">
        <v>1028</v>
      </c>
    </row>
    <row r="3615" spans="1:14" ht="22.5" customHeight="1">
      <c r="A3615" s="8">
        <v>46020.863466817129</v>
      </c>
      <c r="B3615" s="9" t="s">
        <v>14</v>
      </c>
      <c r="C3615" s="9" t="s">
        <v>15</v>
      </c>
      <c r="D3615" s="10" t="s">
        <v>7931</v>
      </c>
      <c r="E3615" s="9" t="s">
        <v>17</v>
      </c>
      <c r="F3615" s="10">
        <v>28</v>
      </c>
      <c r="G3615" s="11">
        <v>7066490818</v>
      </c>
      <c r="H3615" s="10" t="s">
        <v>7932</v>
      </c>
      <c r="I3615" s="10" t="s">
        <v>49</v>
      </c>
      <c r="J3615" s="10" t="s">
        <v>109</v>
      </c>
      <c r="K3615" s="12">
        <v>46020</v>
      </c>
      <c r="L3615" s="28" t="s">
        <v>11</v>
      </c>
      <c r="M3615" s="14"/>
      <c r="N3615" s="10" t="s">
        <v>1028</v>
      </c>
    </row>
    <row r="3616" spans="1:14" ht="22.5" customHeight="1">
      <c r="A3616" s="8">
        <v>46020.868788391206</v>
      </c>
      <c r="B3616" s="9" t="s">
        <v>14</v>
      </c>
      <c r="C3616" s="9" t="s">
        <v>15</v>
      </c>
      <c r="D3616" s="10" t="s">
        <v>7933</v>
      </c>
      <c r="E3616" s="9" t="s">
        <v>22</v>
      </c>
      <c r="F3616" s="10">
        <v>34</v>
      </c>
      <c r="G3616" s="11">
        <v>8067281060</v>
      </c>
      <c r="H3616" s="10" t="s">
        <v>7934</v>
      </c>
      <c r="I3616" s="10" t="s">
        <v>49</v>
      </c>
      <c r="J3616" s="10" t="s">
        <v>50</v>
      </c>
      <c r="K3616" s="12">
        <v>46020</v>
      </c>
      <c r="L3616" s="28" t="s">
        <v>11</v>
      </c>
      <c r="M3616" s="14"/>
      <c r="N3616" s="10" t="s">
        <v>1028</v>
      </c>
    </row>
    <row r="3617" spans="1:14" ht="22.5" customHeight="1">
      <c r="A3617" s="8">
        <v>46020.869433657412</v>
      </c>
      <c r="B3617" s="9" t="s">
        <v>14</v>
      </c>
      <c r="C3617" s="9" t="s">
        <v>15</v>
      </c>
      <c r="D3617" s="10" t="s">
        <v>7935</v>
      </c>
      <c r="E3617" s="9" t="s">
        <v>17</v>
      </c>
      <c r="F3617" s="10">
        <v>29</v>
      </c>
      <c r="G3617" s="11">
        <v>8068256783</v>
      </c>
      <c r="H3617" s="10" t="s">
        <v>7936</v>
      </c>
      <c r="I3617" s="10" t="s">
        <v>49</v>
      </c>
      <c r="J3617" s="10" t="s">
        <v>282</v>
      </c>
      <c r="K3617" s="12">
        <v>45739</v>
      </c>
      <c r="L3617" s="28" t="s">
        <v>11</v>
      </c>
      <c r="M3617" s="14"/>
      <c r="N3617" s="10" t="s">
        <v>1028</v>
      </c>
    </row>
    <row r="3618" spans="1:14" ht="22.5" customHeight="1">
      <c r="A3618" s="8">
        <v>46020.875478425922</v>
      </c>
      <c r="B3618" s="9" t="s">
        <v>14</v>
      </c>
      <c r="C3618" s="9" t="s">
        <v>15</v>
      </c>
      <c r="D3618" s="10" t="s">
        <v>7937</v>
      </c>
      <c r="E3618" s="9" t="s">
        <v>17</v>
      </c>
      <c r="F3618" s="10">
        <v>25</v>
      </c>
      <c r="G3618" s="11">
        <v>9122064412</v>
      </c>
      <c r="H3618" s="10" t="s">
        <v>7938</v>
      </c>
      <c r="I3618" s="10" t="s">
        <v>49</v>
      </c>
      <c r="J3618" s="10" t="s">
        <v>109</v>
      </c>
      <c r="K3618" s="12">
        <v>46020</v>
      </c>
      <c r="L3618" s="28" t="s">
        <v>11</v>
      </c>
      <c r="M3618" s="14"/>
      <c r="N3618" s="10" t="s">
        <v>1028</v>
      </c>
    </row>
    <row r="3619" spans="1:14" ht="22.5" customHeight="1">
      <c r="A3619" s="8">
        <v>46020.88122398148</v>
      </c>
      <c r="B3619" s="9" t="s">
        <v>14</v>
      </c>
      <c r="C3619" s="9" t="s">
        <v>15</v>
      </c>
      <c r="D3619" s="10" t="s">
        <v>7939</v>
      </c>
      <c r="E3619" s="9" t="s">
        <v>17</v>
      </c>
      <c r="F3619" s="10">
        <v>27</v>
      </c>
      <c r="G3619" s="11">
        <v>3984867</v>
      </c>
      <c r="H3619" s="10" t="s">
        <v>7940</v>
      </c>
      <c r="I3619" s="10" t="s">
        <v>202</v>
      </c>
      <c r="J3619" s="10" t="s">
        <v>7941</v>
      </c>
      <c r="K3619" s="12">
        <v>33673</v>
      </c>
      <c r="L3619" s="28" t="s">
        <v>11</v>
      </c>
      <c r="M3619" s="14"/>
      <c r="N3619" s="10" t="s">
        <v>1028</v>
      </c>
    </row>
    <row r="3620" spans="1:14" ht="22.5" customHeight="1">
      <c r="A3620" s="8">
        <v>46020.890989722218</v>
      </c>
      <c r="B3620" s="9" t="s">
        <v>14</v>
      </c>
      <c r="C3620" s="9" t="s">
        <v>15</v>
      </c>
      <c r="D3620" s="10" t="s">
        <v>7942</v>
      </c>
      <c r="E3620" s="9" t="s">
        <v>17</v>
      </c>
      <c r="F3620" s="10">
        <v>24</v>
      </c>
      <c r="G3620" s="11">
        <v>7026166662</v>
      </c>
      <c r="H3620" s="10" t="s">
        <v>7943</v>
      </c>
      <c r="I3620" s="10" t="s">
        <v>49</v>
      </c>
      <c r="J3620" s="10" t="s">
        <v>434</v>
      </c>
      <c r="K3620" s="12">
        <v>46020</v>
      </c>
      <c r="L3620" s="28" t="s">
        <v>11</v>
      </c>
      <c r="M3620" s="14"/>
      <c r="N3620" s="10" t="s">
        <v>1028</v>
      </c>
    </row>
    <row r="3621" spans="1:14" ht="22.5" customHeight="1">
      <c r="A3621" s="8">
        <v>46020.892906701389</v>
      </c>
      <c r="B3621" s="9" t="s">
        <v>14</v>
      </c>
      <c r="C3621" s="9" t="s">
        <v>15</v>
      </c>
      <c r="D3621" s="10" t="s">
        <v>7944</v>
      </c>
      <c r="E3621" s="9" t="s">
        <v>17</v>
      </c>
      <c r="F3621" s="10">
        <v>31</v>
      </c>
      <c r="G3621" s="11">
        <v>7032096875</v>
      </c>
      <c r="H3621" s="10" t="s">
        <v>7945</v>
      </c>
      <c r="I3621" s="10" t="s">
        <v>49</v>
      </c>
      <c r="J3621" s="10" t="s">
        <v>292</v>
      </c>
      <c r="K3621" s="12">
        <v>46020</v>
      </c>
      <c r="L3621" s="28" t="s">
        <v>11</v>
      </c>
      <c r="M3621" s="14"/>
      <c r="N3621" s="10" t="s">
        <v>1028</v>
      </c>
    </row>
    <row r="3622" spans="1:14" ht="22.5" customHeight="1">
      <c r="A3622" s="8">
        <v>46020.89801873843</v>
      </c>
      <c r="B3622" s="9" t="s">
        <v>14</v>
      </c>
      <c r="C3622" s="9" t="s">
        <v>15</v>
      </c>
      <c r="D3622" s="10" t="s">
        <v>7946</v>
      </c>
      <c r="E3622" s="9" t="s">
        <v>22</v>
      </c>
      <c r="F3622" s="10">
        <v>28</v>
      </c>
      <c r="G3622" s="11">
        <v>8164956063</v>
      </c>
      <c r="H3622" s="10" t="s">
        <v>7947</v>
      </c>
      <c r="I3622" s="10" t="s">
        <v>49</v>
      </c>
      <c r="J3622" s="10" t="s">
        <v>73</v>
      </c>
      <c r="K3622" s="12">
        <v>46020</v>
      </c>
      <c r="L3622" s="28" t="s">
        <v>11</v>
      </c>
      <c r="M3622" s="14"/>
      <c r="N3622" s="10" t="s">
        <v>1096</v>
      </c>
    </row>
    <row r="3623" spans="1:14" ht="22.5" customHeight="1">
      <c r="A3623" s="8">
        <v>46020.901637280098</v>
      </c>
      <c r="B3623" s="9" t="s">
        <v>14</v>
      </c>
      <c r="C3623" s="9" t="s">
        <v>15</v>
      </c>
      <c r="D3623" s="10" t="s">
        <v>7948</v>
      </c>
      <c r="E3623" s="9" t="s">
        <v>22</v>
      </c>
      <c r="F3623" s="10">
        <v>20</v>
      </c>
      <c r="G3623" s="11">
        <v>9017163299</v>
      </c>
      <c r="H3623" s="10" t="s">
        <v>7949</v>
      </c>
      <c r="I3623" s="10" t="s">
        <v>49</v>
      </c>
      <c r="J3623" s="10" t="s">
        <v>246</v>
      </c>
      <c r="K3623" s="12">
        <v>46020</v>
      </c>
      <c r="L3623" s="28" t="s">
        <v>11</v>
      </c>
      <c r="M3623" s="14"/>
      <c r="N3623" s="10" t="s">
        <v>1028</v>
      </c>
    </row>
    <row r="3624" spans="1:14" ht="22.5" customHeight="1">
      <c r="A3624" s="8">
        <v>46020.902535104164</v>
      </c>
      <c r="B3624" s="9" t="s">
        <v>14</v>
      </c>
      <c r="C3624" s="9" t="s">
        <v>15</v>
      </c>
      <c r="D3624" s="10" t="s">
        <v>7950</v>
      </c>
      <c r="E3624" s="9" t="s">
        <v>17</v>
      </c>
      <c r="F3624" s="10">
        <v>24</v>
      </c>
      <c r="G3624" s="11">
        <v>9166730553</v>
      </c>
      <c r="H3624" s="10" t="s">
        <v>7951</v>
      </c>
      <c r="I3624" s="10" t="s">
        <v>49</v>
      </c>
      <c r="J3624" s="10" t="s">
        <v>246</v>
      </c>
      <c r="K3624" s="12">
        <v>46020</v>
      </c>
      <c r="L3624" s="28" t="s">
        <v>11</v>
      </c>
      <c r="M3624" s="14"/>
      <c r="N3624" s="10" t="s">
        <v>1563</v>
      </c>
    </row>
    <row r="3625" spans="1:14" ht="22.5" customHeight="1">
      <c r="A3625" s="8">
        <v>46020.911243159717</v>
      </c>
      <c r="B3625" s="9" t="s">
        <v>14</v>
      </c>
      <c r="C3625" s="9" t="s">
        <v>15</v>
      </c>
      <c r="D3625" s="10" t="s">
        <v>7952</v>
      </c>
      <c r="E3625" s="9" t="s">
        <v>17</v>
      </c>
      <c r="F3625" s="10">
        <v>30</v>
      </c>
      <c r="G3625" s="11">
        <v>8065122450</v>
      </c>
      <c r="H3625" s="10" t="s">
        <v>7953</v>
      </c>
      <c r="I3625" s="10" t="s">
        <v>49</v>
      </c>
      <c r="J3625" s="10" t="s">
        <v>232</v>
      </c>
      <c r="K3625" s="12">
        <v>46020</v>
      </c>
      <c r="L3625" s="28" t="s">
        <v>11</v>
      </c>
      <c r="M3625" s="14"/>
      <c r="N3625" s="10" t="s">
        <v>1028</v>
      </c>
    </row>
    <row r="3626" spans="1:14" ht="22.5" customHeight="1">
      <c r="A3626" s="8">
        <v>46020.912654270833</v>
      </c>
      <c r="B3626" s="9" t="s">
        <v>14</v>
      </c>
      <c r="C3626" s="9" t="s">
        <v>15</v>
      </c>
      <c r="D3626" s="10" t="s">
        <v>7954</v>
      </c>
      <c r="E3626" s="9" t="s">
        <v>22</v>
      </c>
      <c r="F3626" s="10">
        <v>27</v>
      </c>
      <c r="G3626" s="11">
        <v>9061625355</v>
      </c>
      <c r="H3626" s="10" t="s">
        <v>7955</v>
      </c>
      <c r="I3626" s="10" t="s">
        <v>49</v>
      </c>
      <c r="J3626" s="10" t="s">
        <v>50</v>
      </c>
      <c r="K3626" s="12">
        <v>46020</v>
      </c>
      <c r="L3626" s="28" t="s">
        <v>11</v>
      </c>
      <c r="M3626" s="14"/>
      <c r="N3626" s="10" t="s">
        <v>1028</v>
      </c>
    </row>
    <row r="3627" spans="1:14" ht="22.5" customHeight="1">
      <c r="A3627" s="8">
        <v>46020.91286099537</v>
      </c>
      <c r="B3627" s="9" t="s">
        <v>14</v>
      </c>
      <c r="C3627" s="9" t="s">
        <v>15</v>
      </c>
      <c r="D3627" s="10" t="s">
        <v>7956</v>
      </c>
      <c r="E3627" s="9" t="s">
        <v>17</v>
      </c>
      <c r="F3627" s="10">
        <v>30</v>
      </c>
      <c r="G3627" s="11">
        <v>8147114471</v>
      </c>
      <c r="H3627" s="10" t="s">
        <v>7957</v>
      </c>
      <c r="I3627" s="10" t="s">
        <v>49</v>
      </c>
      <c r="J3627" s="10" t="s">
        <v>232</v>
      </c>
      <c r="K3627" s="12">
        <v>46020</v>
      </c>
      <c r="L3627" s="28" t="s">
        <v>11</v>
      </c>
      <c r="M3627" s="14"/>
      <c r="N3627" s="10" t="s">
        <v>1028</v>
      </c>
    </row>
    <row r="3628" spans="1:14" ht="22.5" customHeight="1">
      <c r="A3628" s="8">
        <v>46020.913433032409</v>
      </c>
      <c r="B3628" s="9" t="s">
        <v>14</v>
      </c>
      <c r="C3628" s="9" t="s">
        <v>15</v>
      </c>
      <c r="D3628" s="10" t="s">
        <v>7958</v>
      </c>
      <c r="E3628" s="9" t="s">
        <v>22</v>
      </c>
      <c r="F3628" s="10">
        <v>28</v>
      </c>
      <c r="G3628" s="11">
        <v>7068735719</v>
      </c>
      <c r="H3628" s="10" t="s">
        <v>788</v>
      </c>
      <c r="I3628" s="10" t="s">
        <v>49</v>
      </c>
      <c r="J3628" s="10" t="s">
        <v>7959</v>
      </c>
      <c r="K3628" s="12">
        <v>46020</v>
      </c>
      <c r="L3628" s="28" t="s">
        <v>11</v>
      </c>
      <c r="M3628" s="14"/>
      <c r="N3628" s="10" t="s">
        <v>1028</v>
      </c>
    </row>
    <row r="3629" spans="1:14" ht="22.5" customHeight="1">
      <c r="A3629" s="8">
        <v>46020.913446250001</v>
      </c>
      <c r="B3629" s="9" t="s">
        <v>14</v>
      </c>
      <c r="C3629" s="9" t="s">
        <v>15</v>
      </c>
      <c r="D3629" s="10" t="s">
        <v>7960</v>
      </c>
      <c r="E3629" s="9" t="s">
        <v>17</v>
      </c>
      <c r="F3629" s="10">
        <v>31</v>
      </c>
      <c r="G3629" s="11">
        <v>8133668275</v>
      </c>
      <c r="H3629" s="10" t="s">
        <v>7961</v>
      </c>
      <c r="I3629" s="10" t="s">
        <v>49</v>
      </c>
      <c r="J3629" s="10" t="s">
        <v>762</v>
      </c>
      <c r="K3629" s="12">
        <v>46020</v>
      </c>
      <c r="L3629" s="28" t="s">
        <v>11</v>
      </c>
      <c r="M3629" s="14"/>
      <c r="N3629" s="10" t="s">
        <v>1028</v>
      </c>
    </row>
    <row r="3630" spans="1:14" ht="22.5" customHeight="1">
      <c r="A3630" s="8">
        <v>46020.917352627315</v>
      </c>
      <c r="B3630" s="9" t="s">
        <v>14</v>
      </c>
      <c r="C3630" s="9" t="s">
        <v>15</v>
      </c>
      <c r="D3630" s="10" t="s">
        <v>7962</v>
      </c>
      <c r="E3630" s="9" t="s">
        <v>17</v>
      </c>
      <c r="F3630" s="10">
        <v>21</v>
      </c>
      <c r="G3630" s="11">
        <v>8142330738</v>
      </c>
      <c r="H3630" s="10" t="s">
        <v>7963</v>
      </c>
      <c r="I3630" s="10" t="s">
        <v>49</v>
      </c>
      <c r="J3630" s="10" t="s">
        <v>208</v>
      </c>
      <c r="K3630" s="12">
        <v>37960</v>
      </c>
      <c r="L3630" s="28" t="s">
        <v>11</v>
      </c>
      <c r="M3630" s="10"/>
      <c r="N3630" s="10" t="s">
        <v>1028</v>
      </c>
    </row>
    <row r="3631" spans="1:14" ht="22.5" customHeight="1">
      <c r="A3631" s="8">
        <v>46020.919013217594</v>
      </c>
      <c r="B3631" s="9" t="s">
        <v>14</v>
      </c>
      <c r="C3631" s="9" t="s">
        <v>15</v>
      </c>
      <c r="D3631" s="10" t="s">
        <v>7964</v>
      </c>
      <c r="E3631" s="9" t="s">
        <v>17</v>
      </c>
      <c r="F3631" s="10">
        <v>26</v>
      </c>
      <c r="G3631" s="11">
        <v>8148649467</v>
      </c>
      <c r="H3631" s="10" t="s">
        <v>7965</v>
      </c>
      <c r="I3631" s="10" t="s">
        <v>49</v>
      </c>
      <c r="J3631" s="10" t="s">
        <v>215</v>
      </c>
      <c r="K3631" s="12">
        <v>46020</v>
      </c>
      <c r="L3631" s="28" t="s">
        <v>11</v>
      </c>
      <c r="M3631" s="14"/>
      <c r="N3631" s="10" t="s">
        <v>1028</v>
      </c>
    </row>
    <row r="3632" spans="1:14" ht="22.5" customHeight="1">
      <c r="A3632" s="8">
        <v>46020.921545914352</v>
      </c>
      <c r="B3632" s="9" t="s">
        <v>14</v>
      </c>
      <c r="C3632" s="9" t="s">
        <v>15</v>
      </c>
      <c r="D3632" s="10" t="s">
        <v>7966</v>
      </c>
      <c r="E3632" s="9" t="s">
        <v>22</v>
      </c>
      <c r="F3632" s="10">
        <v>25</v>
      </c>
      <c r="G3632" s="11">
        <v>9032348434</v>
      </c>
      <c r="H3632" s="10" t="s">
        <v>7967</v>
      </c>
      <c r="I3632" s="10" t="s">
        <v>49</v>
      </c>
      <c r="J3632" s="10" t="s">
        <v>246</v>
      </c>
      <c r="K3632" s="12">
        <v>46020</v>
      </c>
      <c r="L3632" s="28" t="s">
        <v>11</v>
      </c>
      <c r="M3632" s="14"/>
      <c r="N3632" s="10" t="s">
        <v>1028</v>
      </c>
    </row>
    <row r="3633" spans="1:14" ht="22.5" customHeight="1">
      <c r="A3633" s="8">
        <v>46020.922847083333</v>
      </c>
      <c r="B3633" s="9" t="s">
        <v>14</v>
      </c>
      <c r="C3633" s="9" t="s">
        <v>15</v>
      </c>
      <c r="D3633" s="10" t="s">
        <v>7968</v>
      </c>
      <c r="E3633" s="9" t="s">
        <v>22</v>
      </c>
      <c r="F3633" s="10">
        <v>22</v>
      </c>
      <c r="G3633" s="11">
        <v>8022841678</v>
      </c>
      <c r="H3633" s="10" t="s">
        <v>7969</v>
      </c>
      <c r="I3633" s="10" t="s">
        <v>49</v>
      </c>
      <c r="J3633" s="10" t="s">
        <v>246</v>
      </c>
      <c r="K3633" s="12">
        <v>46020</v>
      </c>
      <c r="L3633" s="28" t="s">
        <v>11</v>
      </c>
      <c r="M3633" s="14"/>
      <c r="N3633" s="10" t="s">
        <v>1028</v>
      </c>
    </row>
    <row r="3634" spans="1:14" ht="22.5" customHeight="1">
      <c r="A3634" s="8">
        <v>46020.926474780092</v>
      </c>
      <c r="B3634" s="9" t="s">
        <v>14</v>
      </c>
      <c r="C3634" s="9" t="s">
        <v>15</v>
      </c>
      <c r="D3634" s="10" t="s">
        <v>7970</v>
      </c>
      <c r="E3634" s="9" t="s">
        <v>22</v>
      </c>
      <c r="F3634" s="10">
        <v>27</v>
      </c>
      <c r="G3634" s="11">
        <v>9068863939</v>
      </c>
      <c r="H3634" s="10" t="s">
        <v>7971</v>
      </c>
      <c r="I3634" s="10" t="s">
        <v>31</v>
      </c>
      <c r="J3634" s="10" t="s">
        <v>32</v>
      </c>
      <c r="K3634" s="12">
        <v>46020</v>
      </c>
      <c r="L3634" s="28" t="s">
        <v>11</v>
      </c>
      <c r="M3634" s="14"/>
      <c r="N3634" s="10" t="s">
        <v>1028</v>
      </c>
    </row>
    <row r="3635" spans="1:14" ht="22.5" customHeight="1">
      <c r="A3635" s="8">
        <v>46020.933685497686</v>
      </c>
      <c r="B3635" s="9" t="s">
        <v>14</v>
      </c>
      <c r="C3635" s="9" t="s">
        <v>15</v>
      </c>
      <c r="D3635" s="10" t="s">
        <v>7972</v>
      </c>
      <c r="E3635" s="9" t="s">
        <v>17</v>
      </c>
      <c r="F3635" s="10">
        <v>22</v>
      </c>
      <c r="G3635" s="11">
        <v>9039306460</v>
      </c>
      <c r="H3635" s="10" t="s">
        <v>7973</v>
      </c>
      <c r="I3635" s="10" t="s">
        <v>49</v>
      </c>
      <c r="J3635" s="10" t="s">
        <v>827</v>
      </c>
      <c r="K3635" s="12">
        <v>46020</v>
      </c>
      <c r="L3635" s="28" t="s">
        <v>11</v>
      </c>
      <c r="M3635" s="10"/>
      <c r="N3635" s="10" t="s">
        <v>1096</v>
      </c>
    </row>
    <row r="3636" spans="1:14" ht="22.5" customHeight="1">
      <c r="A3636" s="8">
        <v>46020.934094293982</v>
      </c>
      <c r="B3636" s="9" t="s">
        <v>14</v>
      </c>
      <c r="C3636" s="9" t="s">
        <v>15</v>
      </c>
      <c r="D3636" s="10" t="s">
        <v>7974</v>
      </c>
      <c r="E3636" s="9" t="s">
        <v>22</v>
      </c>
      <c r="F3636" s="10">
        <v>23</v>
      </c>
      <c r="G3636" s="11">
        <v>7082243195</v>
      </c>
      <c r="H3636" s="10" t="s">
        <v>7975</v>
      </c>
      <c r="I3636" s="10" t="s">
        <v>145</v>
      </c>
      <c r="J3636" s="10" t="s">
        <v>7976</v>
      </c>
      <c r="K3636" s="12">
        <v>46020</v>
      </c>
      <c r="L3636" s="28" t="s">
        <v>11</v>
      </c>
      <c r="M3636" s="14"/>
      <c r="N3636" s="10" t="s">
        <v>1028</v>
      </c>
    </row>
    <row r="3637" spans="1:14" ht="22.5" customHeight="1">
      <c r="A3637" s="8">
        <v>46020.93537392361</v>
      </c>
      <c r="B3637" s="9" t="s">
        <v>14</v>
      </c>
      <c r="C3637" s="9" t="s">
        <v>15</v>
      </c>
      <c r="D3637" s="10" t="s">
        <v>7977</v>
      </c>
      <c r="E3637" s="9" t="s">
        <v>17</v>
      </c>
      <c r="F3637" s="10">
        <v>25</v>
      </c>
      <c r="G3637" s="11">
        <v>7055386685</v>
      </c>
      <c r="H3637" s="10" t="s">
        <v>7978</v>
      </c>
      <c r="I3637" s="10" t="s">
        <v>49</v>
      </c>
      <c r="J3637" s="10" t="s">
        <v>434</v>
      </c>
      <c r="K3637" s="12">
        <v>46020</v>
      </c>
      <c r="L3637" s="28" t="s">
        <v>11</v>
      </c>
      <c r="M3637" s="14"/>
      <c r="N3637" s="10" t="s">
        <v>1028</v>
      </c>
    </row>
    <row r="3638" spans="1:14" ht="22.5" customHeight="1">
      <c r="A3638" s="8">
        <v>46020.94177711806</v>
      </c>
      <c r="B3638" s="9" t="s">
        <v>14</v>
      </c>
      <c r="C3638" s="9" t="s">
        <v>15</v>
      </c>
      <c r="D3638" s="10" t="s">
        <v>7979</v>
      </c>
      <c r="E3638" s="9" t="s">
        <v>17</v>
      </c>
      <c r="F3638" s="10">
        <v>31</v>
      </c>
      <c r="G3638" s="11">
        <v>7085063987</v>
      </c>
      <c r="H3638" s="10" t="s">
        <v>7980</v>
      </c>
      <c r="I3638" s="10" t="s">
        <v>19</v>
      </c>
      <c r="J3638" s="10" t="s">
        <v>7981</v>
      </c>
      <c r="K3638" s="12">
        <v>46020</v>
      </c>
      <c r="L3638" s="28" t="s">
        <v>11</v>
      </c>
      <c r="M3638" s="14"/>
      <c r="N3638" s="10" t="s">
        <v>1028</v>
      </c>
    </row>
    <row r="3639" spans="1:14" ht="22.5" customHeight="1">
      <c r="A3639" s="8">
        <v>46020.948761504631</v>
      </c>
      <c r="B3639" s="9" t="s">
        <v>14</v>
      </c>
      <c r="C3639" s="9" t="s">
        <v>15</v>
      </c>
      <c r="D3639" s="10" t="s">
        <v>7982</v>
      </c>
      <c r="E3639" s="9" t="s">
        <v>17</v>
      </c>
      <c r="F3639" s="10">
        <v>31</v>
      </c>
      <c r="G3639" s="11">
        <v>8031800572</v>
      </c>
      <c r="H3639" s="10" t="s">
        <v>7983</v>
      </c>
      <c r="I3639" s="10" t="s">
        <v>27</v>
      </c>
      <c r="J3639" s="10" t="s">
        <v>28</v>
      </c>
      <c r="K3639" s="12">
        <v>46020</v>
      </c>
      <c r="L3639" s="28" t="s">
        <v>11</v>
      </c>
      <c r="M3639" s="14"/>
      <c r="N3639" s="10" t="s">
        <v>1028</v>
      </c>
    </row>
    <row r="3640" spans="1:14" ht="22.5" customHeight="1">
      <c r="A3640" s="8">
        <v>46020.954798425926</v>
      </c>
      <c r="B3640" s="9" t="s">
        <v>14</v>
      </c>
      <c r="C3640" s="9" t="s">
        <v>15</v>
      </c>
      <c r="D3640" s="10" t="s">
        <v>7984</v>
      </c>
      <c r="E3640" s="9" t="s">
        <v>17</v>
      </c>
      <c r="F3640" s="19">
        <v>25</v>
      </c>
      <c r="G3640" s="11">
        <v>7087894840</v>
      </c>
      <c r="H3640" s="10" t="s">
        <v>7985</v>
      </c>
      <c r="I3640" s="10" t="s">
        <v>49</v>
      </c>
      <c r="J3640" s="10" t="s">
        <v>7986</v>
      </c>
      <c r="K3640" s="12">
        <v>36562</v>
      </c>
      <c r="L3640" s="28" t="s">
        <v>11</v>
      </c>
      <c r="M3640" s="14"/>
      <c r="N3640" s="10" t="s">
        <v>1028</v>
      </c>
    </row>
    <row r="3641" spans="1:14" ht="22.5" customHeight="1">
      <c r="A3641" s="8">
        <v>46020.958813275458</v>
      </c>
      <c r="B3641" s="9" t="s">
        <v>14</v>
      </c>
      <c r="C3641" s="9" t="s">
        <v>15</v>
      </c>
      <c r="D3641" s="10" t="s">
        <v>7987</v>
      </c>
      <c r="E3641" s="9" t="s">
        <v>17</v>
      </c>
      <c r="F3641" s="10">
        <v>25</v>
      </c>
      <c r="G3641" s="11">
        <v>9058060505</v>
      </c>
      <c r="H3641" s="10" t="s">
        <v>7988</v>
      </c>
      <c r="I3641" s="10" t="s">
        <v>49</v>
      </c>
      <c r="J3641" s="10" t="s">
        <v>160</v>
      </c>
      <c r="K3641" s="12">
        <v>46020</v>
      </c>
      <c r="L3641" s="28" t="s">
        <v>11</v>
      </c>
      <c r="M3641" s="14"/>
      <c r="N3641" s="10" t="s">
        <v>1028</v>
      </c>
    </row>
    <row r="3642" spans="1:14" ht="22.5" customHeight="1">
      <c r="A3642" s="8">
        <v>46020.961648750002</v>
      </c>
      <c r="B3642" s="9" t="s">
        <v>14</v>
      </c>
      <c r="C3642" s="9" t="s">
        <v>15</v>
      </c>
      <c r="D3642" s="10" t="s">
        <v>7989</v>
      </c>
      <c r="E3642" s="9" t="s">
        <v>22</v>
      </c>
      <c r="F3642" s="10">
        <v>29</v>
      </c>
      <c r="G3642" s="11">
        <v>8161148429</v>
      </c>
      <c r="H3642" s="10" t="s">
        <v>7990</v>
      </c>
      <c r="I3642" s="10" t="s">
        <v>49</v>
      </c>
      <c r="J3642" s="10" t="s">
        <v>50</v>
      </c>
      <c r="K3642" s="12">
        <v>46020</v>
      </c>
      <c r="L3642" s="28" t="s">
        <v>11</v>
      </c>
      <c r="M3642" s="14"/>
      <c r="N3642" s="10" t="s">
        <v>1028</v>
      </c>
    </row>
    <row r="3643" spans="1:14" ht="22.5" customHeight="1">
      <c r="A3643" s="8">
        <v>46020.968324745365</v>
      </c>
      <c r="B3643" s="9" t="s">
        <v>14</v>
      </c>
      <c r="C3643" s="9" t="s">
        <v>15</v>
      </c>
      <c r="D3643" s="10" t="s">
        <v>5062</v>
      </c>
      <c r="E3643" s="9" t="s">
        <v>22</v>
      </c>
      <c r="F3643" s="10">
        <v>23</v>
      </c>
      <c r="G3643" s="11">
        <v>9063404616</v>
      </c>
      <c r="H3643" s="10" t="s">
        <v>7991</v>
      </c>
      <c r="I3643" s="10" t="s">
        <v>49</v>
      </c>
      <c r="J3643" s="10" t="s">
        <v>7992</v>
      </c>
      <c r="K3643" s="12">
        <v>46020</v>
      </c>
      <c r="L3643" s="28" t="s">
        <v>11</v>
      </c>
      <c r="M3643" s="14"/>
      <c r="N3643" s="10" t="s">
        <v>1028</v>
      </c>
    </row>
    <row r="3644" spans="1:14" ht="22.5" customHeight="1">
      <c r="A3644" s="8">
        <v>46020.971965115736</v>
      </c>
      <c r="B3644" s="9" t="s">
        <v>14</v>
      </c>
      <c r="C3644" s="9" t="s">
        <v>15</v>
      </c>
      <c r="D3644" s="10" t="s">
        <v>7993</v>
      </c>
      <c r="E3644" s="9" t="s">
        <v>17</v>
      </c>
      <c r="F3644" s="10">
        <v>29</v>
      </c>
      <c r="G3644" s="11">
        <v>8161820986</v>
      </c>
      <c r="H3644" s="10" t="s">
        <v>7994</v>
      </c>
      <c r="I3644" s="10" t="s">
        <v>49</v>
      </c>
      <c r="J3644" s="10" t="s">
        <v>246</v>
      </c>
      <c r="K3644" s="12">
        <v>46020</v>
      </c>
      <c r="L3644" s="28" t="s">
        <v>11</v>
      </c>
      <c r="M3644" s="14"/>
      <c r="N3644" s="10" t="s">
        <v>1028</v>
      </c>
    </row>
    <row r="3645" spans="1:14" ht="22.5" customHeight="1">
      <c r="A3645" s="8">
        <v>46020.974777627314</v>
      </c>
      <c r="B3645" s="9" t="s">
        <v>14</v>
      </c>
      <c r="C3645" s="9" t="s">
        <v>15</v>
      </c>
      <c r="D3645" s="10" t="s">
        <v>6888</v>
      </c>
      <c r="E3645" s="9" t="s">
        <v>22</v>
      </c>
      <c r="F3645" s="10">
        <v>33</v>
      </c>
      <c r="G3645" s="11">
        <v>9038084331</v>
      </c>
      <c r="H3645" s="10" t="s">
        <v>7995</v>
      </c>
      <c r="I3645" s="10" t="s">
        <v>49</v>
      </c>
      <c r="J3645" s="10" t="s">
        <v>50</v>
      </c>
      <c r="K3645" s="12">
        <v>46020</v>
      </c>
      <c r="L3645" s="28" t="s">
        <v>11</v>
      </c>
      <c r="M3645" s="14"/>
      <c r="N3645" s="10" t="s">
        <v>1028</v>
      </c>
    </row>
    <row r="3646" spans="1:14" ht="22.5" customHeight="1">
      <c r="A3646" s="8">
        <v>46020.977996354166</v>
      </c>
      <c r="B3646" s="9" t="s">
        <v>14</v>
      </c>
      <c r="C3646" s="9" t="s">
        <v>15</v>
      </c>
      <c r="D3646" s="10" t="s">
        <v>7996</v>
      </c>
      <c r="E3646" s="9" t="s">
        <v>17</v>
      </c>
      <c r="F3646" s="10">
        <v>43</v>
      </c>
      <c r="G3646" s="11">
        <v>9038300444</v>
      </c>
      <c r="H3646" s="10" t="s">
        <v>7997</v>
      </c>
      <c r="I3646" s="10" t="s">
        <v>49</v>
      </c>
      <c r="J3646" s="10" t="s">
        <v>50</v>
      </c>
      <c r="K3646" s="12">
        <v>46020</v>
      </c>
      <c r="L3646" s="28" t="s">
        <v>11</v>
      </c>
      <c r="M3646" s="14"/>
      <c r="N3646" s="10" t="s">
        <v>1028</v>
      </c>
    </row>
    <row r="3647" spans="1:14" ht="22.5" customHeight="1">
      <c r="A3647" s="8">
        <v>46020.993617465283</v>
      </c>
      <c r="B3647" s="9" t="s">
        <v>14</v>
      </c>
      <c r="C3647" s="9" t="s">
        <v>15</v>
      </c>
      <c r="D3647" s="10" t="s">
        <v>7998</v>
      </c>
      <c r="E3647" s="9" t="s">
        <v>22</v>
      </c>
      <c r="F3647" s="10">
        <v>31</v>
      </c>
      <c r="G3647" s="11">
        <v>8137137678</v>
      </c>
      <c r="H3647" s="10" t="s">
        <v>7999</v>
      </c>
      <c r="I3647" s="10" t="s">
        <v>45</v>
      </c>
      <c r="J3647" s="10" t="s">
        <v>2072</v>
      </c>
      <c r="K3647" s="12">
        <v>46020</v>
      </c>
      <c r="L3647" s="28" t="s">
        <v>11</v>
      </c>
      <c r="M3647" s="14"/>
      <c r="N3647" s="10" t="s">
        <v>1028</v>
      </c>
    </row>
    <row r="3648" spans="1:14" ht="22.5" customHeight="1">
      <c r="A3648" s="8">
        <v>46021.001442349538</v>
      </c>
      <c r="B3648" s="9" t="s">
        <v>14</v>
      </c>
      <c r="C3648" s="9" t="s">
        <v>15</v>
      </c>
      <c r="D3648" s="10" t="s">
        <v>8000</v>
      </c>
      <c r="E3648" s="9" t="s">
        <v>22</v>
      </c>
      <c r="F3648" s="10">
        <v>26</v>
      </c>
      <c r="G3648" s="11">
        <v>8062779169</v>
      </c>
      <c r="H3648" s="10" t="s">
        <v>8001</v>
      </c>
      <c r="I3648" s="10" t="s">
        <v>49</v>
      </c>
      <c r="J3648" s="10" t="s">
        <v>50</v>
      </c>
      <c r="K3648" s="12">
        <v>46021</v>
      </c>
      <c r="L3648" s="28" t="s">
        <v>11</v>
      </c>
      <c r="M3648" s="14"/>
      <c r="N3648" s="10" t="s">
        <v>1028</v>
      </c>
    </row>
    <row r="3649" spans="1:14" ht="22.5" customHeight="1">
      <c r="A3649" s="8">
        <v>46021.00462310185</v>
      </c>
      <c r="B3649" s="9" t="s">
        <v>14</v>
      </c>
      <c r="C3649" s="9" t="s">
        <v>15</v>
      </c>
      <c r="D3649" s="10" t="s">
        <v>8002</v>
      </c>
      <c r="E3649" s="9" t="s">
        <v>17</v>
      </c>
      <c r="F3649" s="10">
        <v>35</v>
      </c>
      <c r="G3649" s="11">
        <v>9030019955</v>
      </c>
      <c r="H3649" s="10" t="s">
        <v>8003</v>
      </c>
      <c r="I3649" s="10" t="s">
        <v>49</v>
      </c>
      <c r="J3649" s="10" t="s">
        <v>109</v>
      </c>
      <c r="K3649" s="12">
        <v>46021</v>
      </c>
      <c r="L3649" s="28" t="s">
        <v>11</v>
      </c>
      <c r="M3649" s="14"/>
      <c r="N3649" s="10" t="s">
        <v>1028</v>
      </c>
    </row>
    <row r="3650" spans="1:14" ht="22.5" hidden="1" customHeight="1">
      <c r="A3650" s="8">
        <v>46021.016972210651</v>
      </c>
      <c r="B3650" s="9" t="s">
        <v>14</v>
      </c>
      <c r="C3650" s="9" t="s">
        <v>15</v>
      </c>
      <c r="D3650" s="10" t="s">
        <v>8004</v>
      </c>
      <c r="E3650" s="9" t="s">
        <v>17</v>
      </c>
      <c r="F3650" s="10">
        <v>35</v>
      </c>
      <c r="G3650" s="11">
        <v>8102016948</v>
      </c>
      <c r="H3650" s="10" t="s">
        <v>8005</v>
      </c>
      <c r="I3650" s="10" t="s">
        <v>49</v>
      </c>
      <c r="J3650" s="10" t="s">
        <v>208</v>
      </c>
      <c r="K3650" s="12">
        <v>46021</v>
      </c>
      <c r="L3650" s="10" t="s">
        <v>441</v>
      </c>
      <c r="M3650" s="10" t="s">
        <v>1361</v>
      </c>
      <c r="N3650" s="10" t="s">
        <v>1028</v>
      </c>
    </row>
    <row r="3651" spans="1:14" ht="22.5" customHeight="1">
      <c r="A3651" s="8">
        <v>46021.019523043986</v>
      </c>
      <c r="B3651" s="9" t="s">
        <v>14</v>
      </c>
      <c r="C3651" s="9" t="s">
        <v>15</v>
      </c>
      <c r="D3651" s="10" t="s">
        <v>8006</v>
      </c>
      <c r="E3651" s="9" t="s">
        <v>17</v>
      </c>
      <c r="F3651" s="10">
        <v>33</v>
      </c>
      <c r="G3651" s="11">
        <v>8156418840</v>
      </c>
      <c r="H3651" s="10" t="s">
        <v>8007</v>
      </c>
      <c r="I3651" s="10" t="s">
        <v>49</v>
      </c>
      <c r="J3651" s="10" t="s">
        <v>73</v>
      </c>
      <c r="K3651" s="12">
        <v>33862</v>
      </c>
      <c r="L3651" s="28" t="s">
        <v>11</v>
      </c>
      <c r="M3651" s="14"/>
      <c r="N3651" s="10" t="s">
        <v>1028</v>
      </c>
    </row>
    <row r="3652" spans="1:14" ht="22.5" customHeight="1">
      <c r="A3652" s="8">
        <v>46021.022235231481</v>
      </c>
      <c r="B3652" s="9" t="s">
        <v>14</v>
      </c>
      <c r="C3652" s="9" t="s">
        <v>15</v>
      </c>
      <c r="D3652" s="10" t="s">
        <v>8008</v>
      </c>
      <c r="E3652" s="9" t="s">
        <v>17</v>
      </c>
      <c r="F3652" s="10">
        <v>25</v>
      </c>
      <c r="G3652" s="11">
        <v>7065444609</v>
      </c>
      <c r="H3652" s="10" t="s">
        <v>8009</v>
      </c>
      <c r="I3652" s="10" t="s">
        <v>49</v>
      </c>
      <c r="J3652" s="10" t="s">
        <v>229</v>
      </c>
      <c r="K3652" s="12">
        <v>46021</v>
      </c>
      <c r="L3652" s="28" t="s">
        <v>11</v>
      </c>
      <c r="M3652" s="14"/>
      <c r="N3652" s="10" t="s">
        <v>1028</v>
      </c>
    </row>
    <row r="3653" spans="1:14" ht="22.5" customHeight="1">
      <c r="A3653" s="8">
        <v>46021.025452326387</v>
      </c>
      <c r="B3653" s="9" t="s">
        <v>14</v>
      </c>
      <c r="C3653" s="9" t="s">
        <v>15</v>
      </c>
      <c r="D3653" s="10" t="s">
        <v>8010</v>
      </c>
      <c r="E3653" s="9" t="s">
        <v>22</v>
      </c>
      <c r="F3653" s="10">
        <v>21</v>
      </c>
      <c r="G3653" s="11">
        <v>7044426263</v>
      </c>
      <c r="H3653" s="10" t="s">
        <v>8011</v>
      </c>
      <c r="I3653" s="10" t="s">
        <v>49</v>
      </c>
      <c r="J3653" s="10" t="s">
        <v>246</v>
      </c>
      <c r="K3653" s="12">
        <v>38138</v>
      </c>
      <c r="L3653" s="28" t="s">
        <v>11</v>
      </c>
      <c r="M3653" s="14"/>
      <c r="N3653" s="10" t="s">
        <v>1209</v>
      </c>
    </row>
    <row r="3654" spans="1:14" ht="22.5" customHeight="1">
      <c r="A3654" s="8">
        <v>46021.038083252315</v>
      </c>
      <c r="B3654" s="9" t="s">
        <v>14</v>
      </c>
      <c r="C3654" s="9" t="s">
        <v>15</v>
      </c>
      <c r="D3654" s="10" t="s">
        <v>8012</v>
      </c>
      <c r="E3654" s="9" t="s">
        <v>17</v>
      </c>
      <c r="F3654" s="10">
        <v>29</v>
      </c>
      <c r="G3654" s="11">
        <v>8135692545</v>
      </c>
      <c r="H3654" s="10" t="s">
        <v>8013</v>
      </c>
      <c r="I3654" s="10" t="s">
        <v>49</v>
      </c>
      <c r="J3654" s="10" t="s">
        <v>109</v>
      </c>
      <c r="K3654" s="12">
        <v>46021</v>
      </c>
      <c r="L3654" s="28" t="s">
        <v>11</v>
      </c>
      <c r="M3654" s="14"/>
      <c r="N3654" s="10" t="s">
        <v>1028</v>
      </c>
    </row>
    <row r="3655" spans="1:14" ht="22.5" customHeight="1">
      <c r="A3655" s="8">
        <v>46021.067915231484</v>
      </c>
      <c r="B3655" s="9" t="s">
        <v>14</v>
      </c>
      <c r="C3655" s="9" t="s">
        <v>15</v>
      </c>
      <c r="D3655" s="10" t="s">
        <v>8014</v>
      </c>
      <c r="E3655" s="9" t="s">
        <v>17</v>
      </c>
      <c r="F3655" s="10">
        <v>31</v>
      </c>
      <c r="G3655" s="11">
        <v>8077099365</v>
      </c>
      <c r="H3655" s="10" t="s">
        <v>8015</v>
      </c>
      <c r="I3655" s="10" t="s">
        <v>49</v>
      </c>
      <c r="J3655" s="10" t="s">
        <v>8016</v>
      </c>
      <c r="K3655" s="12">
        <v>46021</v>
      </c>
      <c r="L3655" s="28" t="s">
        <v>11</v>
      </c>
      <c r="M3655" s="14"/>
      <c r="N3655" s="10" t="s">
        <v>1028</v>
      </c>
    </row>
    <row r="3656" spans="1:14" ht="22.5" customHeight="1">
      <c r="A3656" s="8">
        <v>46021.08498086805</v>
      </c>
      <c r="B3656" s="9" t="s">
        <v>14</v>
      </c>
      <c r="C3656" s="9" t="s">
        <v>15</v>
      </c>
      <c r="D3656" s="10" t="s">
        <v>8017</v>
      </c>
      <c r="E3656" s="9" t="s">
        <v>17</v>
      </c>
      <c r="F3656" s="10">
        <v>28</v>
      </c>
      <c r="G3656" s="11">
        <v>798631626</v>
      </c>
      <c r="H3656" s="10" t="s">
        <v>8018</v>
      </c>
      <c r="I3656" s="10" t="s">
        <v>19</v>
      </c>
      <c r="J3656" s="10" t="s">
        <v>8019</v>
      </c>
      <c r="K3656" s="12">
        <v>46021</v>
      </c>
      <c r="L3656" s="28" t="s">
        <v>11</v>
      </c>
      <c r="M3656" s="14"/>
      <c r="N3656" s="10" t="s">
        <v>1028</v>
      </c>
    </row>
    <row r="3657" spans="1:14" ht="22.5" customHeight="1">
      <c r="A3657" s="8">
        <v>46021.099387905095</v>
      </c>
      <c r="B3657" s="9" t="s">
        <v>14</v>
      </c>
      <c r="C3657" s="9" t="s">
        <v>15</v>
      </c>
      <c r="D3657" s="10" t="s">
        <v>8020</v>
      </c>
      <c r="E3657" s="9" t="s">
        <v>17</v>
      </c>
      <c r="F3657" s="10">
        <v>35</v>
      </c>
      <c r="G3657" s="11">
        <v>7030363990</v>
      </c>
      <c r="H3657" s="10" t="s">
        <v>8021</v>
      </c>
      <c r="I3657" s="10" t="s">
        <v>202</v>
      </c>
      <c r="J3657" s="10" t="s">
        <v>4005</v>
      </c>
      <c r="K3657" s="12">
        <v>46021</v>
      </c>
      <c r="L3657" s="28" t="s">
        <v>11</v>
      </c>
      <c r="M3657" s="14"/>
      <c r="N3657" s="10" t="s">
        <v>1028</v>
      </c>
    </row>
    <row r="3658" spans="1:14" ht="22.5" customHeight="1">
      <c r="A3658" s="8">
        <v>46021.15941670139</v>
      </c>
      <c r="B3658" s="9" t="s">
        <v>14</v>
      </c>
      <c r="C3658" s="9" t="s">
        <v>15</v>
      </c>
      <c r="D3658" s="10" t="s">
        <v>8022</v>
      </c>
      <c r="E3658" s="9" t="s">
        <v>22</v>
      </c>
      <c r="F3658" s="10">
        <v>30</v>
      </c>
      <c r="G3658" s="11">
        <v>8168050940</v>
      </c>
      <c r="H3658" s="10" t="s">
        <v>8023</v>
      </c>
      <c r="I3658" s="10" t="s">
        <v>145</v>
      </c>
      <c r="J3658" s="10" t="s">
        <v>3296</v>
      </c>
      <c r="K3658" s="12">
        <v>46021</v>
      </c>
      <c r="L3658" s="28" t="s">
        <v>11</v>
      </c>
      <c r="M3658" s="14"/>
      <c r="N3658" s="10" t="s">
        <v>1028</v>
      </c>
    </row>
    <row r="3659" spans="1:14" ht="22.5" customHeight="1">
      <c r="A3659" s="8">
        <v>46021.214720011572</v>
      </c>
      <c r="B3659" s="9" t="s">
        <v>14</v>
      </c>
      <c r="C3659" s="9" t="s">
        <v>15</v>
      </c>
      <c r="D3659" s="10" t="s">
        <v>8024</v>
      </c>
      <c r="E3659" s="9" t="s">
        <v>17</v>
      </c>
      <c r="F3659" s="10">
        <v>29</v>
      </c>
      <c r="G3659" s="11">
        <v>8085370463</v>
      </c>
      <c r="H3659" s="10" t="s">
        <v>8025</v>
      </c>
      <c r="I3659" s="10" t="s">
        <v>49</v>
      </c>
      <c r="J3659" s="10" t="s">
        <v>50</v>
      </c>
      <c r="K3659" s="12">
        <v>46021</v>
      </c>
      <c r="L3659" s="28" t="s">
        <v>11</v>
      </c>
      <c r="M3659" s="14"/>
      <c r="N3659" s="10" t="s">
        <v>1028</v>
      </c>
    </row>
    <row r="3660" spans="1:14" ht="22.5" customHeight="1">
      <c r="A3660" s="8">
        <v>46021.230497905097</v>
      </c>
      <c r="B3660" s="9" t="s">
        <v>14</v>
      </c>
      <c r="C3660" s="9" t="s">
        <v>15</v>
      </c>
      <c r="D3660" s="10" t="s">
        <v>8026</v>
      </c>
      <c r="E3660" s="9" t="s">
        <v>17</v>
      </c>
      <c r="F3660" s="10">
        <v>31</v>
      </c>
      <c r="G3660" s="11">
        <v>8137571510</v>
      </c>
      <c r="H3660" s="10" t="s">
        <v>8027</v>
      </c>
      <c r="I3660" s="10" t="s">
        <v>27</v>
      </c>
      <c r="J3660" s="10" t="s">
        <v>1293</v>
      </c>
      <c r="K3660" s="12">
        <v>46021</v>
      </c>
      <c r="L3660" s="28" t="s">
        <v>11</v>
      </c>
      <c r="M3660" s="14"/>
      <c r="N3660" s="10" t="s">
        <v>1140</v>
      </c>
    </row>
    <row r="3661" spans="1:14" ht="22.5" customHeight="1">
      <c r="A3661" s="8">
        <v>46021.2405496875</v>
      </c>
      <c r="B3661" s="9" t="s">
        <v>14</v>
      </c>
      <c r="C3661" s="9" t="s">
        <v>15</v>
      </c>
      <c r="D3661" s="10" t="s">
        <v>8028</v>
      </c>
      <c r="E3661" s="9" t="s">
        <v>17</v>
      </c>
      <c r="F3661" s="10">
        <v>40</v>
      </c>
      <c r="G3661" s="11">
        <v>3365544488</v>
      </c>
      <c r="H3661" s="10" t="s">
        <v>8029</v>
      </c>
      <c r="I3661" s="10" t="s">
        <v>19</v>
      </c>
      <c r="J3661" s="10" t="s">
        <v>5878</v>
      </c>
      <c r="K3661" s="12">
        <v>46021</v>
      </c>
      <c r="L3661" s="28" t="s">
        <v>11</v>
      </c>
      <c r="M3661" s="14"/>
      <c r="N3661" s="10" t="s">
        <v>1096</v>
      </c>
    </row>
    <row r="3662" spans="1:14" ht="22.5" customHeight="1">
      <c r="A3662" s="8">
        <v>46021.26047734954</v>
      </c>
      <c r="B3662" s="9" t="s">
        <v>14</v>
      </c>
      <c r="C3662" s="9" t="s">
        <v>15</v>
      </c>
      <c r="D3662" s="10" t="s">
        <v>8030</v>
      </c>
      <c r="E3662" s="9" t="s">
        <v>17</v>
      </c>
      <c r="F3662" s="10">
        <v>19</v>
      </c>
      <c r="G3662" s="11">
        <v>9135813864</v>
      </c>
      <c r="H3662" s="10" t="s">
        <v>8031</v>
      </c>
      <c r="I3662" s="10" t="s">
        <v>27</v>
      </c>
      <c r="J3662" s="10" t="s">
        <v>3992</v>
      </c>
      <c r="K3662" s="12">
        <v>46021</v>
      </c>
      <c r="L3662" s="28" t="s">
        <v>11</v>
      </c>
      <c r="M3662" s="14"/>
      <c r="N3662" s="10" t="s">
        <v>1028</v>
      </c>
    </row>
    <row r="3663" spans="1:14" ht="22.5" customHeight="1">
      <c r="A3663" s="8">
        <v>46021.265432442131</v>
      </c>
      <c r="B3663" s="9" t="s">
        <v>14</v>
      </c>
      <c r="C3663" s="9" t="s">
        <v>15</v>
      </c>
      <c r="D3663" s="10" t="s">
        <v>8032</v>
      </c>
      <c r="E3663" s="9" t="s">
        <v>17</v>
      </c>
      <c r="F3663" s="10">
        <v>23</v>
      </c>
      <c r="G3663" s="11">
        <v>8156445383</v>
      </c>
      <c r="H3663" s="10" t="s">
        <v>8033</v>
      </c>
      <c r="I3663" s="10" t="s">
        <v>49</v>
      </c>
      <c r="J3663" s="10" t="s">
        <v>160</v>
      </c>
      <c r="K3663" s="12">
        <v>46021</v>
      </c>
      <c r="L3663" s="28" t="s">
        <v>11</v>
      </c>
      <c r="M3663" s="14"/>
      <c r="N3663" s="10" t="s">
        <v>1028</v>
      </c>
    </row>
    <row r="3664" spans="1:14" ht="22.5" customHeight="1">
      <c r="A3664" s="8">
        <v>46021.265434305555</v>
      </c>
      <c r="B3664" s="9" t="s">
        <v>14</v>
      </c>
      <c r="C3664" s="9" t="s">
        <v>15</v>
      </c>
      <c r="D3664" s="10" t="s">
        <v>8034</v>
      </c>
      <c r="E3664" s="9" t="s">
        <v>17</v>
      </c>
      <c r="F3664" s="10">
        <v>29</v>
      </c>
      <c r="G3664" s="11">
        <v>7038973995</v>
      </c>
      <c r="H3664" s="10" t="s">
        <v>8035</v>
      </c>
      <c r="I3664" s="10" t="s">
        <v>49</v>
      </c>
      <c r="J3664" s="10" t="s">
        <v>50</v>
      </c>
      <c r="K3664" s="12">
        <v>46021</v>
      </c>
      <c r="L3664" s="28" t="s">
        <v>11</v>
      </c>
      <c r="M3664" s="14"/>
      <c r="N3664" s="10" t="s">
        <v>1028</v>
      </c>
    </row>
    <row r="3665" spans="1:14" ht="22.5" customHeight="1">
      <c r="A3665" s="8">
        <v>46021.266986319446</v>
      </c>
      <c r="B3665" s="9" t="s">
        <v>14</v>
      </c>
      <c r="C3665" s="9" t="s">
        <v>15</v>
      </c>
      <c r="D3665" s="10" t="s">
        <v>8036</v>
      </c>
      <c r="E3665" s="9" t="s">
        <v>22</v>
      </c>
      <c r="F3665" s="10">
        <v>42</v>
      </c>
      <c r="G3665" s="11">
        <f t="shared" ref="G3665" si="100">2348035806268</f>
        <v>2348035806268</v>
      </c>
      <c r="H3665" s="10" t="s">
        <v>8037</v>
      </c>
      <c r="I3665" s="10" t="s">
        <v>49</v>
      </c>
      <c r="J3665" s="10" t="s">
        <v>73</v>
      </c>
      <c r="K3665" s="12">
        <v>46021</v>
      </c>
      <c r="L3665" s="28" t="s">
        <v>11</v>
      </c>
      <c r="M3665" s="14"/>
      <c r="N3665" s="10" t="s">
        <v>1096</v>
      </c>
    </row>
    <row r="3666" spans="1:14" ht="22.5" customHeight="1">
      <c r="A3666" s="8">
        <v>46021.271160995369</v>
      </c>
      <c r="B3666" s="9" t="s">
        <v>14</v>
      </c>
      <c r="C3666" s="9" t="s">
        <v>15</v>
      </c>
      <c r="D3666" s="10" t="s">
        <v>8038</v>
      </c>
      <c r="E3666" s="9" t="s">
        <v>17</v>
      </c>
      <c r="F3666" s="10">
        <v>35</v>
      </c>
      <c r="G3666" s="11">
        <v>7044347080</v>
      </c>
      <c r="H3666" s="10" t="s">
        <v>8039</v>
      </c>
      <c r="I3666" s="10" t="s">
        <v>31</v>
      </c>
      <c r="J3666" s="10" t="s">
        <v>8040</v>
      </c>
      <c r="K3666" s="12">
        <v>46021</v>
      </c>
      <c r="L3666" s="28" t="s">
        <v>11</v>
      </c>
      <c r="M3666" s="10"/>
      <c r="N3666" s="10" t="s">
        <v>1028</v>
      </c>
    </row>
    <row r="3667" spans="1:14" ht="22.5" customHeight="1">
      <c r="A3667" s="8">
        <v>46021.275185324077</v>
      </c>
      <c r="B3667" s="9" t="s">
        <v>14</v>
      </c>
      <c r="C3667" s="9" t="s">
        <v>15</v>
      </c>
      <c r="D3667" s="10" t="s">
        <v>8030</v>
      </c>
      <c r="E3667" s="9" t="s">
        <v>17</v>
      </c>
      <c r="F3667" s="10">
        <v>19</v>
      </c>
      <c r="G3667" s="11">
        <v>9135813864</v>
      </c>
      <c r="H3667" s="10" t="s">
        <v>8031</v>
      </c>
      <c r="I3667" s="10" t="s">
        <v>27</v>
      </c>
      <c r="J3667" s="10" t="s">
        <v>3992</v>
      </c>
      <c r="K3667" s="12">
        <v>46021</v>
      </c>
      <c r="L3667" s="28" t="s">
        <v>11</v>
      </c>
      <c r="M3667" s="14"/>
      <c r="N3667" s="10" t="s">
        <v>1028</v>
      </c>
    </row>
    <row r="3668" spans="1:14" ht="22.5" customHeight="1">
      <c r="A3668" s="8">
        <v>46021.276922812496</v>
      </c>
      <c r="B3668" s="9" t="s">
        <v>14</v>
      </c>
      <c r="C3668" s="9" t="s">
        <v>15</v>
      </c>
      <c r="D3668" s="10" t="s">
        <v>8041</v>
      </c>
      <c r="E3668" s="9" t="s">
        <v>17</v>
      </c>
      <c r="F3668" s="10">
        <v>33</v>
      </c>
      <c r="G3668" s="11">
        <v>8144141005</v>
      </c>
      <c r="H3668" s="10" t="s">
        <v>8042</v>
      </c>
      <c r="I3668" s="10" t="s">
        <v>49</v>
      </c>
      <c r="J3668" s="10" t="s">
        <v>109</v>
      </c>
      <c r="K3668" s="12">
        <v>46021</v>
      </c>
      <c r="L3668" s="28" t="s">
        <v>11</v>
      </c>
      <c r="M3668" s="14"/>
      <c r="N3668" s="10" t="s">
        <v>1028</v>
      </c>
    </row>
    <row r="3669" spans="1:14" ht="22.5" customHeight="1">
      <c r="A3669" s="8">
        <v>46021.281130405092</v>
      </c>
      <c r="B3669" s="9" t="s">
        <v>14</v>
      </c>
      <c r="C3669" s="9" t="s">
        <v>15</v>
      </c>
      <c r="D3669" s="10" t="s">
        <v>8043</v>
      </c>
      <c r="E3669" s="9" t="s">
        <v>17</v>
      </c>
      <c r="F3669" s="10">
        <v>27</v>
      </c>
      <c r="G3669" s="11">
        <v>8108636463</v>
      </c>
      <c r="H3669" s="10" t="s">
        <v>8044</v>
      </c>
      <c r="I3669" s="10" t="s">
        <v>49</v>
      </c>
      <c r="J3669" s="10" t="s">
        <v>103</v>
      </c>
      <c r="K3669" s="12">
        <v>46021</v>
      </c>
      <c r="L3669" s="28" t="s">
        <v>11</v>
      </c>
      <c r="M3669" s="14"/>
      <c r="N3669" s="10" t="s">
        <v>1028</v>
      </c>
    </row>
    <row r="3670" spans="1:14" ht="22.5" customHeight="1">
      <c r="A3670" s="8">
        <v>46021.281397430561</v>
      </c>
      <c r="B3670" s="9" t="s">
        <v>14</v>
      </c>
      <c r="C3670" s="9" t="s">
        <v>15</v>
      </c>
      <c r="D3670" s="10" t="s">
        <v>8045</v>
      </c>
      <c r="E3670" s="9" t="s">
        <v>17</v>
      </c>
      <c r="F3670" s="10">
        <v>21</v>
      </c>
      <c r="G3670" s="11">
        <v>9123986654</v>
      </c>
      <c r="H3670" s="10" t="s">
        <v>8046</v>
      </c>
      <c r="I3670" s="10" t="s">
        <v>49</v>
      </c>
      <c r="J3670" s="10" t="s">
        <v>50</v>
      </c>
      <c r="K3670" s="12">
        <v>46021</v>
      </c>
      <c r="L3670" s="28" t="s">
        <v>11</v>
      </c>
      <c r="M3670" s="14"/>
      <c r="N3670" s="10" t="s">
        <v>1035</v>
      </c>
    </row>
    <row r="3671" spans="1:14" ht="22.5" customHeight="1">
      <c r="A3671" s="8">
        <v>46021.281524710648</v>
      </c>
      <c r="B3671" s="9" t="s">
        <v>14</v>
      </c>
      <c r="C3671" s="9" t="s">
        <v>15</v>
      </c>
      <c r="D3671" s="10" t="s">
        <v>8047</v>
      </c>
      <c r="E3671" s="9" t="s">
        <v>17</v>
      </c>
      <c r="F3671" s="10">
        <v>29</v>
      </c>
      <c r="G3671" s="11">
        <v>9037486505</v>
      </c>
      <c r="H3671" s="10" t="s">
        <v>8048</v>
      </c>
      <c r="I3671" s="10" t="s">
        <v>27</v>
      </c>
      <c r="J3671" s="10" t="s">
        <v>2196</v>
      </c>
      <c r="K3671" s="12">
        <v>46021</v>
      </c>
      <c r="L3671" s="28" t="s">
        <v>11</v>
      </c>
      <c r="M3671" s="14"/>
      <c r="N3671" s="10" t="s">
        <v>1028</v>
      </c>
    </row>
    <row r="3672" spans="1:14" ht="22.5" customHeight="1">
      <c r="A3672" s="8">
        <v>46021.282313275464</v>
      </c>
      <c r="B3672" s="9" t="s">
        <v>14</v>
      </c>
      <c r="C3672" s="9" t="s">
        <v>15</v>
      </c>
      <c r="D3672" s="10" t="s">
        <v>8049</v>
      </c>
      <c r="E3672" s="9" t="s">
        <v>17</v>
      </c>
      <c r="F3672" s="10">
        <v>24</v>
      </c>
      <c r="G3672" s="11">
        <v>7019642350</v>
      </c>
      <c r="H3672" s="10" t="s">
        <v>8050</v>
      </c>
      <c r="I3672" s="10" t="s">
        <v>27</v>
      </c>
      <c r="J3672" s="10" t="s">
        <v>703</v>
      </c>
      <c r="K3672" s="12">
        <v>46021</v>
      </c>
      <c r="L3672" s="28" t="s">
        <v>11</v>
      </c>
      <c r="M3672" s="10"/>
      <c r="N3672" s="10" t="s">
        <v>1028</v>
      </c>
    </row>
    <row r="3673" spans="1:14" ht="22.5" customHeight="1">
      <c r="A3673" s="8">
        <v>46021.282977962968</v>
      </c>
      <c r="B3673" s="9" t="s">
        <v>14</v>
      </c>
      <c r="C3673" s="9" t="s">
        <v>15</v>
      </c>
      <c r="D3673" s="10" t="s">
        <v>8051</v>
      </c>
      <c r="E3673" s="9" t="s">
        <v>17</v>
      </c>
      <c r="F3673" s="10">
        <v>35</v>
      </c>
      <c r="G3673" s="11">
        <v>8051167452</v>
      </c>
      <c r="H3673" s="10" t="s">
        <v>8052</v>
      </c>
      <c r="I3673" s="10" t="s">
        <v>49</v>
      </c>
      <c r="J3673" s="10" t="s">
        <v>606</v>
      </c>
      <c r="K3673" s="12">
        <v>46021</v>
      </c>
      <c r="L3673" s="28" t="s">
        <v>11</v>
      </c>
      <c r="M3673" s="10"/>
      <c r="N3673" s="10" t="s">
        <v>1028</v>
      </c>
    </row>
    <row r="3674" spans="1:14" ht="22.5" customHeight="1">
      <c r="A3674" s="8">
        <v>46021.28437256944</v>
      </c>
      <c r="B3674" s="9" t="s">
        <v>14</v>
      </c>
      <c r="C3674" s="9" t="s">
        <v>15</v>
      </c>
      <c r="D3674" s="10" t="s">
        <v>8053</v>
      </c>
      <c r="E3674" s="9" t="s">
        <v>22</v>
      </c>
      <c r="F3674" s="10">
        <v>20</v>
      </c>
      <c r="G3674" s="11">
        <v>7030405588</v>
      </c>
      <c r="H3674" s="10" t="s">
        <v>8054</v>
      </c>
      <c r="I3674" s="10" t="s">
        <v>49</v>
      </c>
      <c r="J3674" s="10" t="s">
        <v>106</v>
      </c>
      <c r="K3674" s="12">
        <v>46021</v>
      </c>
      <c r="L3674" s="28" t="s">
        <v>11</v>
      </c>
      <c r="M3674" s="14"/>
      <c r="N3674" s="10" t="s">
        <v>1028</v>
      </c>
    </row>
    <row r="3675" spans="1:14" ht="22.5" customHeight="1">
      <c r="A3675" s="8">
        <v>46021.285049942133</v>
      </c>
      <c r="B3675" s="9" t="s">
        <v>14</v>
      </c>
      <c r="C3675" s="9" t="s">
        <v>15</v>
      </c>
      <c r="D3675" s="10" t="s">
        <v>8055</v>
      </c>
      <c r="E3675" s="9" t="s">
        <v>17</v>
      </c>
      <c r="F3675" s="10">
        <v>32</v>
      </c>
      <c r="G3675" s="11">
        <v>9066994668</v>
      </c>
      <c r="H3675" s="10" t="s">
        <v>8056</v>
      </c>
      <c r="I3675" s="10" t="s">
        <v>27</v>
      </c>
      <c r="J3675" s="10" t="s">
        <v>2348</v>
      </c>
      <c r="K3675" s="12">
        <v>46021</v>
      </c>
      <c r="L3675" s="28" t="s">
        <v>11</v>
      </c>
      <c r="M3675" s="14"/>
      <c r="N3675" s="10" t="s">
        <v>1096</v>
      </c>
    </row>
    <row r="3676" spans="1:14" ht="22.5" customHeight="1">
      <c r="A3676" s="8">
        <v>46021.285690254634</v>
      </c>
      <c r="B3676" s="9" t="s">
        <v>14</v>
      </c>
      <c r="C3676" s="9" t="s">
        <v>15</v>
      </c>
      <c r="D3676" s="10" t="s">
        <v>8057</v>
      </c>
      <c r="E3676" s="9" t="s">
        <v>17</v>
      </c>
      <c r="F3676" s="10">
        <v>37</v>
      </c>
      <c r="G3676" s="11">
        <v>7036875154</v>
      </c>
      <c r="H3676" s="10" t="s">
        <v>8058</v>
      </c>
      <c r="I3676" s="10" t="s">
        <v>49</v>
      </c>
      <c r="J3676" s="10" t="s">
        <v>106</v>
      </c>
      <c r="K3676" s="12">
        <v>46021</v>
      </c>
      <c r="L3676" s="28" t="s">
        <v>11</v>
      </c>
      <c r="M3676" s="14"/>
      <c r="N3676" s="10" t="s">
        <v>1028</v>
      </c>
    </row>
    <row r="3677" spans="1:14" ht="22.5" customHeight="1">
      <c r="A3677" s="8">
        <v>46021.287928055557</v>
      </c>
      <c r="B3677" s="9" t="s">
        <v>14</v>
      </c>
      <c r="C3677" s="9" t="s">
        <v>15</v>
      </c>
      <c r="D3677" s="10" t="s">
        <v>8059</v>
      </c>
      <c r="E3677" s="9" t="s">
        <v>17</v>
      </c>
      <c r="F3677" s="10">
        <v>29</v>
      </c>
      <c r="G3677" s="11">
        <v>7062702508</v>
      </c>
      <c r="H3677" s="10" t="s">
        <v>8060</v>
      </c>
      <c r="I3677" s="10" t="s">
        <v>19</v>
      </c>
      <c r="J3677" s="10" t="s">
        <v>1664</v>
      </c>
      <c r="K3677" s="12">
        <v>46021</v>
      </c>
      <c r="L3677" s="28" t="s">
        <v>11</v>
      </c>
      <c r="M3677" s="14"/>
      <c r="N3677" s="10" t="s">
        <v>1028</v>
      </c>
    </row>
    <row r="3678" spans="1:14" ht="22.5" customHeight="1">
      <c r="A3678" s="8">
        <v>46021.288065393514</v>
      </c>
      <c r="B3678" s="9" t="s">
        <v>14</v>
      </c>
      <c r="C3678" s="9" t="s">
        <v>15</v>
      </c>
      <c r="D3678" s="10" t="s">
        <v>8061</v>
      </c>
      <c r="E3678" s="9" t="s">
        <v>17</v>
      </c>
      <c r="F3678" s="10">
        <v>25</v>
      </c>
      <c r="G3678" s="11">
        <v>9079276424</v>
      </c>
      <c r="H3678" s="10" t="s">
        <v>8062</v>
      </c>
      <c r="I3678" s="10" t="s">
        <v>27</v>
      </c>
      <c r="J3678" s="10" t="s">
        <v>1559</v>
      </c>
      <c r="K3678" s="12">
        <v>46021</v>
      </c>
      <c r="L3678" s="28" t="s">
        <v>11</v>
      </c>
      <c r="M3678" s="14"/>
      <c r="N3678" s="10" t="s">
        <v>1096</v>
      </c>
    </row>
    <row r="3679" spans="1:14" ht="22.5" customHeight="1">
      <c r="A3679" s="8">
        <v>46021.288931921299</v>
      </c>
      <c r="B3679" s="9" t="s">
        <v>14</v>
      </c>
      <c r="C3679" s="9" t="s">
        <v>15</v>
      </c>
      <c r="D3679" s="10" t="s">
        <v>8063</v>
      </c>
      <c r="E3679" s="9" t="s">
        <v>17</v>
      </c>
      <c r="F3679" s="10">
        <v>27</v>
      </c>
      <c r="G3679" s="11">
        <v>7068897690</v>
      </c>
      <c r="H3679" s="10" t="s">
        <v>8064</v>
      </c>
      <c r="I3679" s="10" t="s">
        <v>27</v>
      </c>
      <c r="J3679" s="10" t="s">
        <v>172</v>
      </c>
      <c r="K3679" s="12">
        <v>46021</v>
      </c>
      <c r="L3679" s="28" t="s">
        <v>11</v>
      </c>
      <c r="M3679" s="14"/>
      <c r="N3679" s="10" t="s">
        <v>1096</v>
      </c>
    </row>
    <row r="3680" spans="1:14" ht="22.5" customHeight="1">
      <c r="A3680" s="8">
        <v>46021.288980798607</v>
      </c>
      <c r="B3680" s="9" t="s">
        <v>14</v>
      </c>
      <c r="C3680" s="9" t="s">
        <v>15</v>
      </c>
      <c r="D3680" s="10" t="s">
        <v>8065</v>
      </c>
      <c r="E3680" s="9" t="s">
        <v>22</v>
      </c>
      <c r="F3680" s="10">
        <v>33</v>
      </c>
      <c r="G3680" s="11">
        <v>7061811909</v>
      </c>
      <c r="H3680" s="10" t="s">
        <v>8066</v>
      </c>
      <c r="I3680" s="10" t="s">
        <v>49</v>
      </c>
      <c r="J3680" s="10" t="s">
        <v>50</v>
      </c>
      <c r="K3680" s="12">
        <v>46021</v>
      </c>
      <c r="L3680" s="28" t="s">
        <v>11</v>
      </c>
      <c r="M3680" s="14"/>
      <c r="N3680" s="10" t="s">
        <v>1028</v>
      </c>
    </row>
    <row r="3681" spans="1:14" ht="22.5" customHeight="1">
      <c r="A3681" s="8">
        <v>46021.290563182869</v>
      </c>
      <c r="B3681" s="9" t="s">
        <v>14</v>
      </c>
      <c r="C3681" s="9" t="s">
        <v>15</v>
      </c>
      <c r="D3681" s="10" t="s">
        <v>8067</v>
      </c>
      <c r="E3681" s="9" t="s">
        <v>22</v>
      </c>
      <c r="F3681" s="10">
        <v>31</v>
      </c>
      <c r="G3681" s="11">
        <v>8148233796</v>
      </c>
      <c r="H3681" s="10" t="s">
        <v>8068</v>
      </c>
      <c r="I3681" s="10" t="s">
        <v>31</v>
      </c>
      <c r="J3681" s="10" t="s">
        <v>2358</v>
      </c>
      <c r="K3681" s="12">
        <v>46021</v>
      </c>
      <c r="L3681" s="28" t="s">
        <v>11</v>
      </c>
      <c r="M3681" s="14"/>
      <c r="N3681" s="10" t="s">
        <v>1028</v>
      </c>
    </row>
    <row r="3682" spans="1:14" ht="22.5" customHeight="1">
      <c r="A3682" s="8">
        <v>46021.293268807873</v>
      </c>
      <c r="B3682" s="9" t="s">
        <v>14</v>
      </c>
      <c r="C3682" s="9" t="s">
        <v>15</v>
      </c>
      <c r="D3682" s="10" t="s">
        <v>8069</v>
      </c>
      <c r="E3682" s="9" t="s">
        <v>17</v>
      </c>
      <c r="F3682" s="10">
        <v>25</v>
      </c>
      <c r="G3682" s="11">
        <v>8135127173</v>
      </c>
      <c r="H3682" s="10" t="s">
        <v>8070</v>
      </c>
      <c r="I3682" s="10" t="s">
        <v>27</v>
      </c>
      <c r="J3682" s="10" t="s">
        <v>372</v>
      </c>
      <c r="K3682" s="12">
        <v>46021</v>
      </c>
      <c r="L3682" s="28" t="s">
        <v>11</v>
      </c>
      <c r="M3682" s="14"/>
      <c r="N3682" s="10" t="s">
        <v>1028</v>
      </c>
    </row>
    <row r="3683" spans="1:14" ht="22.5" customHeight="1">
      <c r="A3683" s="8">
        <v>46021.29645061343</v>
      </c>
      <c r="B3683" s="9" t="s">
        <v>14</v>
      </c>
      <c r="C3683" s="9" t="s">
        <v>15</v>
      </c>
      <c r="D3683" s="10" t="s">
        <v>8071</v>
      </c>
      <c r="E3683" s="9" t="s">
        <v>22</v>
      </c>
      <c r="F3683" s="10">
        <v>30</v>
      </c>
      <c r="G3683" s="11">
        <v>8169275477</v>
      </c>
      <c r="H3683" s="10" t="s">
        <v>8072</v>
      </c>
      <c r="I3683" s="10" t="s">
        <v>49</v>
      </c>
      <c r="J3683" s="10" t="s">
        <v>246</v>
      </c>
      <c r="K3683" s="12">
        <v>46021</v>
      </c>
      <c r="L3683" s="28" t="s">
        <v>11</v>
      </c>
      <c r="M3683" s="14"/>
      <c r="N3683" s="10" t="s">
        <v>1028</v>
      </c>
    </row>
    <row r="3684" spans="1:14" ht="22.5" customHeight="1">
      <c r="A3684" s="8">
        <v>46021.300547407409</v>
      </c>
      <c r="B3684" s="9" t="s">
        <v>14</v>
      </c>
      <c r="C3684" s="9" t="s">
        <v>15</v>
      </c>
      <c r="D3684" s="10" t="s">
        <v>8073</v>
      </c>
      <c r="E3684" s="9" t="s">
        <v>17</v>
      </c>
      <c r="F3684" s="10">
        <v>32</v>
      </c>
      <c r="G3684" s="11">
        <v>7034346922</v>
      </c>
      <c r="H3684" s="10" t="s">
        <v>8074</v>
      </c>
      <c r="I3684" s="10" t="s">
        <v>27</v>
      </c>
      <c r="J3684" s="10" t="s">
        <v>3066</v>
      </c>
      <c r="K3684" s="12">
        <v>46021</v>
      </c>
      <c r="L3684" s="28" t="s">
        <v>11</v>
      </c>
      <c r="M3684" s="14"/>
      <c r="N3684" s="10" t="s">
        <v>1028</v>
      </c>
    </row>
    <row r="3685" spans="1:14" ht="22.5" customHeight="1">
      <c r="A3685" s="8">
        <v>46021.301276469909</v>
      </c>
      <c r="B3685" s="9" t="s">
        <v>14</v>
      </c>
      <c r="C3685" s="9" t="s">
        <v>15</v>
      </c>
      <c r="D3685" s="10" t="s">
        <v>8075</v>
      </c>
      <c r="E3685" s="9" t="s">
        <v>17</v>
      </c>
      <c r="F3685" s="10">
        <v>28</v>
      </c>
      <c r="G3685" s="11">
        <v>8033384831</v>
      </c>
      <c r="H3685" s="10" t="s">
        <v>8076</v>
      </c>
      <c r="I3685" s="10" t="s">
        <v>27</v>
      </c>
      <c r="J3685" s="10" t="s">
        <v>70</v>
      </c>
      <c r="K3685" s="12">
        <v>46021</v>
      </c>
      <c r="L3685" s="28" t="s">
        <v>11</v>
      </c>
      <c r="M3685" s="14"/>
      <c r="N3685" s="10" t="s">
        <v>1028</v>
      </c>
    </row>
    <row r="3686" spans="1:14" ht="22.5" customHeight="1">
      <c r="A3686" s="8">
        <v>46021.302102071757</v>
      </c>
      <c r="B3686" s="9" t="s">
        <v>14</v>
      </c>
      <c r="C3686" s="9" t="s">
        <v>15</v>
      </c>
      <c r="D3686" s="10" t="s">
        <v>8077</v>
      </c>
      <c r="E3686" s="9" t="s">
        <v>17</v>
      </c>
      <c r="F3686" s="10">
        <v>25</v>
      </c>
      <c r="G3686" s="11">
        <v>21</v>
      </c>
      <c r="H3686" s="10" t="s">
        <v>8078</v>
      </c>
      <c r="I3686" s="10" t="s">
        <v>27</v>
      </c>
      <c r="J3686" s="10" t="s">
        <v>5239</v>
      </c>
      <c r="K3686" s="12">
        <v>46021</v>
      </c>
      <c r="L3686" s="28" t="s">
        <v>11</v>
      </c>
      <c r="M3686" s="14"/>
      <c r="N3686" s="10" t="s">
        <v>1028</v>
      </c>
    </row>
    <row r="3687" spans="1:14" ht="22.5" customHeight="1">
      <c r="A3687" s="8">
        <v>46021.302495011572</v>
      </c>
      <c r="B3687" s="9" t="s">
        <v>14</v>
      </c>
      <c r="C3687" s="9" t="s">
        <v>15</v>
      </c>
      <c r="D3687" s="10" t="s">
        <v>8079</v>
      </c>
      <c r="E3687" s="9" t="s">
        <v>22</v>
      </c>
      <c r="F3687" s="10">
        <v>33</v>
      </c>
      <c r="G3687" s="11">
        <v>8064388397</v>
      </c>
      <c r="H3687" s="10" t="s">
        <v>8080</v>
      </c>
      <c r="I3687" s="10" t="s">
        <v>49</v>
      </c>
      <c r="J3687" s="10" t="s">
        <v>50</v>
      </c>
      <c r="K3687" s="12">
        <v>46021</v>
      </c>
      <c r="L3687" s="28" t="s">
        <v>11</v>
      </c>
      <c r="M3687" s="14"/>
      <c r="N3687" s="10" t="s">
        <v>1028</v>
      </c>
    </row>
    <row r="3688" spans="1:14" ht="22.5" customHeight="1">
      <c r="A3688" s="8">
        <v>46021.305214942127</v>
      </c>
      <c r="B3688" s="9" t="s">
        <v>14</v>
      </c>
      <c r="C3688" s="9" t="s">
        <v>15</v>
      </c>
      <c r="D3688" s="10" t="s">
        <v>8081</v>
      </c>
      <c r="E3688" s="9" t="s">
        <v>17</v>
      </c>
      <c r="F3688" s="10">
        <v>25</v>
      </c>
      <c r="G3688" s="11">
        <v>9039074291</v>
      </c>
      <c r="H3688" s="10" t="s">
        <v>8082</v>
      </c>
      <c r="I3688" s="10" t="s">
        <v>27</v>
      </c>
      <c r="J3688" s="10" t="s">
        <v>27</v>
      </c>
      <c r="K3688" s="12">
        <v>46021</v>
      </c>
      <c r="L3688" s="28" t="s">
        <v>11</v>
      </c>
      <c r="M3688" s="14"/>
      <c r="N3688" s="10" t="s">
        <v>1035</v>
      </c>
    </row>
    <row r="3689" spans="1:14" ht="22.5" customHeight="1">
      <c r="A3689" s="8">
        <v>46021.30566982639</v>
      </c>
      <c r="B3689" s="9" t="s">
        <v>14</v>
      </c>
      <c r="C3689" s="9" t="s">
        <v>15</v>
      </c>
      <c r="D3689" s="10" t="s">
        <v>8083</v>
      </c>
      <c r="E3689" s="9" t="s">
        <v>17</v>
      </c>
      <c r="F3689" s="10">
        <v>41</v>
      </c>
      <c r="G3689" s="11">
        <v>8136545426</v>
      </c>
      <c r="H3689" s="10" t="s">
        <v>8084</v>
      </c>
      <c r="I3689" s="10" t="s">
        <v>202</v>
      </c>
      <c r="J3689" s="10" t="s">
        <v>4005</v>
      </c>
      <c r="K3689" s="12">
        <v>46021</v>
      </c>
      <c r="L3689" s="28" t="s">
        <v>11</v>
      </c>
      <c r="M3689" s="14"/>
      <c r="N3689" s="10" t="s">
        <v>1096</v>
      </c>
    </row>
    <row r="3690" spans="1:14" ht="22.5" customHeight="1">
      <c r="A3690" s="8">
        <v>46021.306265173611</v>
      </c>
      <c r="B3690" s="9" t="s">
        <v>14</v>
      </c>
      <c r="C3690" s="9" t="s">
        <v>15</v>
      </c>
      <c r="D3690" s="10" t="s">
        <v>8085</v>
      </c>
      <c r="E3690" s="9" t="s">
        <v>17</v>
      </c>
      <c r="F3690" s="10">
        <v>29</v>
      </c>
      <c r="G3690" s="11">
        <v>8165349103</v>
      </c>
      <c r="H3690" s="10" t="s">
        <v>8086</v>
      </c>
      <c r="I3690" s="10" t="s">
        <v>27</v>
      </c>
      <c r="J3690" s="10" t="s">
        <v>28</v>
      </c>
      <c r="K3690" s="12">
        <v>46021</v>
      </c>
      <c r="L3690" s="28" t="s">
        <v>11</v>
      </c>
      <c r="M3690" s="10"/>
      <c r="N3690" s="10" t="s">
        <v>1028</v>
      </c>
    </row>
    <row r="3691" spans="1:14" ht="22.5" customHeight="1">
      <c r="A3691" s="8">
        <v>46021.307958240737</v>
      </c>
      <c r="B3691" s="9" t="s">
        <v>14</v>
      </c>
      <c r="C3691" s="9" t="s">
        <v>15</v>
      </c>
      <c r="D3691" s="10" t="s">
        <v>8087</v>
      </c>
      <c r="E3691" s="9" t="s">
        <v>17</v>
      </c>
      <c r="F3691" s="10">
        <v>27</v>
      </c>
      <c r="G3691" s="11">
        <v>8037106650</v>
      </c>
      <c r="H3691" s="10" t="s">
        <v>8088</v>
      </c>
      <c r="I3691" s="10" t="s">
        <v>49</v>
      </c>
      <c r="J3691" s="10" t="s">
        <v>157</v>
      </c>
      <c r="K3691" s="12">
        <v>36073</v>
      </c>
      <c r="L3691" s="28" t="s">
        <v>11</v>
      </c>
      <c r="M3691" s="14"/>
      <c r="N3691" s="10" t="s">
        <v>1028</v>
      </c>
    </row>
    <row r="3692" spans="1:14" ht="22.5" customHeight="1">
      <c r="A3692" s="8">
        <v>46021.308022083336</v>
      </c>
      <c r="B3692" s="9" t="s">
        <v>14</v>
      </c>
      <c r="C3692" s="9" t="s">
        <v>15</v>
      </c>
      <c r="D3692" s="10" t="s">
        <v>8089</v>
      </c>
      <c r="E3692" s="9" t="s">
        <v>17</v>
      </c>
      <c r="F3692" s="10">
        <v>36</v>
      </c>
      <c r="G3692" s="11">
        <v>8138298729</v>
      </c>
      <c r="H3692" s="10" t="s">
        <v>8090</v>
      </c>
      <c r="I3692" s="10" t="s">
        <v>27</v>
      </c>
      <c r="J3692" s="10" t="s">
        <v>172</v>
      </c>
      <c r="K3692" s="12">
        <v>46021</v>
      </c>
      <c r="L3692" s="28" t="s">
        <v>11</v>
      </c>
      <c r="M3692" s="14"/>
      <c r="N3692" s="10" t="s">
        <v>1028</v>
      </c>
    </row>
    <row r="3693" spans="1:14" ht="22.5" customHeight="1">
      <c r="A3693" s="8">
        <v>46021.311360266205</v>
      </c>
      <c r="B3693" s="9" t="s">
        <v>14</v>
      </c>
      <c r="C3693" s="9" t="s">
        <v>15</v>
      </c>
      <c r="D3693" s="10" t="s">
        <v>8091</v>
      </c>
      <c r="E3693" s="9" t="s">
        <v>17</v>
      </c>
      <c r="F3693" s="10">
        <v>40</v>
      </c>
      <c r="G3693" s="11">
        <v>8039403169</v>
      </c>
      <c r="H3693" s="10" t="s">
        <v>8092</v>
      </c>
      <c r="I3693" s="10" t="s">
        <v>19</v>
      </c>
      <c r="J3693" s="10" t="s">
        <v>4139</v>
      </c>
      <c r="K3693" s="12">
        <v>46021</v>
      </c>
      <c r="L3693" s="28" t="s">
        <v>11</v>
      </c>
      <c r="M3693" s="14"/>
      <c r="N3693" s="10" t="s">
        <v>1028</v>
      </c>
    </row>
    <row r="3694" spans="1:14" ht="22.5" customHeight="1">
      <c r="A3694" s="8">
        <v>46021.313700543978</v>
      </c>
      <c r="B3694" s="9" t="s">
        <v>14</v>
      </c>
      <c r="C3694" s="9" t="s">
        <v>15</v>
      </c>
      <c r="D3694" s="10" t="s">
        <v>8093</v>
      </c>
      <c r="E3694" s="9" t="s">
        <v>17</v>
      </c>
      <c r="F3694" s="10">
        <v>29</v>
      </c>
      <c r="G3694" s="11">
        <f>2347025481684</f>
        <v>2347025481684</v>
      </c>
      <c r="H3694" s="10" t="s">
        <v>8094</v>
      </c>
      <c r="I3694" s="10" t="s">
        <v>202</v>
      </c>
      <c r="J3694" s="10" t="s">
        <v>4177</v>
      </c>
      <c r="K3694" s="12">
        <v>46021</v>
      </c>
      <c r="L3694" s="28" t="s">
        <v>11</v>
      </c>
      <c r="M3694" s="14"/>
      <c r="N3694" s="10" t="s">
        <v>1028</v>
      </c>
    </row>
    <row r="3695" spans="1:14" ht="22.5" customHeight="1">
      <c r="A3695" s="8">
        <v>46021.315722175925</v>
      </c>
      <c r="B3695" s="9" t="s">
        <v>14</v>
      </c>
      <c r="C3695" s="9" t="s">
        <v>15</v>
      </c>
      <c r="D3695" s="10" t="s">
        <v>5635</v>
      </c>
      <c r="E3695" s="9" t="s">
        <v>17</v>
      </c>
      <c r="F3695" s="10">
        <v>24</v>
      </c>
      <c r="G3695" s="11">
        <v>7082060925</v>
      </c>
      <c r="H3695" s="10" t="s">
        <v>5636</v>
      </c>
      <c r="I3695" s="10" t="s">
        <v>45</v>
      </c>
      <c r="J3695" s="10" t="s">
        <v>131</v>
      </c>
      <c r="K3695" s="12">
        <v>46021</v>
      </c>
      <c r="L3695" s="28" t="s">
        <v>11</v>
      </c>
      <c r="M3695" s="14"/>
      <c r="N3695" s="10" t="s">
        <v>1096</v>
      </c>
    </row>
    <row r="3696" spans="1:14" ht="22.5" customHeight="1">
      <c r="A3696" s="8">
        <v>46021.317770335649</v>
      </c>
      <c r="B3696" s="9" t="s">
        <v>14</v>
      </c>
      <c r="C3696" s="9" t="s">
        <v>15</v>
      </c>
      <c r="D3696" s="10" t="s">
        <v>8095</v>
      </c>
      <c r="E3696" s="9" t="s">
        <v>17</v>
      </c>
      <c r="F3696" s="10">
        <v>28</v>
      </c>
      <c r="G3696" s="11">
        <f>2349030830904</f>
        <v>2349030830904</v>
      </c>
      <c r="H3696" s="10" t="s">
        <v>8096</v>
      </c>
      <c r="I3696" s="10" t="s">
        <v>49</v>
      </c>
      <c r="J3696" s="10" t="s">
        <v>246</v>
      </c>
      <c r="K3696" s="12">
        <v>35720</v>
      </c>
      <c r="L3696" s="28" t="s">
        <v>11</v>
      </c>
      <c r="M3696" s="14"/>
      <c r="N3696" s="10" t="s">
        <v>1096</v>
      </c>
    </row>
    <row r="3697" spans="1:14" ht="22.5" customHeight="1">
      <c r="A3697" s="8">
        <v>46021.319926481483</v>
      </c>
      <c r="B3697" s="9" t="s">
        <v>14</v>
      </c>
      <c r="C3697" s="9" t="s">
        <v>15</v>
      </c>
      <c r="D3697" s="10" t="s">
        <v>1098</v>
      </c>
      <c r="E3697" s="9" t="s">
        <v>17</v>
      </c>
      <c r="F3697" s="10">
        <v>27</v>
      </c>
      <c r="G3697" s="11">
        <v>7035743679</v>
      </c>
      <c r="H3697" s="10" t="s">
        <v>8097</v>
      </c>
      <c r="I3697" s="10" t="s">
        <v>49</v>
      </c>
      <c r="J3697" s="10" t="s">
        <v>232</v>
      </c>
      <c r="K3697" s="12">
        <v>46021</v>
      </c>
      <c r="L3697" s="28" t="s">
        <v>11</v>
      </c>
      <c r="M3697" s="14"/>
      <c r="N3697" s="10" t="s">
        <v>1035</v>
      </c>
    </row>
    <row r="3698" spans="1:14" ht="22.5" customHeight="1">
      <c r="A3698" s="8">
        <v>46021.32466849537</v>
      </c>
      <c r="B3698" s="9" t="s">
        <v>14</v>
      </c>
      <c r="C3698" s="9" t="s">
        <v>15</v>
      </c>
      <c r="D3698" s="10" t="s">
        <v>8098</v>
      </c>
      <c r="E3698" s="9" t="s">
        <v>17</v>
      </c>
      <c r="F3698" s="10">
        <v>30</v>
      </c>
      <c r="G3698" s="11">
        <v>8148896675</v>
      </c>
      <c r="H3698" s="10" t="s">
        <v>8099</v>
      </c>
      <c r="I3698" s="10" t="s">
        <v>27</v>
      </c>
      <c r="J3698" s="10" t="s">
        <v>70</v>
      </c>
      <c r="K3698" s="12">
        <v>46021</v>
      </c>
      <c r="L3698" s="28" t="s">
        <v>11</v>
      </c>
      <c r="M3698" s="14"/>
      <c r="N3698" s="10" t="s">
        <v>1028</v>
      </c>
    </row>
    <row r="3699" spans="1:14" ht="22.5" customHeight="1">
      <c r="A3699" s="8">
        <v>46021.32497173611</v>
      </c>
      <c r="B3699" s="9" t="s">
        <v>14</v>
      </c>
      <c r="C3699" s="9" t="s">
        <v>15</v>
      </c>
      <c r="D3699" s="10" t="s">
        <v>8100</v>
      </c>
      <c r="E3699" s="9" t="s">
        <v>22</v>
      </c>
      <c r="F3699" s="10">
        <v>23</v>
      </c>
      <c r="G3699" s="11">
        <v>9010872892</v>
      </c>
      <c r="H3699" s="10" t="s">
        <v>8101</v>
      </c>
      <c r="I3699" s="10" t="s">
        <v>49</v>
      </c>
      <c r="J3699" s="10" t="s">
        <v>8102</v>
      </c>
      <c r="K3699" s="12">
        <v>46021</v>
      </c>
      <c r="L3699" s="28" t="s">
        <v>11</v>
      </c>
      <c r="M3699" s="14"/>
      <c r="N3699" s="10" t="s">
        <v>1028</v>
      </c>
    </row>
    <row r="3700" spans="1:14" ht="22.5" customHeight="1">
      <c r="A3700" s="8">
        <v>46021.325674247681</v>
      </c>
      <c r="B3700" s="9" t="s">
        <v>14</v>
      </c>
      <c r="C3700" s="9" t="s">
        <v>15</v>
      </c>
      <c r="D3700" s="10" t="s">
        <v>8103</v>
      </c>
      <c r="E3700" s="9" t="s">
        <v>22</v>
      </c>
      <c r="F3700" s="10">
        <v>23</v>
      </c>
      <c r="G3700" s="11">
        <v>8129187080</v>
      </c>
      <c r="H3700" s="10" t="s">
        <v>8104</v>
      </c>
      <c r="I3700" s="10" t="s">
        <v>27</v>
      </c>
      <c r="J3700" s="10" t="s">
        <v>27</v>
      </c>
      <c r="K3700" s="12">
        <v>46021</v>
      </c>
      <c r="L3700" s="28" t="s">
        <v>11</v>
      </c>
      <c r="M3700" s="14"/>
      <c r="N3700" s="10" t="s">
        <v>1028</v>
      </c>
    </row>
    <row r="3701" spans="1:14" ht="22.5" customHeight="1">
      <c r="A3701" s="8">
        <v>46021.326192743058</v>
      </c>
      <c r="B3701" s="9" t="s">
        <v>14</v>
      </c>
      <c r="C3701" s="9" t="s">
        <v>15</v>
      </c>
      <c r="D3701" s="10" t="s">
        <v>8105</v>
      </c>
      <c r="E3701" s="9" t="s">
        <v>17</v>
      </c>
      <c r="F3701" s="10">
        <v>31</v>
      </c>
      <c r="G3701" s="11">
        <v>8167170337</v>
      </c>
      <c r="H3701" s="10" t="s">
        <v>8106</v>
      </c>
      <c r="I3701" s="10" t="s">
        <v>27</v>
      </c>
      <c r="J3701" s="10" t="s">
        <v>8107</v>
      </c>
      <c r="K3701" s="12">
        <v>46021</v>
      </c>
      <c r="L3701" s="28" t="s">
        <v>11</v>
      </c>
      <c r="M3701" s="14"/>
      <c r="N3701" s="10" t="s">
        <v>1028</v>
      </c>
    </row>
    <row r="3702" spans="1:14" ht="22.5" customHeight="1">
      <c r="A3702" s="8">
        <v>46021.326623425921</v>
      </c>
      <c r="B3702" s="9" t="s">
        <v>14</v>
      </c>
      <c r="C3702" s="9" t="s">
        <v>15</v>
      </c>
      <c r="D3702" s="10" t="s">
        <v>8108</v>
      </c>
      <c r="E3702" s="9" t="s">
        <v>17</v>
      </c>
      <c r="F3702" s="10">
        <v>30</v>
      </c>
      <c r="G3702" s="11">
        <v>8030905126</v>
      </c>
      <c r="H3702" s="10" t="s">
        <v>8109</v>
      </c>
      <c r="I3702" s="10" t="s">
        <v>49</v>
      </c>
      <c r="J3702" s="10" t="s">
        <v>253</v>
      </c>
      <c r="K3702" s="12">
        <v>46021</v>
      </c>
      <c r="L3702" s="28" t="s">
        <v>11</v>
      </c>
      <c r="M3702" s="14"/>
      <c r="N3702" s="10" t="s">
        <v>1096</v>
      </c>
    </row>
    <row r="3703" spans="1:14" ht="22.5" customHeight="1">
      <c r="A3703" s="8">
        <v>46021.326836712964</v>
      </c>
      <c r="B3703" s="9" t="s">
        <v>14</v>
      </c>
      <c r="C3703" s="9" t="s">
        <v>15</v>
      </c>
      <c r="D3703" s="10" t="s">
        <v>8110</v>
      </c>
      <c r="E3703" s="9" t="s">
        <v>17</v>
      </c>
      <c r="F3703" s="10">
        <v>28</v>
      </c>
      <c r="G3703" s="11">
        <v>7040563634</v>
      </c>
      <c r="H3703" s="10" t="s">
        <v>8111</v>
      </c>
      <c r="I3703" s="10" t="s">
        <v>27</v>
      </c>
      <c r="J3703" s="10" t="s">
        <v>703</v>
      </c>
      <c r="K3703" s="12">
        <v>46021</v>
      </c>
      <c r="L3703" s="28" t="s">
        <v>11</v>
      </c>
      <c r="M3703" s="14"/>
      <c r="N3703" s="10" t="s">
        <v>1028</v>
      </c>
    </row>
    <row r="3704" spans="1:14" ht="22.5" customHeight="1">
      <c r="A3704" s="8">
        <v>46021.327262349536</v>
      </c>
      <c r="B3704" s="9" t="s">
        <v>14</v>
      </c>
      <c r="C3704" s="9" t="s">
        <v>15</v>
      </c>
      <c r="D3704" s="10" t="s">
        <v>8112</v>
      </c>
      <c r="E3704" s="9" t="s">
        <v>17</v>
      </c>
      <c r="F3704" s="10">
        <v>35</v>
      </c>
      <c r="G3704" s="11">
        <v>8035588124</v>
      </c>
      <c r="H3704" s="10" t="s">
        <v>8113</v>
      </c>
      <c r="I3704" s="10" t="s">
        <v>27</v>
      </c>
      <c r="J3704" s="10" t="s">
        <v>94</v>
      </c>
      <c r="K3704" s="12">
        <v>46021</v>
      </c>
      <c r="L3704" s="28" t="s">
        <v>11</v>
      </c>
      <c r="M3704" s="14"/>
      <c r="N3704" s="10" t="s">
        <v>1028</v>
      </c>
    </row>
    <row r="3705" spans="1:14" ht="22.5" customHeight="1">
      <c r="A3705" s="8">
        <v>46021.328357905091</v>
      </c>
      <c r="B3705" s="9" t="s">
        <v>14</v>
      </c>
      <c r="C3705" s="9" t="s">
        <v>15</v>
      </c>
      <c r="D3705" s="10" t="s">
        <v>8114</v>
      </c>
      <c r="E3705" s="9" t="s">
        <v>17</v>
      </c>
      <c r="F3705" s="10">
        <v>31</v>
      </c>
      <c r="G3705" s="11">
        <v>8060877791</v>
      </c>
      <c r="H3705" s="10" t="s">
        <v>8115</v>
      </c>
      <c r="I3705" s="10" t="s">
        <v>49</v>
      </c>
      <c r="J3705" s="10" t="s">
        <v>8116</v>
      </c>
      <c r="K3705" s="12">
        <v>46021</v>
      </c>
      <c r="L3705" s="28" t="s">
        <v>11</v>
      </c>
      <c r="M3705" s="14"/>
      <c r="N3705" s="10" t="s">
        <v>1028</v>
      </c>
    </row>
    <row r="3706" spans="1:14" ht="22.5" customHeight="1">
      <c r="A3706" s="8">
        <v>46021.329209745367</v>
      </c>
      <c r="B3706" s="9" t="s">
        <v>14</v>
      </c>
      <c r="C3706" s="9" t="s">
        <v>15</v>
      </c>
      <c r="D3706" s="10" t="s">
        <v>8117</v>
      </c>
      <c r="E3706" s="9" t="s">
        <v>17</v>
      </c>
      <c r="F3706" s="10">
        <v>31</v>
      </c>
      <c r="G3706" s="11">
        <v>8130201526</v>
      </c>
      <c r="H3706" s="10" t="s">
        <v>8118</v>
      </c>
      <c r="I3706" s="10" t="s">
        <v>49</v>
      </c>
      <c r="J3706" s="10" t="s">
        <v>246</v>
      </c>
      <c r="K3706" s="12">
        <v>46021</v>
      </c>
      <c r="L3706" s="28" t="s">
        <v>11</v>
      </c>
      <c r="M3706" s="14"/>
      <c r="N3706" s="10" t="s">
        <v>1028</v>
      </c>
    </row>
    <row r="3707" spans="1:14" ht="22.5" customHeight="1">
      <c r="A3707" s="8">
        <v>46021.332532106477</v>
      </c>
      <c r="B3707" s="9" t="s">
        <v>14</v>
      </c>
      <c r="C3707" s="9" t="s">
        <v>15</v>
      </c>
      <c r="D3707" s="10" t="s">
        <v>8119</v>
      </c>
      <c r="E3707" s="9" t="s">
        <v>22</v>
      </c>
      <c r="F3707" s="10">
        <v>27</v>
      </c>
      <c r="G3707" s="11">
        <v>8064883481</v>
      </c>
      <c r="H3707" s="10" t="s">
        <v>8120</v>
      </c>
      <c r="I3707" s="10" t="s">
        <v>27</v>
      </c>
      <c r="J3707" s="10" t="s">
        <v>353</v>
      </c>
      <c r="K3707" s="12">
        <v>46021</v>
      </c>
      <c r="L3707" s="28" t="s">
        <v>11</v>
      </c>
      <c r="M3707" s="14"/>
      <c r="N3707" s="10" t="s">
        <v>1028</v>
      </c>
    </row>
    <row r="3708" spans="1:14" ht="22.5" customHeight="1">
      <c r="A3708" s="8">
        <v>46021.333067418978</v>
      </c>
      <c r="B3708" s="9" t="s">
        <v>14</v>
      </c>
      <c r="C3708" s="9" t="s">
        <v>15</v>
      </c>
      <c r="D3708" s="10" t="s">
        <v>8121</v>
      </c>
      <c r="E3708" s="9" t="s">
        <v>22</v>
      </c>
      <c r="F3708" s="10">
        <v>24</v>
      </c>
      <c r="G3708" s="11">
        <v>835162306</v>
      </c>
      <c r="H3708" s="10" t="s">
        <v>8122</v>
      </c>
      <c r="I3708" s="10" t="s">
        <v>202</v>
      </c>
      <c r="J3708" s="10" t="s">
        <v>8123</v>
      </c>
      <c r="K3708" s="12">
        <v>46021</v>
      </c>
      <c r="L3708" s="28" t="s">
        <v>11</v>
      </c>
      <c r="M3708" s="14"/>
      <c r="N3708" s="10" t="s">
        <v>1563</v>
      </c>
    </row>
    <row r="3709" spans="1:14" ht="22.5" customHeight="1">
      <c r="A3709" s="8">
        <v>46021.333979224539</v>
      </c>
      <c r="B3709" s="9" t="s">
        <v>14</v>
      </c>
      <c r="C3709" s="9" t="s">
        <v>15</v>
      </c>
      <c r="D3709" s="10" t="s">
        <v>8124</v>
      </c>
      <c r="E3709" s="9" t="s">
        <v>22</v>
      </c>
      <c r="F3709" s="10">
        <v>30</v>
      </c>
      <c r="G3709" s="11">
        <v>8162070972</v>
      </c>
      <c r="H3709" s="10" t="s">
        <v>8125</v>
      </c>
      <c r="I3709" s="10" t="s">
        <v>31</v>
      </c>
      <c r="J3709" s="10" t="s">
        <v>3529</v>
      </c>
      <c r="K3709" s="12">
        <v>46021</v>
      </c>
      <c r="L3709" s="28" t="s">
        <v>11</v>
      </c>
      <c r="M3709" s="10"/>
      <c r="N3709" s="10" t="s">
        <v>8126</v>
      </c>
    </row>
    <row r="3710" spans="1:14" ht="22.5" hidden="1" customHeight="1">
      <c r="A3710" s="8">
        <v>46021.334617650464</v>
      </c>
      <c r="B3710" s="9" t="s">
        <v>14</v>
      </c>
      <c r="C3710" s="9" t="s">
        <v>15</v>
      </c>
      <c r="D3710" s="10" t="s">
        <v>8127</v>
      </c>
      <c r="E3710" s="9" t="s">
        <v>17</v>
      </c>
      <c r="F3710" s="10">
        <v>30</v>
      </c>
      <c r="G3710" s="11">
        <v>8145664849</v>
      </c>
      <c r="H3710" s="10" t="s">
        <v>8128</v>
      </c>
      <c r="I3710" s="10" t="s">
        <v>27</v>
      </c>
      <c r="J3710" s="10" t="s">
        <v>67</v>
      </c>
      <c r="K3710" s="12">
        <v>46021</v>
      </c>
      <c r="L3710" s="10" t="s">
        <v>441</v>
      </c>
      <c r="M3710" s="10" t="s">
        <v>1361</v>
      </c>
      <c r="N3710" s="10" t="s">
        <v>1096</v>
      </c>
    </row>
    <row r="3711" spans="1:14" ht="22.5" customHeight="1">
      <c r="A3711" s="8">
        <v>46021.335099699078</v>
      </c>
      <c r="B3711" s="9" t="s">
        <v>14</v>
      </c>
      <c r="C3711" s="9" t="s">
        <v>15</v>
      </c>
      <c r="D3711" s="10" t="s">
        <v>8129</v>
      </c>
      <c r="E3711" s="9" t="s">
        <v>17</v>
      </c>
      <c r="F3711" s="10">
        <v>30</v>
      </c>
      <c r="G3711" s="11">
        <v>8088176644</v>
      </c>
      <c r="H3711" s="10" t="s">
        <v>8130</v>
      </c>
      <c r="I3711" s="10" t="s">
        <v>27</v>
      </c>
      <c r="J3711" s="10" t="s">
        <v>2669</v>
      </c>
      <c r="K3711" s="12">
        <v>46021</v>
      </c>
      <c r="L3711" s="28" t="s">
        <v>11</v>
      </c>
      <c r="M3711" s="14"/>
      <c r="N3711" s="10" t="s">
        <v>1028</v>
      </c>
    </row>
    <row r="3712" spans="1:14" ht="22.5" customHeight="1">
      <c r="A3712" s="8">
        <v>46021.336197013894</v>
      </c>
      <c r="B3712" s="9" t="s">
        <v>14</v>
      </c>
      <c r="C3712" s="9" t="s">
        <v>15</v>
      </c>
      <c r="D3712" s="10" t="s">
        <v>8131</v>
      </c>
      <c r="E3712" s="9" t="s">
        <v>17</v>
      </c>
      <c r="F3712" s="10">
        <v>29</v>
      </c>
      <c r="G3712" s="11">
        <v>8094175577</v>
      </c>
      <c r="H3712" s="10" t="s">
        <v>8132</v>
      </c>
      <c r="I3712" s="10" t="s">
        <v>49</v>
      </c>
      <c r="J3712" s="10" t="s">
        <v>50</v>
      </c>
      <c r="K3712" s="12">
        <v>46021</v>
      </c>
      <c r="L3712" s="28" t="s">
        <v>11</v>
      </c>
      <c r="M3712" s="14"/>
      <c r="N3712" s="10" t="s">
        <v>1028</v>
      </c>
    </row>
    <row r="3713" spans="1:14" ht="22.5" customHeight="1">
      <c r="A3713" s="8">
        <v>46021.3420409838</v>
      </c>
      <c r="B3713" s="9" t="s">
        <v>14</v>
      </c>
      <c r="C3713" s="9" t="s">
        <v>15</v>
      </c>
      <c r="D3713" s="10" t="s">
        <v>8133</v>
      </c>
      <c r="E3713" s="9" t="s">
        <v>17</v>
      </c>
      <c r="F3713" s="10">
        <v>36</v>
      </c>
      <c r="G3713" s="11">
        <v>8131315947</v>
      </c>
      <c r="H3713" s="10" t="s">
        <v>8134</v>
      </c>
      <c r="I3713" s="10" t="s">
        <v>45</v>
      </c>
      <c r="J3713" s="10" t="s">
        <v>1191</v>
      </c>
      <c r="K3713" s="12">
        <v>46021</v>
      </c>
      <c r="L3713" s="28" t="s">
        <v>11</v>
      </c>
      <c r="M3713" s="14"/>
      <c r="N3713" s="10" t="s">
        <v>1028</v>
      </c>
    </row>
    <row r="3714" spans="1:14" ht="22.5" customHeight="1">
      <c r="A3714" s="8">
        <v>46021.344808113427</v>
      </c>
      <c r="B3714" s="9" t="s">
        <v>14</v>
      </c>
      <c r="C3714" s="9" t="s">
        <v>15</v>
      </c>
      <c r="D3714" s="10" t="s">
        <v>8135</v>
      </c>
      <c r="E3714" s="9" t="s">
        <v>22</v>
      </c>
      <c r="F3714" s="10">
        <v>26</v>
      </c>
      <c r="G3714" s="11">
        <v>9165156116</v>
      </c>
      <c r="H3714" s="10" t="s">
        <v>8136</v>
      </c>
      <c r="I3714" s="10" t="s">
        <v>19</v>
      </c>
      <c r="J3714" s="10" t="s">
        <v>4870</v>
      </c>
      <c r="K3714" s="12">
        <v>46021</v>
      </c>
      <c r="L3714" s="28" t="s">
        <v>11</v>
      </c>
      <c r="M3714" s="14"/>
      <c r="N3714" s="10" t="s">
        <v>1028</v>
      </c>
    </row>
    <row r="3715" spans="1:14" ht="22.5" customHeight="1">
      <c r="A3715" s="8">
        <v>46021.344868078704</v>
      </c>
      <c r="B3715" s="9" t="s">
        <v>14</v>
      </c>
      <c r="C3715" s="9" t="s">
        <v>15</v>
      </c>
      <c r="D3715" s="10" t="s">
        <v>8137</v>
      </c>
      <c r="E3715" s="9" t="s">
        <v>17</v>
      </c>
      <c r="F3715" s="10">
        <v>27</v>
      </c>
      <c r="G3715" s="11">
        <v>8034911151</v>
      </c>
      <c r="H3715" s="10" t="s">
        <v>8138</v>
      </c>
      <c r="I3715" s="10" t="s">
        <v>27</v>
      </c>
      <c r="J3715" s="10" t="s">
        <v>1559</v>
      </c>
      <c r="K3715" s="12">
        <v>46021</v>
      </c>
      <c r="L3715" s="28" t="s">
        <v>11</v>
      </c>
      <c r="M3715" s="14"/>
      <c r="N3715" s="10" t="s">
        <v>1028</v>
      </c>
    </row>
    <row r="3716" spans="1:14" ht="22.5" customHeight="1">
      <c r="A3716" s="8">
        <v>46021.349525289348</v>
      </c>
      <c r="B3716" s="9" t="s">
        <v>14</v>
      </c>
      <c r="C3716" s="9" t="s">
        <v>15</v>
      </c>
      <c r="D3716" s="10" t="s">
        <v>8139</v>
      </c>
      <c r="E3716" s="9" t="s">
        <v>22</v>
      </c>
      <c r="F3716" s="10">
        <v>30</v>
      </c>
      <c r="G3716" s="11">
        <v>8103282494</v>
      </c>
      <c r="H3716" s="10" t="s">
        <v>8140</v>
      </c>
      <c r="I3716" s="10" t="s">
        <v>27</v>
      </c>
      <c r="J3716" s="10" t="s">
        <v>27</v>
      </c>
      <c r="K3716" s="12">
        <v>46021</v>
      </c>
      <c r="L3716" s="28" t="s">
        <v>11</v>
      </c>
      <c r="M3716" s="14"/>
      <c r="N3716" s="10" t="s">
        <v>1028</v>
      </c>
    </row>
    <row r="3717" spans="1:14" ht="22.5" customHeight="1">
      <c r="A3717" s="8">
        <v>46021.350392384258</v>
      </c>
      <c r="B3717" s="9" t="s">
        <v>14</v>
      </c>
      <c r="C3717" s="9" t="s">
        <v>15</v>
      </c>
      <c r="D3717" s="10" t="s">
        <v>8141</v>
      </c>
      <c r="E3717" s="9" t="s">
        <v>17</v>
      </c>
      <c r="F3717" s="10">
        <v>31</v>
      </c>
      <c r="G3717" s="11">
        <v>8061593449</v>
      </c>
      <c r="H3717" s="10" t="s">
        <v>8142</v>
      </c>
      <c r="I3717" s="10" t="s">
        <v>27</v>
      </c>
      <c r="J3717" s="10" t="s">
        <v>94</v>
      </c>
      <c r="K3717" s="12">
        <v>46021</v>
      </c>
      <c r="L3717" s="28" t="s">
        <v>11</v>
      </c>
      <c r="M3717" s="14"/>
      <c r="N3717" s="10" t="s">
        <v>1028</v>
      </c>
    </row>
    <row r="3718" spans="1:14" ht="22.5" customHeight="1">
      <c r="A3718" s="8">
        <v>46021.35429805555</v>
      </c>
      <c r="B3718" s="9" t="s">
        <v>14</v>
      </c>
      <c r="C3718" s="9" t="s">
        <v>15</v>
      </c>
      <c r="D3718" s="10" t="s">
        <v>8143</v>
      </c>
      <c r="E3718" s="9" t="s">
        <v>17</v>
      </c>
      <c r="F3718" s="10">
        <v>30</v>
      </c>
      <c r="G3718" s="11">
        <v>8131509948</v>
      </c>
      <c r="H3718" s="10" t="s">
        <v>8144</v>
      </c>
      <c r="I3718" s="10" t="s">
        <v>27</v>
      </c>
      <c r="J3718" s="10" t="s">
        <v>703</v>
      </c>
      <c r="K3718" s="12">
        <v>46021</v>
      </c>
      <c r="L3718" s="28" t="s">
        <v>11</v>
      </c>
      <c r="M3718" s="14"/>
      <c r="N3718" s="10" t="s">
        <v>1028</v>
      </c>
    </row>
    <row r="3719" spans="1:14" ht="22.5" customHeight="1">
      <c r="A3719" s="8">
        <v>46021.356028946757</v>
      </c>
      <c r="B3719" s="9" t="s">
        <v>14</v>
      </c>
      <c r="C3719" s="9" t="s">
        <v>15</v>
      </c>
      <c r="D3719" s="10" t="s">
        <v>8145</v>
      </c>
      <c r="E3719" s="9" t="s">
        <v>22</v>
      </c>
      <c r="F3719" s="10">
        <v>27</v>
      </c>
      <c r="G3719" s="11">
        <v>7012251840</v>
      </c>
      <c r="H3719" s="10" t="s">
        <v>8146</v>
      </c>
      <c r="I3719" s="10" t="s">
        <v>49</v>
      </c>
      <c r="J3719" s="10" t="s">
        <v>8147</v>
      </c>
      <c r="K3719" s="12">
        <v>36154</v>
      </c>
      <c r="L3719" s="28" t="s">
        <v>11</v>
      </c>
      <c r="M3719" s="14"/>
      <c r="N3719" s="10" t="s">
        <v>1096</v>
      </c>
    </row>
    <row r="3720" spans="1:14" ht="22.5" customHeight="1">
      <c r="A3720" s="8">
        <v>46021.356607951384</v>
      </c>
      <c r="B3720" s="9" t="s">
        <v>14</v>
      </c>
      <c r="C3720" s="9" t="s">
        <v>15</v>
      </c>
      <c r="D3720" s="10" t="s">
        <v>8148</v>
      </c>
      <c r="E3720" s="9" t="s">
        <v>17</v>
      </c>
      <c r="F3720" s="10">
        <v>29</v>
      </c>
      <c r="G3720" s="11">
        <v>8100863802</v>
      </c>
      <c r="H3720" s="10" t="s">
        <v>8149</v>
      </c>
      <c r="I3720" s="10" t="s">
        <v>49</v>
      </c>
      <c r="J3720" s="10" t="s">
        <v>160</v>
      </c>
      <c r="K3720" s="12">
        <v>46021</v>
      </c>
      <c r="L3720" s="28" t="s">
        <v>11</v>
      </c>
      <c r="M3720" s="14"/>
      <c r="N3720" s="10" t="s">
        <v>1096</v>
      </c>
    </row>
    <row r="3721" spans="1:14" ht="22.5" customHeight="1">
      <c r="A3721" s="8">
        <v>46021.357172291668</v>
      </c>
      <c r="B3721" s="9" t="s">
        <v>14</v>
      </c>
      <c r="C3721" s="9" t="s">
        <v>15</v>
      </c>
      <c r="D3721" s="10" t="s">
        <v>8150</v>
      </c>
      <c r="E3721" s="9" t="s">
        <v>17</v>
      </c>
      <c r="F3721" s="18">
        <v>19</v>
      </c>
      <c r="G3721" s="11">
        <v>8021406639</v>
      </c>
      <c r="H3721" s="10" t="s">
        <v>8151</v>
      </c>
      <c r="I3721" s="10" t="s">
        <v>27</v>
      </c>
      <c r="J3721" s="10" t="s">
        <v>8152</v>
      </c>
      <c r="K3721" s="12">
        <v>46021</v>
      </c>
      <c r="L3721" s="28" t="s">
        <v>11</v>
      </c>
      <c r="M3721" s="14"/>
      <c r="N3721" s="10" t="s">
        <v>1028</v>
      </c>
    </row>
    <row r="3722" spans="1:14" ht="22.5" customHeight="1">
      <c r="A3722" s="8">
        <v>46021.357299421295</v>
      </c>
      <c r="B3722" s="9" t="s">
        <v>14</v>
      </c>
      <c r="C3722" s="9" t="s">
        <v>15</v>
      </c>
      <c r="D3722" s="10" t="s">
        <v>8153</v>
      </c>
      <c r="E3722" s="9" t="s">
        <v>17</v>
      </c>
      <c r="F3722" s="10">
        <v>30</v>
      </c>
      <c r="G3722" s="11">
        <v>7031545656</v>
      </c>
      <c r="H3722" s="10" t="s">
        <v>8154</v>
      </c>
      <c r="I3722" s="10" t="s">
        <v>27</v>
      </c>
      <c r="J3722" s="10" t="s">
        <v>8155</v>
      </c>
      <c r="K3722" s="12">
        <v>46021</v>
      </c>
      <c r="L3722" s="28" t="s">
        <v>11</v>
      </c>
      <c r="M3722" s="14"/>
      <c r="N3722" s="10" t="s">
        <v>1028</v>
      </c>
    </row>
    <row r="3723" spans="1:14" ht="22.5" hidden="1" customHeight="1">
      <c r="A3723" s="8">
        <v>46021.359176122685</v>
      </c>
      <c r="B3723" s="9" t="s">
        <v>14</v>
      </c>
      <c r="C3723" s="9" t="s">
        <v>15</v>
      </c>
      <c r="D3723" s="10" t="s">
        <v>8156</v>
      </c>
      <c r="E3723" s="9" t="s">
        <v>17</v>
      </c>
      <c r="F3723" s="10">
        <v>24</v>
      </c>
      <c r="G3723" s="11">
        <v>7011751609</v>
      </c>
      <c r="H3723" s="10" t="s">
        <v>8157</v>
      </c>
      <c r="I3723" s="10" t="s">
        <v>27</v>
      </c>
      <c r="J3723" s="10" t="s">
        <v>8158</v>
      </c>
      <c r="K3723" s="12">
        <v>46021</v>
      </c>
      <c r="L3723" s="10" t="s">
        <v>441</v>
      </c>
      <c r="M3723" s="10" t="s">
        <v>1161</v>
      </c>
      <c r="N3723" s="10" t="s">
        <v>1028</v>
      </c>
    </row>
    <row r="3724" spans="1:14" ht="22.5" customHeight="1">
      <c r="A3724" s="8">
        <v>46021.359337893518</v>
      </c>
      <c r="B3724" s="9" t="s">
        <v>14</v>
      </c>
      <c r="C3724" s="9" t="s">
        <v>15</v>
      </c>
      <c r="D3724" s="10" t="s">
        <v>8159</v>
      </c>
      <c r="E3724" s="9" t="s">
        <v>17</v>
      </c>
      <c r="F3724" s="10">
        <v>27</v>
      </c>
      <c r="G3724" s="11">
        <v>8069422136</v>
      </c>
      <c r="H3724" s="10" t="s">
        <v>8160</v>
      </c>
      <c r="I3724" s="10" t="s">
        <v>27</v>
      </c>
      <c r="J3724" s="10" t="s">
        <v>67</v>
      </c>
      <c r="K3724" s="12">
        <v>46021</v>
      </c>
      <c r="L3724" s="28" t="s">
        <v>11</v>
      </c>
      <c r="M3724" s="14"/>
      <c r="N3724" s="10" t="s">
        <v>1028</v>
      </c>
    </row>
    <row r="3725" spans="1:14" ht="22.5" customHeight="1">
      <c r="A3725" s="8">
        <v>46021.359498483798</v>
      </c>
      <c r="B3725" s="9" t="s">
        <v>14</v>
      </c>
      <c r="C3725" s="9" t="s">
        <v>15</v>
      </c>
      <c r="D3725" s="10" t="s">
        <v>8161</v>
      </c>
      <c r="E3725" s="9" t="s">
        <v>17</v>
      </c>
      <c r="F3725" s="10">
        <v>25</v>
      </c>
      <c r="G3725" s="11">
        <v>8068570177</v>
      </c>
      <c r="H3725" s="10" t="s">
        <v>8162</v>
      </c>
      <c r="I3725" s="10" t="s">
        <v>27</v>
      </c>
      <c r="J3725" s="10" t="s">
        <v>94</v>
      </c>
      <c r="K3725" s="12">
        <v>46021</v>
      </c>
      <c r="L3725" s="28" t="s">
        <v>11</v>
      </c>
      <c r="M3725" s="14"/>
      <c r="N3725" s="10" t="s">
        <v>1028</v>
      </c>
    </row>
    <row r="3726" spans="1:14" ht="22.5" customHeight="1">
      <c r="A3726" s="8">
        <v>46021.359709467593</v>
      </c>
      <c r="B3726" s="9" t="s">
        <v>14</v>
      </c>
      <c r="C3726" s="9" t="s">
        <v>15</v>
      </c>
      <c r="D3726" s="10" t="s">
        <v>8163</v>
      </c>
      <c r="E3726" s="9" t="s">
        <v>17</v>
      </c>
      <c r="F3726" s="10">
        <v>35</v>
      </c>
      <c r="G3726" s="11">
        <v>8835737961</v>
      </c>
      <c r="H3726" s="10" t="s">
        <v>8164</v>
      </c>
      <c r="I3726" s="10" t="s">
        <v>49</v>
      </c>
      <c r="J3726" s="10" t="s">
        <v>157</v>
      </c>
      <c r="K3726" s="12">
        <v>46021</v>
      </c>
      <c r="L3726" s="28" t="s">
        <v>11</v>
      </c>
      <c r="M3726" s="14"/>
      <c r="N3726" s="10" t="s">
        <v>1028</v>
      </c>
    </row>
    <row r="3727" spans="1:14" ht="22.5" customHeight="1">
      <c r="A3727" s="8">
        <v>46021.360418576391</v>
      </c>
      <c r="B3727" s="9" t="s">
        <v>14</v>
      </c>
      <c r="C3727" s="9" t="s">
        <v>15</v>
      </c>
      <c r="D3727" s="10" t="s">
        <v>8165</v>
      </c>
      <c r="E3727" s="9" t="s">
        <v>17</v>
      </c>
      <c r="F3727" s="10">
        <v>32</v>
      </c>
      <c r="G3727" s="11">
        <v>7037057003</v>
      </c>
      <c r="H3727" s="10" t="s">
        <v>8166</v>
      </c>
      <c r="I3727" s="10" t="s">
        <v>27</v>
      </c>
      <c r="J3727" s="10" t="s">
        <v>2861</v>
      </c>
      <c r="K3727" s="12">
        <v>46021</v>
      </c>
      <c r="L3727" s="28" t="s">
        <v>11</v>
      </c>
      <c r="M3727" s="14"/>
      <c r="N3727" s="10" t="s">
        <v>1028</v>
      </c>
    </row>
    <row r="3728" spans="1:14" ht="22.5" customHeight="1">
      <c r="A3728" s="8">
        <v>46021.360567627315</v>
      </c>
      <c r="B3728" s="9" t="s">
        <v>14</v>
      </c>
      <c r="C3728" s="9" t="s">
        <v>15</v>
      </c>
      <c r="D3728" s="10" t="s">
        <v>8167</v>
      </c>
      <c r="E3728" s="9" t="s">
        <v>17</v>
      </c>
      <c r="F3728" s="10">
        <v>28</v>
      </c>
      <c r="G3728" s="11">
        <v>9131853295</v>
      </c>
      <c r="H3728" s="10" t="s">
        <v>8168</v>
      </c>
      <c r="I3728" s="10" t="s">
        <v>27</v>
      </c>
      <c r="J3728" s="10" t="s">
        <v>94</v>
      </c>
      <c r="K3728" s="12">
        <v>46021</v>
      </c>
      <c r="L3728" s="28" t="s">
        <v>11</v>
      </c>
      <c r="M3728" s="14"/>
      <c r="N3728" s="10" t="s">
        <v>1028</v>
      </c>
    </row>
    <row r="3729" spans="1:14" ht="22.5" customHeight="1">
      <c r="A3729" s="8">
        <v>46021.36186016204</v>
      </c>
      <c r="B3729" s="9" t="s">
        <v>14</v>
      </c>
      <c r="C3729" s="9" t="s">
        <v>15</v>
      </c>
      <c r="D3729" s="10" t="s">
        <v>8169</v>
      </c>
      <c r="E3729" s="9" t="s">
        <v>17</v>
      </c>
      <c r="F3729" s="10">
        <v>25</v>
      </c>
      <c r="G3729" s="11">
        <v>9036004326</v>
      </c>
      <c r="H3729" s="10" t="s">
        <v>8170</v>
      </c>
      <c r="I3729" s="10" t="s">
        <v>27</v>
      </c>
      <c r="J3729" s="10" t="s">
        <v>70</v>
      </c>
      <c r="K3729" s="12">
        <v>46021</v>
      </c>
      <c r="L3729" s="28" t="s">
        <v>11</v>
      </c>
      <c r="M3729" s="14"/>
      <c r="N3729" s="10" t="s">
        <v>7233</v>
      </c>
    </row>
    <row r="3730" spans="1:14" ht="22.5" customHeight="1">
      <c r="A3730" s="8">
        <v>46021.362957118057</v>
      </c>
      <c r="B3730" s="9" t="s">
        <v>14</v>
      </c>
      <c r="C3730" s="9" t="s">
        <v>15</v>
      </c>
      <c r="D3730" s="10" t="s">
        <v>8171</v>
      </c>
      <c r="E3730" s="9" t="s">
        <v>17</v>
      </c>
      <c r="F3730" s="10">
        <v>18</v>
      </c>
      <c r="G3730" s="11">
        <v>8075454711</v>
      </c>
      <c r="H3730" s="10" t="s">
        <v>8172</v>
      </c>
      <c r="I3730" s="10" t="s">
        <v>49</v>
      </c>
      <c r="J3730" s="10" t="s">
        <v>73</v>
      </c>
      <c r="K3730" s="12">
        <v>46021</v>
      </c>
      <c r="L3730" s="28" t="s">
        <v>11</v>
      </c>
      <c r="M3730" s="10"/>
      <c r="N3730" s="10" t="s">
        <v>2186</v>
      </c>
    </row>
    <row r="3731" spans="1:14" ht="22.5" customHeight="1">
      <c r="A3731" s="8">
        <v>46021.36350122685</v>
      </c>
      <c r="B3731" s="9" t="s">
        <v>14</v>
      </c>
      <c r="C3731" s="9" t="s">
        <v>15</v>
      </c>
      <c r="D3731" s="10" t="s">
        <v>8173</v>
      </c>
      <c r="E3731" s="9" t="s">
        <v>17</v>
      </c>
      <c r="F3731" s="10">
        <v>28</v>
      </c>
      <c r="G3731" s="11">
        <v>8107562947</v>
      </c>
      <c r="H3731" s="10" t="s">
        <v>8174</v>
      </c>
      <c r="I3731" s="10" t="s">
        <v>27</v>
      </c>
      <c r="J3731" s="10" t="s">
        <v>70</v>
      </c>
      <c r="K3731" s="12">
        <v>46021</v>
      </c>
      <c r="L3731" s="28" t="s">
        <v>11</v>
      </c>
      <c r="M3731" s="14"/>
      <c r="N3731" s="10" t="s">
        <v>1028</v>
      </c>
    </row>
    <row r="3732" spans="1:14" ht="22.5" customHeight="1">
      <c r="A3732" s="8">
        <v>46021.366374652775</v>
      </c>
      <c r="B3732" s="9" t="s">
        <v>14</v>
      </c>
      <c r="C3732" s="9" t="s">
        <v>15</v>
      </c>
      <c r="D3732" s="10" t="s">
        <v>8175</v>
      </c>
      <c r="E3732" s="9" t="s">
        <v>17</v>
      </c>
      <c r="F3732" s="10">
        <v>24</v>
      </c>
      <c r="G3732" s="11">
        <v>8067954131</v>
      </c>
      <c r="H3732" s="10" t="s">
        <v>8176</v>
      </c>
      <c r="I3732" s="10" t="s">
        <v>27</v>
      </c>
      <c r="J3732" s="10" t="s">
        <v>172</v>
      </c>
      <c r="K3732" s="12">
        <v>46021</v>
      </c>
      <c r="L3732" s="28" t="s">
        <v>11</v>
      </c>
      <c r="M3732" s="14"/>
      <c r="N3732" s="10" t="s">
        <v>1028</v>
      </c>
    </row>
    <row r="3733" spans="1:14" ht="22.5" customHeight="1">
      <c r="A3733" s="8">
        <v>46021.368728587964</v>
      </c>
      <c r="B3733" s="9" t="s">
        <v>14</v>
      </c>
      <c r="C3733" s="9" t="s">
        <v>15</v>
      </c>
      <c r="D3733" s="10" t="s">
        <v>8177</v>
      </c>
      <c r="E3733" s="9" t="s">
        <v>17</v>
      </c>
      <c r="F3733" s="10">
        <v>29</v>
      </c>
      <c r="G3733" s="11">
        <v>7037561300</v>
      </c>
      <c r="H3733" s="10" t="s">
        <v>8178</v>
      </c>
      <c r="I3733" s="10" t="s">
        <v>27</v>
      </c>
      <c r="J3733" s="10" t="s">
        <v>2417</v>
      </c>
      <c r="K3733" s="12">
        <v>46021</v>
      </c>
      <c r="L3733" s="28" t="s">
        <v>11</v>
      </c>
      <c r="M3733" s="14"/>
      <c r="N3733" s="10" t="s">
        <v>1028</v>
      </c>
    </row>
    <row r="3734" spans="1:14" ht="22.5" customHeight="1">
      <c r="A3734" s="8">
        <v>46021.36949769676</v>
      </c>
      <c r="B3734" s="9" t="s">
        <v>14</v>
      </c>
      <c r="C3734" s="9" t="s">
        <v>15</v>
      </c>
      <c r="D3734" s="10" t="s">
        <v>8179</v>
      </c>
      <c r="E3734" s="9" t="s">
        <v>17</v>
      </c>
      <c r="F3734" s="10">
        <v>33</v>
      </c>
      <c r="G3734" s="11">
        <v>8135963446</v>
      </c>
      <c r="H3734" s="10" t="s">
        <v>8180</v>
      </c>
      <c r="I3734" s="10" t="s">
        <v>49</v>
      </c>
      <c r="J3734" s="10" t="s">
        <v>8181</v>
      </c>
      <c r="K3734" s="12">
        <v>46021</v>
      </c>
      <c r="L3734" s="28" t="s">
        <v>11</v>
      </c>
      <c r="M3734" s="10"/>
      <c r="N3734" s="10" t="s">
        <v>1028</v>
      </c>
    </row>
    <row r="3735" spans="1:14" ht="22.5" customHeight="1">
      <c r="A3735" s="8">
        <v>46021.370400335647</v>
      </c>
      <c r="B3735" s="9" t="s">
        <v>14</v>
      </c>
      <c r="C3735" s="9" t="s">
        <v>15</v>
      </c>
      <c r="D3735" s="10" t="s">
        <v>8182</v>
      </c>
      <c r="E3735" s="9" t="s">
        <v>17</v>
      </c>
      <c r="F3735" s="10">
        <v>32</v>
      </c>
      <c r="G3735" s="11">
        <v>7033377763</v>
      </c>
      <c r="H3735" s="10" t="s">
        <v>8183</v>
      </c>
      <c r="I3735" s="10" t="s">
        <v>49</v>
      </c>
      <c r="J3735" s="10" t="s">
        <v>246</v>
      </c>
      <c r="K3735" s="12">
        <v>46021</v>
      </c>
      <c r="L3735" s="28" t="s">
        <v>11</v>
      </c>
      <c r="M3735" s="14"/>
      <c r="N3735" s="10" t="s">
        <v>1028</v>
      </c>
    </row>
    <row r="3736" spans="1:14" ht="22.5" customHeight="1">
      <c r="A3736" s="8">
        <v>46021.370870046296</v>
      </c>
      <c r="B3736" s="9" t="s">
        <v>14</v>
      </c>
      <c r="C3736" s="9" t="s">
        <v>15</v>
      </c>
      <c r="D3736" s="10" t="s">
        <v>8184</v>
      </c>
      <c r="E3736" s="9" t="s">
        <v>17</v>
      </c>
      <c r="F3736" s="10">
        <v>28</v>
      </c>
      <c r="G3736" s="11">
        <v>8108433843</v>
      </c>
      <c r="H3736" s="10" t="s">
        <v>8185</v>
      </c>
      <c r="I3736" s="10" t="s">
        <v>27</v>
      </c>
      <c r="J3736" s="10" t="s">
        <v>3189</v>
      </c>
      <c r="K3736" s="12">
        <v>46021</v>
      </c>
      <c r="L3736" s="28" t="s">
        <v>11</v>
      </c>
      <c r="M3736" s="14"/>
      <c r="N3736" s="10" t="s">
        <v>8186</v>
      </c>
    </row>
    <row r="3737" spans="1:14" ht="22.5" customHeight="1">
      <c r="A3737" s="8">
        <v>46021.372345115742</v>
      </c>
      <c r="B3737" s="9" t="s">
        <v>14</v>
      </c>
      <c r="C3737" s="9" t="s">
        <v>15</v>
      </c>
      <c r="D3737" s="10" t="s">
        <v>8187</v>
      </c>
      <c r="E3737" s="9" t="s">
        <v>17</v>
      </c>
      <c r="F3737" s="10">
        <v>43</v>
      </c>
      <c r="G3737" s="11">
        <v>8100107707</v>
      </c>
      <c r="H3737" s="10" t="s">
        <v>8188</v>
      </c>
      <c r="I3737" s="10" t="s">
        <v>27</v>
      </c>
      <c r="J3737" s="10" t="s">
        <v>28</v>
      </c>
      <c r="K3737" s="12">
        <v>46021</v>
      </c>
      <c r="L3737" s="28" t="s">
        <v>11</v>
      </c>
      <c r="M3737" s="14"/>
      <c r="N3737" s="10" t="s">
        <v>1028</v>
      </c>
    </row>
    <row r="3738" spans="1:14" ht="22.5" customHeight="1">
      <c r="A3738" s="8">
        <v>46021.372402002315</v>
      </c>
      <c r="B3738" s="9" t="s">
        <v>14</v>
      </c>
      <c r="C3738" s="9" t="s">
        <v>15</v>
      </c>
      <c r="D3738" s="10" t="s">
        <v>8189</v>
      </c>
      <c r="E3738" s="9" t="s">
        <v>17</v>
      </c>
      <c r="F3738" s="10">
        <v>29</v>
      </c>
      <c r="G3738" s="11">
        <v>8144179396</v>
      </c>
      <c r="H3738" s="10" t="s">
        <v>8190</v>
      </c>
      <c r="I3738" s="10" t="s">
        <v>27</v>
      </c>
      <c r="J3738" s="10" t="s">
        <v>8191</v>
      </c>
      <c r="K3738" s="12">
        <v>35225</v>
      </c>
      <c r="L3738" s="28" t="s">
        <v>11</v>
      </c>
      <c r="M3738" s="14"/>
      <c r="N3738" s="10" t="s">
        <v>1028</v>
      </c>
    </row>
    <row r="3739" spans="1:14" ht="22.5" customHeight="1">
      <c r="A3739" s="8">
        <v>46021.374225277774</v>
      </c>
      <c r="B3739" s="9" t="s">
        <v>14</v>
      </c>
      <c r="C3739" s="9" t="s">
        <v>15</v>
      </c>
      <c r="D3739" s="10" t="s">
        <v>8192</v>
      </c>
      <c r="E3739" s="9" t="s">
        <v>17</v>
      </c>
      <c r="F3739" s="10">
        <v>30</v>
      </c>
      <c r="G3739" s="11">
        <v>8037666247</v>
      </c>
      <c r="H3739" s="10" t="s">
        <v>8193</v>
      </c>
      <c r="I3739" s="10" t="s">
        <v>27</v>
      </c>
      <c r="J3739" s="10" t="s">
        <v>8194</v>
      </c>
      <c r="K3739" s="12">
        <v>46021</v>
      </c>
      <c r="L3739" s="28" t="s">
        <v>11</v>
      </c>
      <c r="M3739" s="14"/>
      <c r="N3739" s="10" t="s">
        <v>1028</v>
      </c>
    </row>
    <row r="3740" spans="1:14" ht="22.5" customHeight="1">
      <c r="A3740" s="8">
        <v>46021.374601469906</v>
      </c>
      <c r="B3740" s="9" t="s">
        <v>14</v>
      </c>
      <c r="C3740" s="9" t="s">
        <v>15</v>
      </c>
      <c r="D3740" s="10" t="s">
        <v>8195</v>
      </c>
      <c r="E3740" s="9" t="s">
        <v>17</v>
      </c>
      <c r="F3740" s="10">
        <v>24</v>
      </c>
      <c r="G3740" s="11">
        <f>256764078178</f>
        <v>256764078178</v>
      </c>
      <c r="H3740" s="10" t="s">
        <v>8196</v>
      </c>
      <c r="I3740" s="10" t="s">
        <v>49</v>
      </c>
      <c r="J3740" s="10" t="s">
        <v>8197</v>
      </c>
      <c r="K3740" s="12">
        <v>46021</v>
      </c>
      <c r="L3740" s="28" t="s">
        <v>11</v>
      </c>
      <c r="M3740" s="10"/>
      <c r="N3740" s="10" t="s">
        <v>3443</v>
      </c>
    </row>
    <row r="3741" spans="1:14" ht="22.5" customHeight="1">
      <c r="A3741" s="8">
        <v>46021.377401701393</v>
      </c>
      <c r="B3741" s="9" t="s">
        <v>14</v>
      </c>
      <c r="C3741" s="9" t="s">
        <v>15</v>
      </c>
      <c r="D3741" s="10" t="s">
        <v>8198</v>
      </c>
      <c r="E3741" s="9" t="s">
        <v>17</v>
      </c>
      <c r="F3741" s="10">
        <v>30</v>
      </c>
      <c r="G3741" s="11">
        <v>8106001442</v>
      </c>
      <c r="H3741" s="10" t="s">
        <v>8199</v>
      </c>
      <c r="I3741" s="10" t="s">
        <v>27</v>
      </c>
      <c r="J3741" s="10" t="s">
        <v>2858</v>
      </c>
      <c r="K3741" s="12">
        <v>46021</v>
      </c>
      <c r="L3741" s="28" t="s">
        <v>11</v>
      </c>
      <c r="M3741" s="14"/>
      <c r="N3741" s="10" t="s">
        <v>1028</v>
      </c>
    </row>
    <row r="3742" spans="1:14" ht="22.5" customHeight="1">
      <c r="A3742" s="8">
        <v>46021.378220474537</v>
      </c>
      <c r="B3742" s="9" t="s">
        <v>14</v>
      </c>
      <c r="C3742" s="9" t="s">
        <v>15</v>
      </c>
      <c r="D3742" s="10" t="s">
        <v>8200</v>
      </c>
      <c r="E3742" s="9" t="s">
        <v>17</v>
      </c>
      <c r="F3742" s="10">
        <v>35</v>
      </c>
      <c r="G3742" s="11">
        <v>7060828476</v>
      </c>
      <c r="H3742" s="10" t="s">
        <v>8201</v>
      </c>
      <c r="I3742" s="10" t="s">
        <v>49</v>
      </c>
      <c r="J3742" s="10" t="s">
        <v>253</v>
      </c>
      <c r="K3742" s="12">
        <v>46021</v>
      </c>
      <c r="L3742" s="28" t="s">
        <v>11</v>
      </c>
      <c r="M3742" s="14"/>
      <c r="N3742" s="10" t="s">
        <v>1028</v>
      </c>
    </row>
    <row r="3743" spans="1:14" ht="22.5" customHeight="1">
      <c r="A3743" s="8">
        <v>46021.378237997684</v>
      </c>
      <c r="B3743" s="9" t="s">
        <v>14</v>
      </c>
      <c r="C3743" s="9" t="s">
        <v>15</v>
      </c>
      <c r="D3743" s="10" t="s">
        <v>8202</v>
      </c>
      <c r="E3743" s="9" t="s">
        <v>17</v>
      </c>
      <c r="F3743" s="10">
        <v>28</v>
      </c>
      <c r="G3743" s="11">
        <v>8063435661</v>
      </c>
      <c r="H3743" s="10" t="s">
        <v>4491</v>
      </c>
      <c r="I3743" s="10" t="s">
        <v>27</v>
      </c>
      <c r="J3743" s="10" t="s">
        <v>172</v>
      </c>
      <c r="K3743" s="12">
        <v>46021</v>
      </c>
      <c r="L3743" s="28" t="s">
        <v>11</v>
      </c>
      <c r="M3743" s="14"/>
      <c r="N3743" s="10" t="s">
        <v>1028</v>
      </c>
    </row>
    <row r="3744" spans="1:14" ht="22.5" customHeight="1">
      <c r="A3744" s="8">
        <v>46021.379203865741</v>
      </c>
      <c r="B3744" s="9" t="s">
        <v>14</v>
      </c>
      <c r="C3744" s="9" t="s">
        <v>15</v>
      </c>
      <c r="D3744" s="10" t="s">
        <v>8203</v>
      </c>
      <c r="E3744" s="9" t="s">
        <v>22</v>
      </c>
      <c r="F3744" s="10">
        <v>27</v>
      </c>
      <c r="G3744" s="11">
        <v>8101742552</v>
      </c>
      <c r="H3744" s="10" t="s">
        <v>8204</v>
      </c>
      <c r="I3744" s="10" t="s">
        <v>49</v>
      </c>
      <c r="J3744" s="10" t="s">
        <v>106</v>
      </c>
      <c r="K3744" s="12">
        <v>46021</v>
      </c>
      <c r="L3744" s="28" t="s">
        <v>11</v>
      </c>
      <c r="M3744" s="14"/>
      <c r="N3744" s="10" t="s">
        <v>1209</v>
      </c>
    </row>
    <row r="3745" spans="1:14" ht="22.5" customHeight="1">
      <c r="A3745" s="8">
        <v>46021.379210393519</v>
      </c>
      <c r="B3745" s="9" t="s">
        <v>14</v>
      </c>
      <c r="C3745" s="9" t="s">
        <v>15</v>
      </c>
      <c r="D3745" s="10" t="s">
        <v>8205</v>
      </c>
      <c r="E3745" s="9" t="s">
        <v>17</v>
      </c>
      <c r="F3745" s="10">
        <v>29</v>
      </c>
      <c r="G3745" s="11">
        <v>8164806893</v>
      </c>
      <c r="H3745" s="10" t="s">
        <v>8206</v>
      </c>
      <c r="I3745" s="10" t="s">
        <v>49</v>
      </c>
      <c r="J3745" s="10" t="s">
        <v>197</v>
      </c>
      <c r="K3745" s="12">
        <v>46021</v>
      </c>
      <c r="L3745" s="28" t="s">
        <v>11</v>
      </c>
      <c r="M3745" s="14"/>
      <c r="N3745" s="10" t="s">
        <v>1028</v>
      </c>
    </row>
    <row r="3746" spans="1:14" ht="22.5" customHeight="1">
      <c r="A3746" s="8">
        <v>46021.379309930555</v>
      </c>
      <c r="B3746" s="9" t="s">
        <v>14</v>
      </c>
      <c r="C3746" s="9" t="s">
        <v>15</v>
      </c>
      <c r="D3746" s="10" t="s">
        <v>8207</v>
      </c>
      <c r="E3746" s="9" t="s">
        <v>17</v>
      </c>
      <c r="F3746" s="10">
        <v>22</v>
      </c>
      <c r="G3746" s="11">
        <v>8146041043</v>
      </c>
      <c r="H3746" s="10" t="s">
        <v>8208</v>
      </c>
      <c r="I3746" s="10" t="s">
        <v>27</v>
      </c>
      <c r="J3746" s="10" t="s">
        <v>27</v>
      </c>
      <c r="K3746" s="12">
        <v>46021</v>
      </c>
      <c r="L3746" s="28" t="s">
        <v>11</v>
      </c>
      <c r="M3746" s="10"/>
      <c r="N3746" s="10" t="s">
        <v>1028</v>
      </c>
    </row>
    <row r="3747" spans="1:14" ht="22.5" customHeight="1">
      <c r="A3747" s="8">
        <v>46021.380493159726</v>
      </c>
      <c r="B3747" s="9" t="s">
        <v>14</v>
      </c>
      <c r="C3747" s="9" t="s">
        <v>15</v>
      </c>
      <c r="D3747" s="10" t="s">
        <v>8189</v>
      </c>
      <c r="E3747" s="9" t="s">
        <v>17</v>
      </c>
      <c r="F3747" s="10">
        <v>29</v>
      </c>
      <c r="G3747" s="11">
        <v>8144179396</v>
      </c>
      <c r="H3747" s="10" t="s">
        <v>8190</v>
      </c>
      <c r="I3747" s="10" t="s">
        <v>27</v>
      </c>
      <c r="J3747" s="10" t="s">
        <v>8191</v>
      </c>
      <c r="K3747" s="12">
        <v>46021</v>
      </c>
      <c r="L3747" s="28" t="s">
        <v>11</v>
      </c>
      <c r="M3747" s="14"/>
      <c r="N3747" s="10" t="s">
        <v>1028</v>
      </c>
    </row>
    <row r="3748" spans="1:14" ht="22.5" customHeight="1">
      <c r="A3748" s="8">
        <v>46021.382039189819</v>
      </c>
      <c r="B3748" s="9" t="s">
        <v>14</v>
      </c>
      <c r="C3748" s="9" t="s">
        <v>15</v>
      </c>
      <c r="D3748" s="10" t="s">
        <v>8209</v>
      </c>
      <c r="E3748" s="9" t="s">
        <v>17</v>
      </c>
      <c r="F3748" s="10">
        <v>31</v>
      </c>
      <c r="G3748" s="11">
        <v>8101714970</v>
      </c>
      <c r="H3748" s="10" t="s">
        <v>8210</v>
      </c>
      <c r="I3748" s="10" t="s">
        <v>27</v>
      </c>
      <c r="J3748" s="10" t="s">
        <v>2006</v>
      </c>
      <c r="K3748" s="12">
        <v>46021</v>
      </c>
      <c r="L3748" s="28" t="s">
        <v>11</v>
      </c>
      <c r="M3748" s="14"/>
      <c r="N3748" s="10" t="s">
        <v>1028</v>
      </c>
    </row>
    <row r="3749" spans="1:14" ht="22.5" customHeight="1">
      <c r="A3749" s="8">
        <v>46021.382855231481</v>
      </c>
      <c r="B3749" s="9" t="s">
        <v>14</v>
      </c>
      <c r="C3749" s="9" t="s">
        <v>15</v>
      </c>
      <c r="D3749" s="10" t="s">
        <v>8211</v>
      </c>
      <c r="E3749" s="9" t="s">
        <v>22</v>
      </c>
      <c r="F3749" s="10">
        <v>26</v>
      </c>
      <c r="G3749" s="11">
        <v>7066838473</v>
      </c>
      <c r="H3749" s="10" t="s">
        <v>8212</v>
      </c>
      <c r="I3749" s="10" t="s">
        <v>27</v>
      </c>
      <c r="J3749" s="10" t="s">
        <v>28</v>
      </c>
      <c r="K3749" s="12">
        <v>46021</v>
      </c>
      <c r="L3749" s="28" t="s">
        <v>11</v>
      </c>
      <c r="M3749" s="14"/>
      <c r="N3749" s="10" t="s">
        <v>1028</v>
      </c>
    </row>
    <row r="3750" spans="1:14" ht="22.5" customHeight="1">
      <c r="A3750" s="8">
        <v>46021.383921747685</v>
      </c>
      <c r="B3750" s="9" t="s">
        <v>14</v>
      </c>
      <c r="C3750" s="9" t="s">
        <v>15</v>
      </c>
      <c r="D3750" s="10" t="s">
        <v>8213</v>
      </c>
      <c r="E3750" s="9" t="s">
        <v>17</v>
      </c>
      <c r="F3750" s="10">
        <v>29</v>
      </c>
      <c r="G3750" s="11">
        <v>8144638301</v>
      </c>
      <c r="H3750" s="10" t="s">
        <v>8214</v>
      </c>
      <c r="I3750" s="10" t="s">
        <v>49</v>
      </c>
      <c r="J3750" s="10" t="s">
        <v>50</v>
      </c>
      <c r="K3750" s="12">
        <v>46021</v>
      </c>
      <c r="L3750" s="28" t="s">
        <v>11</v>
      </c>
      <c r="M3750" s="14"/>
      <c r="N3750" s="10" t="s">
        <v>1028</v>
      </c>
    </row>
    <row r="3751" spans="1:14" ht="22.5" customHeight="1">
      <c r="A3751" s="8">
        <v>46021.385795995375</v>
      </c>
      <c r="B3751" s="9" t="s">
        <v>14</v>
      </c>
      <c r="C3751" s="9" t="s">
        <v>15</v>
      </c>
      <c r="D3751" s="10" t="s">
        <v>8215</v>
      </c>
      <c r="E3751" s="9" t="s">
        <v>22</v>
      </c>
      <c r="F3751" s="10">
        <v>34</v>
      </c>
      <c r="G3751" s="11">
        <v>9137426425</v>
      </c>
      <c r="H3751" s="10" t="s">
        <v>8216</v>
      </c>
      <c r="I3751" s="10" t="s">
        <v>49</v>
      </c>
      <c r="J3751" s="10" t="s">
        <v>73</v>
      </c>
      <c r="K3751" s="12">
        <v>46021</v>
      </c>
      <c r="L3751" s="28" t="s">
        <v>11</v>
      </c>
      <c r="M3751" s="14"/>
      <c r="N3751" s="10" t="s">
        <v>1028</v>
      </c>
    </row>
    <row r="3752" spans="1:14" ht="22.5" customHeight="1">
      <c r="A3752" s="8">
        <v>46021.385983865737</v>
      </c>
      <c r="B3752" s="9" t="s">
        <v>14</v>
      </c>
      <c r="C3752" s="9" t="s">
        <v>15</v>
      </c>
      <c r="D3752" s="10" t="s">
        <v>8217</v>
      </c>
      <c r="E3752" s="9" t="s">
        <v>17</v>
      </c>
      <c r="F3752" s="10">
        <v>30</v>
      </c>
      <c r="G3752" s="11">
        <v>8039765704</v>
      </c>
      <c r="H3752" s="10" t="s">
        <v>8218</v>
      </c>
      <c r="I3752" s="10" t="s">
        <v>27</v>
      </c>
      <c r="J3752" s="10" t="s">
        <v>67</v>
      </c>
      <c r="K3752" s="12">
        <v>46021</v>
      </c>
      <c r="L3752" s="28" t="s">
        <v>11</v>
      </c>
      <c r="M3752" s="14"/>
      <c r="N3752" s="10" t="s">
        <v>1096</v>
      </c>
    </row>
    <row r="3753" spans="1:14" ht="22.5" customHeight="1">
      <c r="A3753" s="8">
        <v>46021.386332071765</v>
      </c>
      <c r="B3753" s="9" t="s">
        <v>14</v>
      </c>
      <c r="C3753" s="9" t="s">
        <v>15</v>
      </c>
      <c r="D3753" s="10" t="s">
        <v>8219</v>
      </c>
      <c r="E3753" s="9" t="s">
        <v>17</v>
      </c>
      <c r="F3753" s="10">
        <v>27</v>
      </c>
      <c r="G3753" s="11">
        <v>8147089469</v>
      </c>
      <c r="H3753" s="10" t="s">
        <v>8220</v>
      </c>
      <c r="I3753" s="10" t="s">
        <v>27</v>
      </c>
      <c r="J3753" s="10" t="s">
        <v>27</v>
      </c>
      <c r="K3753" s="12">
        <v>46021</v>
      </c>
      <c r="L3753" s="28" t="s">
        <v>11</v>
      </c>
      <c r="M3753" s="14"/>
      <c r="N3753" s="10" t="s">
        <v>1028</v>
      </c>
    </row>
    <row r="3754" spans="1:14" ht="22.5" customHeight="1">
      <c r="A3754" s="8">
        <v>46021.386740810187</v>
      </c>
      <c r="B3754" s="9" t="s">
        <v>14</v>
      </c>
      <c r="C3754" s="9" t="s">
        <v>15</v>
      </c>
      <c r="D3754" s="10" t="s">
        <v>8221</v>
      </c>
      <c r="E3754" s="9" t="s">
        <v>22</v>
      </c>
      <c r="F3754" s="10">
        <v>31</v>
      </c>
      <c r="G3754" s="11">
        <f t="shared" ref="G3754" si="101">254719833258</f>
        <v>254719833258</v>
      </c>
      <c r="H3754" s="10" t="s">
        <v>2206</v>
      </c>
      <c r="I3754" s="10" t="s">
        <v>27</v>
      </c>
      <c r="J3754" s="10" t="s">
        <v>27</v>
      </c>
      <c r="K3754" s="12">
        <v>46021</v>
      </c>
      <c r="L3754" s="28" t="s">
        <v>11</v>
      </c>
      <c r="M3754" s="14"/>
      <c r="N3754" s="10" t="s">
        <v>1028</v>
      </c>
    </row>
    <row r="3755" spans="1:14" ht="22.5" customHeight="1">
      <c r="A3755" s="8">
        <v>46021.387645625</v>
      </c>
      <c r="B3755" s="9" t="s">
        <v>14</v>
      </c>
      <c r="C3755" s="9" t="s">
        <v>15</v>
      </c>
      <c r="D3755" s="10" t="s">
        <v>8222</v>
      </c>
      <c r="E3755" s="9" t="s">
        <v>17</v>
      </c>
      <c r="F3755" s="10">
        <v>30</v>
      </c>
      <c r="G3755" s="11">
        <v>8132734738</v>
      </c>
      <c r="H3755" s="10" t="s">
        <v>8223</v>
      </c>
      <c r="I3755" s="10" t="s">
        <v>19</v>
      </c>
      <c r="J3755" s="10" t="s">
        <v>8224</v>
      </c>
      <c r="K3755" s="12">
        <v>46021</v>
      </c>
      <c r="L3755" s="28" t="s">
        <v>11</v>
      </c>
      <c r="M3755" s="14"/>
      <c r="N3755" s="10" t="s">
        <v>1209</v>
      </c>
    </row>
    <row r="3756" spans="1:14" ht="22.5" customHeight="1">
      <c r="A3756" s="8">
        <v>46021.391497291668</v>
      </c>
      <c r="B3756" s="9" t="s">
        <v>14</v>
      </c>
      <c r="C3756" s="9" t="s">
        <v>15</v>
      </c>
      <c r="D3756" s="10" t="s">
        <v>8225</v>
      </c>
      <c r="E3756" s="9" t="s">
        <v>22</v>
      </c>
      <c r="F3756" s="10">
        <v>35</v>
      </c>
      <c r="G3756" s="11">
        <v>8076436213</v>
      </c>
      <c r="H3756" s="10" t="s">
        <v>8226</v>
      </c>
      <c r="I3756" s="10" t="s">
        <v>49</v>
      </c>
      <c r="J3756" s="10" t="s">
        <v>73</v>
      </c>
      <c r="K3756" s="12">
        <v>46021</v>
      </c>
      <c r="L3756" s="28" t="s">
        <v>11</v>
      </c>
      <c r="M3756" s="10"/>
      <c r="N3756" s="10" t="s">
        <v>1028</v>
      </c>
    </row>
    <row r="3757" spans="1:14" ht="22.5" customHeight="1">
      <c r="A3757" s="8">
        <v>46021.391693287034</v>
      </c>
      <c r="B3757" s="9" t="s">
        <v>14</v>
      </c>
      <c r="C3757" s="9" t="s">
        <v>15</v>
      </c>
      <c r="D3757" s="10" t="s">
        <v>8227</v>
      </c>
      <c r="E3757" s="9" t="s">
        <v>17</v>
      </c>
      <c r="F3757" s="10">
        <v>28</v>
      </c>
      <c r="G3757" s="11">
        <v>9160777773</v>
      </c>
      <c r="H3757" s="10" t="s">
        <v>8228</v>
      </c>
      <c r="I3757" s="10" t="s">
        <v>27</v>
      </c>
      <c r="J3757" s="10" t="s">
        <v>8229</v>
      </c>
      <c r="K3757" s="12">
        <v>46021</v>
      </c>
      <c r="L3757" s="28" t="s">
        <v>11</v>
      </c>
      <c r="M3757" s="14"/>
      <c r="N3757" s="10" t="s">
        <v>1028</v>
      </c>
    </row>
    <row r="3758" spans="1:14" ht="22.5" customHeight="1">
      <c r="A3758" s="8">
        <v>46021.39562087963</v>
      </c>
      <c r="B3758" s="9" t="s">
        <v>14</v>
      </c>
      <c r="C3758" s="9" t="s">
        <v>15</v>
      </c>
      <c r="D3758" s="10" t="s">
        <v>8230</v>
      </c>
      <c r="E3758" s="9" t="s">
        <v>17</v>
      </c>
      <c r="F3758" s="10">
        <v>24</v>
      </c>
      <c r="G3758" s="11">
        <v>8124647438</v>
      </c>
      <c r="H3758" s="10" t="s">
        <v>8231</v>
      </c>
      <c r="I3758" s="10" t="s">
        <v>49</v>
      </c>
      <c r="J3758" s="10" t="s">
        <v>50</v>
      </c>
      <c r="K3758" s="12">
        <v>46021</v>
      </c>
      <c r="L3758" s="28" t="s">
        <v>11</v>
      </c>
      <c r="M3758" s="14"/>
      <c r="N3758" s="10" t="s">
        <v>1028</v>
      </c>
    </row>
    <row r="3759" spans="1:14" ht="22.5" customHeight="1">
      <c r="A3759" s="8">
        <v>46021.397071585649</v>
      </c>
      <c r="B3759" s="9" t="s">
        <v>14</v>
      </c>
      <c r="C3759" s="9" t="s">
        <v>15</v>
      </c>
      <c r="D3759" s="10" t="s">
        <v>8232</v>
      </c>
      <c r="E3759" s="9" t="s">
        <v>17</v>
      </c>
      <c r="F3759" s="10">
        <v>31</v>
      </c>
      <c r="G3759" s="11">
        <v>8068336799</v>
      </c>
      <c r="H3759" s="10" t="s">
        <v>8233</v>
      </c>
      <c r="I3759" s="10" t="s">
        <v>27</v>
      </c>
      <c r="J3759" s="10" t="s">
        <v>94</v>
      </c>
      <c r="K3759" s="12">
        <v>46021</v>
      </c>
      <c r="L3759" s="28" t="s">
        <v>11</v>
      </c>
      <c r="M3759" s="14"/>
      <c r="N3759" s="10" t="s">
        <v>1028</v>
      </c>
    </row>
    <row r="3760" spans="1:14" ht="22.5" customHeight="1">
      <c r="A3760" s="8">
        <v>46021.398209884261</v>
      </c>
      <c r="B3760" s="9" t="s">
        <v>14</v>
      </c>
      <c r="C3760" s="9" t="s">
        <v>15</v>
      </c>
      <c r="D3760" s="10" t="s">
        <v>8234</v>
      </c>
      <c r="E3760" s="9" t="s">
        <v>17</v>
      </c>
      <c r="F3760" s="10">
        <v>31</v>
      </c>
      <c r="G3760" s="11">
        <v>7068336808</v>
      </c>
      <c r="H3760" s="10" t="s">
        <v>8235</v>
      </c>
      <c r="I3760" s="10" t="s">
        <v>27</v>
      </c>
      <c r="J3760" s="10" t="s">
        <v>703</v>
      </c>
      <c r="K3760" s="12">
        <v>46021</v>
      </c>
      <c r="L3760" s="28" t="s">
        <v>11</v>
      </c>
      <c r="M3760" s="14"/>
      <c r="N3760" s="10" t="s">
        <v>1028</v>
      </c>
    </row>
    <row r="3761" spans="1:14" ht="22.5" customHeight="1">
      <c r="A3761" s="8">
        <v>46021.399232418982</v>
      </c>
      <c r="B3761" s="9" t="s">
        <v>14</v>
      </c>
      <c r="C3761" s="9" t="s">
        <v>15</v>
      </c>
      <c r="D3761" s="10" t="s">
        <v>8236</v>
      </c>
      <c r="E3761" s="9" t="s">
        <v>17</v>
      </c>
      <c r="F3761" s="10">
        <v>31</v>
      </c>
      <c r="G3761" s="11">
        <v>8039463153</v>
      </c>
      <c r="H3761" s="10" t="s">
        <v>8237</v>
      </c>
      <c r="I3761" s="10" t="s">
        <v>27</v>
      </c>
      <c r="J3761" s="10" t="s">
        <v>703</v>
      </c>
      <c r="K3761" s="12">
        <v>46021</v>
      </c>
      <c r="L3761" s="28" t="s">
        <v>11</v>
      </c>
      <c r="M3761" s="14"/>
      <c r="N3761" s="10" t="s">
        <v>1028</v>
      </c>
    </row>
    <row r="3762" spans="1:14" ht="22.5" customHeight="1">
      <c r="A3762" s="8">
        <v>46021.39990585648</v>
      </c>
      <c r="B3762" s="9" t="s">
        <v>14</v>
      </c>
      <c r="C3762" s="9" t="s">
        <v>15</v>
      </c>
      <c r="D3762" s="10" t="s">
        <v>8238</v>
      </c>
      <c r="E3762" s="9" t="s">
        <v>17</v>
      </c>
      <c r="F3762" s="10">
        <v>29</v>
      </c>
      <c r="G3762" s="11">
        <v>8052060497</v>
      </c>
      <c r="H3762" s="10" t="s">
        <v>8239</v>
      </c>
      <c r="I3762" s="10" t="s">
        <v>49</v>
      </c>
      <c r="J3762" s="10" t="s">
        <v>106</v>
      </c>
      <c r="K3762" s="12">
        <v>46021</v>
      </c>
      <c r="L3762" s="28" t="s">
        <v>11</v>
      </c>
      <c r="M3762" s="14"/>
      <c r="N3762" s="10" t="s">
        <v>1028</v>
      </c>
    </row>
    <row r="3763" spans="1:14" ht="22.5" customHeight="1">
      <c r="A3763" s="8">
        <v>46021.400155613424</v>
      </c>
      <c r="B3763" s="9" t="s">
        <v>14</v>
      </c>
      <c r="C3763" s="9" t="s">
        <v>15</v>
      </c>
      <c r="D3763" s="10" t="s">
        <v>8240</v>
      </c>
      <c r="E3763" s="9" t="s">
        <v>17</v>
      </c>
      <c r="F3763" s="10">
        <v>27</v>
      </c>
      <c r="G3763" s="11">
        <v>8066751234</v>
      </c>
      <c r="H3763" s="10" t="s">
        <v>8241</v>
      </c>
      <c r="I3763" s="10" t="s">
        <v>27</v>
      </c>
      <c r="J3763" s="10" t="s">
        <v>2328</v>
      </c>
      <c r="K3763" s="12">
        <v>46021</v>
      </c>
      <c r="L3763" s="28" t="s">
        <v>11</v>
      </c>
      <c r="M3763" s="14"/>
      <c r="N3763" s="10" t="s">
        <v>1028</v>
      </c>
    </row>
    <row r="3764" spans="1:14" ht="22.5" customHeight="1">
      <c r="A3764" s="8">
        <v>46021.4010328125</v>
      </c>
      <c r="B3764" s="9" t="s">
        <v>14</v>
      </c>
      <c r="C3764" s="9" t="s">
        <v>15</v>
      </c>
      <c r="D3764" s="10" t="s">
        <v>8242</v>
      </c>
      <c r="E3764" s="9" t="s">
        <v>17</v>
      </c>
      <c r="F3764" s="10">
        <v>27</v>
      </c>
      <c r="G3764" s="11">
        <v>7032401070</v>
      </c>
      <c r="H3764" s="10" t="s">
        <v>8243</v>
      </c>
      <c r="I3764" s="10" t="s">
        <v>27</v>
      </c>
      <c r="J3764" s="10" t="s">
        <v>703</v>
      </c>
      <c r="K3764" s="12">
        <v>46021</v>
      </c>
      <c r="L3764" s="28" t="s">
        <v>11</v>
      </c>
      <c r="M3764" s="14"/>
      <c r="N3764" s="10" t="s">
        <v>1028</v>
      </c>
    </row>
    <row r="3765" spans="1:14" ht="22.5" customHeight="1">
      <c r="A3765" s="8">
        <v>46021.401527314811</v>
      </c>
      <c r="B3765" s="9" t="s">
        <v>14</v>
      </c>
      <c r="C3765" s="9" t="s">
        <v>15</v>
      </c>
      <c r="D3765" s="10" t="s">
        <v>8244</v>
      </c>
      <c r="E3765" s="9" t="s">
        <v>22</v>
      </c>
      <c r="F3765" s="10">
        <v>29</v>
      </c>
      <c r="G3765" s="11">
        <v>8104013896</v>
      </c>
      <c r="H3765" s="10" t="s">
        <v>8245</v>
      </c>
      <c r="I3765" s="10" t="s">
        <v>49</v>
      </c>
      <c r="J3765" s="10" t="s">
        <v>50</v>
      </c>
      <c r="K3765" s="12">
        <v>46021</v>
      </c>
      <c r="L3765" s="28" t="s">
        <v>11</v>
      </c>
      <c r="M3765" s="14"/>
      <c r="N3765" s="10" t="s">
        <v>1028</v>
      </c>
    </row>
    <row r="3766" spans="1:14" ht="22.5" customHeight="1">
      <c r="A3766" s="8">
        <v>46021.401880972218</v>
      </c>
      <c r="B3766" s="9" t="s">
        <v>14</v>
      </c>
      <c r="C3766" s="9" t="s">
        <v>15</v>
      </c>
      <c r="D3766" s="10" t="s">
        <v>8246</v>
      </c>
      <c r="E3766" s="9" t="s">
        <v>17</v>
      </c>
      <c r="F3766" s="10">
        <v>29</v>
      </c>
      <c r="G3766" s="11">
        <v>7081921177</v>
      </c>
      <c r="H3766" s="10" t="s">
        <v>8247</v>
      </c>
      <c r="I3766" s="10" t="s">
        <v>49</v>
      </c>
      <c r="J3766" s="10" t="s">
        <v>73</v>
      </c>
      <c r="K3766" s="12">
        <v>46021</v>
      </c>
      <c r="L3766" s="28" t="s">
        <v>11</v>
      </c>
      <c r="M3766" s="14"/>
      <c r="N3766" s="10" t="s">
        <v>1096</v>
      </c>
    </row>
    <row r="3767" spans="1:14" ht="22.5" customHeight="1">
      <c r="A3767" s="8">
        <v>46021.405547314818</v>
      </c>
      <c r="B3767" s="9" t="s">
        <v>14</v>
      </c>
      <c r="C3767" s="9" t="s">
        <v>15</v>
      </c>
      <c r="D3767" s="10" t="s">
        <v>8248</v>
      </c>
      <c r="E3767" s="9" t="s">
        <v>17</v>
      </c>
      <c r="F3767" s="10">
        <v>34</v>
      </c>
      <c r="G3767" s="11">
        <v>8166188614</v>
      </c>
      <c r="H3767" s="10" t="s">
        <v>8249</v>
      </c>
      <c r="I3767" s="10" t="s">
        <v>27</v>
      </c>
      <c r="J3767" s="10" t="s">
        <v>1456</v>
      </c>
      <c r="K3767" s="12">
        <v>46021</v>
      </c>
      <c r="L3767" s="28" t="s">
        <v>11</v>
      </c>
      <c r="M3767" s="14"/>
      <c r="N3767" s="10" t="s">
        <v>1028</v>
      </c>
    </row>
    <row r="3768" spans="1:14" ht="22.5" customHeight="1">
      <c r="A3768" s="8">
        <v>46021.405945706021</v>
      </c>
      <c r="B3768" s="9" t="s">
        <v>14</v>
      </c>
      <c r="C3768" s="9" t="s">
        <v>15</v>
      </c>
      <c r="D3768" s="10" t="s">
        <v>8250</v>
      </c>
      <c r="E3768" s="9" t="s">
        <v>17</v>
      </c>
      <c r="F3768" s="19">
        <v>21</v>
      </c>
      <c r="G3768" s="11">
        <v>9023300798</v>
      </c>
      <c r="H3768" s="10" t="s">
        <v>8251</v>
      </c>
      <c r="I3768" s="10" t="s">
        <v>27</v>
      </c>
      <c r="J3768" s="10" t="s">
        <v>1585</v>
      </c>
      <c r="K3768" s="12">
        <v>46021</v>
      </c>
      <c r="L3768" s="28" t="s">
        <v>11</v>
      </c>
      <c r="M3768" s="14"/>
      <c r="N3768" s="10" t="s">
        <v>1096</v>
      </c>
    </row>
    <row r="3769" spans="1:14" ht="22.5" customHeight="1">
      <c r="A3769" s="8">
        <v>46021.406186226857</v>
      </c>
      <c r="B3769" s="9" t="s">
        <v>14</v>
      </c>
      <c r="C3769" s="9" t="s">
        <v>15</v>
      </c>
      <c r="D3769" s="10" t="s">
        <v>8252</v>
      </c>
      <c r="E3769" s="9" t="s">
        <v>17</v>
      </c>
      <c r="F3769" s="10">
        <v>42</v>
      </c>
      <c r="G3769" s="11">
        <v>7033165263</v>
      </c>
      <c r="H3769" s="10" t="s">
        <v>8253</v>
      </c>
      <c r="I3769" s="10" t="s">
        <v>49</v>
      </c>
      <c r="J3769" s="10" t="s">
        <v>106</v>
      </c>
      <c r="K3769" s="12">
        <v>46021</v>
      </c>
      <c r="L3769" s="28" t="s">
        <v>11</v>
      </c>
      <c r="M3769" s="14"/>
      <c r="N3769" s="10" t="s">
        <v>1028</v>
      </c>
    </row>
    <row r="3770" spans="1:14" ht="22.5" customHeight="1">
      <c r="A3770" s="8">
        <v>46021.406312129635</v>
      </c>
      <c r="B3770" s="9" t="s">
        <v>14</v>
      </c>
      <c r="C3770" s="9" t="s">
        <v>15</v>
      </c>
      <c r="D3770" s="10" t="s">
        <v>8254</v>
      </c>
      <c r="E3770" s="9" t="s">
        <v>17</v>
      </c>
      <c r="F3770" s="10">
        <v>21</v>
      </c>
      <c r="G3770" s="11">
        <v>8839493655</v>
      </c>
      <c r="H3770" s="10" t="s">
        <v>8255</v>
      </c>
      <c r="I3770" s="10" t="s">
        <v>19</v>
      </c>
      <c r="J3770" s="10" t="s">
        <v>8256</v>
      </c>
      <c r="K3770" s="12">
        <v>46021</v>
      </c>
      <c r="L3770" s="28" t="s">
        <v>11</v>
      </c>
      <c r="M3770" s="14"/>
      <c r="N3770" s="10" t="s">
        <v>1028</v>
      </c>
    </row>
    <row r="3771" spans="1:14" ht="22.5" customHeight="1">
      <c r="A3771" s="8">
        <v>46021.411106921296</v>
      </c>
      <c r="B3771" s="9" t="s">
        <v>14</v>
      </c>
      <c r="C3771" s="9" t="s">
        <v>15</v>
      </c>
      <c r="D3771" s="10" t="s">
        <v>8257</v>
      </c>
      <c r="E3771" s="9" t="s">
        <v>17</v>
      </c>
      <c r="F3771" s="10">
        <v>33</v>
      </c>
      <c r="G3771" s="11">
        <v>7033993710</v>
      </c>
      <c r="H3771" s="10" t="s">
        <v>8258</v>
      </c>
      <c r="I3771" s="10" t="s">
        <v>49</v>
      </c>
      <c r="J3771" s="10" t="s">
        <v>106</v>
      </c>
      <c r="K3771" s="12">
        <v>46021</v>
      </c>
      <c r="L3771" s="28" t="s">
        <v>11</v>
      </c>
      <c r="M3771" s="10"/>
      <c r="N3771" s="10" t="s">
        <v>1028</v>
      </c>
    </row>
    <row r="3772" spans="1:14" ht="22.5" customHeight="1">
      <c r="A3772" s="8">
        <v>46021.413006550923</v>
      </c>
      <c r="B3772" s="9" t="s">
        <v>14</v>
      </c>
      <c r="C3772" s="9" t="s">
        <v>15</v>
      </c>
      <c r="D3772" s="10" t="s">
        <v>8259</v>
      </c>
      <c r="E3772" s="9" t="s">
        <v>22</v>
      </c>
      <c r="F3772" s="10">
        <v>23</v>
      </c>
      <c r="G3772" s="11">
        <v>9078815970</v>
      </c>
      <c r="H3772" s="10" t="s">
        <v>8260</v>
      </c>
      <c r="I3772" s="10" t="s">
        <v>27</v>
      </c>
      <c r="J3772" s="10" t="s">
        <v>7759</v>
      </c>
      <c r="K3772" s="12">
        <v>46021</v>
      </c>
      <c r="L3772" s="28" t="s">
        <v>11</v>
      </c>
      <c r="M3772" s="14"/>
      <c r="N3772" s="10" t="s">
        <v>1028</v>
      </c>
    </row>
    <row r="3773" spans="1:14" ht="22.5" customHeight="1">
      <c r="A3773" s="8">
        <v>46021.41354893519</v>
      </c>
      <c r="B3773" s="9" t="s">
        <v>14</v>
      </c>
      <c r="C3773" s="9" t="s">
        <v>15</v>
      </c>
      <c r="D3773" s="10" t="s">
        <v>8261</v>
      </c>
      <c r="E3773" s="9" t="s">
        <v>17</v>
      </c>
      <c r="F3773" s="10">
        <v>34</v>
      </c>
      <c r="G3773" s="11">
        <f>2348062371797</f>
        <v>2348062371797</v>
      </c>
      <c r="H3773" s="10" t="s">
        <v>8262</v>
      </c>
      <c r="I3773" s="10" t="s">
        <v>49</v>
      </c>
      <c r="J3773" s="10" t="s">
        <v>8263</v>
      </c>
      <c r="K3773" s="12">
        <v>46021</v>
      </c>
      <c r="L3773" s="28" t="s">
        <v>11</v>
      </c>
      <c r="M3773" s="10"/>
      <c r="N3773" s="10" t="s">
        <v>1028</v>
      </c>
    </row>
    <row r="3774" spans="1:14" ht="22.5" customHeight="1">
      <c r="A3774" s="8">
        <v>46021.413906319445</v>
      </c>
      <c r="B3774" s="9" t="s">
        <v>14</v>
      </c>
      <c r="C3774" s="9" t="s">
        <v>15</v>
      </c>
      <c r="D3774" s="10" t="s">
        <v>8264</v>
      </c>
      <c r="E3774" s="9" t="s">
        <v>17</v>
      </c>
      <c r="F3774" s="10">
        <v>25</v>
      </c>
      <c r="G3774" s="11">
        <f t="shared" ref="G3774" si="102">2349034074562</f>
        <v>2349034074562</v>
      </c>
      <c r="H3774" s="10" t="s">
        <v>8265</v>
      </c>
      <c r="I3774" s="10" t="s">
        <v>45</v>
      </c>
      <c r="J3774" s="10" t="s">
        <v>688</v>
      </c>
      <c r="K3774" s="12">
        <v>45717</v>
      </c>
      <c r="L3774" s="28" t="s">
        <v>11</v>
      </c>
      <c r="M3774" s="14"/>
      <c r="N3774" s="10" t="s">
        <v>1096</v>
      </c>
    </row>
    <row r="3775" spans="1:14" ht="22.5" customHeight="1">
      <c r="A3775" s="8">
        <v>46021.414855393523</v>
      </c>
      <c r="B3775" s="9" t="s">
        <v>14</v>
      </c>
      <c r="C3775" s="9" t="s">
        <v>15</v>
      </c>
      <c r="D3775" s="10" t="s">
        <v>8266</v>
      </c>
      <c r="E3775" s="9" t="s">
        <v>22</v>
      </c>
      <c r="F3775" s="10">
        <v>25</v>
      </c>
      <c r="G3775" s="11">
        <v>9059959306</v>
      </c>
      <c r="H3775" s="10" t="s">
        <v>8267</v>
      </c>
      <c r="I3775" s="10" t="s">
        <v>49</v>
      </c>
      <c r="J3775" s="10" t="s">
        <v>106</v>
      </c>
      <c r="K3775" s="12">
        <v>46021</v>
      </c>
      <c r="L3775" s="28" t="s">
        <v>11</v>
      </c>
      <c r="M3775" s="14"/>
      <c r="N3775" s="10" t="s">
        <v>1028</v>
      </c>
    </row>
    <row r="3776" spans="1:14" ht="22.5" customHeight="1">
      <c r="A3776" s="8">
        <v>46021.415152581016</v>
      </c>
      <c r="B3776" s="9" t="s">
        <v>14</v>
      </c>
      <c r="C3776" s="9" t="s">
        <v>15</v>
      </c>
      <c r="D3776" s="10" t="s">
        <v>8268</v>
      </c>
      <c r="E3776" s="9" t="s">
        <v>17</v>
      </c>
      <c r="F3776" s="10">
        <v>35</v>
      </c>
      <c r="G3776" s="11">
        <v>7065766609</v>
      </c>
      <c r="H3776" s="10" t="s">
        <v>8269</v>
      </c>
      <c r="I3776" s="10" t="s">
        <v>27</v>
      </c>
      <c r="J3776" s="10" t="s">
        <v>8270</v>
      </c>
      <c r="K3776" s="12">
        <v>46021</v>
      </c>
      <c r="L3776" s="28" t="s">
        <v>11</v>
      </c>
      <c r="M3776" s="10"/>
      <c r="N3776" s="10" t="s">
        <v>1028</v>
      </c>
    </row>
    <row r="3777" spans="1:14" ht="22.5" hidden="1" customHeight="1">
      <c r="A3777" s="8">
        <v>46021.416222372689</v>
      </c>
      <c r="B3777" s="9" t="s">
        <v>14</v>
      </c>
      <c r="C3777" s="9" t="s">
        <v>15</v>
      </c>
      <c r="D3777" s="10" t="s">
        <v>8271</v>
      </c>
      <c r="E3777" s="9" t="s">
        <v>17</v>
      </c>
      <c r="F3777" s="10">
        <v>20</v>
      </c>
      <c r="G3777" s="11">
        <v>7038174664</v>
      </c>
      <c r="H3777" s="10" t="s">
        <v>8272</v>
      </c>
      <c r="I3777" s="10" t="s">
        <v>27</v>
      </c>
      <c r="J3777" s="10" t="s">
        <v>1475</v>
      </c>
      <c r="K3777" s="12">
        <v>46021</v>
      </c>
      <c r="L3777" s="10" t="s">
        <v>441</v>
      </c>
      <c r="M3777" s="10" t="s">
        <v>1356</v>
      </c>
      <c r="N3777" s="10" t="s">
        <v>1028</v>
      </c>
    </row>
    <row r="3778" spans="1:14" ht="22.5" customHeight="1">
      <c r="A3778" s="8">
        <v>46021.417432731483</v>
      </c>
      <c r="B3778" s="9" t="s">
        <v>14</v>
      </c>
      <c r="C3778" s="9" t="s">
        <v>15</v>
      </c>
      <c r="D3778" s="10" t="s">
        <v>8273</v>
      </c>
      <c r="E3778" s="9" t="s">
        <v>17</v>
      </c>
      <c r="F3778" s="10">
        <v>28</v>
      </c>
      <c r="G3778" s="11">
        <v>9034386267</v>
      </c>
      <c r="H3778" s="10" t="s">
        <v>8274</v>
      </c>
      <c r="I3778" s="10" t="s">
        <v>49</v>
      </c>
      <c r="J3778" s="10" t="s">
        <v>50</v>
      </c>
      <c r="K3778" s="12">
        <v>46021</v>
      </c>
      <c r="L3778" s="28" t="s">
        <v>11</v>
      </c>
      <c r="M3778" s="14"/>
      <c r="N3778" s="10" t="s">
        <v>1096</v>
      </c>
    </row>
    <row r="3779" spans="1:14" ht="22.5" customHeight="1">
      <c r="A3779" s="8">
        <v>46021.417817881942</v>
      </c>
      <c r="B3779" s="9" t="s">
        <v>14</v>
      </c>
      <c r="C3779" s="9" t="s">
        <v>15</v>
      </c>
      <c r="D3779" s="10" t="s">
        <v>8275</v>
      </c>
      <c r="E3779" s="9" t="s">
        <v>17</v>
      </c>
      <c r="F3779" s="10">
        <v>35</v>
      </c>
      <c r="G3779" s="11">
        <v>7032383229</v>
      </c>
      <c r="H3779" s="10" t="s">
        <v>8276</v>
      </c>
      <c r="I3779" s="10" t="s">
        <v>49</v>
      </c>
      <c r="J3779" s="10" t="s">
        <v>1077</v>
      </c>
      <c r="K3779" s="12">
        <v>46021</v>
      </c>
      <c r="L3779" s="28" t="s">
        <v>11</v>
      </c>
      <c r="M3779" s="14"/>
      <c r="N3779" s="10" t="s">
        <v>1028</v>
      </c>
    </row>
    <row r="3780" spans="1:14" ht="22.5" customHeight="1">
      <c r="A3780" s="8">
        <v>46021.420978472219</v>
      </c>
      <c r="B3780" s="9" t="s">
        <v>14</v>
      </c>
      <c r="C3780" s="9" t="s">
        <v>15</v>
      </c>
      <c r="D3780" s="10" t="s">
        <v>8277</v>
      </c>
      <c r="E3780" s="9" t="s">
        <v>22</v>
      </c>
      <c r="F3780" s="10">
        <v>34</v>
      </c>
      <c r="G3780" s="11">
        <v>7060588913</v>
      </c>
      <c r="H3780" s="10" t="s">
        <v>8278</v>
      </c>
      <c r="I3780" s="10" t="s">
        <v>145</v>
      </c>
      <c r="J3780" s="10" t="s">
        <v>8279</v>
      </c>
      <c r="K3780" s="12">
        <v>46021</v>
      </c>
      <c r="L3780" s="28" t="s">
        <v>11</v>
      </c>
      <c r="M3780" s="14"/>
      <c r="N3780" s="10" t="s">
        <v>1028</v>
      </c>
    </row>
    <row r="3781" spans="1:14" ht="22.5" customHeight="1">
      <c r="A3781" s="8">
        <v>46021.423098009254</v>
      </c>
      <c r="B3781" s="9" t="s">
        <v>14</v>
      </c>
      <c r="C3781" s="9" t="s">
        <v>15</v>
      </c>
      <c r="D3781" s="10" t="s">
        <v>8280</v>
      </c>
      <c r="E3781" s="9" t="s">
        <v>17</v>
      </c>
      <c r="F3781" s="10">
        <v>32</v>
      </c>
      <c r="G3781" s="11">
        <v>8149664421</v>
      </c>
      <c r="H3781" s="10" t="s">
        <v>8281</v>
      </c>
      <c r="I3781" s="10" t="s">
        <v>27</v>
      </c>
      <c r="J3781" s="10" t="s">
        <v>27</v>
      </c>
      <c r="K3781" s="12">
        <v>33878</v>
      </c>
      <c r="L3781" s="28" t="s">
        <v>11</v>
      </c>
      <c r="M3781" s="14"/>
      <c r="N3781" s="10" t="s">
        <v>1028</v>
      </c>
    </row>
    <row r="3782" spans="1:14" ht="22.5" customHeight="1">
      <c r="A3782" s="8">
        <v>46021.423258310184</v>
      </c>
      <c r="B3782" s="9" t="s">
        <v>14</v>
      </c>
      <c r="C3782" s="9" t="s">
        <v>15</v>
      </c>
      <c r="D3782" s="10" t="s">
        <v>8282</v>
      </c>
      <c r="E3782" s="9" t="s">
        <v>17</v>
      </c>
      <c r="F3782" s="10">
        <v>25</v>
      </c>
      <c r="G3782" s="11">
        <v>9061652618</v>
      </c>
      <c r="H3782" s="10" t="s">
        <v>8283</v>
      </c>
      <c r="I3782" s="10" t="s">
        <v>27</v>
      </c>
      <c r="J3782" s="10" t="s">
        <v>1559</v>
      </c>
      <c r="K3782" s="12">
        <v>46021</v>
      </c>
      <c r="L3782" s="28" t="s">
        <v>11</v>
      </c>
      <c r="M3782" s="14"/>
      <c r="N3782" s="10" t="s">
        <v>1096</v>
      </c>
    </row>
    <row r="3783" spans="1:14" ht="22.5" customHeight="1">
      <c r="A3783" s="8">
        <v>46021.423606296295</v>
      </c>
      <c r="B3783" s="9" t="s">
        <v>14</v>
      </c>
      <c r="C3783" s="9" t="s">
        <v>15</v>
      </c>
      <c r="D3783" s="10" t="s">
        <v>8284</v>
      </c>
      <c r="E3783" s="9" t="s">
        <v>17</v>
      </c>
      <c r="F3783" s="10">
        <v>26</v>
      </c>
      <c r="G3783" s="11">
        <v>7064708899</v>
      </c>
      <c r="H3783" s="10" t="s">
        <v>8285</v>
      </c>
      <c r="I3783" s="10" t="s">
        <v>45</v>
      </c>
      <c r="J3783" s="10" t="s">
        <v>46</v>
      </c>
      <c r="K3783" s="12">
        <v>46021</v>
      </c>
      <c r="L3783" s="28" t="s">
        <v>11</v>
      </c>
      <c r="M3783" s="14"/>
      <c r="N3783" s="10" t="s">
        <v>1028</v>
      </c>
    </row>
    <row r="3784" spans="1:14" ht="22.5" customHeight="1">
      <c r="A3784" s="8">
        <v>46021.424120185184</v>
      </c>
      <c r="B3784" s="9" t="s">
        <v>14</v>
      </c>
      <c r="C3784" s="9" t="s">
        <v>15</v>
      </c>
      <c r="D3784" s="10" t="s">
        <v>8286</v>
      </c>
      <c r="E3784" s="9" t="s">
        <v>17</v>
      </c>
      <c r="F3784" s="10">
        <v>28</v>
      </c>
      <c r="G3784" s="11">
        <v>7034849290</v>
      </c>
      <c r="H3784" s="10" t="s">
        <v>8287</v>
      </c>
      <c r="I3784" s="10" t="s">
        <v>27</v>
      </c>
      <c r="J3784" s="10" t="s">
        <v>1514</v>
      </c>
      <c r="K3784" s="12">
        <v>46021</v>
      </c>
      <c r="L3784" s="28" t="s">
        <v>11</v>
      </c>
      <c r="M3784" s="14"/>
      <c r="N3784" s="10" t="s">
        <v>1028</v>
      </c>
    </row>
    <row r="3785" spans="1:14" ht="22.5" customHeight="1">
      <c r="A3785" s="8">
        <v>46021.424451388884</v>
      </c>
      <c r="B3785" s="9" t="s">
        <v>14</v>
      </c>
      <c r="C3785" s="9" t="s">
        <v>15</v>
      </c>
      <c r="D3785" s="10" t="s">
        <v>8288</v>
      </c>
      <c r="E3785" s="9" t="s">
        <v>22</v>
      </c>
      <c r="F3785" s="10">
        <v>33</v>
      </c>
      <c r="G3785" s="11">
        <v>8138736002</v>
      </c>
      <c r="H3785" s="10" t="s">
        <v>8289</v>
      </c>
      <c r="I3785" s="10" t="s">
        <v>49</v>
      </c>
      <c r="J3785" s="10" t="s">
        <v>8290</v>
      </c>
      <c r="K3785" s="12">
        <v>33881</v>
      </c>
      <c r="L3785" s="28" t="s">
        <v>11</v>
      </c>
      <c r="M3785" s="14"/>
      <c r="N3785" s="10" t="s">
        <v>1028</v>
      </c>
    </row>
    <row r="3786" spans="1:14" ht="22.5" customHeight="1">
      <c r="A3786" s="8">
        <v>46021.425644456016</v>
      </c>
      <c r="B3786" s="9" t="s">
        <v>14</v>
      </c>
      <c r="C3786" s="9" t="s">
        <v>15</v>
      </c>
      <c r="D3786" s="10" t="s">
        <v>8291</v>
      </c>
      <c r="E3786" s="9" t="s">
        <v>17</v>
      </c>
      <c r="F3786" s="10">
        <v>27</v>
      </c>
      <c r="G3786" s="11">
        <v>8064162501</v>
      </c>
      <c r="H3786" s="10" t="s">
        <v>8292</v>
      </c>
      <c r="I3786" s="10" t="s">
        <v>27</v>
      </c>
      <c r="J3786" s="10" t="s">
        <v>4338</v>
      </c>
      <c r="K3786" s="12">
        <v>46021</v>
      </c>
      <c r="L3786" s="28" t="s">
        <v>11</v>
      </c>
      <c r="M3786" s="14"/>
      <c r="N3786" s="10" t="s">
        <v>1028</v>
      </c>
    </row>
    <row r="3787" spans="1:14" ht="22.5" customHeight="1">
      <c r="A3787" s="8">
        <v>46021.42586043982</v>
      </c>
      <c r="B3787" s="9" t="s">
        <v>14</v>
      </c>
      <c r="C3787" s="9" t="s">
        <v>15</v>
      </c>
      <c r="D3787" s="10" t="s">
        <v>8293</v>
      </c>
      <c r="E3787" s="9" t="s">
        <v>17</v>
      </c>
      <c r="F3787" s="10">
        <v>25</v>
      </c>
      <c r="G3787" s="11">
        <f t="shared" ref="G3787" si="103">2348161539355</f>
        <v>2348161539355</v>
      </c>
      <c r="H3787" s="10" t="s">
        <v>8294</v>
      </c>
      <c r="I3787" s="10" t="s">
        <v>27</v>
      </c>
      <c r="J3787" s="10" t="s">
        <v>8295</v>
      </c>
      <c r="K3787" s="12">
        <v>46021</v>
      </c>
      <c r="L3787" s="28" t="s">
        <v>11</v>
      </c>
      <c r="M3787" s="14"/>
      <c r="N3787" s="10" t="s">
        <v>1096</v>
      </c>
    </row>
    <row r="3788" spans="1:14" ht="22.5" customHeight="1">
      <c r="A3788" s="8">
        <v>46021.426860462961</v>
      </c>
      <c r="B3788" s="9" t="s">
        <v>14</v>
      </c>
      <c r="C3788" s="9" t="s">
        <v>15</v>
      </c>
      <c r="D3788" s="10" t="s">
        <v>8296</v>
      </c>
      <c r="E3788" s="9" t="s">
        <v>17</v>
      </c>
      <c r="F3788" s="10">
        <v>29</v>
      </c>
      <c r="G3788" s="11">
        <v>7016495959</v>
      </c>
      <c r="H3788" s="10" t="s">
        <v>8297</v>
      </c>
      <c r="I3788" s="10" t="s">
        <v>27</v>
      </c>
      <c r="J3788" s="10" t="s">
        <v>1902</v>
      </c>
      <c r="K3788" s="12">
        <v>46021</v>
      </c>
      <c r="L3788" s="28" t="s">
        <v>11</v>
      </c>
      <c r="M3788" s="14"/>
      <c r="N3788" s="10" t="s">
        <v>1096</v>
      </c>
    </row>
    <row r="3789" spans="1:14" ht="22.5" customHeight="1">
      <c r="A3789" s="8">
        <v>46021.427499444442</v>
      </c>
      <c r="B3789" s="9" t="s">
        <v>14</v>
      </c>
      <c r="C3789" s="9" t="s">
        <v>15</v>
      </c>
      <c r="D3789" s="10" t="s">
        <v>8298</v>
      </c>
      <c r="E3789" s="9" t="s">
        <v>22</v>
      </c>
      <c r="F3789" s="10">
        <v>33</v>
      </c>
      <c r="G3789" s="11">
        <v>8140602241</v>
      </c>
      <c r="H3789" s="10" t="s">
        <v>8299</v>
      </c>
      <c r="I3789" s="10" t="s">
        <v>49</v>
      </c>
      <c r="J3789" s="10" t="s">
        <v>599</v>
      </c>
      <c r="K3789" s="12">
        <v>46021</v>
      </c>
      <c r="L3789" s="28" t="s">
        <v>11</v>
      </c>
      <c r="M3789" s="14"/>
      <c r="N3789" s="10" t="s">
        <v>1028</v>
      </c>
    </row>
    <row r="3790" spans="1:14" ht="22.5" customHeight="1">
      <c r="A3790" s="8">
        <v>46021.428061805556</v>
      </c>
      <c r="B3790" s="9" t="s">
        <v>14</v>
      </c>
      <c r="C3790" s="9" t="s">
        <v>15</v>
      </c>
      <c r="D3790" s="10" t="s">
        <v>8300</v>
      </c>
      <c r="E3790" s="9" t="s">
        <v>17</v>
      </c>
      <c r="F3790" s="10">
        <v>22</v>
      </c>
      <c r="G3790" s="11">
        <v>9161909086</v>
      </c>
      <c r="H3790" s="10" t="s">
        <v>8301</v>
      </c>
      <c r="I3790" s="10" t="s">
        <v>27</v>
      </c>
      <c r="J3790" s="10" t="s">
        <v>27</v>
      </c>
      <c r="K3790" s="12">
        <v>46021</v>
      </c>
      <c r="L3790" s="28" t="s">
        <v>11</v>
      </c>
      <c r="M3790" s="14"/>
      <c r="N3790" s="10" t="s">
        <v>1140</v>
      </c>
    </row>
    <row r="3791" spans="1:14" ht="22.5" customHeight="1">
      <c r="A3791" s="8">
        <v>46021.430904259258</v>
      </c>
      <c r="B3791" s="9" t="s">
        <v>14</v>
      </c>
      <c r="C3791" s="9" t="s">
        <v>15</v>
      </c>
      <c r="D3791" s="10" t="s">
        <v>8302</v>
      </c>
      <c r="E3791" s="9" t="s">
        <v>17</v>
      </c>
      <c r="F3791" s="10">
        <v>26</v>
      </c>
      <c r="G3791" s="11">
        <v>7031370048</v>
      </c>
      <c r="H3791" s="10" t="s">
        <v>8303</v>
      </c>
      <c r="I3791" s="10" t="s">
        <v>27</v>
      </c>
      <c r="J3791" s="10" t="s">
        <v>8304</v>
      </c>
      <c r="K3791" s="12">
        <v>46021</v>
      </c>
      <c r="L3791" s="28" t="s">
        <v>11</v>
      </c>
      <c r="M3791" s="14"/>
      <c r="N3791" s="10" t="s">
        <v>1096</v>
      </c>
    </row>
    <row r="3792" spans="1:14" ht="22.5" customHeight="1">
      <c r="A3792" s="8">
        <v>46021.430914074073</v>
      </c>
      <c r="B3792" s="9" t="s">
        <v>14</v>
      </c>
      <c r="C3792" s="9" t="s">
        <v>15</v>
      </c>
      <c r="D3792" s="10" t="s">
        <v>8305</v>
      </c>
      <c r="E3792" s="9" t="s">
        <v>17</v>
      </c>
      <c r="F3792" s="10">
        <v>23</v>
      </c>
      <c r="G3792" s="11">
        <v>9033844957</v>
      </c>
      <c r="H3792" s="10" t="s">
        <v>8306</v>
      </c>
      <c r="I3792" s="10" t="s">
        <v>145</v>
      </c>
      <c r="J3792" s="10" t="s">
        <v>8307</v>
      </c>
      <c r="K3792" s="12">
        <v>46021</v>
      </c>
      <c r="L3792" s="28" t="s">
        <v>11</v>
      </c>
      <c r="M3792" s="14"/>
      <c r="N3792" s="10" t="s">
        <v>1028</v>
      </c>
    </row>
    <row r="3793" spans="1:14" ht="22.5" customHeight="1">
      <c r="A3793" s="8">
        <v>46021.432389965281</v>
      </c>
      <c r="B3793" s="9" t="s">
        <v>14</v>
      </c>
      <c r="C3793" s="9" t="s">
        <v>15</v>
      </c>
      <c r="D3793" s="10" t="s">
        <v>8308</v>
      </c>
      <c r="E3793" s="9" t="s">
        <v>17</v>
      </c>
      <c r="F3793" s="10">
        <v>30</v>
      </c>
      <c r="G3793" s="11">
        <v>9077096079</v>
      </c>
      <c r="H3793" s="10" t="s">
        <v>8309</v>
      </c>
      <c r="I3793" s="10" t="s">
        <v>49</v>
      </c>
      <c r="J3793" s="10" t="s">
        <v>73</v>
      </c>
      <c r="K3793" s="12">
        <v>46021</v>
      </c>
      <c r="L3793" s="28" t="s">
        <v>11</v>
      </c>
      <c r="M3793" s="14"/>
      <c r="N3793" s="10" t="s">
        <v>1096</v>
      </c>
    </row>
    <row r="3794" spans="1:14" ht="22.5" customHeight="1">
      <c r="A3794" s="8">
        <v>46021.433090370367</v>
      </c>
      <c r="B3794" s="9" t="s">
        <v>14</v>
      </c>
      <c r="C3794" s="9" t="s">
        <v>15</v>
      </c>
      <c r="D3794" s="10" t="s">
        <v>8310</v>
      </c>
      <c r="E3794" s="9" t="s">
        <v>17</v>
      </c>
      <c r="F3794" s="10">
        <v>37</v>
      </c>
      <c r="G3794" s="11">
        <v>8035250457</v>
      </c>
      <c r="H3794" s="10" t="s">
        <v>8311</v>
      </c>
      <c r="I3794" s="10" t="s">
        <v>27</v>
      </c>
      <c r="J3794" s="10" t="s">
        <v>67</v>
      </c>
      <c r="K3794" s="12">
        <v>46021</v>
      </c>
      <c r="L3794" s="28" t="s">
        <v>11</v>
      </c>
      <c r="M3794" s="14"/>
      <c r="N3794" s="10" t="s">
        <v>1096</v>
      </c>
    </row>
    <row r="3795" spans="1:14" ht="22.5" customHeight="1">
      <c r="A3795" s="8">
        <v>46021.433178530089</v>
      </c>
      <c r="B3795" s="9" t="s">
        <v>14</v>
      </c>
      <c r="C3795" s="9" t="s">
        <v>15</v>
      </c>
      <c r="D3795" s="10" t="s">
        <v>8312</v>
      </c>
      <c r="E3795" s="9" t="s">
        <v>17</v>
      </c>
      <c r="F3795" s="10">
        <v>33</v>
      </c>
      <c r="G3795" s="11">
        <v>7038811313</v>
      </c>
      <c r="H3795" s="10" t="s">
        <v>8313</v>
      </c>
      <c r="I3795" s="10" t="s">
        <v>49</v>
      </c>
      <c r="J3795" s="10" t="s">
        <v>106</v>
      </c>
      <c r="K3795" s="12">
        <v>46021</v>
      </c>
      <c r="L3795" s="28" t="s">
        <v>11</v>
      </c>
      <c r="M3795" s="14"/>
      <c r="N3795" s="10" t="s">
        <v>1028</v>
      </c>
    </row>
    <row r="3796" spans="1:14" ht="22.5" customHeight="1">
      <c r="A3796" s="8">
        <v>46021.434297418979</v>
      </c>
      <c r="B3796" s="9" t="s">
        <v>14</v>
      </c>
      <c r="C3796" s="9" t="s">
        <v>15</v>
      </c>
      <c r="D3796" s="10" t="s">
        <v>8314</v>
      </c>
      <c r="E3796" s="9" t="s">
        <v>17</v>
      </c>
      <c r="F3796" s="10">
        <v>28</v>
      </c>
      <c r="G3796" s="11">
        <v>8137340334</v>
      </c>
      <c r="H3796" s="10" t="s">
        <v>8315</v>
      </c>
      <c r="I3796" s="10" t="s">
        <v>49</v>
      </c>
      <c r="J3796" s="10" t="s">
        <v>8316</v>
      </c>
      <c r="K3796" s="12">
        <v>46021</v>
      </c>
      <c r="L3796" s="28" t="s">
        <v>11</v>
      </c>
      <c r="M3796" s="14"/>
      <c r="N3796" s="10" t="s">
        <v>1096</v>
      </c>
    </row>
    <row r="3797" spans="1:14" ht="22.5" customHeight="1">
      <c r="A3797" s="8">
        <v>46021.434692407405</v>
      </c>
      <c r="B3797" s="9" t="s">
        <v>14</v>
      </c>
      <c r="C3797" s="9" t="s">
        <v>15</v>
      </c>
      <c r="D3797" s="10" t="s">
        <v>1426</v>
      </c>
      <c r="E3797" s="9" t="s">
        <v>22</v>
      </c>
      <c r="F3797" s="10">
        <v>24</v>
      </c>
      <c r="G3797" s="11">
        <v>9125301321</v>
      </c>
      <c r="H3797" s="10" t="s">
        <v>1427</v>
      </c>
      <c r="I3797" s="10" t="s">
        <v>49</v>
      </c>
      <c r="J3797" s="10" t="s">
        <v>362</v>
      </c>
      <c r="K3797" s="12">
        <v>46021</v>
      </c>
      <c r="L3797" s="28" t="s">
        <v>11</v>
      </c>
      <c r="M3797" s="14"/>
      <c r="N3797" s="10" t="s">
        <v>1028</v>
      </c>
    </row>
    <row r="3798" spans="1:14" ht="22.5" customHeight="1">
      <c r="A3798" s="8">
        <v>46021.43538210648</v>
      </c>
      <c r="B3798" s="9" t="s">
        <v>14</v>
      </c>
      <c r="C3798" s="9" t="s">
        <v>15</v>
      </c>
      <c r="D3798" s="10" t="s">
        <v>7042</v>
      </c>
      <c r="E3798" s="9" t="s">
        <v>17</v>
      </c>
      <c r="F3798" s="10">
        <v>21</v>
      </c>
      <c r="G3798" s="11">
        <v>7010771342</v>
      </c>
      <c r="H3798" s="10" t="s">
        <v>8317</v>
      </c>
      <c r="I3798" s="10" t="s">
        <v>49</v>
      </c>
      <c r="J3798" s="10" t="s">
        <v>215</v>
      </c>
      <c r="K3798" s="12">
        <v>46021</v>
      </c>
      <c r="L3798" s="28" t="s">
        <v>11</v>
      </c>
      <c r="M3798" s="14"/>
      <c r="N3798" s="10" t="s">
        <v>1096</v>
      </c>
    </row>
    <row r="3799" spans="1:14" ht="22.5" customHeight="1">
      <c r="A3799" s="8">
        <v>46021.435785567126</v>
      </c>
      <c r="B3799" s="9" t="s">
        <v>14</v>
      </c>
      <c r="C3799" s="9" t="s">
        <v>15</v>
      </c>
      <c r="D3799" s="10" t="s">
        <v>8318</v>
      </c>
      <c r="E3799" s="9" t="s">
        <v>17</v>
      </c>
      <c r="F3799" s="10">
        <v>21</v>
      </c>
      <c r="G3799" s="11">
        <v>8149212966</v>
      </c>
      <c r="H3799" s="10" t="s">
        <v>8319</v>
      </c>
      <c r="I3799" s="10" t="s">
        <v>27</v>
      </c>
      <c r="J3799" s="10" t="s">
        <v>8320</v>
      </c>
      <c r="K3799" s="12">
        <v>46021</v>
      </c>
      <c r="L3799" s="28" t="s">
        <v>11</v>
      </c>
      <c r="M3799" s="10"/>
      <c r="N3799" s="10" t="s">
        <v>1096</v>
      </c>
    </row>
    <row r="3800" spans="1:14" ht="22.5" customHeight="1">
      <c r="A3800" s="8">
        <v>46021.436695277778</v>
      </c>
      <c r="B3800" s="9" t="s">
        <v>14</v>
      </c>
      <c r="C3800" s="9" t="s">
        <v>15</v>
      </c>
      <c r="D3800" s="10" t="s">
        <v>8321</v>
      </c>
      <c r="E3800" s="9" t="s">
        <v>17</v>
      </c>
      <c r="F3800" s="10">
        <v>28</v>
      </c>
      <c r="G3800" s="11">
        <v>8143902712</v>
      </c>
      <c r="H3800" s="10" t="s">
        <v>8322</v>
      </c>
      <c r="I3800" s="10" t="s">
        <v>49</v>
      </c>
      <c r="J3800" s="10" t="s">
        <v>362</v>
      </c>
      <c r="K3800" s="12">
        <v>46021</v>
      </c>
      <c r="L3800" s="28" t="s">
        <v>11</v>
      </c>
      <c r="M3800" s="14"/>
      <c r="N3800" s="10" t="s">
        <v>1028</v>
      </c>
    </row>
    <row r="3801" spans="1:14" ht="22.5" customHeight="1">
      <c r="A3801" s="8">
        <v>46021.440854143519</v>
      </c>
      <c r="B3801" s="9" t="s">
        <v>14</v>
      </c>
      <c r="C3801" s="9" t="s">
        <v>15</v>
      </c>
      <c r="D3801" s="10" t="s">
        <v>8323</v>
      </c>
      <c r="E3801" s="9" t="s">
        <v>22</v>
      </c>
      <c r="F3801" s="10">
        <v>27</v>
      </c>
      <c r="G3801" s="11">
        <v>8167952711</v>
      </c>
      <c r="H3801" s="10" t="s">
        <v>8324</v>
      </c>
      <c r="I3801" s="10" t="s">
        <v>145</v>
      </c>
      <c r="J3801" s="10" t="s">
        <v>1717</v>
      </c>
      <c r="K3801" s="12">
        <v>46021</v>
      </c>
      <c r="L3801" s="28" t="s">
        <v>11</v>
      </c>
      <c r="M3801" s="14"/>
      <c r="N3801" s="10" t="s">
        <v>1028</v>
      </c>
    </row>
    <row r="3802" spans="1:14" ht="22.5" customHeight="1">
      <c r="A3802" s="8">
        <v>46021.444198495374</v>
      </c>
      <c r="B3802" s="9" t="s">
        <v>14</v>
      </c>
      <c r="C3802" s="9" t="s">
        <v>15</v>
      </c>
      <c r="D3802" s="10" t="s">
        <v>8325</v>
      </c>
      <c r="E3802" s="9" t="s">
        <v>22</v>
      </c>
      <c r="F3802" s="10">
        <v>35</v>
      </c>
      <c r="G3802" s="11">
        <v>7039762148</v>
      </c>
      <c r="H3802" s="10" t="s">
        <v>8326</v>
      </c>
      <c r="I3802" s="10" t="s">
        <v>49</v>
      </c>
      <c r="J3802" s="10" t="s">
        <v>106</v>
      </c>
      <c r="K3802" s="12">
        <v>46021</v>
      </c>
      <c r="L3802" s="28" t="s">
        <v>11</v>
      </c>
      <c r="M3802" s="14"/>
      <c r="N3802" s="10" t="s">
        <v>1028</v>
      </c>
    </row>
    <row r="3803" spans="1:14" ht="22.5" customHeight="1">
      <c r="A3803" s="8">
        <v>46021.444490104172</v>
      </c>
      <c r="B3803" s="9" t="s">
        <v>14</v>
      </c>
      <c r="C3803" s="9" t="s">
        <v>15</v>
      </c>
      <c r="D3803" s="10" t="s">
        <v>8327</v>
      </c>
      <c r="E3803" s="9" t="s">
        <v>17</v>
      </c>
      <c r="F3803" s="10">
        <v>32</v>
      </c>
      <c r="G3803" s="11">
        <v>9036153713</v>
      </c>
      <c r="H3803" s="10" t="s">
        <v>8328</v>
      </c>
      <c r="I3803" s="10" t="s">
        <v>27</v>
      </c>
      <c r="J3803" s="10" t="s">
        <v>4025</v>
      </c>
      <c r="K3803" s="12">
        <v>46021</v>
      </c>
      <c r="L3803" s="28" t="s">
        <v>11</v>
      </c>
      <c r="M3803" s="14"/>
      <c r="N3803" s="10" t="s">
        <v>1028</v>
      </c>
    </row>
    <row r="3804" spans="1:14" ht="22.5" customHeight="1">
      <c r="A3804" s="8">
        <v>46021.445966898144</v>
      </c>
      <c r="B3804" s="9" t="s">
        <v>14</v>
      </c>
      <c r="C3804" s="9" t="s">
        <v>15</v>
      </c>
      <c r="D3804" s="10" t="s">
        <v>8329</v>
      </c>
      <c r="E3804" s="9" t="s">
        <v>17</v>
      </c>
      <c r="F3804" s="10">
        <v>30</v>
      </c>
      <c r="G3804" s="11">
        <v>7063571314</v>
      </c>
      <c r="H3804" s="10" t="s">
        <v>8330</v>
      </c>
      <c r="I3804" s="10" t="s">
        <v>27</v>
      </c>
      <c r="J3804" s="10" t="s">
        <v>8331</v>
      </c>
      <c r="K3804" s="12">
        <v>46021</v>
      </c>
      <c r="L3804" s="28" t="s">
        <v>11</v>
      </c>
      <c r="M3804" s="14"/>
      <c r="N3804" s="10" t="s">
        <v>1028</v>
      </c>
    </row>
    <row r="3805" spans="1:14" ht="22.5" customHeight="1">
      <c r="A3805" s="8">
        <v>46021.446056122688</v>
      </c>
      <c r="B3805" s="9" t="s">
        <v>14</v>
      </c>
      <c r="C3805" s="9" t="s">
        <v>15</v>
      </c>
      <c r="D3805" s="10" t="s">
        <v>8332</v>
      </c>
      <c r="E3805" s="9" t="s">
        <v>17</v>
      </c>
      <c r="F3805" s="10">
        <v>26</v>
      </c>
      <c r="G3805" s="11">
        <v>7049393032</v>
      </c>
      <c r="H3805" s="10" t="s">
        <v>8333</v>
      </c>
      <c r="I3805" s="10" t="s">
        <v>27</v>
      </c>
      <c r="J3805" s="10" t="s">
        <v>70</v>
      </c>
      <c r="K3805" s="12">
        <v>46021</v>
      </c>
      <c r="L3805" s="28" t="s">
        <v>11</v>
      </c>
      <c r="M3805" s="14"/>
      <c r="N3805" s="10" t="s">
        <v>1096</v>
      </c>
    </row>
    <row r="3806" spans="1:14" ht="22.5" customHeight="1">
      <c r="A3806" s="8">
        <v>46021.446129178235</v>
      </c>
      <c r="B3806" s="9" t="s">
        <v>14</v>
      </c>
      <c r="C3806" s="9" t="s">
        <v>15</v>
      </c>
      <c r="D3806" s="10" t="s">
        <v>8334</v>
      </c>
      <c r="E3806" s="9" t="s">
        <v>22</v>
      </c>
      <c r="F3806" s="10">
        <v>22</v>
      </c>
      <c r="G3806" s="11">
        <v>7026888616</v>
      </c>
      <c r="H3806" s="10" t="s">
        <v>8335</v>
      </c>
      <c r="I3806" s="10" t="s">
        <v>49</v>
      </c>
      <c r="J3806" s="10" t="s">
        <v>160</v>
      </c>
      <c r="K3806" s="12">
        <v>46021</v>
      </c>
      <c r="L3806" s="28" t="s">
        <v>11</v>
      </c>
      <c r="M3806" s="14"/>
      <c r="N3806" s="10" t="s">
        <v>1028</v>
      </c>
    </row>
    <row r="3807" spans="1:14" ht="22.5" customHeight="1">
      <c r="A3807" s="8">
        <v>46021.447435752314</v>
      </c>
      <c r="B3807" s="9" t="s">
        <v>14</v>
      </c>
      <c r="C3807" s="9" t="s">
        <v>15</v>
      </c>
      <c r="D3807" s="10" t="s">
        <v>8336</v>
      </c>
      <c r="E3807" s="9" t="s">
        <v>17</v>
      </c>
      <c r="F3807" s="10">
        <v>27</v>
      </c>
      <c r="G3807" s="11">
        <v>9067248690</v>
      </c>
      <c r="H3807" s="10" t="s">
        <v>8337</v>
      </c>
      <c r="I3807" s="10" t="s">
        <v>27</v>
      </c>
      <c r="J3807" s="10" t="s">
        <v>42</v>
      </c>
      <c r="K3807" s="12">
        <v>46021</v>
      </c>
      <c r="L3807" s="28" t="s">
        <v>11</v>
      </c>
      <c r="M3807" s="14"/>
      <c r="N3807" s="10" t="s">
        <v>1028</v>
      </c>
    </row>
    <row r="3808" spans="1:14" ht="22.5" customHeight="1">
      <c r="A3808" s="8">
        <v>46021.44803378472</v>
      </c>
      <c r="B3808" s="9" t="s">
        <v>14</v>
      </c>
      <c r="C3808" s="9" t="s">
        <v>15</v>
      </c>
      <c r="D3808" s="10" t="s">
        <v>8338</v>
      </c>
      <c r="E3808" s="9" t="s">
        <v>17</v>
      </c>
      <c r="F3808" s="10">
        <v>25</v>
      </c>
      <c r="G3808" s="11">
        <v>8147254211</v>
      </c>
      <c r="H3808" s="10" t="s">
        <v>8339</v>
      </c>
      <c r="I3808" s="10" t="s">
        <v>49</v>
      </c>
      <c r="J3808" s="10" t="s">
        <v>539</v>
      </c>
      <c r="K3808" s="12">
        <v>46021</v>
      </c>
      <c r="L3808" s="28" t="s">
        <v>11</v>
      </c>
      <c r="M3808" s="14"/>
      <c r="N3808" s="10" t="s">
        <v>1028</v>
      </c>
    </row>
    <row r="3809" spans="1:14" ht="22.5" customHeight="1">
      <c r="A3809" s="8">
        <v>46021.448515613425</v>
      </c>
      <c r="B3809" s="9" t="s">
        <v>14</v>
      </c>
      <c r="C3809" s="9" t="s">
        <v>15</v>
      </c>
      <c r="D3809" s="10" t="s">
        <v>8340</v>
      </c>
      <c r="E3809" s="9" t="s">
        <v>22</v>
      </c>
      <c r="F3809" s="10">
        <v>29</v>
      </c>
      <c r="G3809" s="11">
        <v>8101000925</v>
      </c>
      <c r="H3809" s="10" t="s">
        <v>8341</v>
      </c>
      <c r="I3809" s="10" t="s">
        <v>145</v>
      </c>
      <c r="J3809" s="10" t="s">
        <v>530</v>
      </c>
      <c r="K3809" s="12">
        <v>46021</v>
      </c>
      <c r="L3809" s="28" t="s">
        <v>11</v>
      </c>
      <c r="M3809" s="10"/>
      <c r="N3809" s="10" t="s">
        <v>1028</v>
      </c>
    </row>
    <row r="3810" spans="1:14" ht="22.5" customHeight="1">
      <c r="A3810" s="8">
        <v>46021.449350856477</v>
      </c>
      <c r="B3810" s="9" t="s">
        <v>14</v>
      </c>
      <c r="C3810" s="9" t="s">
        <v>15</v>
      </c>
      <c r="D3810" s="10" t="s">
        <v>8342</v>
      </c>
      <c r="E3810" s="9" t="s">
        <v>17</v>
      </c>
      <c r="F3810" s="10">
        <v>35</v>
      </c>
      <c r="G3810" s="11">
        <v>7068256800</v>
      </c>
      <c r="H3810" s="10" t="s">
        <v>8343</v>
      </c>
      <c r="I3810" s="10" t="s">
        <v>49</v>
      </c>
      <c r="J3810" s="10" t="s">
        <v>50</v>
      </c>
      <c r="K3810" s="12">
        <v>46021</v>
      </c>
      <c r="L3810" s="28" t="s">
        <v>11</v>
      </c>
      <c r="M3810" s="14"/>
      <c r="N3810" s="10" t="s">
        <v>1035</v>
      </c>
    </row>
    <row r="3811" spans="1:14" ht="22.5" customHeight="1">
      <c r="A3811" s="8">
        <v>46021.449765821759</v>
      </c>
      <c r="B3811" s="9" t="s">
        <v>14</v>
      </c>
      <c r="C3811" s="9" t="s">
        <v>15</v>
      </c>
      <c r="D3811" s="10" t="s">
        <v>8344</v>
      </c>
      <c r="E3811" s="9" t="s">
        <v>17</v>
      </c>
      <c r="F3811" s="10">
        <v>35</v>
      </c>
      <c r="G3811" s="11">
        <v>7032364616</v>
      </c>
      <c r="H3811" s="10" t="s">
        <v>8345</v>
      </c>
      <c r="I3811" s="10" t="s">
        <v>145</v>
      </c>
      <c r="J3811" s="10" t="s">
        <v>3296</v>
      </c>
      <c r="K3811" s="12">
        <v>46021</v>
      </c>
      <c r="L3811" s="28" t="s">
        <v>11</v>
      </c>
      <c r="M3811" s="14"/>
      <c r="N3811" s="10" t="s">
        <v>1028</v>
      </c>
    </row>
    <row r="3812" spans="1:14" ht="22.5" customHeight="1">
      <c r="A3812" s="8">
        <v>46021.450829560185</v>
      </c>
      <c r="B3812" s="9" t="s">
        <v>14</v>
      </c>
      <c r="C3812" s="9" t="s">
        <v>15</v>
      </c>
      <c r="D3812" s="10" t="s">
        <v>8346</v>
      </c>
      <c r="E3812" s="9" t="s">
        <v>17</v>
      </c>
      <c r="F3812" s="10">
        <v>33</v>
      </c>
      <c r="G3812" s="11">
        <v>7060864360</v>
      </c>
      <c r="H3812" s="10" t="s">
        <v>8347</v>
      </c>
      <c r="I3812" s="10" t="s">
        <v>49</v>
      </c>
      <c r="J3812" s="10" t="s">
        <v>73</v>
      </c>
      <c r="K3812" s="12">
        <v>46021</v>
      </c>
      <c r="L3812" s="28" t="s">
        <v>11</v>
      </c>
      <c r="M3812" s="14"/>
      <c r="N3812" s="10" t="s">
        <v>1028</v>
      </c>
    </row>
    <row r="3813" spans="1:14" ht="22.5" customHeight="1">
      <c r="A3813" s="8">
        <v>46021.451137731478</v>
      </c>
      <c r="B3813" s="9" t="s">
        <v>14</v>
      </c>
      <c r="C3813" s="9" t="s">
        <v>15</v>
      </c>
      <c r="D3813" s="10" t="s">
        <v>8348</v>
      </c>
      <c r="E3813" s="9" t="s">
        <v>22</v>
      </c>
      <c r="F3813" s="10">
        <v>26</v>
      </c>
      <c r="G3813" s="11">
        <v>8168224925</v>
      </c>
      <c r="H3813" s="10" t="s">
        <v>8349</v>
      </c>
      <c r="I3813" s="10" t="s">
        <v>49</v>
      </c>
      <c r="J3813" s="10" t="s">
        <v>8350</v>
      </c>
      <c r="K3813" s="12">
        <v>46021</v>
      </c>
      <c r="L3813" s="28" t="s">
        <v>11</v>
      </c>
      <c r="M3813" s="14"/>
      <c r="N3813" s="10" t="s">
        <v>1028</v>
      </c>
    </row>
    <row r="3814" spans="1:14" ht="22.5" customHeight="1">
      <c r="A3814" s="8">
        <v>46021.452573379633</v>
      </c>
      <c r="B3814" s="9" t="s">
        <v>14</v>
      </c>
      <c r="C3814" s="9" t="s">
        <v>15</v>
      </c>
      <c r="D3814" s="10" t="s">
        <v>8351</v>
      </c>
      <c r="E3814" s="9" t="s">
        <v>17</v>
      </c>
      <c r="F3814" s="10">
        <v>32</v>
      </c>
      <c r="G3814" s="11">
        <v>9060645590</v>
      </c>
      <c r="H3814" s="10" t="s">
        <v>8352</v>
      </c>
      <c r="I3814" s="10" t="s">
        <v>27</v>
      </c>
      <c r="J3814" s="10" t="s">
        <v>94</v>
      </c>
      <c r="K3814" s="12">
        <v>46021</v>
      </c>
      <c r="L3814" s="28" t="s">
        <v>11</v>
      </c>
      <c r="M3814" s="14"/>
      <c r="N3814" s="10" t="s">
        <v>1028</v>
      </c>
    </row>
    <row r="3815" spans="1:14" ht="22.5" customHeight="1">
      <c r="A3815" s="8">
        <v>46021.453107766203</v>
      </c>
      <c r="B3815" s="9" t="s">
        <v>14</v>
      </c>
      <c r="C3815" s="9" t="s">
        <v>15</v>
      </c>
      <c r="D3815" s="10" t="s">
        <v>8353</v>
      </c>
      <c r="E3815" s="9" t="s">
        <v>17</v>
      </c>
      <c r="F3815" s="10">
        <v>30</v>
      </c>
      <c r="G3815" s="11">
        <v>8166995142</v>
      </c>
      <c r="H3815" s="10" t="s">
        <v>8354</v>
      </c>
      <c r="I3815" s="10" t="s">
        <v>49</v>
      </c>
      <c r="J3815" s="10" t="s">
        <v>50</v>
      </c>
      <c r="K3815" s="12">
        <v>46021</v>
      </c>
      <c r="L3815" s="28" t="s">
        <v>11</v>
      </c>
      <c r="M3815" s="14"/>
      <c r="N3815" s="10" t="s">
        <v>1096</v>
      </c>
    </row>
    <row r="3816" spans="1:14" ht="22.5" customHeight="1">
      <c r="A3816" s="8">
        <v>46021.453997002318</v>
      </c>
      <c r="B3816" s="9" t="s">
        <v>14</v>
      </c>
      <c r="C3816" s="9" t="s">
        <v>15</v>
      </c>
      <c r="D3816" s="10" t="s">
        <v>8355</v>
      </c>
      <c r="E3816" s="9" t="s">
        <v>22</v>
      </c>
      <c r="F3816" s="10">
        <v>25</v>
      </c>
      <c r="G3816" s="11">
        <v>8058510554</v>
      </c>
      <c r="H3816" s="10" t="s">
        <v>8356</v>
      </c>
      <c r="I3816" s="10" t="s">
        <v>45</v>
      </c>
      <c r="J3816" s="10" t="s">
        <v>279</v>
      </c>
      <c r="K3816" s="12">
        <v>46021</v>
      </c>
      <c r="L3816" s="28" t="s">
        <v>11</v>
      </c>
      <c r="M3816" s="14"/>
      <c r="N3816" s="10" t="s">
        <v>1035</v>
      </c>
    </row>
    <row r="3817" spans="1:14" ht="22.5" customHeight="1">
      <c r="A3817" s="8">
        <v>46021.455602754635</v>
      </c>
      <c r="B3817" s="9" t="s">
        <v>14</v>
      </c>
      <c r="C3817" s="9" t="s">
        <v>15</v>
      </c>
      <c r="D3817" s="10" t="s">
        <v>8357</v>
      </c>
      <c r="E3817" s="9" t="s">
        <v>22</v>
      </c>
      <c r="F3817" s="10">
        <v>36</v>
      </c>
      <c r="G3817" s="11">
        <v>8062407244</v>
      </c>
      <c r="H3817" s="10" t="s">
        <v>8358</v>
      </c>
      <c r="I3817" s="10" t="s">
        <v>49</v>
      </c>
      <c r="J3817" s="10" t="s">
        <v>50</v>
      </c>
      <c r="K3817" s="12">
        <v>46021</v>
      </c>
      <c r="L3817" s="28" t="s">
        <v>11</v>
      </c>
      <c r="M3817" s="14"/>
      <c r="N3817" s="10" t="s">
        <v>1028</v>
      </c>
    </row>
    <row r="3818" spans="1:14" ht="22.5" customHeight="1">
      <c r="A3818" s="8">
        <v>46021.456585520835</v>
      </c>
      <c r="B3818" s="9" t="s">
        <v>14</v>
      </c>
      <c r="C3818" s="9" t="s">
        <v>15</v>
      </c>
      <c r="D3818" s="10" t="s">
        <v>8359</v>
      </c>
      <c r="E3818" s="9" t="s">
        <v>17</v>
      </c>
      <c r="F3818" s="18">
        <v>37</v>
      </c>
      <c r="G3818" s="11">
        <v>8038315504</v>
      </c>
      <c r="H3818" s="10" t="s">
        <v>8360</v>
      </c>
      <c r="I3818" s="10" t="s">
        <v>19</v>
      </c>
      <c r="J3818" s="10" t="s">
        <v>812</v>
      </c>
      <c r="K3818" s="12">
        <v>46021</v>
      </c>
      <c r="L3818" s="28" t="s">
        <v>11</v>
      </c>
      <c r="M3818" s="14"/>
      <c r="N3818" s="10" t="s">
        <v>1028</v>
      </c>
    </row>
    <row r="3819" spans="1:14" ht="22.5" customHeight="1">
      <c r="A3819" s="8">
        <v>46021.45690149306</v>
      </c>
      <c r="B3819" s="9" t="s">
        <v>14</v>
      </c>
      <c r="C3819" s="9" t="s">
        <v>15</v>
      </c>
      <c r="D3819" s="10" t="s">
        <v>8361</v>
      </c>
      <c r="E3819" s="9" t="s">
        <v>17</v>
      </c>
      <c r="F3819" s="10">
        <v>33</v>
      </c>
      <c r="G3819" s="11">
        <v>9035001641</v>
      </c>
      <c r="H3819" s="10" t="s">
        <v>8362</v>
      </c>
      <c r="I3819" s="10" t="s">
        <v>27</v>
      </c>
      <c r="J3819" s="10" t="s">
        <v>67</v>
      </c>
      <c r="K3819" s="12">
        <v>46021</v>
      </c>
      <c r="L3819" s="28" t="s">
        <v>11</v>
      </c>
      <c r="M3819" s="14"/>
      <c r="N3819" s="10" t="s">
        <v>1028</v>
      </c>
    </row>
    <row r="3820" spans="1:14" ht="22.5" customHeight="1">
      <c r="A3820" s="8">
        <v>46021.458030914349</v>
      </c>
      <c r="B3820" s="9" t="s">
        <v>14</v>
      </c>
      <c r="C3820" s="9" t="s">
        <v>15</v>
      </c>
      <c r="D3820" s="10" t="s">
        <v>8363</v>
      </c>
      <c r="E3820" s="9" t="s">
        <v>17</v>
      </c>
      <c r="F3820" s="10">
        <v>29</v>
      </c>
      <c r="G3820" s="11">
        <v>8149909924</v>
      </c>
      <c r="H3820" s="10" t="s">
        <v>8364</v>
      </c>
      <c r="I3820" s="10" t="s">
        <v>27</v>
      </c>
      <c r="J3820" s="10" t="s">
        <v>8365</v>
      </c>
      <c r="K3820" s="12">
        <v>46021</v>
      </c>
      <c r="L3820" s="28" t="s">
        <v>11</v>
      </c>
      <c r="M3820" s="14"/>
      <c r="N3820" s="10" t="s">
        <v>1028</v>
      </c>
    </row>
    <row r="3821" spans="1:14" ht="22.5" customHeight="1">
      <c r="A3821" s="8">
        <v>46021.458248229166</v>
      </c>
      <c r="B3821" s="9" t="s">
        <v>14</v>
      </c>
      <c r="C3821" s="9" t="s">
        <v>15</v>
      </c>
      <c r="D3821" s="10" t="s">
        <v>8100</v>
      </c>
      <c r="E3821" s="9" t="s">
        <v>17</v>
      </c>
      <c r="F3821" s="10">
        <v>25</v>
      </c>
      <c r="G3821" s="11">
        <v>9075727556</v>
      </c>
      <c r="H3821" s="10" t="s">
        <v>8366</v>
      </c>
      <c r="I3821" s="10" t="s">
        <v>27</v>
      </c>
      <c r="J3821" s="10" t="s">
        <v>3189</v>
      </c>
      <c r="K3821" s="12">
        <v>46021</v>
      </c>
      <c r="L3821" s="28" t="s">
        <v>11</v>
      </c>
      <c r="M3821" s="14"/>
      <c r="N3821" s="10" t="s">
        <v>1028</v>
      </c>
    </row>
    <row r="3822" spans="1:14" ht="22.5" customHeight="1">
      <c r="A3822" s="8">
        <v>46021.458582233798</v>
      </c>
      <c r="B3822" s="9" t="s">
        <v>14</v>
      </c>
      <c r="C3822" s="9" t="s">
        <v>15</v>
      </c>
      <c r="D3822" s="10" t="s">
        <v>8367</v>
      </c>
      <c r="E3822" s="9" t="s">
        <v>17</v>
      </c>
      <c r="F3822" s="10">
        <v>27</v>
      </c>
      <c r="G3822" s="11">
        <v>9138435801</v>
      </c>
      <c r="H3822" s="10" t="s">
        <v>8368</v>
      </c>
      <c r="I3822" s="10" t="s">
        <v>27</v>
      </c>
      <c r="J3822" s="10" t="s">
        <v>53</v>
      </c>
      <c r="K3822" s="12">
        <v>46021</v>
      </c>
      <c r="L3822" s="28" t="s">
        <v>11</v>
      </c>
      <c r="M3822" s="14"/>
      <c r="N3822" s="10" t="s">
        <v>1028</v>
      </c>
    </row>
    <row r="3823" spans="1:14" ht="22.5" customHeight="1">
      <c r="A3823" s="8">
        <v>46021.461075949075</v>
      </c>
      <c r="B3823" s="9" t="s">
        <v>14</v>
      </c>
      <c r="C3823" s="9" t="s">
        <v>15</v>
      </c>
      <c r="D3823" s="10" t="s">
        <v>8369</v>
      </c>
      <c r="E3823" s="9" t="s">
        <v>17</v>
      </c>
      <c r="F3823" s="10">
        <v>26</v>
      </c>
      <c r="G3823" s="11">
        <v>9067608001</v>
      </c>
      <c r="H3823" s="10" t="s">
        <v>8370</v>
      </c>
      <c r="I3823" s="10" t="s">
        <v>27</v>
      </c>
      <c r="J3823" s="10" t="s">
        <v>3809</v>
      </c>
      <c r="K3823" s="12">
        <v>46021</v>
      </c>
      <c r="L3823" s="28" t="s">
        <v>11</v>
      </c>
      <c r="M3823" s="14"/>
      <c r="N3823" s="10" t="s">
        <v>1028</v>
      </c>
    </row>
    <row r="3824" spans="1:14" ht="22.5" customHeight="1">
      <c r="A3824" s="8">
        <v>46021.462783460651</v>
      </c>
      <c r="B3824" s="9" t="s">
        <v>14</v>
      </c>
      <c r="C3824" s="9" t="s">
        <v>15</v>
      </c>
      <c r="D3824" s="10" t="s">
        <v>8371</v>
      </c>
      <c r="E3824" s="9" t="s">
        <v>17</v>
      </c>
      <c r="F3824" s="10">
        <v>31</v>
      </c>
      <c r="G3824" s="11">
        <v>7033585676</v>
      </c>
      <c r="H3824" s="10" t="s">
        <v>8372</v>
      </c>
      <c r="I3824" s="10" t="s">
        <v>27</v>
      </c>
      <c r="J3824" s="10" t="s">
        <v>94</v>
      </c>
      <c r="K3824" s="12">
        <v>34653</v>
      </c>
      <c r="L3824" s="28" t="s">
        <v>11</v>
      </c>
      <c r="M3824" s="14"/>
      <c r="N3824" s="10" t="s">
        <v>1028</v>
      </c>
    </row>
    <row r="3825" spans="1:14" ht="22.5" customHeight="1">
      <c r="A3825" s="8">
        <v>46021.464805960648</v>
      </c>
      <c r="B3825" s="9" t="s">
        <v>14</v>
      </c>
      <c r="C3825" s="9" t="s">
        <v>15</v>
      </c>
      <c r="D3825" s="10" t="s">
        <v>8373</v>
      </c>
      <c r="E3825" s="9" t="s">
        <v>17</v>
      </c>
      <c r="F3825" s="10">
        <v>29</v>
      </c>
      <c r="G3825" s="11">
        <f t="shared" ref="G3825" si="104">2348100600846</f>
        <v>2348100600846</v>
      </c>
      <c r="H3825" s="10" t="s">
        <v>8374</v>
      </c>
      <c r="I3825" s="10" t="s">
        <v>27</v>
      </c>
      <c r="J3825" s="10" t="s">
        <v>1559</v>
      </c>
      <c r="K3825" s="12">
        <v>46021</v>
      </c>
      <c r="L3825" s="28" t="s">
        <v>11</v>
      </c>
      <c r="M3825" s="14"/>
      <c r="N3825" s="10" t="s">
        <v>1563</v>
      </c>
    </row>
    <row r="3826" spans="1:14" ht="22.5" customHeight="1">
      <c r="A3826" s="8">
        <v>46021.466750474538</v>
      </c>
      <c r="B3826" s="9" t="s">
        <v>14</v>
      </c>
      <c r="C3826" s="9" t="s">
        <v>15</v>
      </c>
      <c r="D3826" s="10" t="s">
        <v>8375</v>
      </c>
      <c r="E3826" s="9" t="s">
        <v>17</v>
      </c>
      <c r="F3826" s="10">
        <v>33</v>
      </c>
      <c r="G3826" s="11">
        <v>7071891289</v>
      </c>
      <c r="H3826" s="10" t="s">
        <v>8376</v>
      </c>
      <c r="I3826" s="10" t="s">
        <v>202</v>
      </c>
      <c r="J3826" s="10" t="s">
        <v>3437</v>
      </c>
      <c r="K3826" s="12">
        <v>46021</v>
      </c>
      <c r="L3826" s="28" t="s">
        <v>11</v>
      </c>
      <c r="M3826" s="14"/>
      <c r="N3826" s="10" t="s">
        <v>1028</v>
      </c>
    </row>
    <row r="3827" spans="1:14" ht="22.5" customHeight="1">
      <c r="A3827" s="8">
        <v>46021.467403125003</v>
      </c>
      <c r="B3827" s="9" t="s">
        <v>14</v>
      </c>
      <c r="C3827" s="9" t="s">
        <v>15</v>
      </c>
      <c r="D3827" s="10" t="s">
        <v>8377</v>
      </c>
      <c r="E3827" s="9" t="s">
        <v>22</v>
      </c>
      <c r="F3827" s="10">
        <v>31</v>
      </c>
      <c r="G3827" s="11">
        <v>9075633669</v>
      </c>
      <c r="H3827" s="10" t="s">
        <v>8378</v>
      </c>
      <c r="I3827" s="10" t="s">
        <v>19</v>
      </c>
      <c r="J3827" s="10" t="s">
        <v>8379</v>
      </c>
      <c r="K3827" s="12">
        <v>46021</v>
      </c>
      <c r="L3827" s="28" t="s">
        <v>11</v>
      </c>
      <c r="M3827" s="14"/>
      <c r="N3827" s="10" t="s">
        <v>1028</v>
      </c>
    </row>
    <row r="3828" spans="1:14" ht="22.5" customHeight="1">
      <c r="A3828" s="8">
        <v>46021.467996053238</v>
      </c>
      <c r="B3828" s="9" t="s">
        <v>14</v>
      </c>
      <c r="C3828" s="9" t="s">
        <v>15</v>
      </c>
      <c r="D3828" s="10" t="s">
        <v>8380</v>
      </c>
      <c r="E3828" s="9" t="s">
        <v>17</v>
      </c>
      <c r="F3828" s="10">
        <v>34</v>
      </c>
      <c r="G3828" s="11">
        <v>7067758892</v>
      </c>
      <c r="H3828" s="10" t="s">
        <v>8381</v>
      </c>
      <c r="I3828" s="10" t="s">
        <v>27</v>
      </c>
      <c r="J3828" s="10" t="s">
        <v>1475</v>
      </c>
      <c r="K3828" s="12">
        <v>33578</v>
      </c>
      <c r="L3828" s="28" t="s">
        <v>11</v>
      </c>
      <c r="M3828" s="14"/>
      <c r="N3828" s="10" t="s">
        <v>1028</v>
      </c>
    </row>
    <row r="3829" spans="1:14" ht="22.5" customHeight="1">
      <c r="A3829" s="8">
        <v>46021.473843854168</v>
      </c>
      <c r="B3829" s="9" t="s">
        <v>14</v>
      </c>
      <c r="C3829" s="9" t="s">
        <v>15</v>
      </c>
      <c r="D3829" s="10" t="s">
        <v>8382</v>
      </c>
      <c r="E3829" s="9" t="s">
        <v>17</v>
      </c>
      <c r="F3829" s="10">
        <v>32</v>
      </c>
      <c r="G3829" s="11">
        <v>8130666632</v>
      </c>
      <c r="H3829" s="10" t="s">
        <v>8383</v>
      </c>
      <c r="I3829" s="10" t="s">
        <v>145</v>
      </c>
      <c r="J3829" s="10" t="s">
        <v>8384</v>
      </c>
      <c r="K3829" s="12">
        <v>34051</v>
      </c>
      <c r="L3829" s="28" t="s">
        <v>11</v>
      </c>
      <c r="M3829" s="14"/>
      <c r="N3829" s="10" t="s">
        <v>1028</v>
      </c>
    </row>
    <row r="3830" spans="1:14" ht="22.5" customHeight="1">
      <c r="A3830" s="8">
        <v>46021.474150023147</v>
      </c>
      <c r="B3830" s="9" t="s">
        <v>14</v>
      </c>
      <c r="C3830" s="9" t="s">
        <v>15</v>
      </c>
      <c r="D3830" s="10" t="s">
        <v>8385</v>
      </c>
      <c r="E3830" s="9" t="s">
        <v>17</v>
      </c>
      <c r="F3830" s="10">
        <v>31</v>
      </c>
      <c r="G3830" s="11">
        <v>8036090714</v>
      </c>
      <c r="H3830" s="10" t="s">
        <v>8386</v>
      </c>
      <c r="I3830" s="10" t="s">
        <v>27</v>
      </c>
      <c r="J3830" s="10" t="s">
        <v>2006</v>
      </c>
      <c r="K3830" s="12">
        <v>34335</v>
      </c>
      <c r="L3830" s="28" t="s">
        <v>11</v>
      </c>
      <c r="M3830" s="14"/>
      <c r="N3830" s="10" t="s">
        <v>1028</v>
      </c>
    </row>
    <row r="3831" spans="1:14" ht="22.5" customHeight="1">
      <c r="A3831" s="8">
        <v>46021.476931018522</v>
      </c>
      <c r="B3831" s="9" t="s">
        <v>14</v>
      </c>
      <c r="C3831" s="9" t="s">
        <v>15</v>
      </c>
      <c r="D3831" s="10" t="s">
        <v>8387</v>
      </c>
      <c r="E3831" s="9" t="s">
        <v>22</v>
      </c>
      <c r="F3831" s="10">
        <v>25</v>
      </c>
      <c r="G3831" s="11">
        <v>8167193765</v>
      </c>
      <c r="H3831" s="10" t="s">
        <v>8388</v>
      </c>
      <c r="I3831" s="10" t="s">
        <v>49</v>
      </c>
      <c r="J3831" s="10" t="s">
        <v>362</v>
      </c>
      <c r="K3831" s="12">
        <v>46021</v>
      </c>
      <c r="L3831" s="28" t="s">
        <v>11</v>
      </c>
      <c r="M3831" s="14"/>
      <c r="N3831" s="10" t="s">
        <v>1096</v>
      </c>
    </row>
    <row r="3832" spans="1:14" ht="22.5" customHeight="1">
      <c r="A3832" s="8">
        <v>46021.477735856482</v>
      </c>
      <c r="B3832" s="9" t="s">
        <v>14</v>
      </c>
      <c r="C3832" s="9" t="s">
        <v>15</v>
      </c>
      <c r="D3832" s="10" t="s">
        <v>8389</v>
      </c>
      <c r="E3832" s="9" t="s">
        <v>22</v>
      </c>
      <c r="F3832" s="10">
        <v>29</v>
      </c>
      <c r="G3832" s="11">
        <v>8066199215</v>
      </c>
      <c r="H3832" s="10" t="s">
        <v>8390</v>
      </c>
      <c r="I3832" s="10" t="s">
        <v>27</v>
      </c>
      <c r="J3832" s="10" t="s">
        <v>94</v>
      </c>
      <c r="K3832" s="12">
        <v>46021</v>
      </c>
      <c r="L3832" s="28" t="s">
        <v>11</v>
      </c>
      <c r="M3832" s="10"/>
      <c r="N3832" s="10" t="s">
        <v>1096</v>
      </c>
    </row>
    <row r="3833" spans="1:14" ht="22.5" customHeight="1">
      <c r="A3833" s="8">
        <v>46021.48070861111</v>
      </c>
      <c r="B3833" s="9" t="s">
        <v>14</v>
      </c>
      <c r="C3833" s="9" t="s">
        <v>15</v>
      </c>
      <c r="D3833" s="10" t="s">
        <v>8391</v>
      </c>
      <c r="E3833" s="9" t="s">
        <v>17</v>
      </c>
      <c r="F3833" s="10">
        <v>38</v>
      </c>
      <c r="G3833" s="11">
        <v>8062472828</v>
      </c>
      <c r="H3833" s="10" t="s">
        <v>8392</v>
      </c>
      <c r="I3833" s="10" t="s">
        <v>49</v>
      </c>
      <c r="J3833" s="10" t="s">
        <v>73</v>
      </c>
      <c r="K3833" s="12">
        <v>46021</v>
      </c>
      <c r="L3833" s="28" t="s">
        <v>11</v>
      </c>
      <c r="M3833" s="14"/>
      <c r="N3833" s="10" t="s">
        <v>1028</v>
      </c>
    </row>
    <row r="3834" spans="1:14" ht="22.5" customHeight="1">
      <c r="A3834" s="8">
        <v>46021.48125070602</v>
      </c>
      <c r="B3834" s="9" t="s">
        <v>14</v>
      </c>
      <c r="C3834" s="9" t="s">
        <v>15</v>
      </c>
      <c r="D3834" s="10" t="s">
        <v>8393</v>
      </c>
      <c r="E3834" s="9" t="s">
        <v>17</v>
      </c>
      <c r="F3834" s="10">
        <v>30</v>
      </c>
      <c r="G3834" s="11">
        <v>8102797765</v>
      </c>
      <c r="H3834" s="10" t="s">
        <v>8394</v>
      </c>
      <c r="I3834" s="10" t="s">
        <v>49</v>
      </c>
      <c r="J3834" s="10" t="s">
        <v>73</v>
      </c>
      <c r="K3834" s="12">
        <v>46021</v>
      </c>
      <c r="L3834" s="28" t="s">
        <v>11</v>
      </c>
      <c r="M3834" s="14"/>
      <c r="N3834" s="10" t="s">
        <v>1028</v>
      </c>
    </row>
    <row r="3835" spans="1:14" ht="22.5" customHeight="1">
      <c r="A3835" s="8">
        <v>46021.482157465274</v>
      </c>
      <c r="B3835" s="9" t="s">
        <v>14</v>
      </c>
      <c r="C3835" s="9" t="s">
        <v>15</v>
      </c>
      <c r="D3835" s="10" t="s">
        <v>8395</v>
      </c>
      <c r="E3835" s="9" t="s">
        <v>22</v>
      </c>
      <c r="F3835" s="10">
        <v>27</v>
      </c>
      <c r="G3835" s="11">
        <v>7047787158</v>
      </c>
      <c r="H3835" s="10" t="s">
        <v>8396</v>
      </c>
      <c r="I3835" s="10" t="s">
        <v>49</v>
      </c>
      <c r="J3835" s="10" t="s">
        <v>73</v>
      </c>
      <c r="K3835" s="12">
        <v>46021</v>
      </c>
      <c r="L3835" s="28" t="s">
        <v>11</v>
      </c>
      <c r="M3835" s="14"/>
      <c r="N3835" s="10" t="s">
        <v>1096</v>
      </c>
    </row>
    <row r="3836" spans="1:14" ht="22.5" customHeight="1">
      <c r="A3836" s="8">
        <v>46021.483011006945</v>
      </c>
      <c r="B3836" s="9" t="s">
        <v>14</v>
      </c>
      <c r="C3836" s="9" t="s">
        <v>15</v>
      </c>
      <c r="D3836" s="10" t="s">
        <v>8397</v>
      </c>
      <c r="E3836" s="9" t="s">
        <v>17</v>
      </c>
      <c r="F3836" s="10">
        <v>30</v>
      </c>
      <c r="G3836" s="11">
        <v>8065402309</v>
      </c>
      <c r="H3836" s="10" t="s">
        <v>8398</v>
      </c>
      <c r="I3836" s="10" t="s">
        <v>27</v>
      </c>
      <c r="J3836" s="10" t="s">
        <v>3189</v>
      </c>
      <c r="K3836" s="12">
        <v>46021</v>
      </c>
      <c r="L3836" s="28" t="s">
        <v>11</v>
      </c>
      <c r="M3836" s="14"/>
      <c r="N3836" s="10" t="s">
        <v>1096</v>
      </c>
    </row>
    <row r="3837" spans="1:14" ht="22.5" customHeight="1">
      <c r="A3837" s="8">
        <v>46021.48527907407</v>
      </c>
      <c r="B3837" s="9" t="s">
        <v>14</v>
      </c>
      <c r="C3837" s="9" t="s">
        <v>15</v>
      </c>
      <c r="D3837" s="10" t="s">
        <v>8399</v>
      </c>
      <c r="E3837" s="9" t="s">
        <v>17</v>
      </c>
      <c r="F3837" s="10">
        <v>31</v>
      </c>
      <c r="G3837" s="11">
        <v>8146434046</v>
      </c>
      <c r="H3837" s="10" t="s">
        <v>8400</v>
      </c>
      <c r="I3837" s="10" t="s">
        <v>27</v>
      </c>
      <c r="J3837" s="10" t="s">
        <v>3932</v>
      </c>
      <c r="K3837" s="12">
        <v>46021</v>
      </c>
      <c r="L3837" s="28" t="s">
        <v>11</v>
      </c>
      <c r="M3837" s="14"/>
      <c r="N3837" s="10" t="s">
        <v>1028</v>
      </c>
    </row>
    <row r="3838" spans="1:14" ht="22.5" customHeight="1">
      <c r="A3838" s="8">
        <v>46021.485570011573</v>
      </c>
      <c r="B3838" s="9" t="s">
        <v>14</v>
      </c>
      <c r="C3838" s="9" t="s">
        <v>15</v>
      </c>
      <c r="D3838" s="10" t="s">
        <v>8401</v>
      </c>
      <c r="E3838" s="9" t="s">
        <v>17</v>
      </c>
      <c r="F3838" s="10">
        <v>23</v>
      </c>
      <c r="G3838" s="11">
        <v>9130085307</v>
      </c>
      <c r="H3838" s="10" t="s">
        <v>8402</v>
      </c>
      <c r="I3838" s="10" t="s">
        <v>27</v>
      </c>
      <c r="J3838" s="10" t="s">
        <v>4891</v>
      </c>
      <c r="K3838" s="12">
        <v>46021</v>
      </c>
      <c r="L3838" s="28" t="s">
        <v>11</v>
      </c>
      <c r="M3838" s="14"/>
      <c r="N3838" s="10" t="s">
        <v>4405</v>
      </c>
    </row>
    <row r="3839" spans="1:14" ht="22.5" customHeight="1">
      <c r="A3839" s="8">
        <v>46021.489535474539</v>
      </c>
      <c r="B3839" s="9" t="s">
        <v>14</v>
      </c>
      <c r="C3839" s="9" t="s">
        <v>15</v>
      </c>
      <c r="D3839" s="10" t="s">
        <v>8403</v>
      </c>
      <c r="E3839" s="9" t="s">
        <v>17</v>
      </c>
      <c r="F3839" s="10">
        <v>26</v>
      </c>
      <c r="G3839" s="11">
        <f t="shared" ref="G3839" si="105">2348142807848</f>
        <v>2348142807848</v>
      </c>
      <c r="H3839" s="10" t="s">
        <v>8404</v>
      </c>
      <c r="I3839" s="10" t="s">
        <v>45</v>
      </c>
      <c r="J3839" s="10" t="s">
        <v>8405</v>
      </c>
      <c r="K3839" s="12">
        <v>46021</v>
      </c>
      <c r="L3839" s="28" t="s">
        <v>11</v>
      </c>
      <c r="M3839" s="14"/>
      <c r="N3839" s="10" t="s">
        <v>1096</v>
      </c>
    </row>
    <row r="3840" spans="1:14" ht="22.5" customHeight="1">
      <c r="A3840" s="8">
        <v>46021.492901319449</v>
      </c>
      <c r="B3840" s="9" t="s">
        <v>14</v>
      </c>
      <c r="C3840" s="9" t="s">
        <v>15</v>
      </c>
      <c r="D3840" s="10" t="s">
        <v>8406</v>
      </c>
      <c r="E3840" s="9" t="s">
        <v>22</v>
      </c>
      <c r="F3840" s="10">
        <v>23</v>
      </c>
      <c r="G3840" s="11">
        <v>9052713337</v>
      </c>
      <c r="H3840" s="10" t="s">
        <v>8407</v>
      </c>
      <c r="I3840" s="10" t="s">
        <v>49</v>
      </c>
      <c r="J3840" s="10" t="s">
        <v>666</v>
      </c>
      <c r="K3840" s="12">
        <v>46021</v>
      </c>
      <c r="L3840" s="28" t="s">
        <v>11</v>
      </c>
      <c r="M3840" s="14"/>
      <c r="N3840" s="10" t="s">
        <v>1028</v>
      </c>
    </row>
    <row r="3841" spans="1:14" ht="22.5" customHeight="1">
      <c r="A3841" s="8">
        <v>46021.494779791668</v>
      </c>
      <c r="B3841" s="9" t="s">
        <v>14</v>
      </c>
      <c r="C3841" s="9" t="s">
        <v>15</v>
      </c>
      <c r="D3841" s="10" t="s">
        <v>8408</v>
      </c>
      <c r="E3841" s="9" t="s">
        <v>22</v>
      </c>
      <c r="F3841" s="10">
        <v>29</v>
      </c>
      <c r="G3841" s="11">
        <v>7066625382</v>
      </c>
      <c r="H3841" s="10" t="s">
        <v>8409</v>
      </c>
      <c r="I3841" s="10" t="s">
        <v>19</v>
      </c>
      <c r="J3841" s="10" t="s">
        <v>4139</v>
      </c>
      <c r="K3841" s="12">
        <v>46021</v>
      </c>
      <c r="L3841" s="28" t="s">
        <v>11</v>
      </c>
      <c r="M3841" s="14"/>
      <c r="N3841" s="10" t="s">
        <v>1028</v>
      </c>
    </row>
    <row r="3842" spans="1:14" ht="22.5" customHeight="1">
      <c r="A3842" s="8">
        <v>46021.497736990743</v>
      </c>
      <c r="B3842" s="9" t="s">
        <v>14</v>
      </c>
      <c r="C3842" s="9" t="s">
        <v>15</v>
      </c>
      <c r="D3842" s="10" t="s">
        <v>8410</v>
      </c>
      <c r="E3842" s="9" t="s">
        <v>17</v>
      </c>
      <c r="F3842" s="10">
        <v>30</v>
      </c>
      <c r="G3842" s="11">
        <v>9161197940</v>
      </c>
      <c r="H3842" s="10" t="s">
        <v>8411</v>
      </c>
      <c r="I3842" s="10" t="s">
        <v>49</v>
      </c>
      <c r="J3842" s="10" t="s">
        <v>109</v>
      </c>
      <c r="K3842" s="12">
        <v>46021</v>
      </c>
      <c r="L3842" s="28" t="s">
        <v>11</v>
      </c>
      <c r="M3842" s="14"/>
      <c r="N3842" s="10" t="s">
        <v>1096</v>
      </c>
    </row>
    <row r="3843" spans="1:14" ht="22.5" customHeight="1">
      <c r="A3843" s="8">
        <v>46021.49811565972</v>
      </c>
      <c r="B3843" s="9" t="s">
        <v>14</v>
      </c>
      <c r="C3843" s="9" t="s">
        <v>15</v>
      </c>
      <c r="D3843" s="10" t="s">
        <v>8412</v>
      </c>
      <c r="E3843" s="9" t="s">
        <v>22</v>
      </c>
      <c r="F3843" s="10">
        <v>27</v>
      </c>
      <c r="G3843" s="11">
        <v>9059416674</v>
      </c>
      <c r="H3843" s="10" t="s">
        <v>8413</v>
      </c>
      <c r="I3843" s="10" t="s">
        <v>49</v>
      </c>
      <c r="J3843" s="10" t="s">
        <v>606</v>
      </c>
      <c r="K3843" s="12">
        <v>46021</v>
      </c>
      <c r="L3843" s="28" t="s">
        <v>11</v>
      </c>
      <c r="M3843" s="14"/>
      <c r="N3843" s="10" t="s">
        <v>1028</v>
      </c>
    </row>
    <row r="3844" spans="1:14" ht="22.5" customHeight="1">
      <c r="A3844" s="8">
        <v>46021.4993277662</v>
      </c>
      <c r="B3844" s="9" t="s">
        <v>14</v>
      </c>
      <c r="C3844" s="9" t="s">
        <v>15</v>
      </c>
      <c r="D3844" s="10" t="s">
        <v>8414</v>
      </c>
      <c r="E3844" s="9" t="s">
        <v>17</v>
      </c>
      <c r="F3844" s="10">
        <v>26</v>
      </c>
      <c r="G3844" s="11">
        <v>9071547485</v>
      </c>
      <c r="H3844" s="10" t="s">
        <v>8415</v>
      </c>
      <c r="I3844" s="10" t="s">
        <v>27</v>
      </c>
      <c r="J3844" s="10" t="s">
        <v>5556</v>
      </c>
      <c r="K3844" s="12">
        <v>36402</v>
      </c>
      <c r="L3844" s="28" t="s">
        <v>11</v>
      </c>
      <c r="M3844" s="10"/>
      <c r="N3844" s="10" t="s">
        <v>1028</v>
      </c>
    </row>
    <row r="3845" spans="1:14" ht="22.5" customHeight="1">
      <c r="A3845" s="8">
        <v>46021.504044837959</v>
      </c>
      <c r="B3845" s="9" t="s">
        <v>14</v>
      </c>
      <c r="C3845" s="9" t="s">
        <v>15</v>
      </c>
      <c r="D3845" s="10" t="s">
        <v>8416</v>
      </c>
      <c r="E3845" s="9" t="s">
        <v>17</v>
      </c>
      <c r="F3845" s="10">
        <v>27</v>
      </c>
      <c r="G3845" s="11">
        <v>8142282246</v>
      </c>
      <c r="H3845" s="10" t="s">
        <v>8417</v>
      </c>
      <c r="I3845" s="10" t="s">
        <v>49</v>
      </c>
      <c r="J3845" s="10" t="s">
        <v>73</v>
      </c>
      <c r="K3845" s="12">
        <v>46021</v>
      </c>
      <c r="L3845" s="28" t="s">
        <v>11</v>
      </c>
      <c r="M3845" s="14"/>
      <c r="N3845" s="10" t="s">
        <v>1028</v>
      </c>
    </row>
    <row r="3846" spans="1:14" ht="22.5" customHeight="1">
      <c r="A3846" s="8">
        <v>46021.505513761571</v>
      </c>
      <c r="B3846" s="9" t="s">
        <v>14</v>
      </c>
      <c r="C3846" s="9" t="s">
        <v>15</v>
      </c>
      <c r="D3846" s="10" t="s">
        <v>8418</v>
      </c>
      <c r="E3846" s="9" t="s">
        <v>17</v>
      </c>
      <c r="F3846" s="10">
        <v>33</v>
      </c>
      <c r="G3846" s="11">
        <v>8064594490</v>
      </c>
      <c r="H3846" s="10" t="s">
        <v>8419</v>
      </c>
      <c r="I3846" s="10" t="s">
        <v>27</v>
      </c>
      <c r="J3846" s="10" t="s">
        <v>28</v>
      </c>
      <c r="K3846" s="12">
        <v>46021</v>
      </c>
      <c r="L3846" s="28" t="s">
        <v>11</v>
      </c>
      <c r="M3846" s="14"/>
      <c r="N3846" s="10" t="s">
        <v>1096</v>
      </c>
    </row>
    <row r="3847" spans="1:14" ht="22.5" customHeight="1">
      <c r="A3847" s="8">
        <v>46021.506159687502</v>
      </c>
      <c r="B3847" s="9" t="s">
        <v>14</v>
      </c>
      <c r="C3847" s="9" t="s">
        <v>15</v>
      </c>
      <c r="D3847" s="10" t="s">
        <v>8420</v>
      </c>
      <c r="E3847" s="9" t="s">
        <v>17</v>
      </c>
      <c r="F3847" s="10">
        <v>28</v>
      </c>
      <c r="G3847" s="11">
        <v>8107368757</v>
      </c>
      <c r="H3847" s="10" t="s">
        <v>8421</v>
      </c>
      <c r="I3847" s="10" t="s">
        <v>27</v>
      </c>
      <c r="J3847" s="10" t="s">
        <v>372</v>
      </c>
      <c r="K3847" s="12">
        <v>46021</v>
      </c>
      <c r="L3847" s="28" t="s">
        <v>11</v>
      </c>
      <c r="M3847" s="14"/>
      <c r="N3847" s="10" t="s">
        <v>1028</v>
      </c>
    </row>
    <row r="3848" spans="1:14" ht="22.5" customHeight="1">
      <c r="A3848" s="8">
        <v>46021.506222372685</v>
      </c>
      <c r="B3848" s="9" t="s">
        <v>14</v>
      </c>
      <c r="C3848" s="9" t="s">
        <v>15</v>
      </c>
      <c r="D3848" s="10" t="s">
        <v>8422</v>
      </c>
      <c r="E3848" s="9" t="s">
        <v>22</v>
      </c>
      <c r="F3848" s="10">
        <v>33</v>
      </c>
      <c r="G3848" s="11">
        <v>7030906381</v>
      </c>
      <c r="H3848" s="10" t="s">
        <v>8423</v>
      </c>
      <c r="I3848" s="10" t="s">
        <v>27</v>
      </c>
      <c r="J3848" s="10" t="s">
        <v>1559</v>
      </c>
      <c r="K3848" s="12">
        <v>46021</v>
      </c>
      <c r="L3848" s="28" t="s">
        <v>11</v>
      </c>
      <c r="M3848" s="14"/>
      <c r="N3848" s="10" t="s">
        <v>1140</v>
      </c>
    </row>
    <row r="3849" spans="1:14" ht="22.5" customHeight="1">
      <c r="A3849" s="8">
        <v>46021.511181423615</v>
      </c>
      <c r="B3849" s="9" t="s">
        <v>14</v>
      </c>
      <c r="C3849" s="9" t="s">
        <v>15</v>
      </c>
      <c r="D3849" s="10" t="s">
        <v>8424</v>
      </c>
      <c r="E3849" s="9" t="s">
        <v>17</v>
      </c>
      <c r="F3849" s="10">
        <v>29</v>
      </c>
      <c r="G3849" s="11">
        <v>7013284026</v>
      </c>
      <c r="H3849" s="10" t="s">
        <v>8425</v>
      </c>
      <c r="I3849" s="10" t="s">
        <v>27</v>
      </c>
      <c r="J3849" s="10" t="s">
        <v>70</v>
      </c>
      <c r="K3849" s="12">
        <v>46021</v>
      </c>
      <c r="L3849" s="28" t="s">
        <v>11</v>
      </c>
      <c r="M3849" s="14"/>
      <c r="N3849" s="10" t="s">
        <v>1028</v>
      </c>
    </row>
    <row r="3850" spans="1:14" ht="22.5" customHeight="1">
      <c r="A3850" s="8">
        <v>46021.51569641204</v>
      </c>
      <c r="B3850" s="9" t="s">
        <v>14</v>
      </c>
      <c r="C3850" s="9" t="s">
        <v>15</v>
      </c>
      <c r="D3850" s="10" t="s">
        <v>8426</v>
      </c>
      <c r="E3850" s="9" t="s">
        <v>22</v>
      </c>
      <c r="F3850" s="10">
        <v>36</v>
      </c>
      <c r="G3850" s="11">
        <v>9124759163</v>
      </c>
      <c r="H3850" s="10" t="s">
        <v>8427</v>
      </c>
      <c r="I3850" s="10" t="s">
        <v>49</v>
      </c>
      <c r="J3850" s="10" t="s">
        <v>73</v>
      </c>
      <c r="K3850" s="12">
        <v>46021</v>
      </c>
      <c r="L3850" s="28" t="s">
        <v>11</v>
      </c>
      <c r="M3850" s="10"/>
      <c r="N3850" s="10" t="s">
        <v>1096</v>
      </c>
    </row>
    <row r="3851" spans="1:14" ht="22.5" customHeight="1">
      <c r="A3851" s="8">
        <v>46021.515923703701</v>
      </c>
      <c r="B3851" s="9" t="s">
        <v>14</v>
      </c>
      <c r="C3851" s="9" t="s">
        <v>15</v>
      </c>
      <c r="D3851" s="10" t="s">
        <v>8428</v>
      </c>
      <c r="E3851" s="9" t="s">
        <v>22</v>
      </c>
      <c r="F3851" s="10">
        <v>18</v>
      </c>
      <c r="G3851" s="11">
        <v>8130492524</v>
      </c>
      <c r="H3851" s="10" t="s">
        <v>8429</v>
      </c>
      <c r="I3851" s="10" t="s">
        <v>27</v>
      </c>
      <c r="J3851" s="10" t="s">
        <v>8430</v>
      </c>
      <c r="K3851" s="12">
        <v>39179</v>
      </c>
      <c r="L3851" s="28" t="s">
        <v>11</v>
      </c>
      <c r="M3851" s="14"/>
      <c r="N3851" s="10" t="s">
        <v>1096</v>
      </c>
    </row>
    <row r="3852" spans="1:14" ht="22.5" customHeight="1">
      <c r="A3852" s="8">
        <v>46021.5202421875</v>
      </c>
      <c r="B3852" s="9" t="s">
        <v>14</v>
      </c>
      <c r="C3852" s="9" t="s">
        <v>15</v>
      </c>
      <c r="D3852" s="10" t="s">
        <v>8431</v>
      </c>
      <c r="E3852" s="9" t="s">
        <v>17</v>
      </c>
      <c r="F3852" s="10">
        <v>29</v>
      </c>
      <c r="G3852" s="11">
        <v>8109820009</v>
      </c>
      <c r="H3852" s="10" t="s">
        <v>8432</v>
      </c>
      <c r="I3852" s="10" t="s">
        <v>49</v>
      </c>
      <c r="J3852" s="10" t="s">
        <v>106</v>
      </c>
      <c r="K3852" s="12">
        <v>46021</v>
      </c>
      <c r="L3852" s="28" t="s">
        <v>11</v>
      </c>
      <c r="M3852" s="14"/>
      <c r="N3852" s="10" t="s">
        <v>7233</v>
      </c>
    </row>
    <row r="3853" spans="1:14" ht="22.5" customHeight="1">
      <c r="A3853" s="8">
        <v>46021.525043032409</v>
      </c>
      <c r="B3853" s="9" t="s">
        <v>14</v>
      </c>
      <c r="C3853" s="9" t="s">
        <v>15</v>
      </c>
      <c r="D3853" s="10" t="s">
        <v>8433</v>
      </c>
      <c r="E3853" s="9" t="s">
        <v>17</v>
      </c>
      <c r="F3853" s="10">
        <v>26</v>
      </c>
      <c r="G3853" s="11">
        <v>9013365516</v>
      </c>
      <c r="H3853" s="10" t="s">
        <v>8434</v>
      </c>
      <c r="I3853" s="10" t="s">
        <v>27</v>
      </c>
      <c r="J3853" s="10" t="s">
        <v>1514</v>
      </c>
      <c r="K3853" s="12">
        <v>46021</v>
      </c>
      <c r="L3853" s="28" t="s">
        <v>11</v>
      </c>
      <c r="M3853" s="14"/>
      <c r="N3853" s="10" t="s">
        <v>1096</v>
      </c>
    </row>
    <row r="3854" spans="1:14" ht="22.5" customHeight="1">
      <c r="A3854" s="8">
        <v>46021.525233622684</v>
      </c>
      <c r="B3854" s="9" t="s">
        <v>14</v>
      </c>
      <c r="C3854" s="9" t="s">
        <v>15</v>
      </c>
      <c r="D3854" s="10" t="s">
        <v>8435</v>
      </c>
      <c r="E3854" s="9" t="s">
        <v>17</v>
      </c>
      <c r="F3854" s="10">
        <v>26</v>
      </c>
      <c r="G3854" s="11">
        <v>9068366674</v>
      </c>
      <c r="H3854" s="10" t="s">
        <v>8436</v>
      </c>
      <c r="I3854" s="10" t="s">
        <v>27</v>
      </c>
      <c r="J3854" s="10" t="s">
        <v>8437</v>
      </c>
      <c r="K3854" s="12">
        <v>46021</v>
      </c>
      <c r="L3854" s="28" t="s">
        <v>11</v>
      </c>
      <c r="M3854" s="14"/>
      <c r="N3854" s="10" t="s">
        <v>1096</v>
      </c>
    </row>
    <row r="3855" spans="1:14" ht="22.5" customHeight="1">
      <c r="A3855" s="8">
        <v>46021.526398518516</v>
      </c>
      <c r="B3855" s="9" t="s">
        <v>14</v>
      </c>
      <c r="C3855" s="9" t="s">
        <v>15</v>
      </c>
      <c r="D3855" s="10" t="s">
        <v>8438</v>
      </c>
      <c r="E3855" s="9" t="s">
        <v>17</v>
      </c>
      <c r="F3855" s="10">
        <v>35</v>
      </c>
      <c r="G3855" s="11">
        <v>8078629102</v>
      </c>
      <c r="H3855" s="10" t="s">
        <v>8439</v>
      </c>
      <c r="I3855" s="10" t="s">
        <v>49</v>
      </c>
      <c r="J3855" s="10" t="s">
        <v>73</v>
      </c>
      <c r="K3855" s="12">
        <v>46021</v>
      </c>
      <c r="L3855" s="28" t="s">
        <v>11</v>
      </c>
      <c r="M3855" s="14"/>
      <c r="N3855" s="10" t="s">
        <v>1096</v>
      </c>
    </row>
    <row r="3856" spans="1:14" ht="22.5" hidden="1" customHeight="1">
      <c r="A3856" s="8">
        <v>46021.531933101855</v>
      </c>
      <c r="B3856" s="9" t="s">
        <v>14</v>
      </c>
      <c r="C3856" s="9" t="s">
        <v>15</v>
      </c>
      <c r="D3856" s="10" t="s">
        <v>8440</v>
      </c>
      <c r="E3856" s="9" t="s">
        <v>17</v>
      </c>
      <c r="F3856" s="10">
        <v>20</v>
      </c>
      <c r="G3856" s="11">
        <v>7070335573</v>
      </c>
      <c r="H3856" s="10" t="s">
        <v>8441</v>
      </c>
      <c r="I3856" s="10" t="s">
        <v>27</v>
      </c>
      <c r="J3856" s="10" t="s">
        <v>172</v>
      </c>
      <c r="K3856" s="12">
        <v>46021</v>
      </c>
      <c r="L3856" s="10" t="s">
        <v>441</v>
      </c>
      <c r="M3856" s="14"/>
      <c r="N3856" s="10" t="s">
        <v>1096</v>
      </c>
    </row>
    <row r="3857" spans="1:14" ht="22.5" customHeight="1">
      <c r="A3857" s="8">
        <v>46021.532965856481</v>
      </c>
      <c r="B3857" s="9" t="s">
        <v>14</v>
      </c>
      <c r="C3857" s="9" t="s">
        <v>15</v>
      </c>
      <c r="D3857" s="10" t="s">
        <v>8442</v>
      </c>
      <c r="E3857" s="9" t="s">
        <v>22</v>
      </c>
      <c r="F3857" s="10">
        <v>36</v>
      </c>
      <c r="G3857" s="11">
        <v>9060511646</v>
      </c>
      <c r="H3857" s="10" t="s">
        <v>8443</v>
      </c>
      <c r="I3857" s="10" t="s">
        <v>49</v>
      </c>
      <c r="J3857" s="10" t="s">
        <v>103</v>
      </c>
      <c r="K3857" s="12">
        <v>46021</v>
      </c>
      <c r="L3857" s="28" t="s">
        <v>11</v>
      </c>
      <c r="M3857" s="14"/>
      <c r="N3857" s="10" t="s">
        <v>1028</v>
      </c>
    </row>
    <row r="3858" spans="1:14" ht="22.5" customHeight="1">
      <c r="A3858" s="8">
        <v>46021.545452442129</v>
      </c>
      <c r="B3858" s="9" t="s">
        <v>14</v>
      </c>
      <c r="C3858" s="9" t="s">
        <v>15</v>
      </c>
      <c r="D3858" s="10" t="s">
        <v>8444</v>
      </c>
      <c r="E3858" s="9" t="s">
        <v>17</v>
      </c>
      <c r="F3858" s="10">
        <v>41</v>
      </c>
      <c r="G3858" s="11">
        <v>8166817278</v>
      </c>
      <c r="H3858" s="10" t="s">
        <v>8445</v>
      </c>
      <c r="I3858" s="10" t="s">
        <v>49</v>
      </c>
      <c r="J3858" s="10" t="s">
        <v>606</v>
      </c>
      <c r="K3858" s="12">
        <v>46021</v>
      </c>
      <c r="L3858" s="28" t="s">
        <v>11</v>
      </c>
      <c r="M3858" s="14"/>
      <c r="N3858" s="10" t="s">
        <v>1028</v>
      </c>
    </row>
    <row r="3859" spans="1:14" ht="22.5" customHeight="1">
      <c r="A3859" s="8">
        <v>46021.545550428244</v>
      </c>
      <c r="B3859" s="9" t="s">
        <v>14</v>
      </c>
      <c r="C3859" s="9" t="s">
        <v>15</v>
      </c>
      <c r="D3859" s="10" t="s">
        <v>8446</v>
      </c>
      <c r="E3859" s="9" t="s">
        <v>17</v>
      </c>
      <c r="F3859" s="10">
        <v>41</v>
      </c>
      <c r="G3859" s="11">
        <v>8069789361</v>
      </c>
      <c r="H3859" s="10" t="s">
        <v>8447</v>
      </c>
      <c r="I3859" s="10" t="s">
        <v>202</v>
      </c>
      <c r="J3859" s="10" t="s">
        <v>4177</v>
      </c>
      <c r="K3859" s="12">
        <v>46021</v>
      </c>
      <c r="L3859" s="28" t="s">
        <v>11</v>
      </c>
      <c r="M3859" s="14"/>
      <c r="N3859" s="10" t="s">
        <v>1096</v>
      </c>
    </row>
    <row r="3860" spans="1:14" ht="22.5" customHeight="1">
      <c r="A3860" s="8">
        <v>46021.546745983796</v>
      </c>
      <c r="B3860" s="9" t="s">
        <v>14</v>
      </c>
      <c r="C3860" s="9" t="s">
        <v>15</v>
      </c>
      <c r="D3860" s="10" t="s">
        <v>8448</v>
      </c>
      <c r="E3860" s="9" t="s">
        <v>22</v>
      </c>
      <c r="F3860" s="10">
        <v>29</v>
      </c>
      <c r="G3860" s="11">
        <v>7026656439</v>
      </c>
      <c r="H3860" s="10" t="s">
        <v>8449</v>
      </c>
      <c r="I3860" s="10" t="s">
        <v>45</v>
      </c>
      <c r="J3860" s="10" t="s">
        <v>8450</v>
      </c>
      <c r="K3860" s="12">
        <v>46021</v>
      </c>
      <c r="L3860" s="28" t="s">
        <v>11</v>
      </c>
      <c r="M3860" s="14"/>
      <c r="N3860" s="10" t="s">
        <v>1096</v>
      </c>
    </row>
    <row r="3861" spans="1:14" ht="22.5" customHeight="1">
      <c r="A3861" s="8">
        <v>46021.548355578707</v>
      </c>
      <c r="B3861" s="9" t="s">
        <v>14</v>
      </c>
      <c r="C3861" s="9" t="s">
        <v>15</v>
      </c>
      <c r="D3861" s="10" t="s">
        <v>8451</v>
      </c>
      <c r="E3861" s="9" t="s">
        <v>22</v>
      </c>
      <c r="F3861" s="10">
        <v>33</v>
      </c>
      <c r="G3861" s="11">
        <v>7032296862</v>
      </c>
      <c r="H3861" s="10" t="s">
        <v>8452</v>
      </c>
      <c r="I3861" s="10" t="s">
        <v>49</v>
      </c>
      <c r="J3861" s="10" t="s">
        <v>160</v>
      </c>
      <c r="K3861" s="12">
        <v>46021</v>
      </c>
      <c r="L3861" s="28" t="s">
        <v>11</v>
      </c>
      <c r="M3861" s="14"/>
      <c r="N3861" s="10" t="s">
        <v>1028</v>
      </c>
    </row>
    <row r="3862" spans="1:14" ht="22.5" customHeight="1">
      <c r="A3862" s="8">
        <v>46021.559834398147</v>
      </c>
      <c r="B3862" s="9" t="s">
        <v>14</v>
      </c>
      <c r="C3862" s="9" t="s">
        <v>15</v>
      </c>
      <c r="D3862" s="10" t="s">
        <v>8453</v>
      </c>
      <c r="E3862" s="9" t="s">
        <v>17</v>
      </c>
      <c r="F3862" s="10">
        <v>23</v>
      </c>
      <c r="G3862" s="11">
        <v>8123618984</v>
      </c>
      <c r="H3862" s="10" t="s">
        <v>8454</v>
      </c>
      <c r="I3862" s="10" t="s">
        <v>27</v>
      </c>
      <c r="J3862" s="10" t="s">
        <v>8455</v>
      </c>
      <c r="K3862" s="12">
        <v>37416</v>
      </c>
      <c r="L3862" s="28" t="s">
        <v>11</v>
      </c>
      <c r="M3862" s="14"/>
      <c r="N3862" s="10" t="s">
        <v>1096</v>
      </c>
    </row>
    <row r="3863" spans="1:14" ht="22.5" customHeight="1">
      <c r="A3863" s="8">
        <v>46021.565120416664</v>
      </c>
      <c r="B3863" s="9" t="s">
        <v>14</v>
      </c>
      <c r="C3863" s="9" t="s">
        <v>15</v>
      </c>
      <c r="D3863" s="10" t="s">
        <v>8456</v>
      </c>
      <c r="E3863" s="9" t="s">
        <v>17</v>
      </c>
      <c r="F3863" s="10">
        <v>30</v>
      </c>
      <c r="G3863" s="11">
        <v>9046798396</v>
      </c>
      <c r="H3863" s="10" t="s">
        <v>8457</v>
      </c>
      <c r="I3863" s="10" t="s">
        <v>49</v>
      </c>
      <c r="J3863" s="10" t="s">
        <v>73</v>
      </c>
      <c r="K3863" s="12">
        <v>46021</v>
      </c>
      <c r="L3863" s="28" t="s">
        <v>11</v>
      </c>
      <c r="M3863" s="14"/>
      <c r="N3863" s="10" t="s">
        <v>1028</v>
      </c>
    </row>
    <row r="3864" spans="1:14" ht="22.5" customHeight="1">
      <c r="A3864" s="8">
        <v>46021.568657986107</v>
      </c>
      <c r="B3864" s="9" t="s">
        <v>14</v>
      </c>
      <c r="C3864" s="9" t="s">
        <v>15</v>
      </c>
      <c r="D3864" s="10" t="s">
        <v>8458</v>
      </c>
      <c r="E3864" s="9" t="s">
        <v>22</v>
      </c>
      <c r="F3864" s="10">
        <v>28</v>
      </c>
      <c r="G3864" s="11">
        <v>9063971008</v>
      </c>
      <c r="H3864" s="10" t="s">
        <v>8459</v>
      </c>
      <c r="I3864" s="10" t="s">
        <v>27</v>
      </c>
      <c r="J3864" s="10" t="s">
        <v>703</v>
      </c>
      <c r="K3864" s="12">
        <v>46021</v>
      </c>
      <c r="L3864" s="28" t="s">
        <v>11</v>
      </c>
      <c r="M3864" s="14"/>
      <c r="N3864" s="10" t="s">
        <v>1028</v>
      </c>
    </row>
    <row r="3865" spans="1:14" ht="22.5" customHeight="1">
      <c r="A3865" s="8">
        <v>46021.569253136578</v>
      </c>
      <c r="B3865" s="9" t="s">
        <v>14</v>
      </c>
      <c r="C3865" s="9" t="s">
        <v>15</v>
      </c>
      <c r="D3865" s="10" t="s">
        <v>8460</v>
      </c>
      <c r="E3865" s="9" t="s">
        <v>17</v>
      </c>
      <c r="F3865" s="10">
        <v>26</v>
      </c>
      <c r="G3865" s="11">
        <v>8153961084</v>
      </c>
      <c r="H3865" s="10" t="s">
        <v>8461</v>
      </c>
      <c r="I3865" s="10" t="s">
        <v>49</v>
      </c>
      <c r="J3865" s="10" t="s">
        <v>73</v>
      </c>
      <c r="K3865" s="12">
        <v>46021</v>
      </c>
      <c r="L3865" s="28" t="s">
        <v>11</v>
      </c>
      <c r="M3865" s="14"/>
      <c r="N3865" s="10" t="s">
        <v>1028</v>
      </c>
    </row>
    <row r="3866" spans="1:14" ht="22.5" customHeight="1">
      <c r="A3866" s="8">
        <v>46021.570911759263</v>
      </c>
      <c r="B3866" s="9" t="s">
        <v>14</v>
      </c>
      <c r="C3866" s="9" t="s">
        <v>15</v>
      </c>
      <c r="D3866" s="10" t="s">
        <v>8462</v>
      </c>
      <c r="E3866" s="9" t="s">
        <v>17</v>
      </c>
      <c r="F3866" s="10">
        <v>34</v>
      </c>
      <c r="G3866" s="11">
        <v>7014850519</v>
      </c>
      <c r="H3866" s="10" t="s">
        <v>8463</v>
      </c>
      <c r="I3866" s="10" t="s">
        <v>19</v>
      </c>
      <c r="J3866" s="10" t="s">
        <v>1845</v>
      </c>
      <c r="K3866" s="12">
        <v>46021</v>
      </c>
      <c r="L3866" s="28" t="s">
        <v>11</v>
      </c>
      <c r="M3866" s="14"/>
      <c r="N3866" s="10" t="s">
        <v>1028</v>
      </c>
    </row>
    <row r="3867" spans="1:14" ht="22.5" customHeight="1">
      <c r="A3867" s="8">
        <v>46021.572351828705</v>
      </c>
      <c r="B3867" s="9" t="s">
        <v>14</v>
      </c>
      <c r="C3867" s="9" t="s">
        <v>15</v>
      </c>
      <c r="D3867" s="10" t="s">
        <v>8464</v>
      </c>
      <c r="E3867" s="9" t="s">
        <v>22</v>
      </c>
      <c r="F3867" s="19">
        <v>28</v>
      </c>
      <c r="G3867" s="11">
        <v>7030117913</v>
      </c>
      <c r="H3867" s="10" t="s">
        <v>8465</v>
      </c>
      <c r="I3867" s="10" t="s">
        <v>27</v>
      </c>
      <c r="J3867" s="10" t="s">
        <v>70</v>
      </c>
      <c r="K3867" s="12">
        <v>46021</v>
      </c>
      <c r="L3867" s="28" t="s">
        <v>11</v>
      </c>
      <c r="M3867" s="14"/>
      <c r="N3867" s="10" t="s">
        <v>1028</v>
      </c>
    </row>
    <row r="3868" spans="1:14" ht="22.5" customHeight="1">
      <c r="A3868" s="8">
        <v>46021.573093483792</v>
      </c>
      <c r="B3868" s="9" t="s">
        <v>14</v>
      </c>
      <c r="C3868" s="9" t="s">
        <v>15</v>
      </c>
      <c r="D3868" s="10" t="s">
        <v>8466</v>
      </c>
      <c r="E3868" s="9" t="s">
        <v>17</v>
      </c>
      <c r="F3868" s="10">
        <v>28</v>
      </c>
      <c r="G3868" s="11">
        <v>8186378827</v>
      </c>
      <c r="H3868" s="10" t="s">
        <v>8467</v>
      </c>
      <c r="I3868" s="10" t="s">
        <v>49</v>
      </c>
      <c r="J3868" s="10" t="s">
        <v>50</v>
      </c>
      <c r="K3868" s="12">
        <v>46021</v>
      </c>
      <c r="L3868" s="28" t="s">
        <v>11</v>
      </c>
      <c r="M3868" s="14"/>
      <c r="N3868" s="10" t="s">
        <v>1096</v>
      </c>
    </row>
    <row r="3869" spans="1:14" ht="22.5" customHeight="1">
      <c r="A3869" s="8">
        <v>46021.574212893524</v>
      </c>
      <c r="B3869" s="9" t="s">
        <v>14</v>
      </c>
      <c r="C3869" s="9" t="s">
        <v>15</v>
      </c>
      <c r="D3869" s="10" t="s">
        <v>8468</v>
      </c>
      <c r="E3869" s="9" t="s">
        <v>17</v>
      </c>
      <c r="F3869" s="10">
        <v>28</v>
      </c>
      <c r="G3869" s="11">
        <v>7034261735</v>
      </c>
      <c r="H3869" s="10" t="s">
        <v>8469</v>
      </c>
      <c r="I3869" s="10" t="s">
        <v>27</v>
      </c>
      <c r="J3869" s="10" t="s">
        <v>2348</v>
      </c>
      <c r="K3869" s="12">
        <v>46021</v>
      </c>
      <c r="L3869" s="28" t="s">
        <v>11</v>
      </c>
      <c r="M3869" s="14"/>
      <c r="N3869" s="10" t="s">
        <v>1028</v>
      </c>
    </row>
    <row r="3870" spans="1:14" ht="22.5" customHeight="1">
      <c r="A3870" s="8">
        <v>46021.575481712964</v>
      </c>
      <c r="B3870" s="9" t="s">
        <v>14</v>
      </c>
      <c r="C3870" s="9" t="s">
        <v>15</v>
      </c>
      <c r="D3870" s="10" t="s">
        <v>8470</v>
      </c>
      <c r="E3870" s="9" t="s">
        <v>17</v>
      </c>
      <c r="F3870" s="10">
        <v>31</v>
      </c>
      <c r="G3870" s="11">
        <v>8138944394</v>
      </c>
      <c r="H3870" s="10" t="s">
        <v>8471</v>
      </c>
      <c r="I3870" s="10" t="s">
        <v>49</v>
      </c>
      <c r="J3870" s="10" t="s">
        <v>50</v>
      </c>
      <c r="K3870" s="12">
        <v>46021</v>
      </c>
      <c r="L3870" s="28" t="s">
        <v>11</v>
      </c>
      <c r="M3870" s="14"/>
      <c r="N3870" s="10" t="s">
        <v>1096</v>
      </c>
    </row>
    <row r="3871" spans="1:14" ht="22.5" customHeight="1">
      <c r="A3871" s="8">
        <v>46021.578666458328</v>
      </c>
      <c r="B3871" s="9" t="s">
        <v>14</v>
      </c>
      <c r="C3871" s="9" t="s">
        <v>15</v>
      </c>
      <c r="D3871" s="10" t="s">
        <v>8472</v>
      </c>
      <c r="E3871" s="9" t="s">
        <v>17</v>
      </c>
      <c r="F3871" s="10">
        <v>32</v>
      </c>
      <c r="G3871" s="11">
        <v>7031833741</v>
      </c>
      <c r="H3871" s="10" t="s">
        <v>8473</v>
      </c>
      <c r="I3871" s="10" t="s">
        <v>49</v>
      </c>
      <c r="J3871" s="10" t="s">
        <v>208</v>
      </c>
      <c r="K3871" s="12">
        <v>46021</v>
      </c>
      <c r="L3871" s="28" t="s">
        <v>11</v>
      </c>
      <c r="M3871" s="14"/>
      <c r="N3871" s="10" t="s">
        <v>1028</v>
      </c>
    </row>
    <row r="3872" spans="1:14" ht="22.5" customHeight="1">
      <c r="A3872" s="8">
        <v>46021.584269189814</v>
      </c>
      <c r="B3872" s="9" t="s">
        <v>14</v>
      </c>
      <c r="C3872" s="9" t="s">
        <v>15</v>
      </c>
      <c r="D3872" s="10" t="s">
        <v>8474</v>
      </c>
      <c r="E3872" s="9" t="s">
        <v>22</v>
      </c>
      <c r="F3872" s="10">
        <v>22</v>
      </c>
      <c r="G3872" s="11">
        <v>9132022145</v>
      </c>
      <c r="H3872" s="10" t="s">
        <v>8475</v>
      </c>
      <c r="I3872" s="10" t="s">
        <v>27</v>
      </c>
      <c r="J3872" s="10" t="s">
        <v>2031</v>
      </c>
      <c r="K3872" s="12">
        <v>46021</v>
      </c>
      <c r="L3872" s="28" t="s">
        <v>11</v>
      </c>
      <c r="M3872" s="14"/>
      <c r="N3872" s="10" t="s">
        <v>1028</v>
      </c>
    </row>
    <row r="3873" spans="1:14" ht="22.5" customHeight="1">
      <c r="A3873" s="8">
        <v>46021.589099907404</v>
      </c>
      <c r="B3873" s="9" t="s">
        <v>14</v>
      </c>
      <c r="C3873" s="9" t="s">
        <v>15</v>
      </c>
      <c r="D3873" s="10" t="s">
        <v>8476</v>
      </c>
      <c r="E3873" s="9" t="s">
        <v>17</v>
      </c>
      <c r="F3873" s="10">
        <v>33</v>
      </c>
      <c r="G3873" s="11">
        <v>8036237874</v>
      </c>
      <c r="H3873" s="10" t="s">
        <v>8477</v>
      </c>
      <c r="I3873" s="10" t="s">
        <v>27</v>
      </c>
      <c r="J3873" s="10" t="s">
        <v>2196</v>
      </c>
      <c r="K3873" s="12">
        <v>46021</v>
      </c>
      <c r="L3873" s="28" t="s">
        <v>11</v>
      </c>
      <c r="M3873" s="14"/>
      <c r="N3873" s="10" t="s">
        <v>1028</v>
      </c>
    </row>
    <row r="3874" spans="1:14" ht="22.5" customHeight="1">
      <c r="A3874" s="8">
        <v>46021.590574178241</v>
      </c>
      <c r="B3874" s="9" t="s">
        <v>14</v>
      </c>
      <c r="C3874" s="9" t="s">
        <v>15</v>
      </c>
      <c r="D3874" s="10" t="s">
        <v>8478</v>
      </c>
      <c r="E3874" s="9" t="s">
        <v>17</v>
      </c>
      <c r="F3874" s="10">
        <v>35</v>
      </c>
      <c r="G3874" s="11">
        <v>8065662412</v>
      </c>
      <c r="H3874" s="10" t="s">
        <v>8479</v>
      </c>
      <c r="I3874" s="10" t="s">
        <v>19</v>
      </c>
      <c r="J3874" s="10" t="s">
        <v>6806</v>
      </c>
      <c r="K3874" s="12">
        <v>46021</v>
      </c>
      <c r="L3874" s="28" t="s">
        <v>11</v>
      </c>
      <c r="M3874" s="14"/>
      <c r="N3874" s="10" t="s">
        <v>1028</v>
      </c>
    </row>
    <row r="3875" spans="1:14" ht="22.5" customHeight="1">
      <c r="A3875" s="8">
        <v>46021.590922013886</v>
      </c>
      <c r="B3875" s="9" t="s">
        <v>14</v>
      </c>
      <c r="C3875" s="9" t="s">
        <v>15</v>
      </c>
      <c r="D3875" s="10" t="s">
        <v>8480</v>
      </c>
      <c r="E3875" s="9" t="s">
        <v>22</v>
      </c>
      <c r="F3875" s="10">
        <v>29</v>
      </c>
      <c r="G3875" s="11">
        <v>9064187434</v>
      </c>
      <c r="H3875" s="10" t="s">
        <v>8481</v>
      </c>
      <c r="I3875" s="10" t="s">
        <v>27</v>
      </c>
      <c r="J3875" s="10" t="s">
        <v>27</v>
      </c>
      <c r="K3875" s="12">
        <v>46021</v>
      </c>
      <c r="L3875" s="28" t="s">
        <v>11</v>
      </c>
      <c r="M3875" s="14"/>
      <c r="N3875" s="10" t="s">
        <v>1028</v>
      </c>
    </row>
    <row r="3876" spans="1:14" ht="22.5" customHeight="1">
      <c r="A3876" s="8">
        <v>46021.597358819447</v>
      </c>
      <c r="B3876" s="9" t="s">
        <v>14</v>
      </c>
      <c r="C3876" s="9" t="s">
        <v>15</v>
      </c>
      <c r="D3876" s="10" t="s">
        <v>8482</v>
      </c>
      <c r="E3876" s="9" t="s">
        <v>17</v>
      </c>
      <c r="F3876" s="10">
        <v>31</v>
      </c>
      <c r="G3876" s="11">
        <v>9133800839</v>
      </c>
      <c r="H3876" s="10" t="s">
        <v>8483</v>
      </c>
      <c r="I3876" s="10" t="s">
        <v>27</v>
      </c>
      <c r="J3876" s="10" t="s">
        <v>1314</v>
      </c>
      <c r="K3876" s="12">
        <v>46021</v>
      </c>
      <c r="L3876" s="28" t="s">
        <v>11</v>
      </c>
      <c r="M3876" s="14"/>
      <c r="N3876" s="10" t="s">
        <v>1028</v>
      </c>
    </row>
    <row r="3877" spans="1:14" ht="22.5" customHeight="1">
      <c r="A3877" s="8">
        <v>46021.599504641199</v>
      </c>
      <c r="B3877" s="9" t="s">
        <v>14</v>
      </c>
      <c r="C3877" s="9" t="s">
        <v>15</v>
      </c>
      <c r="D3877" s="10" t="s">
        <v>8484</v>
      </c>
      <c r="E3877" s="9" t="s">
        <v>22</v>
      </c>
      <c r="F3877" s="10">
        <v>26</v>
      </c>
      <c r="G3877" s="11">
        <v>8122461978</v>
      </c>
      <c r="H3877" s="10" t="s">
        <v>8485</v>
      </c>
      <c r="I3877" s="10" t="s">
        <v>27</v>
      </c>
      <c r="J3877" s="10" t="s">
        <v>8486</v>
      </c>
      <c r="K3877" s="12">
        <v>46021</v>
      </c>
      <c r="L3877" s="28" t="s">
        <v>11</v>
      </c>
      <c r="M3877" s="14"/>
      <c r="N3877" s="10" t="s">
        <v>1028</v>
      </c>
    </row>
    <row r="3878" spans="1:14" ht="22.5" customHeight="1">
      <c r="A3878" s="8">
        <v>46021.60168871528</v>
      </c>
      <c r="B3878" s="9" t="s">
        <v>14</v>
      </c>
      <c r="C3878" s="9" t="s">
        <v>15</v>
      </c>
      <c r="D3878" s="10" t="s">
        <v>8105</v>
      </c>
      <c r="E3878" s="9" t="s">
        <v>17</v>
      </c>
      <c r="F3878" s="10">
        <v>24</v>
      </c>
      <c r="G3878" s="11">
        <v>8026361188</v>
      </c>
      <c r="H3878" s="10" t="s">
        <v>8487</v>
      </c>
      <c r="I3878" s="10" t="s">
        <v>27</v>
      </c>
      <c r="J3878" s="10" t="s">
        <v>94</v>
      </c>
      <c r="K3878" s="12">
        <v>46021</v>
      </c>
      <c r="L3878" s="28" t="s">
        <v>11</v>
      </c>
      <c r="M3878" s="14"/>
      <c r="N3878" s="10" t="s">
        <v>1096</v>
      </c>
    </row>
    <row r="3879" spans="1:14" ht="22.5" customHeight="1">
      <c r="A3879" s="8">
        <v>46021.603180659724</v>
      </c>
      <c r="B3879" s="9" t="s">
        <v>14</v>
      </c>
      <c r="C3879" s="9" t="s">
        <v>15</v>
      </c>
      <c r="D3879" s="10" t="s">
        <v>8488</v>
      </c>
      <c r="E3879" s="9" t="s">
        <v>22</v>
      </c>
      <c r="F3879" s="10">
        <v>34</v>
      </c>
      <c r="G3879" s="11">
        <v>8164708981</v>
      </c>
      <c r="H3879" s="10" t="s">
        <v>8489</v>
      </c>
      <c r="I3879" s="10" t="s">
        <v>45</v>
      </c>
      <c r="J3879" s="10" t="s">
        <v>521</v>
      </c>
      <c r="K3879" s="12">
        <v>46021</v>
      </c>
      <c r="L3879" s="28" t="s">
        <v>11</v>
      </c>
      <c r="M3879" s="10"/>
      <c r="N3879" s="10" t="s">
        <v>5610</v>
      </c>
    </row>
    <row r="3880" spans="1:14" ht="22.5" customHeight="1">
      <c r="A3880" s="8">
        <v>46021.605711041666</v>
      </c>
      <c r="B3880" s="9" t="s">
        <v>14</v>
      </c>
      <c r="C3880" s="9" t="s">
        <v>15</v>
      </c>
      <c r="D3880" s="10" t="s">
        <v>8490</v>
      </c>
      <c r="E3880" s="9" t="s">
        <v>17</v>
      </c>
      <c r="F3880" s="10">
        <v>27</v>
      </c>
      <c r="G3880" s="11">
        <v>9064372298</v>
      </c>
      <c r="H3880" s="10" t="s">
        <v>8491</v>
      </c>
      <c r="I3880" s="10" t="s">
        <v>27</v>
      </c>
      <c r="J3880" s="10" t="s">
        <v>172</v>
      </c>
      <c r="K3880" s="12">
        <v>46021</v>
      </c>
      <c r="L3880" s="28" t="s">
        <v>11</v>
      </c>
      <c r="M3880" s="14"/>
      <c r="N3880" s="10" t="s">
        <v>1028</v>
      </c>
    </row>
    <row r="3881" spans="1:14" ht="22.5" customHeight="1">
      <c r="A3881" s="8">
        <v>46021.605978217594</v>
      </c>
      <c r="B3881" s="9" t="s">
        <v>14</v>
      </c>
      <c r="C3881" s="9" t="s">
        <v>15</v>
      </c>
      <c r="D3881" s="10" t="s">
        <v>8492</v>
      </c>
      <c r="E3881" s="9" t="s">
        <v>17</v>
      </c>
      <c r="F3881" s="10">
        <v>30</v>
      </c>
      <c r="G3881" s="11">
        <v>7055558522</v>
      </c>
      <c r="H3881" s="10" t="s">
        <v>8493</v>
      </c>
      <c r="I3881" s="10" t="s">
        <v>45</v>
      </c>
      <c r="J3881" s="10" t="s">
        <v>8494</v>
      </c>
      <c r="K3881" s="12">
        <v>46021</v>
      </c>
      <c r="L3881" s="28" t="s">
        <v>11</v>
      </c>
      <c r="M3881" s="14"/>
      <c r="N3881" s="10" t="s">
        <v>1028</v>
      </c>
    </row>
    <row r="3882" spans="1:14" ht="22.5" customHeight="1">
      <c r="A3882" s="8">
        <v>46021.606222060189</v>
      </c>
      <c r="B3882" s="9" t="s">
        <v>14</v>
      </c>
      <c r="C3882" s="9" t="s">
        <v>15</v>
      </c>
      <c r="D3882" s="10" t="s">
        <v>8495</v>
      </c>
      <c r="E3882" s="9" t="s">
        <v>22</v>
      </c>
      <c r="F3882" s="10">
        <v>35</v>
      </c>
      <c r="G3882" s="11">
        <v>8166581837</v>
      </c>
      <c r="H3882" s="10" t="s">
        <v>8496</v>
      </c>
      <c r="I3882" s="10" t="s">
        <v>45</v>
      </c>
      <c r="J3882" s="10" t="s">
        <v>2072</v>
      </c>
      <c r="K3882" s="12">
        <v>32593</v>
      </c>
      <c r="L3882" s="28" t="s">
        <v>11</v>
      </c>
      <c r="M3882" s="14"/>
      <c r="N3882" s="10" t="s">
        <v>1028</v>
      </c>
    </row>
    <row r="3883" spans="1:14" ht="22.5" customHeight="1">
      <c r="A3883" s="8">
        <v>46021.609662488423</v>
      </c>
      <c r="B3883" s="9" t="s">
        <v>14</v>
      </c>
      <c r="C3883" s="9" t="s">
        <v>15</v>
      </c>
      <c r="D3883" s="10" t="s">
        <v>8497</v>
      </c>
      <c r="E3883" s="9" t="s">
        <v>17</v>
      </c>
      <c r="F3883" s="10">
        <v>29</v>
      </c>
      <c r="G3883" s="11">
        <v>9032372772</v>
      </c>
      <c r="H3883" s="10" t="s">
        <v>8498</v>
      </c>
      <c r="I3883" s="10" t="s">
        <v>49</v>
      </c>
      <c r="J3883" s="10" t="s">
        <v>282</v>
      </c>
      <c r="K3883" s="12">
        <v>46021</v>
      </c>
      <c r="L3883" s="28" t="s">
        <v>11</v>
      </c>
      <c r="M3883" s="14"/>
      <c r="N3883" s="10" t="s">
        <v>1028</v>
      </c>
    </row>
    <row r="3884" spans="1:14" ht="22.5" customHeight="1">
      <c r="A3884" s="8">
        <v>46021.617320983802</v>
      </c>
      <c r="B3884" s="9" t="s">
        <v>14</v>
      </c>
      <c r="C3884" s="9" t="s">
        <v>15</v>
      </c>
      <c r="D3884" s="10" t="s">
        <v>8499</v>
      </c>
      <c r="E3884" s="9" t="s">
        <v>22</v>
      </c>
      <c r="F3884" s="10">
        <v>28</v>
      </c>
      <c r="G3884" s="11">
        <v>9051157492</v>
      </c>
      <c r="H3884" s="10" t="s">
        <v>8500</v>
      </c>
      <c r="I3884" s="10" t="s">
        <v>49</v>
      </c>
      <c r="J3884" s="10" t="s">
        <v>362</v>
      </c>
      <c r="K3884" s="12">
        <v>46021</v>
      </c>
      <c r="L3884" s="28" t="s">
        <v>11</v>
      </c>
      <c r="M3884" s="14"/>
      <c r="N3884" s="10" t="s">
        <v>1096</v>
      </c>
    </row>
    <row r="3885" spans="1:14" ht="22.5" customHeight="1">
      <c r="A3885" s="8">
        <v>46021.617824108791</v>
      </c>
      <c r="B3885" s="9" t="s">
        <v>14</v>
      </c>
      <c r="C3885" s="9" t="s">
        <v>15</v>
      </c>
      <c r="D3885" s="10" t="s">
        <v>8501</v>
      </c>
      <c r="E3885" s="9" t="s">
        <v>17</v>
      </c>
      <c r="F3885" s="10">
        <v>32</v>
      </c>
      <c r="G3885" s="11">
        <v>8114225494</v>
      </c>
      <c r="H3885" s="10" t="s">
        <v>8502</v>
      </c>
      <c r="I3885" s="10" t="s">
        <v>49</v>
      </c>
      <c r="J3885" s="10" t="s">
        <v>606</v>
      </c>
      <c r="K3885" s="12">
        <v>46021</v>
      </c>
      <c r="L3885" s="28" t="s">
        <v>11</v>
      </c>
      <c r="M3885" s="14"/>
      <c r="N3885" s="10" t="s">
        <v>1028</v>
      </c>
    </row>
    <row r="3886" spans="1:14" ht="22.5" customHeight="1">
      <c r="A3886" s="8">
        <v>46021.619109178238</v>
      </c>
      <c r="B3886" s="9" t="s">
        <v>14</v>
      </c>
      <c r="C3886" s="9" t="s">
        <v>15</v>
      </c>
      <c r="D3886" s="10" t="s">
        <v>8503</v>
      </c>
      <c r="E3886" s="9" t="s">
        <v>17</v>
      </c>
      <c r="F3886" s="10">
        <v>26</v>
      </c>
      <c r="G3886" s="11">
        <v>7016239994</v>
      </c>
      <c r="H3886" s="10" t="s">
        <v>8504</v>
      </c>
      <c r="I3886" s="10" t="s">
        <v>49</v>
      </c>
      <c r="J3886" s="10" t="s">
        <v>319</v>
      </c>
      <c r="K3886" s="12">
        <v>46021</v>
      </c>
      <c r="L3886" s="28" t="s">
        <v>11</v>
      </c>
      <c r="M3886" s="14"/>
      <c r="N3886" s="10" t="s">
        <v>1028</v>
      </c>
    </row>
    <row r="3887" spans="1:14" ht="22.5" customHeight="1">
      <c r="A3887" s="8">
        <v>46021.620281215277</v>
      </c>
      <c r="B3887" s="9" t="s">
        <v>14</v>
      </c>
      <c r="C3887" s="9" t="s">
        <v>15</v>
      </c>
      <c r="D3887" s="10" t="s">
        <v>8505</v>
      </c>
      <c r="E3887" s="9" t="s">
        <v>17</v>
      </c>
      <c r="F3887" s="10">
        <v>29</v>
      </c>
      <c r="G3887" s="11">
        <v>7033745893</v>
      </c>
      <c r="H3887" s="10" t="s">
        <v>8506</v>
      </c>
      <c r="I3887" s="10" t="s">
        <v>27</v>
      </c>
      <c r="J3887" s="10" t="s">
        <v>8507</v>
      </c>
      <c r="K3887" s="12">
        <v>46021</v>
      </c>
      <c r="L3887" s="28" t="s">
        <v>11</v>
      </c>
      <c r="M3887" s="14"/>
      <c r="N3887" s="10" t="s">
        <v>2186</v>
      </c>
    </row>
    <row r="3888" spans="1:14" ht="22.5" customHeight="1">
      <c r="A3888" s="8">
        <v>46021.624036284724</v>
      </c>
      <c r="B3888" s="9" t="s">
        <v>14</v>
      </c>
      <c r="C3888" s="9" t="s">
        <v>15</v>
      </c>
      <c r="D3888" s="10" t="s">
        <v>8508</v>
      </c>
      <c r="E3888" s="9" t="s">
        <v>22</v>
      </c>
      <c r="F3888" s="10">
        <v>28</v>
      </c>
      <c r="G3888" s="11">
        <v>8100525374</v>
      </c>
      <c r="H3888" s="10" t="s">
        <v>8509</v>
      </c>
      <c r="I3888" s="10" t="s">
        <v>31</v>
      </c>
      <c r="J3888" s="10" t="s">
        <v>1786</v>
      </c>
      <c r="K3888" s="12">
        <v>46021</v>
      </c>
      <c r="L3888" s="28" t="s">
        <v>11</v>
      </c>
      <c r="M3888" s="14"/>
      <c r="N3888" s="10" t="s">
        <v>1028</v>
      </c>
    </row>
    <row r="3889" spans="1:14" ht="22.5" customHeight="1">
      <c r="A3889" s="8">
        <v>46021.62636332176</v>
      </c>
      <c r="B3889" s="9" t="s">
        <v>14</v>
      </c>
      <c r="C3889" s="9" t="s">
        <v>15</v>
      </c>
      <c r="D3889" s="10" t="s">
        <v>8510</v>
      </c>
      <c r="E3889" s="9" t="s">
        <v>17</v>
      </c>
      <c r="F3889" s="10">
        <v>30</v>
      </c>
      <c r="G3889" s="11">
        <v>8179197365</v>
      </c>
      <c r="H3889" s="10" t="s">
        <v>8511</v>
      </c>
      <c r="I3889" s="10" t="s">
        <v>49</v>
      </c>
      <c r="J3889" s="10" t="s">
        <v>73</v>
      </c>
      <c r="K3889" s="12">
        <v>46021</v>
      </c>
      <c r="L3889" s="28" t="s">
        <v>11</v>
      </c>
      <c r="M3889" s="14"/>
      <c r="N3889" s="10" t="s">
        <v>1096</v>
      </c>
    </row>
    <row r="3890" spans="1:14" ht="22.5" customHeight="1">
      <c r="A3890" s="8">
        <v>46021.628262962964</v>
      </c>
      <c r="B3890" s="9" t="s">
        <v>14</v>
      </c>
      <c r="C3890" s="9" t="s">
        <v>15</v>
      </c>
      <c r="D3890" s="10" t="s">
        <v>8512</v>
      </c>
      <c r="E3890" s="9" t="s">
        <v>17</v>
      </c>
      <c r="F3890" s="10">
        <v>28</v>
      </c>
      <c r="G3890" s="11">
        <v>8034407455</v>
      </c>
      <c r="H3890" s="10" t="s">
        <v>8513</v>
      </c>
      <c r="I3890" s="10" t="s">
        <v>27</v>
      </c>
      <c r="J3890" s="10" t="s">
        <v>2258</v>
      </c>
      <c r="K3890" s="12">
        <v>46021</v>
      </c>
      <c r="L3890" s="28" t="s">
        <v>11</v>
      </c>
      <c r="M3890" s="14"/>
      <c r="N3890" s="10" t="s">
        <v>1028</v>
      </c>
    </row>
    <row r="3891" spans="1:14" ht="22.5" customHeight="1">
      <c r="A3891" s="8">
        <v>46021.628345879624</v>
      </c>
      <c r="B3891" s="9" t="s">
        <v>14</v>
      </c>
      <c r="C3891" s="9" t="s">
        <v>15</v>
      </c>
      <c r="D3891" s="10" t="s">
        <v>8514</v>
      </c>
      <c r="E3891" s="9" t="s">
        <v>17</v>
      </c>
      <c r="F3891" s="10">
        <v>29</v>
      </c>
      <c r="G3891" s="11">
        <v>7032914321</v>
      </c>
      <c r="H3891" s="10" t="s">
        <v>8515</v>
      </c>
      <c r="I3891" s="10" t="s">
        <v>27</v>
      </c>
      <c r="J3891" s="10" t="s">
        <v>1735</v>
      </c>
      <c r="K3891" s="12">
        <v>35380</v>
      </c>
      <c r="L3891" s="28" t="s">
        <v>11</v>
      </c>
      <c r="M3891" s="14"/>
      <c r="N3891" s="10" t="s">
        <v>1096</v>
      </c>
    </row>
    <row r="3892" spans="1:14" ht="22.5" customHeight="1">
      <c r="A3892" s="8">
        <v>46021.631607581017</v>
      </c>
      <c r="B3892" s="9" t="s">
        <v>14</v>
      </c>
      <c r="C3892" s="9" t="s">
        <v>15</v>
      </c>
      <c r="D3892" s="10" t="s">
        <v>8516</v>
      </c>
      <c r="E3892" s="9" t="s">
        <v>17</v>
      </c>
      <c r="F3892" s="10">
        <v>34</v>
      </c>
      <c r="G3892" s="11">
        <v>7016082120</v>
      </c>
      <c r="H3892" s="10" t="s">
        <v>8517</v>
      </c>
      <c r="I3892" s="10" t="s">
        <v>27</v>
      </c>
      <c r="J3892" s="10" t="s">
        <v>1559</v>
      </c>
      <c r="K3892" s="12">
        <v>46021</v>
      </c>
      <c r="L3892" s="28" t="s">
        <v>11</v>
      </c>
      <c r="M3892" s="10"/>
      <c r="N3892" s="10" t="s">
        <v>1028</v>
      </c>
    </row>
    <row r="3893" spans="1:14" ht="22.5" customHeight="1">
      <c r="A3893" s="8">
        <v>46021.631836956018</v>
      </c>
      <c r="B3893" s="9" t="s">
        <v>14</v>
      </c>
      <c r="C3893" s="9" t="s">
        <v>15</v>
      </c>
      <c r="D3893" s="10" t="s">
        <v>8518</v>
      </c>
      <c r="E3893" s="9" t="s">
        <v>22</v>
      </c>
      <c r="F3893" s="10">
        <v>24</v>
      </c>
      <c r="G3893" s="11">
        <v>8100469936</v>
      </c>
      <c r="H3893" s="10" t="s">
        <v>8519</v>
      </c>
      <c r="I3893" s="10" t="s">
        <v>27</v>
      </c>
      <c r="J3893" s="10" t="s">
        <v>172</v>
      </c>
      <c r="K3893" s="12">
        <v>46021</v>
      </c>
      <c r="L3893" s="28" t="s">
        <v>11</v>
      </c>
      <c r="M3893" s="14"/>
      <c r="N3893" s="10" t="s">
        <v>1096</v>
      </c>
    </row>
    <row r="3894" spans="1:14" ht="22.5" customHeight="1">
      <c r="A3894" s="8">
        <v>46021.63248969907</v>
      </c>
      <c r="B3894" s="9" t="s">
        <v>14</v>
      </c>
      <c r="C3894" s="9" t="s">
        <v>15</v>
      </c>
      <c r="D3894" s="10" t="s">
        <v>8520</v>
      </c>
      <c r="E3894" s="9" t="s">
        <v>17</v>
      </c>
      <c r="F3894" s="10">
        <v>27</v>
      </c>
      <c r="G3894" s="11">
        <v>8064138901</v>
      </c>
      <c r="H3894" s="10" t="s">
        <v>8521</v>
      </c>
      <c r="I3894" s="10" t="s">
        <v>19</v>
      </c>
      <c r="J3894" s="10" t="s">
        <v>8522</v>
      </c>
      <c r="K3894" s="12">
        <v>46021</v>
      </c>
      <c r="L3894" s="28" t="s">
        <v>11</v>
      </c>
      <c r="M3894" s="14"/>
      <c r="N3894" s="10" t="s">
        <v>1028</v>
      </c>
    </row>
    <row r="3895" spans="1:14" ht="22.5" customHeight="1">
      <c r="A3895" s="8">
        <v>46021.641015486108</v>
      </c>
      <c r="B3895" s="9" t="s">
        <v>14</v>
      </c>
      <c r="C3895" s="9" t="s">
        <v>15</v>
      </c>
      <c r="D3895" s="10" t="s">
        <v>8523</v>
      </c>
      <c r="E3895" s="9" t="s">
        <v>17</v>
      </c>
      <c r="F3895" s="10">
        <v>30</v>
      </c>
      <c r="G3895" s="11">
        <v>8065740563</v>
      </c>
      <c r="H3895" s="10" t="s">
        <v>8524</v>
      </c>
      <c r="I3895" s="10" t="s">
        <v>27</v>
      </c>
      <c r="J3895" s="10" t="s">
        <v>1456</v>
      </c>
      <c r="K3895" s="12">
        <v>46021</v>
      </c>
      <c r="L3895" s="28" t="s">
        <v>11</v>
      </c>
      <c r="M3895" s="14"/>
      <c r="N3895" s="10" t="s">
        <v>1028</v>
      </c>
    </row>
    <row r="3896" spans="1:14" ht="22.5" customHeight="1">
      <c r="A3896" s="8">
        <v>46021.643763333333</v>
      </c>
      <c r="B3896" s="9" t="s">
        <v>14</v>
      </c>
      <c r="C3896" s="9" t="s">
        <v>15</v>
      </c>
      <c r="D3896" s="10" t="s">
        <v>8525</v>
      </c>
      <c r="E3896" s="9" t="s">
        <v>17</v>
      </c>
      <c r="F3896" s="10">
        <v>26</v>
      </c>
      <c r="G3896" s="11">
        <v>7014902961</v>
      </c>
      <c r="H3896" s="10" t="s">
        <v>8526</v>
      </c>
      <c r="I3896" s="10" t="s">
        <v>49</v>
      </c>
      <c r="J3896" s="10" t="s">
        <v>73</v>
      </c>
      <c r="K3896" s="12">
        <v>46021</v>
      </c>
      <c r="L3896" s="28" t="s">
        <v>11</v>
      </c>
      <c r="M3896" s="14"/>
      <c r="N3896" s="10" t="s">
        <v>1028</v>
      </c>
    </row>
    <row r="3897" spans="1:14" ht="22.5" customHeight="1">
      <c r="A3897" s="8">
        <v>46021.645649421298</v>
      </c>
      <c r="B3897" s="9" t="s">
        <v>14</v>
      </c>
      <c r="C3897" s="9" t="s">
        <v>15</v>
      </c>
      <c r="D3897" s="10" t="s">
        <v>8527</v>
      </c>
      <c r="E3897" s="9" t="s">
        <v>22</v>
      </c>
      <c r="F3897" s="18">
        <v>27</v>
      </c>
      <c r="G3897" s="11">
        <v>8142190252</v>
      </c>
      <c r="H3897" s="10" t="s">
        <v>8528</v>
      </c>
      <c r="I3897" s="10" t="s">
        <v>202</v>
      </c>
      <c r="J3897" s="10" t="s">
        <v>4020</v>
      </c>
      <c r="K3897" s="12">
        <v>46021</v>
      </c>
      <c r="L3897" s="28" t="s">
        <v>11</v>
      </c>
      <c r="M3897" s="14"/>
      <c r="N3897" s="10" t="s">
        <v>1028</v>
      </c>
    </row>
    <row r="3898" spans="1:14" ht="22.5" customHeight="1">
      <c r="A3898" s="8">
        <v>46021.647686249999</v>
      </c>
      <c r="B3898" s="9" t="s">
        <v>14</v>
      </c>
      <c r="C3898" s="9" t="s">
        <v>15</v>
      </c>
      <c r="D3898" s="10" t="s">
        <v>8529</v>
      </c>
      <c r="E3898" s="9" t="s">
        <v>17</v>
      </c>
      <c r="F3898" s="19">
        <v>31</v>
      </c>
      <c r="G3898" s="11">
        <v>7085292942</v>
      </c>
      <c r="H3898" s="10" t="s">
        <v>8530</v>
      </c>
      <c r="I3898" s="10" t="s">
        <v>49</v>
      </c>
      <c r="J3898" s="10" t="s">
        <v>8531</v>
      </c>
      <c r="K3898" s="12">
        <v>46021</v>
      </c>
      <c r="L3898" s="28" t="s">
        <v>11</v>
      </c>
      <c r="M3898" s="14"/>
      <c r="N3898" s="10" t="s">
        <v>1028</v>
      </c>
    </row>
    <row r="3899" spans="1:14" ht="22.5" customHeight="1">
      <c r="A3899" s="8">
        <v>46021.650417488425</v>
      </c>
      <c r="B3899" s="9" t="s">
        <v>14</v>
      </c>
      <c r="C3899" s="9" t="s">
        <v>15</v>
      </c>
      <c r="D3899" s="10" t="s">
        <v>8532</v>
      </c>
      <c r="E3899" s="9" t="s">
        <v>17</v>
      </c>
      <c r="F3899" s="10">
        <v>38</v>
      </c>
      <c r="G3899" s="11">
        <v>8084358225</v>
      </c>
      <c r="H3899" s="10" t="s">
        <v>8533</v>
      </c>
      <c r="I3899" s="10" t="s">
        <v>27</v>
      </c>
      <c r="J3899" s="10" t="s">
        <v>1949</v>
      </c>
      <c r="K3899" s="12">
        <v>46021</v>
      </c>
      <c r="L3899" s="28" t="s">
        <v>11</v>
      </c>
      <c r="M3899" s="14"/>
      <c r="N3899" s="10" t="s">
        <v>1028</v>
      </c>
    </row>
    <row r="3900" spans="1:14" ht="22.5" customHeight="1">
      <c r="A3900" s="8">
        <v>46021.653357905088</v>
      </c>
      <c r="B3900" s="9" t="s">
        <v>14</v>
      </c>
      <c r="C3900" s="9" t="s">
        <v>15</v>
      </c>
      <c r="D3900" s="10" t="s">
        <v>8534</v>
      </c>
      <c r="E3900" s="9" t="s">
        <v>22</v>
      </c>
      <c r="F3900" s="10">
        <v>28</v>
      </c>
      <c r="G3900" s="11">
        <v>7055887885</v>
      </c>
      <c r="H3900" s="10" t="s">
        <v>8535</v>
      </c>
      <c r="I3900" s="10" t="s">
        <v>49</v>
      </c>
      <c r="J3900" s="10" t="s">
        <v>953</v>
      </c>
      <c r="K3900" s="12">
        <v>46021</v>
      </c>
      <c r="L3900" s="28" t="s">
        <v>11</v>
      </c>
      <c r="M3900" s="14"/>
      <c r="N3900" s="10" t="s">
        <v>1028</v>
      </c>
    </row>
    <row r="3901" spans="1:14" ht="22.5" customHeight="1">
      <c r="A3901" s="8">
        <v>46021.65449616898</v>
      </c>
      <c r="B3901" s="9" t="s">
        <v>14</v>
      </c>
      <c r="C3901" s="9" t="s">
        <v>15</v>
      </c>
      <c r="D3901" s="10" t="s">
        <v>8536</v>
      </c>
      <c r="E3901" s="9" t="s">
        <v>17</v>
      </c>
      <c r="F3901" s="10">
        <v>35</v>
      </c>
      <c r="G3901" s="11">
        <v>7086330262</v>
      </c>
      <c r="H3901" s="10" t="s">
        <v>8537</v>
      </c>
      <c r="I3901" s="10" t="s">
        <v>27</v>
      </c>
      <c r="J3901" s="10" t="s">
        <v>8538</v>
      </c>
      <c r="K3901" s="12">
        <v>46021</v>
      </c>
      <c r="L3901" s="28" t="s">
        <v>11</v>
      </c>
      <c r="M3901" s="14"/>
      <c r="N3901" s="10" t="s">
        <v>1028</v>
      </c>
    </row>
    <row r="3902" spans="1:14" ht="22.5" hidden="1" customHeight="1">
      <c r="A3902" s="8">
        <v>46021.656098252315</v>
      </c>
      <c r="B3902" s="9" t="s">
        <v>14</v>
      </c>
      <c r="C3902" s="9" t="s">
        <v>15</v>
      </c>
      <c r="D3902" s="10" t="s">
        <v>8539</v>
      </c>
      <c r="E3902" s="9" t="s">
        <v>17</v>
      </c>
      <c r="F3902" s="10">
        <v>23</v>
      </c>
      <c r="G3902" s="11">
        <v>9055009899</v>
      </c>
      <c r="H3902" s="10" t="s">
        <v>8540</v>
      </c>
      <c r="I3902" s="10" t="s">
        <v>49</v>
      </c>
      <c r="J3902" s="10" t="s">
        <v>103</v>
      </c>
      <c r="K3902" s="12">
        <v>46021</v>
      </c>
      <c r="L3902" s="10" t="s">
        <v>441</v>
      </c>
      <c r="M3902" s="10" t="s">
        <v>1361</v>
      </c>
      <c r="N3902" s="10" t="s">
        <v>1096</v>
      </c>
    </row>
    <row r="3903" spans="1:14" ht="22.5" hidden="1" customHeight="1">
      <c r="A3903" s="8">
        <v>46021.660895462963</v>
      </c>
      <c r="B3903" s="9" t="s">
        <v>14</v>
      </c>
      <c r="C3903" s="9" t="s">
        <v>15</v>
      </c>
      <c r="D3903" s="10" t="s">
        <v>8541</v>
      </c>
      <c r="E3903" s="9" t="s">
        <v>17</v>
      </c>
      <c r="F3903" s="10">
        <v>26</v>
      </c>
      <c r="G3903" s="11">
        <v>8166422926</v>
      </c>
      <c r="H3903" s="10" t="s">
        <v>8542</v>
      </c>
      <c r="I3903" s="10" t="s">
        <v>202</v>
      </c>
      <c r="J3903" s="10" t="s">
        <v>203</v>
      </c>
      <c r="K3903" s="12">
        <v>46021</v>
      </c>
      <c r="L3903" s="10" t="s">
        <v>441</v>
      </c>
      <c r="M3903" s="10" t="s">
        <v>1361</v>
      </c>
      <c r="N3903" s="10" t="s">
        <v>1028</v>
      </c>
    </row>
    <row r="3904" spans="1:14" ht="22.5" customHeight="1">
      <c r="A3904" s="8">
        <v>46021.662806701388</v>
      </c>
      <c r="B3904" s="9" t="s">
        <v>14</v>
      </c>
      <c r="C3904" s="9" t="s">
        <v>15</v>
      </c>
      <c r="D3904" s="10" t="s">
        <v>8543</v>
      </c>
      <c r="E3904" s="9" t="s">
        <v>22</v>
      </c>
      <c r="F3904" s="10">
        <v>30</v>
      </c>
      <c r="G3904" s="11">
        <v>8140891297</v>
      </c>
      <c r="H3904" s="10" t="s">
        <v>8544</v>
      </c>
      <c r="I3904" s="10" t="s">
        <v>49</v>
      </c>
      <c r="J3904" s="10" t="s">
        <v>160</v>
      </c>
      <c r="K3904" s="12">
        <v>46021</v>
      </c>
      <c r="L3904" s="28" t="s">
        <v>11</v>
      </c>
      <c r="M3904" s="14"/>
      <c r="N3904" s="10" t="s">
        <v>1028</v>
      </c>
    </row>
    <row r="3905" spans="1:14" ht="22.5" customHeight="1">
      <c r="A3905" s="8">
        <v>46021.664836076394</v>
      </c>
      <c r="B3905" s="9" t="s">
        <v>14</v>
      </c>
      <c r="C3905" s="9" t="s">
        <v>15</v>
      </c>
      <c r="D3905" s="10" t="s">
        <v>8545</v>
      </c>
      <c r="E3905" s="9" t="s">
        <v>17</v>
      </c>
      <c r="F3905" s="10">
        <v>26</v>
      </c>
      <c r="G3905" s="11">
        <v>9066143332</v>
      </c>
      <c r="H3905" s="10" t="s">
        <v>8546</v>
      </c>
      <c r="I3905" s="10" t="s">
        <v>49</v>
      </c>
      <c r="J3905" s="10" t="s">
        <v>73</v>
      </c>
      <c r="K3905" s="12">
        <v>46021</v>
      </c>
      <c r="L3905" s="28" t="s">
        <v>11</v>
      </c>
      <c r="M3905" s="14"/>
      <c r="N3905" s="10" t="s">
        <v>1028</v>
      </c>
    </row>
    <row r="3906" spans="1:14" ht="22.5" customHeight="1">
      <c r="A3906" s="8">
        <v>46021.665141458332</v>
      </c>
      <c r="B3906" s="9" t="s">
        <v>14</v>
      </c>
      <c r="C3906" s="9" t="s">
        <v>15</v>
      </c>
      <c r="D3906" s="10" t="s">
        <v>8547</v>
      </c>
      <c r="E3906" s="9" t="s">
        <v>22</v>
      </c>
      <c r="F3906" s="10">
        <v>31</v>
      </c>
      <c r="G3906" s="11">
        <v>8132971819</v>
      </c>
      <c r="H3906" s="10" t="s">
        <v>8548</v>
      </c>
      <c r="I3906" s="10" t="s">
        <v>49</v>
      </c>
      <c r="J3906" s="10" t="s">
        <v>50</v>
      </c>
      <c r="K3906" s="12">
        <v>46021</v>
      </c>
      <c r="L3906" s="28" t="s">
        <v>11</v>
      </c>
      <c r="M3906" s="14"/>
      <c r="N3906" s="10" t="s">
        <v>8549</v>
      </c>
    </row>
    <row r="3907" spans="1:14" ht="22.5" customHeight="1">
      <c r="A3907" s="8">
        <v>46021.670377118055</v>
      </c>
      <c r="B3907" s="9" t="s">
        <v>14</v>
      </c>
      <c r="C3907" s="9" t="s">
        <v>15</v>
      </c>
      <c r="D3907" s="10" t="s">
        <v>8550</v>
      </c>
      <c r="E3907" s="9" t="s">
        <v>22</v>
      </c>
      <c r="F3907" s="10">
        <v>25</v>
      </c>
      <c r="G3907" s="11">
        <v>8131576747</v>
      </c>
      <c r="H3907" s="10" t="s">
        <v>8551</v>
      </c>
      <c r="I3907" s="10" t="s">
        <v>49</v>
      </c>
      <c r="J3907" s="10" t="s">
        <v>8552</v>
      </c>
      <c r="K3907" s="12">
        <v>46021</v>
      </c>
      <c r="L3907" s="28" t="s">
        <v>11</v>
      </c>
      <c r="M3907" s="14"/>
      <c r="N3907" s="10" t="s">
        <v>1028</v>
      </c>
    </row>
    <row r="3908" spans="1:14" ht="22.5" customHeight="1">
      <c r="A3908" s="8">
        <v>46021.670672372682</v>
      </c>
      <c r="B3908" s="9" t="s">
        <v>14</v>
      </c>
      <c r="C3908" s="9" t="s">
        <v>15</v>
      </c>
      <c r="D3908" s="10" t="s">
        <v>6554</v>
      </c>
      <c r="E3908" s="9" t="s">
        <v>17</v>
      </c>
      <c r="F3908" s="10">
        <v>26</v>
      </c>
      <c r="G3908" s="11">
        <v>8165657356</v>
      </c>
      <c r="H3908" s="10" t="s">
        <v>6555</v>
      </c>
      <c r="I3908" s="10" t="s">
        <v>27</v>
      </c>
      <c r="J3908" s="10" t="s">
        <v>1314</v>
      </c>
      <c r="K3908" s="12">
        <v>46021</v>
      </c>
      <c r="L3908" s="28" t="s">
        <v>11</v>
      </c>
      <c r="M3908" s="14"/>
      <c r="N3908" s="10" t="s">
        <v>1028</v>
      </c>
    </row>
    <row r="3909" spans="1:14" ht="22.5" customHeight="1">
      <c r="A3909" s="8">
        <v>46021.671076527782</v>
      </c>
      <c r="B3909" s="9" t="s">
        <v>14</v>
      </c>
      <c r="C3909" s="9" t="s">
        <v>15</v>
      </c>
      <c r="D3909" s="10" t="s">
        <v>8553</v>
      </c>
      <c r="E3909" s="9" t="s">
        <v>22</v>
      </c>
      <c r="F3909" s="10">
        <v>23</v>
      </c>
      <c r="G3909" s="11">
        <v>9072218082</v>
      </c>
      <c r="H3909" s="10" t="s">
        <v>8554</v>
      </c>
      <c r="I3909" s="10" t="s">
        <v>49</v>
      </c>
      <c r="J3909" s="10" t="s">
        <v>8555</v>
      </c>
      <c r="K3909" s="12">
        <v>46021</v>
      </c>
      <c r="L3909" s="28" t="s">
        <v>11</v>
      </c>
      <c r="M3909" s="14"/>
      <c r="N3909" s="10" t="s">
        <v>1028</v>
      </c>
    </row>
    <row r="3910" spans="1:14" ht="22.5" customHeight="1">
      <c r="A3910" s="8">
        <v>46021.675731770832</v>
      </c>
      <c r="B3910" s="9" t="s">
        <v>14</v>
      </c>
      <c r="C3910" s="9" t="s">
        <v>15</v>
      </c>
      <c r="D3910" s="10" t="s">
        <v>8556</v>
      </c>
      <c r="E3910" s="9" t="s">
        <v>17</v>
      </c>
      <c r="F3910" s="10">
        <v>33</v>
      </c>
      <c r="G3910" s="11">
        <v>8030823884</v>
      </c>
      <c r="H3910" s="10" t="s">
        <v>8557</v>
      </c>
      <c r="I3910" s="10" t="s">
        <v>49</v>
      </c>
      <c r="J3910" s="10" t="s">
        <v>73</v>
      </c>
      <c r="K3910" s="12">
        <v>46021</v>
      </c>
      <c r="L3910" s="28" t="s">
        <v>11</v>
      </c>
      <c r="M3910" s="14"/>
      <c r="N3910" s="10" t="s">
        <v>1028</v>
      </c>
    </row>
    <row r="3911" spans="1:14" ht="22.5" customHeight="1">
      <c r="A3911" s="8">
        <v>46021.676361516205</v>
      </c>
      <c r="B3911" s="9" t="s">
        <v>14</v>
      </c>
      <c r="C3911" s="9" t="s">
        <v>15</v>
      </c>
      <c r="D3911" s="10" t="s">
        <v>8558</v>
      </c>
      <c r="E3911" s="9" t="s">
        <v>17</v>
      </c>
      <c r="F3911" s="10">
        <v>30</v>
      </c>
      <c r="G3911" s="11">
        <v>8157503516</v>
      </c>
      <c r="H3911" s="10" t="s">
        <v>8559</v>
      </c>
      <c r="I3911" s="10" t="s">
        <v>19</v>
      </c>
      <c r="J3911" s="10" t="s">
        <v>8560</v>
      </c>
      <c r="K3911" s="12">
        <v>46021</v>
      </c>
      <c r="L3911" s="28" t="s">
        <v>11</v>
      </c>
      <c r="M3911" s="14"/>
      <c r="N3911" s="10" t="s">
        <v>1028</v>
      </c>
    </row>
    <row r="3912" spans="1:14" ht="22.5" customHeight="1">
      <c r="A3912" s="8">
        <v>46021.684568993056</v>
      </c>
      <c r="B3912" s="9" t="s">
        <v>14</v>
      </c>
      <c r="C3912" s="9" t="s">
        <v>15</v>
      </c>
      <c r="D3912" s="10" t="s">
        <v>8561</v>
      </c>
      <c r="E3912" s="9" t="s">
        <v>22</v>
      </c>
      <c r="F3912" s="10">
        <v>35</v>
      </c>
      <c r="G3912" s="11">
        <v>7039633423</v>
      </c>
      <c r="H3912" s="10" t="s">
        <v>8562</v>
      </c>
      <c r="I3912" s="10" t="s">
        <v>45</v>
      </c>
      <c r="J3912" s="10" t="s">
        <v>46</v>
      </c>
      <c r="K3912" s="12">
        <v>32836</v>
      </c>
      <c r="L3912" s="28" t="s">
        <v>11</v>
      </c>
      <c r="M3912" s="14"/>
      <c r="N3912" s="10" t="s">
        <v>1028</v>
      </c>
    </row>
    <row r="3913" spans="1:14" ht="22.5" customHeight="1">
      <c r="A3913" s="8">
        <v>46021.687849351852</v>
      </c>
      <c r="B3913" s="9" t="s">
        <v>14</v>
      </c>
      <c r="C3913" s="9" t="s">
        <v>15</v>
      </c>
      <c r="D3913" s="10" t="s">
        <v>8563</v>
      </c>
      <c r="E3913" s="9" t="s">
        <v>22</v>
      </c>
      <c r="F3913" s="10">
        <v>28</v>
      </c>
      <c r="G3913" s="11">
        <v>7047118755</v>
      </c>
      <c r="H3913" s="10" t="s">
        <v>8564</v>
      </c>
      <c r="I3913" s="10" t="s">
        <v>49</v>
      </c>
      <c r="J3913" s="10" t="s">
        <v>73</v>
      </c>
      <c r="K3913" s="12">
        <v>46021</v>
      </c>
      <c r="L3913" s="28" t="s">
        <v>11</v>
      </c>
      <c r="M3913" s="14"/>
      <c r="N3913" s="10" t="s">
        <v>8565</v>
      </c>
    </row>
    <row r="3914" spans="1:14" ht="22.5" customHeight="1">
      <c r="A3914" s="8">
        <v>46021.690922511574</v>
      </c>
      <c r="B3914" s="9" t="s">
        <v>14</v>
      </c>
      <c r="C3914" s="9" t="s">
        <v>15</v>
      </c>
      <c r="D3914" s="10" t="s">
        <v>8566</v>
      </c>
      <c r="E3914" s="9" t="s">
        <v>22</v>
      </c>
      <c r="F3914" s="10">
        <v>27</v>
      </c>
      <c r="G3914" s="11">
        <v>9038736985</v>
      </c>
      <c r="H3914" s="10" t="s">
        <v>8567</v>
      </c>
      <c r="I3914" s="10" t="s">
        <v>19</v>
      </c>
      <c r="J3914" s="10" t="s">
        <v>8568</v>
      </c>
      <c r="K3914" s="12">
        <v>46021</v>
      </c>
      <c r="L3914" s="28" t="s">
        <v>11</v>
      </c>
      <c r="M3914" s="14"/>
      <c r="N3914" s="10" t="s">
        <v>1028</v>
      </c>
    </row>
    <row r="3915" spans="1:14" ht="22.5" customHeight="1">
      <c r="A3915" s="8">
        <v>46021.693297002319</v>
      </c>
      <c r="B3915" s="9" t="s">
        <v>14</v>
      </c>
      <c r="C3915" s="9" t="s">
        <v>15</v>
      </c>
      <c r="D3915" s="10" t="s">
        <v>1310</v>
      </c>
      <c r="E3915" s="9" t="s">
        <v>17</v>
      </c>
      <c r="F3915" s="10">
        <v>26</v>
      </c>
      <c r="G3915" s="11">
        <v>8159560803</v>
      </c>
      <c r="H3915" s="10" t="s">
        <v>1311</v>
      </c>
      <c r="I3915" s="10" t="s">
        <v>49</v>
      </c>
      <c r="J3915" s="10" t="s">
        <v>109</v>
      </c>
      <c r="K3915" s="12">
        <v>46021</v>
      </c>
      <c r="L3915" s="28" t="s">
        <v>11</v>
      </c>
      <c r="M3915" s="14"/>
      <c r="N3915" s="10" t="s">
        <v>1096</v>
      </c>
    </row>
    <row r="3916" spans="1:14" ht="22.5" customHeight="1">
      <c r="A3916" s="8">
        <v>46021.693440995368</v>
      </c>
      <c r="B3916" s="9" t="s">
        <v>14</v>
      </c>
      <c r="C3916" s="9" t="s">
        <v>15</v>
      </c>
      <c r="D3916" s="10" t="s">
        <v>8569</v>
      </c>
      <c r="E3916" s="9" t="s">
        <v>17</v>
      </c>
      <c r="F3916" s="10">
        <v>26</v>
      </c>
      <c r="G3916" s="11">
        <v>7047636492</v>
      </c>
      <c r="H3916" s="10" t="s">
        <v>8570</v>
      </c>
      <c r="I3916" s="10" t="s">
        <v>19</v>
      </c>
      <c r="J3916" s="10" t="s">
        <v>166</v>
      </c>
      <c r="K3916" s="12">
        <v>46021</v>
      </c>
      <c r="L3916" s="28" t="s">
        <v>11</v>
      </c>
      <c r="M3916" s="14"/>
      <c r="N3916" s="10" t="s">
        <v>1028</v>
      </c>
    </row>
    <row r="3917" spans="1:14" ht="22.5" customHeight="1">
      <c r="A3917" s="8">
        <v>46021.696638958332</v>
      </c>
      <c r="B3917" s="9" t="s">
        <v>14</v>
      </c>
      <c r="C3917" s="9" t="s">
        <v>15</v>
      </c>
      <c r="D3917" s="10" t="s">
        <v>8571</v>
      </c>
      <c r="E3917" s="9" t="s">
        <v>17</v>
      </c>
      <c r="F3917" s="10">
        <v>28</v>
      </c>
      <c r="G3917" s="11">
        <v>7067703272</v>
      </c>
      <c r="H3917" s="10" t="s">
        <v>8572</v>
      </c>
      <c r="I3917" s="10" t="s">
        <v>27</v>
      </c>
      <c r="J3917" s="10" t="s">
        <v>70</v>
      </c>
      <c r="K3917" s="12">
        <v>46021</v>
      </c>
      <c r="L3917" s="28" t="s">
        <v>11</v>
      </c>
      <c r="M3917" s="14"/>
      <c r="N3917" s="10" t="s">
        <v>1028</v>
      </c>
    </row>
    <row r="3918" spans="1:14" ht="22.5" customHeight="1">
      <c r="A3918" s="8">
        <v>46021.697223159717</v>
      </c>
      <c r="B3918" s="9" t="s">
        <v>14</v>
      </c>
      <c r="C3918" s="9" t="s">
        <v>15</v>
      </c>
      <c r="D3918" s="10" t="s">
        <v>8573</v>
      </c>
      <c r="E3918" s="9" t="s">
        <v>17</v>
      </c>
      <c r="F3918" s="10">
        <v>28</v>
      </c>
      <c r="G3918" s="11">
        <v>9035146607</v>
      </c>
      <c r="H3918" s="10" t="s">
        <v>8574</v>
      </c>
      <c r="I3918" s="10" t="s">
        <v>202</v>
      </c>
      <c r="J3918" s="10" t="s">
        <v>1860</v>
      </c>
      <c r="K3918" s="12">
        <v>46021</v>
      </c>
      <c r="L3918" s="28" t="s">
        <v>11</v>
      </c>
      <c r="M3918" s="14"/>
      <c r="N3918" s="10" t="s">
        <v>1028</v>
      </c>
    </row>
    <row r="3919" spans="1:14" ht="22.5" customHeight="1">
      <c r="A3919" s="8">
        <v>46021.697830150464</v>
      </c>
      <c r="B3919" s="9" t="s">
        <v>14</v>
      </c>
      <c r="C3919" s="9" t="s">
        <v>15</v>
      </c>
      <c r="D3919" s="10" t="s">
        <v>8575</v>
      </c>
      <c r="E3919" s="9" t="s">
        <v>17</v>
      </c>
      <c r="F3919" s="10">
        <v>29</v>
      </c>
      <c r="G3919" s="11">
        <v>8144112093</v>
      </c>
      <c r="H3919" s="10" t="s">
        <v>8576</v>
      </c>
      <c r="I3919" s="10" t="s">
        <v>49</v>
      </c>
      <c r="J3919" s="10" t="s">
        <v>282</v>
      </c>
      <c r="K3919" s="12">
        <v>46021</v>
      </c>
      <c r="L3919" s="28" t="s">
        <v>11</v>
      </c>
      <c r="M3919" s="14"/>
      <c r="N3919" s="10" t="s">
        <v>1028</v>
      </c>
    </row>
    <row r="3920" spans="1:14" ht="22.5" customHeight="1">
      <c r="A3920" s="8">
        <v>46021.700306747683</v>
      </c>
      <c r="B3920" s="9" t="s">
        <v>14</v>
      </c>
      <c r="C3920" s="9" t="s">
        <v>15</v>
      </c>
      <c r="D3920" s="10" t="s">
        <v>8577</v>
      </c>
      <c r="E3920" s="9" t="s">
        <v>17</v>
      </c>
      <c r="F3920" s="10">
        <v>29</v>
      </c>
      <c r="G3920" s="11">
        <f t="shared" ref="G3920" si="106">2348034881996</f>
        <v>2348034881996</v>
      </c>
      <c r="H3920" s="10" t="s">
        <v>8578</v>
      </c>
      <c r="I3920" s="10" t="s">
        <v>27</v>
      </c>
      <c r="J3920" s="10" t="s">
        <v>1514</v>
      </c>
      <c r="K3920" s="12">
        <v>46021</v>
      </c>
      <c r="L3920" s="28" t="s">
        <v>11</v>
      </c>
      <c r="M3920" s="14"/>
      <c r="N3920" s="10" t="s">
        <v>1028</v>
      </c>
    </row>
    <row r="3921" spans="1:14" ht="22.5" customHeight="1">
      <c r="A3921" s="8">
        <v>46021.702575057869</v>
      </c>
      <c r="B3921" s="9" t="s">
        <v>14</v>
      </c>
      <c r="C3921" s="9" t="s">
        <v>15</v>
      </c>
      <c r="D3921" s="10" t="s">
        <v>8579</v>
      </c>
      <c r="E3921" s="9" t="s">
        <v>17</v>
      </c>
      <c r="F3921" s="10">
        <v>26</v>
      </c>
      <c r="G3921" s="11">
        <v>9034984618</v>
      </c>
      <c r="H3921" s="10" t="s">
        <v>8580</v>
      </c>
      <c r="I3921" s="10" t="s">
        <v>27</v>
      </c>
      <c r="J3921" s="10" t="s">
        <v>8581</v>
      </c>
      <c r="K3921" s="12">
        <v>46021</v>
      </c>
      <c r="L3921" s="28" t="s">
        <v>11</v>
      </c>
      <c r="M3921" s="14"/>
      <c r="N3921" s="10" t="s">
        <v>1028</v>
      </c>
    </row>
    <row r="3922" spans="1:14" ht="22.5" customHeight="1">
      <c r="A3922" s="8">
        <v>46021.709178043981</v>
      </c>
      <c r="B3922" s="9" t="s">
        <v>14</v>
      </c>
      <c r="C3922" s="9" t="s">
        <v>15</v>
      </c>
      <c r="D3922" s="10" t="s">
        <v>8582</v>
      </c>
      <c r="E3922" s="9" t="s">
        <v>22</v>
      </c>
      <c r="F3922" s="10">
        <v>20</v>
      </c>
      <c r="G3922" s="11">
        <v>9072981224</v>
      </c>
      <c r="H3922" s="10" t="s">
        <v>8583</v>
      </c>
      <c r="I3922" s="10" t="s">
        <v>145</v>
      </c>
      <c r="J3922" s="10" t="s">
        <v>530</v>
      </c>
      <c r="K3922" s="12">
        <v>46021</v>
      </c>
      <c r="L3922" s="28" t="s">
        <v>11</v>
      </c>
      <c r="M3922" s="14"/>
      <c r="N3922" s="10" t="s">
        <v>1028</v>
      </c>
    </row>
    <row r="3923" spans="1:14" ht="22.5" customHeight="1">
      <c r="A3923" s="8">
        <v>46021.70933982639</v>
      </c>
      <c r="B3923" s="9" t="s">
        <v>14</v>
      </c>
      <c r="C3923" s="9" t="s">
        <v>15</v>
      </c>
      <c r="D3923" s="10" t="s">
        <v>8584</v>
      </c>
      <c r="E3923" s="9" t="s">
        <v>17</v>
      </c>
      <c r="F3923" s="10">
        <v>42</v>
      </c>
      <c r="G3923" s="11">
        <v>7032361203</v>
      </c>
      <c r="H3923" s="10" t="s">
        <v>8585</v>
      </c>
      <c r="I3923" s="10" t="s">
        <v>202</v>
      </c>
      <c r="J3923" s="10" t="s">
        <v>4020</v>
      </c>
      <c r="K3923" s="12">
        <v>30035</v>
      </c>
      <c r="L3923" s="28" t="s">
        <v>11</v>
      </c>
      <c r="M3923" s="14"/>
      <c r="N3923" s="10" t="s">
        <v>1028</v>
      </c>
    </row>
    <row r="3924" spans="1:14" ht="22.5" customHeight="1">
      <c r="A3924" s="8">
        <v>46021.711214537034</v>
      </c>
      <c r="B3924" s="9" t="s">
        <v>14</v>
      </c>
      <c r="C3924" s="9" t="s">
        <v>15</v>
      </c>
      <c r="D3924" s="10" t="s">
        <v>8586</v>
      </c>
      <c r="E3924" s="9" t="s">
        <v>17</v>
      </c>
      <c r="F3924" s="10">
        <v>33</v>
      </c>
      <c r="G3924" s="11">
        <v>7060569979</v>
      </c>
      <c r="H3924" s="10" t="s">
        <v>8587</v>
      </c>
      <c r="I3924" s="10" t="s">
        <v>49</v>
      </c>
      <c r="J3924" s="10" t="s">
        <v>606</v>
      </c>
      <c r="K3924" s="12">
        <v>46021</v>
      </c>
      <c r="L3924" s="28" t="s">
        <v>11</v>
      </c>
      <c r="M3924" s="14"/>
      <c r="N3924" s="10" t="s">
        <v>1028</v>
      </c>
    </row>
    <row r="3925" spans="1:14" ht="22.5" customHeight="1">
      <c r="A3925" s="8">
        <v>46021.712849050928</v>
      </c>
      <c r="B3925" s="9" t="s">
        <v>14</v>
      </c>
      <c r="C3925" s="9" t="s">
        <v>15</v>
      </c>
      <c r="D3925" s="10" t="s">
        <v>8588</v>
      </c>
      <c r="E3925" s="9" t="s">
        <v>22</v>
      </c>
      <c r="F3925" s="10">
        <v>25</v>
      </c>
      <c r="G3925" s="11">
        <v>7045424582</v>
      </c>
      <c r="H3925" s="10" t="s">
        <v>8589</v>
      </c>
      <c r="I3925" s="10" t="s">
        <v>27</v>
      </c>
      <c r="J3925" s="10" t="s">
        <v>70</v>
      </c>
      <c r="K3925" s="12">
        <v>46021</v>
      </c>
      <c r="L3925" s="28" t="s">
        <v>11</v>
      </c>
      <c r="M3925" s="14"/>
      <c r="N3925" s="10" t="s">
        <v>1028</v>
      </c>
    </row>
    <row r="3926" spans="1:14" ht="22.5" customHeight="1">
      <c r="A3926" s="8">
        <v>46021.714271516204</v>
      </c>
      <c r="B3926" s="9" t="s">
        <v>14</v>
      </c>
      <c r="C3926" s="9" t="s">
        <v>15</v>
      </c>
      <c r="D3926" s="10" t="s">
        <v>8590</v>
      </c>
      <c r="E3926" s="9" t="s">
        <v>17</v>
      </c>
      <c r="F3926" s="10">
        <v>28</v>
      </c>
      <c r="G3926" s="11">
        <v>9078780999</v>
      </c>
      <c r="H3926" s="10" t="s">
        <v>8591</v>
      </c>
      <c r="I3926" s="10" t="s">
        <v>49</v>
      </c>
      <c r="J3926" s="10" t="s">
        <v>73</v>
      </c>
      <c r="K3926" s="12">
        <v>46021</v>
      </c>
      <c r="L3926" s="28" t="s">
        <v>11</v>
      </c>
      <c r="M3926" s="14"/>
      <c r="N3926" s="10" t="s">
        <v>1028</v>
      </c>
    </row>
    <row r="3927" spans="1:14" ht="22.5" customHeight="1">
      <c r="A3927" s="8">
        <v>46021.715110613426</v>
      </c>
      <c r="B3927" s="9" t="s">
        <v>14</v>
      </c>
      <c r="C3927" s="9" t="s">
        <v>15</v>
      </c>
      <c r="D3927" s="10" t="s">
        <v>8592</v>
      </c>
      <c r="E3927" s="9" t="s">
        <v>22</v>
      </c>
      <c r="F3927" s="10">
        <v>40</v>
      </c>
      <c r="G3927" s="11">
        <v>8124270866</v>
      </c>
      <c r="H3927" s="10" t="s">
        <v>8593</v>
      </c>
      <c r="I3927" s="10" t="s">
        <v>19</v>
      </c>
      <c r="J3927" s="10" t="s">
        <v>8594</v>
      </c>
      <c r="K3927" s="12">
        <v>46021</v>
      </c>
      <c r="L3927" s="28" t="s">
        <v>11</v>
      </c>
      <c r="M3927" s="14"/>
      <c r="N3927" s="10" t="s">
        <v>1028</v>
      </c>
    </row>
    <row r="3928" spans="1:14" ht="22.5" customHeight="1">
      <c r="A3928" s="8">
        <v>46021.721170115736</v>
      </c>
      <c r="B3928" s="9" t="s">
        <v>14</v>
      </c>
      <c r="C3928" s="9" t="s">
        <v>15</v>
      </c>
      <c r="D3928" s="10" t="s">
        <v>8595</v>
      </c>
      <c r="E3928" s="9" t="s">
        <v>17</v>
      </c>
      <c r="F3928" s="10">
        <v>30</v>
      </c>
      <c r="G3928" s="11">
        <v>7031812654</v>
      </c>
      <c r="H3928" s="10" t="s">
        <v>8596</v>
      </c>
      <c r="I3928" s="10" t="s">
        <v>27</v>
      </c>
      <c r="J3928" s="10" t="s">
        <v>8597</v>
      </c>
      <c r="K3928" s="12">
        <v>46021</v>
      </c>
      <c r="L3928" s="28" t="s">
        <v>11</v>
      </c>
      <c r="M3928" s="14"/>
      <c r="N3928" s="10" t="s">
        <v>1028</v>
      </c>
    </row>
    <row r="3929" spans="1:14" ht="22.5" customHeight="1">
      <c r="A3929" s="8">
        <v>46021.722346064817</v>
      </c>
      <c r="B3929" s="9" t="s">
        <v>14</v>
      </c>
      <c r="C3929" s="9" t="s">
        <v>15</v>
      </c>
      <c r="D3929" s="10" t="s">
        <v>8598</v>
      </c>
      <c r="E3929" s="9" t="s">
        <v>17</v>
      </c>
      <c r="F3929" s="10">
        <v>33</v>
      </c>
      <c r="G3929" s="11">
        <v>8156348719</v>
      </c>
      <c r="H3929" s="10" t="s">
        <v>8599</v>
      </c>
      <c r="I3929" s="10" t="s">
        <v>49</v>
      </c>
      <c r="J3929" s="10" t="s">
        <v>8600</v>
      </c>
      <c r="K3929" s="12">
        <v>46021</v>
      </c>
      <c r="L3929" s="28" t="s">
        <v>11</v>
      </c>
      <c r="M3929" s="14"/>
      <c r="N3929" s="10" t="s">
        <v>1028</v>
      </c>
    </row>
    <row r="3930" spans="1:14" ht="22.5" customHeight="1">
      <c r="A3930" s="8">
        <v>46021.725903460647</v>
      </c>
      <c r="B3930" s="9" t="s">
        <v>14</v>
      </c>
      <c r="C3930" s="9" t="s">
        <v>15</v>
      </c>
      <c r="D3930" s="10" t="s">
        <v>8601</v>
      </c>
      <c r="E3930" s="9" t="s">
        <v>22</v>
      </c>
      <c r="F3930" s="10">
        <v>35</v>
      </c>
      <c r="G3930" s="11">
        <v>7031394348</v>
      </c>
      <c r="H3930" s="10" t="s">
        <v>8602</v>
      </c>
      <c r="I3930" s="10" t="s">
        <v>145</v>
      </c>
      <c r="J3930" s="10" t="s">
        <v>530</v>
      </c>
      <c r="K3930" s="12">
        <v>46021</v>
      </c>
      <c r="L3930" s="28" t="s">
        <v>11</v>
      </c>
      <c r="M3930" s="14"/>
      <c r="N3930" s="10" t="s">
        <v>1028</v>
      </c>
    </row>
    <row r="3931" spans="1:14" ht="22.5" customHeight="1">
      <c r="A3931" s="8">
        <v>46021.729485636577</v>
      </c>
      <c r="B3931" s="9" t="s">
        <v>14</v>
      </c>
      <c r="C3931" s="9" t="s">
        <v>15</v>
      </c>
      <c r="D3931" s="10" t="s">
        <v>8603</v>
      </c>
      <c r="E3931" s="9" t="s">
        <v>17</v>
      </c>
      <c r="F3931" s="10">
        <v>35</v>
      </c>
      <c r="G3931" s="11">
        <v>7014429006</v>
      </c>
      <c r="H3931" s="10" t="s">
        <v>8604</v>
      </c>
      <c r="I3931" s="10" t="s">
        <v>27</v>
      </c>
      <c r="J3931" s="10" t="s">
        <v>1949</v>
      </c>
      <c r="K3931" s="12">
        <v>46021</v>
      </c>
      <c r="L3931" s="28" t="s">
        <v>11</v>
      </c>
      <c r="M3931" s="14"/>
      <c r="N3931" s="10" t="s">
        <v>1028</v>
      </c>
    </row>
    <row r="3932" spans="1:14" ht="22.5" customHeight="1">
      <c r="A3932" s="8">
        <v>46021.733957557866</v>
      </c>
      <c r="B3932" s="9" t="s">
        <v>14</v>
      </c>
      <c r="C3932" s="9" t="s">
        <v>15</v>
      </c>
      <c r="D3932" s="10" t="s">
        <v>8605</v>
      </c>
      <c r="E3932" s="9" t="s">
        <v>17</v>
      </c>
      <c r="F3932" s="10">
        <v>28</v>
      </c>
      <c r="G3932" s="11">
        <v>8033634186</v>
      </c>
      <c r="H3932" s="10" t="s">
        <v>8606</v>
      </c>
      <c r="I3932" s="10" t="s">
        <v>49</v>
      </c>
      <c r="J3932" s="10" t="s">
        <v>50</v>
      </c>
      <c r="K3932" s="12">
        <v>46021</v>
      </c>
      <c r="L3932" s="28" t="s">
        <v>11</v>
      </c>
      <c r="M3932" s="14"/>
      <c r="N3932" s="10" t="s">
        <v>1028</v>
      </c>
    </row>
    <row r="3933" spans="1:14" ht="22.5" customHeight="1">
      <c r="A3933" s="8">
        <v>46021.734511319446</v>
      </c>
      <c r="B3933" s="9" t="s">
        <v>14</v>
      </c>
      <c r="C3933" s="9" t="s">
        <v>15</v>
      </c>
      <c r="D3933" s="10" t="s">
        <v>8607</v>
      </c>
      <c r="E3933" s="9" t="s">
        <v>22</v>
      </c>
      <c r="F3933" s="10">
        <v>34</v>
      </c>
      <c r="G3933" s="11">
        <v>9060475016</v>
      </c>
      <c r="H3933" s="10" t="s">
        <v>8608</v>
      </c>
      <c r="I3933" s="10" t="s">
        <v>49</v>
      </c>
      <c r="J3933" s="10" t="s">
        <v>362</v>
      </c>
      <c r="K3933" s="12">
        <v>46021</v>
      </c>
      <c r="L3933" s="28" t="s">
        <v>11</v>
      </c>
      <c r="M3933" s="14"/>
      <c r="N3933" s="10" t="s">
        <v>1096</v>
      </c>
    </row>
    <row r="3934" spans="1:14" ht="22.5" customHeight="1">
      <c r="A3934" s="8">
        <v>46021.735361446757</v>
      </c>
      <c r="B3934" s="9" t="s">
        <v>14</v>
      </c>
      <c r="C3934" s="9" t="s">
        <v>15</v>
      </c>
      <c r="D3934" s="10" t="s">
        <v>8609</v>
      </c>
      <c r="E3934" s="9" t="s">
        <v>17</v>
      </c>
      <c r="F3934" s="10">
        <v>31</v>
      </c>
      <c r="G3934" s="11">
        <v>8062105686</v>
      </c>
      <c r="H3934" s="10" t="s">
        <v>8610</v>
      </c>
      <c r="I3934" s="10" t="s">
        <v>27</v>
      </c>
      <c r="J3934" s="10" t="s">
        <v>94</v>
      </c>
      <c r="K3934" s="12">
        <v>46021</v>
      </c>
      <c r="L3934" s="28" t="s">
        <v>11</v>
      </c>
      <c r="M3934" s="14"/>
      <c r="N3934" s="10" t="s">
        <v>1028</v>
      </c>
    </row>
    <row r="3935" spans="1:14" ht="22.5" customHeight="1">
      <c r="A3935" s="8">
        <v>46021.735433402777</v>
      </c>
      <c r="B3935" s="9" t="s">
        <v>14</v>
      </c>
      <c r="C3935" s="9" t="s">
        <v>15</v>
      </c>
      <c r="D3935" s="10" t="s">
        <v>8611</v>
      </c>
      <c r="E3935" s="9" t="s">
        <v>17</v>
      </c>
      <c r="F3935" s="10">
        <v>32</v>
      </c>
      <c r="G3935" s="11">
        <v>8163307879</v>
      </c>
      <c r="H3935" s="10" t="s">
        <v>4473</v>
      </c>
      <c r="I3935" s="10" t="s">
        <v>49</v>
      </c>
      <c r="J3935" s="10" t="s">
        <v>157</v>
      </c>
      <c r="K3935" s="12">
        <v>46021</v>
      </c>
      <c r="L3935" s="28" t="s">
        <v>11</v>
      </c>
      <c r="M3935" s="14"/>
      <c r="N3935" s="10" t="s">
        <v>1028</v>
      </c>
    </row>
    <row r="3936" spans="1:14" ht="22.5" customHeight="1">
      <c r="A3936" s="8">
        <v>46021.737167928237</v>
      </c>
      <c r="B3936" s="9" t="s">
        <v>14</v>
      </c>
      <c r="C3936" s="9" t="s">
        <v>15</v>
      </c>
      <c r="D3936" s="10" t="s">
        <v>8612</v>
      </c>
      <c r="E3936" s="9" t="s">
        <v>22</v>
      </c>
      <c r="F3936" s="10">
        <v>28</v>
      </c>
      <c r="G3936" s="11">
        <v>8037521154</v>
      </c>
      <c r="H3936" s="10" t="s">
        <v>8613</v>
      </c>
      <c r="I3936" s="10" t="s">
        <v>145</v>
      </c>
      <c r="J3936" s="10" t="s">
        <v>8614</v>
      </c>
      <c r="K3936" s="12">
        <v>46021</v>
      </c>
      <c r="L3936" s="28" t="s">
        <v>11</v>
      </c>
      <c r="M3936" s="10"/>
      <c r="N3936" s="10" t="s">
        <v>1028</v>
      </c>
    </row>
    <row r="3937" spans="1:14" ht="22.5" customHeight="1">
      <c r="A3937" s="8">
        <v>46021.7390909838</v>
      </c>
      <c r="B3937" s="9" t="s">
        <v>14</v>
      </c>
      <c r="C3937" s="9" t="s">
        <v>15</v>
      </c>
      <c r="D3937" s="10" t="s">
        <v>8615</v>
      </c>
      <c r="E3937" s="9" t="s">
        <v>17</v>
      </c>
      <c r="F3937" s="10">
        <v>21</v>
      </c>
      <c r="G3937" s="11">
        <v>7025570139</v>
      </c>
      <c r="H3937" s="10" t="s">
        <v>8616</v>
      </c>
      <c r="I3937" s="10" t="s">
        <v>202</v>
      </c>
      <c r="J3937" s="10" t="s">
        <v>1860</v>
      </c>
      <c r="K3937" s="12">
        <v>46021</v>
      </c>
      <c r="L3937" s="28" t="s">
        <v>11</v>
      </c>
      <c r="M3937" s="14"/>
      <c r="N3937" s="10" t="s">
        <v>1028</v>
      </c>
    </row>
    <row r="3938" spans="1:14" ht="22.5" customHeight="1">
      <c r="A3938" s="8">
        <v>46021.739562048606</v>
      </c>
      <c r="B3938" s="9" t="s">
        <v>14</v>
      </c>
      <c r="C3938" s="9" t="s">
        <v>15</v>
      </c>
      <c r="D3938" s="10" t="s">
        <v>8617</v>
      </c>
      <c r="E3938" s="9" t="s">
        <v>17</v>
      </c>
      <c r="F3938" s="10">
        <v>32</v>
      </c>
      <c r="G3938" s="11">
        <v>8062249903</v>
      </c>
      <c r="H3938" s="10" t="s">
        <v>8618</v>
      </c>
      <c r="I3938" s="10" t="s">
        <v>27</v>
      </c>
      <c r="J3938" s="10" t="s">
        <v>172</v>
      </c>
      <c r="K3938" s="12">
        <v>46021</v>
      </c>
      <c r="L3938" s="28" t="s">
        <v>11</v>
      </c>
      <c r="M3938" s="14"/>
      <c r="N3938" s="10" t="s">
        <v>1028</v>
      </c>
    </row>
    <row r="3939" spans="1:14" ht="22.5" customHeight="1">
      <c r="A3939" s="8">
        <v>46021.740617592593</v>
      </c>
      <c r="B3939" s="9" t="s">
        <v>14</v>
      </c>
      <c r="C3939" s="9" t="s">
        <v>15</v>
      </c>
      <c r="D3939" s="10" t="s">
        <v>8619</v>
      </c>
      <c r="E3939" s="9" t="s">
        <v>22</v>
      </c>
      <c r="F3939" s="10">
        <v>37</v>
      </c>
      <c r="G3939" s="11">
        <v>8036976750</v>
      </c>
      <c r="H3939" s="10" t="s">
        <v>8620</v>
      </c>
      <c r="I3939" s="10" t="s">
        <v>145</v>
      </c>
      <c r="J3939" s="10" t="s">
        <v>4352</v>
      </c>
      <c r="K3939" s="12">
        <v>46021</v>
      </c>
      <c r="L3939" s="28" t="s">
        <v>11</v>
      </c>
      <c r="M3939" s="10"/>
      <c r="N3939" s="10" t="s">
        <v>1028</v>
      </c>
    </row>
    <row r="3940" spans="1:14" ht="22.5" customHeight="1">
      <c r="A3940" s="8">
        <v>46021.741725439817</v>
      </c>
      <c r="B3940" s="9" t="s">
        <v>14</v>
      </c>
      <c r="C3940" s="9" t="s">
        <v>15</v>
      </c>
      <c r="D3940" s="10" t="s">
        <v>8621</v>
      </c>
      <c r="E3940" s="9" t="s">
        <v>17</v>
      </c>
      <c r="F3940" s="10">
        <v>32</v>
      </c>
      <c r="G3940" s="11">
        <v>8169130023</v>
      </c>
      <c r="H3940" s="10" t="s">
        <v>8622</v>
      </c>
      <c r="I3940" s="10" t="s">
        <v>27</v>
      </c>
      <c r="J3940" s="10" t="s">
        <v>1475</v>
      </c>
      <c r="K3940" s="12">
        <v>46021</v>
      </c>
      <c r="L3940" s="28" t="s">
        <v>11</v>
      </c>
      <c r="M3940" s="14"/>
      <c r="N3940" s="10" t="s">
        <v>1096</v>
      </c>
    </row>
    <row r="3941" spans="1:14" ht="22.5" customHeight="1">
      <c r="A3941" s="8">
        <v>46021.743057708329</v>
      </c>
      <c r="B3941" s="9" t="s">
        <v>14</v>
      </c>
      <c r="C3941" s="9" t="s">
        <v>15</v>
      </c>
      <c r="D3941" s="10" t="s">
        <v>8623</v>
      </c>
      <c r="E3941" s="9" t="s">
        <v>17</v>
      </c>
      <c r="F3941" s="10">
        <v>32</v>
      </c>
      <c r="G3941" s="11">
        <v>8166036495</v>
      </c>
      <c r="H3941" s="10" t="s">
        <v>8624</v>
      </c>
      <c r="I3941" s="10" t="s">
        <v>145</v>
      </c>
      <c r="J3941" s="10" t="s">
        <v>5093</v>
      </c>
      <c r="K3941" s="12">
        <v>46021</v>
      </c>
      <c r="L3941" s="28" t="s">
        <v>11</v>
      </c>
      <c r="M3941" s="14"/>
      <c r="N3941" s="10" t="s">
        <v>1096</v>
      </c>
    </row>
    <row r="3942" spans="1:14" ht="22.5" customHeight="1">
      <c r="A3942" s="8">
        <v>46021.745297245376</v>
      </c>
      <c r="B3942" s="9" t="s">
        <v>14</v>
      </c>
      <c r="C3942" s="9" t="s">
        <v>15</v>
      </c>
      <c r="D3942" s="10" t="s">
        <v>8625</v>
      </c>
      <c r="E3942" s="9" t="s">
        <v>17</v>
      </c>
      <c r="F3942" s="10">
        <v>28</v>
      </c>
      <c r="G3942" s="11">
        <v>8146080874</v>
      </c>
      <c r="H3942" s="10" t="s">
        <v>8626</v>
      </c>
      <c r="I3942" s="10" t="s">
        <v>145</v>
      </c>
      <c r="J3942" s="10" t="s">
        <v>4352</v>
      </c>
      <c r="K3942" s="12">
        <v>46021</v>
      </c>
      <c r="L3942" s="28" t="s">
        <v>11</v>
      </c>
      <c r="M3942" s="14"/>
      <c r="N3942" s="10" t="s">
        <v>1096</v>
      </c>
    </row>
    <row r="3943" spans="1:14" ht="22.5" customHeight="1">
      <c r="A3943" s="8">
        <v>46021.747312013889</v>
      </c>
      <c r="B3943" s="9" t="s">
        <v>14</v>
      </c>
      <c r="C3943" s="9" t="s">
        <v>15</v>
      </c>
      <c r="D3943" s="10" t="s">
        <v>8627</v>
      </c>
      <c r="E3943" s="9" t="s">
        <v>17</v>
      </c>
      <c r="F3943" s="10">
        <v>33</v>
      </c>
      <c r="G3943" s="11">
        <v>7033745522</v>
      </c>
      <c r="H3943" s="10" t="s">
        <v>8628</v>
      </c>
      <c r="I3943" s="10" t="s">
        <v>27</v>
      </c>
      <c r="J3943" s="10" t="s">
        <v>8629</v>
      </c>
      <c r="K3943" s="12">
        <v>33562</v>
      </c>
      <c r="L3943" s="28" t="s">
        <v>11</v>
      </c>
      <c r="M3943" s="14"/>
      <c r="N3943" s="10" t="s">
        <v>1028</v>
      </c>
    </row>
    <row r="3944" spans="1:14" ht="22.5" customHeight="1">
      <c r="A3944" s="8">
        <v>46021.750182835647</v>
      </c>
      <c r="B3944" s="9" t="s">
        <v>14</v>
      </c>
      <c r="C3944" s="9" t="s">
        <v>15</v>
      </c>
      <c r="D3944" s="10" t="s">
        <v>8630</v>
      </c>
      <c r="E3944" s="9" t="s">
        <v>17</v>
      </c>
      <c r="F3944" s="10">
        <v>30</v>
      </c>
      <c r="G3944" s="11">
        <v>7064264168</v>
      </c>
      <c r="H3944" s="10" t="s">
        <v>8631</v>
      </c>
      <c r="I3944" s="10" t="s">
        <v>27</v>
      </c>
      <c r="J3944" s="10" t="s">
        <v>8632</v>
      </c>
      <c r="K3944" s="12">
        <v>46021</v>
      </c>
      <c r="L3944" s="28" t="s">
        <v>11</v>
      </c>
      <c r="M3944" s="14"/>
      <c r="N3944" s="10" t="s">
        <v>1028</v>
      </c>
    </row>
    <row r="3945" spans="1:14" ht="22.5" customHeight="1">
      <c r="A3945" s="8">
        <v>46021.752551365746</v>
      </c>
      <c r="B3945" s="9" t="s">
        <v>14</v>
      </c>
      <c r="C3945" s="9" t="s">
        <v>15</v>
      </c>
      <c r="D3945" s="10" t="s">
        <v>8633</v>
      </c>
      <c r="E3945" s="9" t="s">
        <v>17</v>
      </c>
      <c r="F3945" s="10">
        <v>31</v>
      </c>
      <c r="G3945" s="11">
        <v>8143083851</v>
      </c>
      <c r="H3945" s="10" t="s">
        <v>8634</v>
      </c>
      <c r="I3945" s="10" t="s">
        <v>49</v>
      </c>
      <c r="J3945" s="10" t="s">
        <v>109</v>
      </c>
      <c r="K3945" s="12">
        <v>46021</v>
      </c>
      <c r="L3945" s="28" t="s">
        <v>11</v>
      </c>
      <c r="M3945" s="14"/>
      <c r="N3945" s="10" t="s">
        <v>1028</v>
      </c>
    </row>
    <row r="3946" spans="1:14" ht="22.5" customHeight="1">
      <c r="A3946" s="8">
        <v>46021.752579409724</v>
      </c>
      <c r="B3946" s="9" t="s">
        <v>14</v>
      </c>
      <c r="C3946" s="9" t="s">
        <v>15</v>
      </c>
      <c r="D3946" s="10" t="s">
        <v>8635</v>
      </c>
      <c r="E3946" s="9" t="s">
        <v>17</v>
      </c>
      <c r="F3946" s="10">
        <v>29</v>
      </c>
      <c r="G3946" s="11">
        <v>8136527685</v>
      </c>
      <c r="H3946" s="10" t="s">
        <v>8636</v>
      </c>
      <c r="I3946" s="10" t="s">
        <v>27</v>
      </c>
      <c r="J3946" s="10" t="s">
        <v>27</v>
      </c>
      <c r="K3946" s="12">
        <v>46021</v>
      </c>
      <c r="L3946" s="28" t="s">
        <v>11</v>
      </c>
      <c r="M3946" s="14"/>
      <c r="N3946" s="10" t="s">
        <v>1028</v>
      </c>
    </row>
    <row r="3947" spans="1:14" ht="22.5" customHeight="1">
      <c r="A3947" s="8">
        <v>46021.753423634262</v>
      </c>
      <c r="B3947" s="9" t="s">
        <v>14</v>
      </c>
      <c r="C3947" s="9" t="s">
        <v>15</v>
      </c>
      <c r="D3947" s="10" t="s">
        <v>8637</v>
      </c>
      <c r="E3947" s="9" t="s">
        <v>22</v>
      </c>
      <c r="F3947" s="10">
        <v>27</v>
      </c>
      <c r="G3947" s="11">
        <v>9038146347</v>
      </c>
      <c r="H3947" s="10" t="s">
        <v>8638</v>
      </c>
      <c r="I3947" s="10" t="s">
        <v>49</v>
      </c>
      <c r="J3947" s="10" t="s">
        <v>1329</v>
      </c>
      <c r="K3947" s="12">
        <v>46021</v>
      </c>
      <c r="L3947" s="28" t="s">
        <v>11</v>
      </c>
      <c r="M3947" s="14"/>
      <c r="N3947" s="10" t="s">
        <v>1028</v>
      </c>
    </row>
    <row r="3948" spans="1:14" ht="22.5" customHeight="1">
      <c r="A3948" s="8">
        <v>46021.75481622685</v>
      </c>
      <c r="B3948" s="9" t="s">
        <v>14</v>
      </c>
      <c r="C3948" s="9" t="s">
        <v>15</v>
      </c>
      <c r="D3948" s="10" t="s">
        <v>8639</v>
      </c>
      <c r="E3948" s="9" t="s">
        <v>17</v>
      </c>
      <c r="F3948" s="10">
        <v>27</v>
      </c>
      <c r="G3948" s="11">
        <v>8146588403</v>
      </c>
      <c r="H3948" s="10" t="s">
        <v>8640</v>
      </c>
      <c r="I3948" s="10" t="s">
        <v>27</v>
      </c>
      <c r="J3948" s="10" t="s">
        <v>1456</v>
      </c>
      <c r="K3948" s="12">
        <v>46021</v>
      </c>
      <c r="L3948" s="28" t="s">
        <v>11</v>
      </c>
      <c r="M3948" s="10"/>
      <c r="N3948" s="10" t="s">
        <v>1035</v>
      </c>
    </row>
    <row r="3949" spans="1:14" ht="22.5" customHeight="1">
      <c r="A3949" s="8">
        <v>46021.756702800922</v>
      </c>
      <c r="B3949" s="9" t="s">
        <v>14</v>
      </c>
      <c r="C3949" s="9" t="s">
        <v>15</v>
      </c>
      <c r="D3949" s="10" t="s">
        <v>8641</v>
      </c>
      <c r="E3949" s="9" t="s">
        <v>17</v>
      </c>
      <c r="F3949" s="10">
        <v>32</v>
      </c>
      <c r="G3949" s="11">
        <v>8135259209</v>
      </c>
      <c r="H3949" s="10" t="s">
        <v>8642</v>
      </c>
      <c r="I3949" s="10" t="s">
        <v>49</v>
      </c>
      <c r="J3949" s="10" t="s">
        <v>50</v>
      </c>
      <c r="K3949" s="12">
        <v>46021</v>
      </c>
      <c r="L3949" s="28" t="s">
        <v>11</v>
      </c>
      <c r="M3949" s="14"/>
      <c r="N3949" s="10" t="s">
        <v>1028</v>
      </c>
    </row>
    <row r="3950" spans="1:14" ht="22.5" customHeight="1">
      <c r="A3950" s="8">
        <v>46021.757455046296</v>
      </c>
      <c r="B3950" s="9" t="s">
        <v>14</v>
      </c>
      <c r="C3950" s="9" t="s">
        <v>15</v>
      </c>
      <c r="D3950" s="10" t="s">
        <v>8643</v>
      </c>
      <c r="E3950" s="9" t="s">
        <v>22</v>
      </c>
      <c r="F3950" s="10">
        <v>41</v>
      </c>
      <c r="G3950" s="11">
        <v>8036736779</v>
      </c>
      <c r="H3950" s="10" t="s">
        <v>8644</v>
      </c>
      <c r="I3950" s="10" t="s">
        <v>145</v>
      </c>
      <c r="J3950" s="10" t="s">
        <v>530</v>
      </c>
      <c r="K3950" s="12">
        <v>46021</v>
      </c>
      <c r="L3950" s="28" t="s">
        <v>11</v>
      </c>
      <c r="M3950" s="10"/>
      <c r="N3950" s="10" t="s">
        <v>1028</v>
      </c>
    </row>
    <row r="3951" spans="1:14" ht="22.5" customHeight="1">
      <c r="A3951" s="8">
        <v>46021.759383831013</v>
      </c>
      <c r="B3951" s="9" t="s">
        <v>14</v>
      </c>
      <c r="C3951" s="9" t="s">
        <v>15</v>
      </c>
      <c r="D3951" s="10" t="s">
        <v>8645</v>
      </c>
      <c r="E3951" s="9" t="s">
        <v>17</v>
      </c>
      <c r="F3951" s="10">
        <v>33</v>
      </c>
      <c r="G3951" s="11">
        <v>8113950526</v>
      </c>
      <c r="H3951" s="10" t="s">
        <v>8646</v>
      </c>
      <c r="I3951" s="10" t="s">
        <v>145</v>
      </c>
      <c r="J3951" s="10" t="s">
        <v>3584</v>
      </c>
      <c r="K3951" s="12">
        <v>46021</v>
      </c>
      <c r="L3951" s="28" t="s">
        <v>11</v>
      </c>
      <c r="M3951" s="14"/>
      <c r="N3951" s="10" t="s">
        <v>1028</v>
      </c>
    </row>
    <row r="3952" spans="1:14" ht="22.5" customHeight="1">
      <c r="A3952" s="8">
        <v>46021.759737349537</v>
      </c>
      <c r="B3952" s="9" t="s">
        <v>14</v>
      </c>
      <c r="C3952" s="9" t="s">
        <v>15</v>
      </c>
      <c r="D3952" s="10" t="s">
        <v>8647</v>
      </c>
      <c r="E3952" s="9" t="s">
        <v>17</v>
      </c>
      <c r="F3952" s="10">
        <v>33</v>
      </c>
      <c r="G3952" s="11">
        <v>7084304462</v>
      </c>
      <c r="H3952" s="10" t="s">
        <v>8648</v>
      </c>
      <c r="I3952" s="10" t="s">
        <v>45</v>
      </c>
      <c r="J3952" s="10" t="s">
        <v>5955</v>
      </c>
      <c r="K3952" s="12">
        <v>46021</v>
      </c>
      <c r="L3952" s="28" t="s">
        <v>11</v>
      </c>
      <c r="M3952" s="14"/>
      <c r="N3952" s="10" t="s">
        <v>1028</v>
      </c>
    </row>
    <row r="3953" spans="1:14" ht="22.5" customHeight="1">
      <c r="A3953" s="8">
        <v>46021.76139890046</v>
      </c>
      <c r="B3953" s="9" t="s">
        <v>14</v>
      </c>
      <c r="C3953" s="9" t="s">
        <v>15</v>
      </c>
      <c r="D3953" s="10" t="s">
        <v>8649</v>
      </c>
      <c r="E3953" s="9" t="s">
        <v>22</v>
      </c>
      <c r="F3953" s="10">
        <v>36</v>
      </c>
      <c r="G3953" s="11">
        <v>8037144271</v>
      </c>
      <c r="H3953" s="10" t="s">
        <v>8650</v>
      </c>
      <c r="I3953" s="10" t="s">
        <v>19</v>
      </c>
      <c r="J3953" s="10" t="s">
        <v>8651</v>
      </c>
      <c r="K3953" s="12">
        <v>46021</v>
      </c>
      <c r="L3953" s="28" t="s">
        <v>11</v>
      </c>
      <c r="M3953" s="14"/>
      <c r="N3953" s="10" t="s">
        <v>1028</v>
      </c>
    </row>
    <row r="3954" spans="1:14" ht="22.5" customHeight="1">
      <c r="A3954" s="8">
        <v>46021.762918831024</v>
      </c>
      <c r="B3954" s="9" t="s">
        <v>14</v>
      </c>
      <c r="C3954" s="9" t="s">
        <v>15</v>
      </c>
      <c r="D3954" s="10" t="s">
        <v>8652</v>
      </c>
      <c r="E3954" s="9" t="s">
        <v>17</v>
      </c>
      <c r="F3954" s="10">
        <v>29</v>
      </c>
      <c r="G3954" s="11">
        <v>9061815637</v>
      </c>
      <c r="H3954" s="10" t="s">
        <v>8653</v>
      </c>
      <c r="I3954" s="10" t="s">
        <v>49</v>
      </c>
      <c r="J3954" s="10" t="s">
        <v>7089</v>
      </c>
      <c r="K3954" s="12">
        <v>46021</v>
      </c>
      <c r="L3954" s="28" t="s">
        <v>11</v>
      </c>
      <c r="M3954" s="14"/>
      <c r="N3954" s="10" t="s">
        <v>1028</v>
      </c>
    </row>
    <row r="3955" spans="1:14" ht="22.5" customHeight="1">
      <c r="A3955" s="8">
        <v>46021.763895370372</v>
      </c>
      <c r="B3955" s="9" t="s">
        <v>14</v>
      </c>
      <c r="C3955" s="9" t="s">
        <v>15</v>
      </c>
      <c r="D3955" s="10" t="s">
        <v>8654</v>
      </c>
      <c r="E3955" s="9" t="s">
        <v>22</v>
      </c>
      <c r="F3955" s="10">
        <v>31</v>
      </c>
      <c r="G3955" s="11">
        <v>7037210260</v>
      </c>
      <c r="H3955" s="10" t="s">
        <v>8655</v>
      </c>
      <c r="I3955" s="10" t="s">
        <v>27</v>
      </c>
      <c r="J3955" s="10" t="s">
        <v>7107</v>
      </c>
      <c r="K3955" s="12">
        <v>46021</v>
      </c>
      <c r="L3955" s="28" t="s">
        <v>11</v>
      </c>
      <c r="M3955" s="14"/>
      <c r="N3955" s="10" t="s">
        <v>1096</v>
      </c>
    </row>
    <row r="3956" spans="1:14" ht="22.5" customHeight="1">
      <c r="A3956" s="8">
        <v>46021.76959679398</v>
      </c>
      <c r="B3956" s="9" t="s">
        <v>14</v>
      </c>
      <c r="C3956" s="9" t="s">
        <v>15</v>
      </c>
      <c r="D3956" s="10" t="s">
        <v>8656</v>
      </c>
      <c r="E3956" s="9" t="s">
        <v>17</v>
      </c>
      <c r="F3956" s="10">
        <v>34</v>
      </c>
      <c r="G3956" s="11">
        <v>8069598659</v>
      </c>
      <c r="H3956" s="10" t="s">
        <v>8657</v>
      </c>
      <c r="I3956" s="10" t="s">
        <v>19</v>
      </c>
      <c r="J3956" s="10" t="s">
        <v>8560</v>
      </c>
      <c r="K3956" s="12">
        <v>46021</v>
      </c>
      <c r="L3956" s="28" t="s">
        <v>11</v>
      </c>
      <c r="M3956" s="14"/>
      <c r="N3956" s="10" t="s">
        <v>1028</v>
      </c>
    </row>
    <row r="3957" spans="1:14" ht="22.5" customHeight="1">
      <c r="A3957" s="8">
        <v>46021.770072280095</v>
      </c>
      <c r="B3957" s="9" t="s">
        <v>14</v>
      </c>
      <c r="C3957" s="9" t="s">
        <v>15</v>
      </c>
      <c r="D3957" s="10" t="s">
        <v>8658</v>
      </c>
      <c r="E3957" s="9" t="s">
        <v>17</v>
      </c>
      <c r="F3957" s="10">
        <v>35</v>
      </c>
      <c r="G3957" s="11">
        <v>8036874924</v>
      </c>
      <c r="H3957" s="10" t="s">
        <v>8659</v>
      </c>
      <c r="I3957" s="10" t="s">
        <v>27</v>
      </c>
      <c r="J3957" s="10" t="s">
        <v>8660</v>
      </c>
      <c r="K3957" s="12">
        <v>46021</v>
      </c>
      <c r="L3957" s="28" t="s">
        <v>11</v>
      </c>
      <c r="M3957" s="14"/>
      <c r="N3957" s="10" t="s">
        <v>1028</v>
      </c>
    </row>
    <row r="3958" spans="1:14" ht="22.5" customHeight="1">
      <c r="A3958" s="8">
        <v>46021.772084629629</v>
      </c>
      <c r="B3958" s="9" t="s">
        <v>14</v>
      </c>
      <c r="C3958" s="9" t="s">
        <v>15</v>
      </c>
      <c r="D3958" s="10" t="s">
        <v>8661</v>
      </c>
      <c r="E3958" s="9" t="s">
        <v>22</v>
      </c>
      <c r="F3958" s="10">
        <v>26</v>
      </c>
      <c r="G3958" s="11">
        <v>9036082228</v>
      </c>
      <c r="H3958" s="10" t="s">
        <v>8662</v>
      </c>
      <c r="I3958" s="10" t="s">
        <v>19</v>
      </c>
      <c r="J3958" s="10" t="s">
        <v>8663</v>
      </c>
      <c r="K3958" s="12">
        <v>46021</v>
      </c>
      <c r="L3958" s="28" t="s">
        <v>11</v>
      </c>
      <c r="M3958" s="14"/>
      <c r="N3958" s="10" t="s">
        <v>1028</v>
      </c>
    </row>
    <row r="3959" spans="1:14" ht="22.5" customHeight="1">
      <c r="A3959" s="8">
        <v>46021.778671481487</v>
      </c>
      <c r="B3959" s="9" t="s">
        <v>14</v>
      </c>
      <c r="C3959" s="9" t="s">
        <v>15</v>
      </c>
      <c r="D3959" s="10" t="s">
        <v>8664</v>
      </c>
      <c r="E3959" s="9" t="s">
        <v>17</v>
      </c>
      <c r="F3959" s="10">
        <v>27</v>
      </c>
      <c r="G3959" s="11">
        <v>9073108779</v>
      </c>
      <c r="H3959" s="10" t="s">
        <v>8665</v>
      </c>
      <c r="I3959" s="10" t="s">
        <v>27</v>
      </c>
      <c r="J3959" s="10" t="s">
        <v>372</v>
      </c>
      <c r="K3959" s="12">
        <v>46021</v>
      </c>
      <c r="L3959" s="28" t="s">
        <v>11</v>
      </c>
      <c r="M3959" s="14"/>
      <c r="N3959" s="10" t="s">
        <v>1096</v>
      </c>
    </row>
    <row r="3960" spans="1:14" ht="22.5" customHeight="1">
      <c r="A3960" s="8">
        <v>46021.778696331021</v>
      </c>
      <c r="B3960" s="9" t="s">
        <v>14</v>
      </c>
      <c r="C3960" s="9" t="s">
        <v>15</v>
      </c>
      <c r="D3960" s="10" t="s">
        <v>8666</v>
      </c>
      <c r="E3960" s="9" t="s">
        <v>22</v>
      </c>
      <c r="F3960" s="10">
        <v>32</v>
      </c>
      <c r="G3960" s="11">
        <v>7069118742</v>
      </c>
      <c r="H3960" s="10" t="s">
        <v>8667</v>
      </c>
      <c r="I3960" s="10" t="s">
        <v>49</v>
      </c>
      <c r="J3960" s="10" t="s">
        <v>109</v>
      </c>
      <c r="K3960" s="12">
        <v>46021</v>
      </c>
      <c r="L3960" s="28" t="s">
        <v>11</v>
      </c>
      <c r="M3960" s="14"/>
      <c r="N3960" s="10" t="s">
        <v>1028</v>
      </c>
    </row>
    <row r="3961" spans="1:14" ht="22.5" customHeight="1">
      <c r="A3961" s="8">
        <v>46021.779578136571</v>
      </c>
      <c r="B3961" s="9" t="s">
        <v>14</v>
      </c>
      <c r="C3961" s="9" t="s">
        <v>15</v>
      </c>
      <c r="D3961" s="10" t="s">
        <v>8668</v>
      </c>
      <c r="E3961" s="9" t="s">
        <v>17</v>
      </c>
      <c r="F3961" s="10">
        <v>31</v>
      </c>
      <c r="G3961" s="11">
        <v>7083625601</v>
      </c>
      <c r="H3961" s="10" t="s">
        <v>8669</v>
      </c>
      <c r="I3961" s="10" t="s">
        <v>49</v>
      </c>
      <c r="J3961" s="10" t="s">
        <v>292</v>
      </c>
      <c r="K3961" s="12">
        <v>46021</v>
      </c>
      <c r="L3961" s="28" t="s">
        <v>11</v>
      </c>
      <c r="M3961" s="14"/>
      <c r="N3961" s="10" t="s">
        <v>1028</v>
      </c>
    </row>
    <row r="3962" spans="1:14" ht="22.5" customHeight="1">
      <c r="A3962" s="8">
        <v>46021.781330625003</v>
      </c>
      <c r="B3962" s="9" t="s">
        <v>14</v>
      </c>
      <c r="C3962" s="9" t="s">
        <v>15</v>
      </c>
      <c r="D3962" s="10" t="s">
        <v>8670</v>
      </c>
      <c r="E3962" s="9" t="s">
        <v>17</v>
      </c>
      <c r="F3962" s="10">
        <v>29</v>
      </c>
      <c r="G3962" s="11">
        <v>7017263001</v>
      </c>
      <c r="H3962" s="10" t="s">
        <v>8671</v>
      </c>
      <c r="I3962" s="10" t="s">
        <v>49</v>
      </c>
      <c r="J3962" s="10" t="s">
        <v>8672</v>
      </c>
      <c r="K3962" s="12">
        <v>46021</v>
      </c>
      <c r="L3962" s="28" t="s">
        <v>11</v>
      </c>
      <c r="M3962" s="14"/>
      <c r="N3962" s="10" t="s">
        <v>1028</v>
      </c>
    </row>
    <row r="3963" spans="1:14" ht="22.5" customHeight="1">
      <c r="A3963" s="8">
        <v>46021.784578738429</v>
      </c>
      <c r="B3963" s="9" t="s">
        <v>14</v>
      </c>
      <c r="C3963" s="9" t="s">
        <v>15</v>
      </c>
      <c r="D3963" s="10" t="s">
        <v>8673</v>
      </c>
      <c r="E3963" s="9" t="s">
        <v>17</v>
      </c>
      <c r="F3963" s="10">
        <v>31</v>
      </c>
      <c r="G3963" s="11">
        <v>8136561180</v>
      </c>
      <c r="H3963" s="10" t="s">
        <v>8674</v>
      </c>
      <c r="I3963" s="10" t="s">
        <v>45</v>
      </c>
      <c r="J3963" s="10" t="s">
        <v>521</v>
      </c>
      <c r="K3963" s="12">
        <v>46021</v>
      </c>
      <c r="L3963" s="28" t="s">
        <v>11</v>
      </c>
      <c r="M3963" s="14"/>
      <c r="N3963" s="10" t="s">
        <v>1028</v>
      </c>
    </row>
    <row r="3964" spans="1:14" ht="22.5" customHeight="1">
      <c r="A3964" s="8">
        <v>46021.78636914352</v>
      </c>
      <c r="B3964" s="9" t="s">
        <v>14</v>
      </c>
      <c r="C3964" s="9" t="s">
        <v>15</v>
      </c>
      <c r="D3964" s="10" t="s">
        <v>8675</v>
      </c>
      <c r="E3964" s="9" t="s">
        <v>17</v>
      </c>
      <c r="F3964" s="10">
        <v>30</v>
      </c>
      <c r="G3964" s="11">
        <v>8143058610</v>
      </c>
      <c r="H3964" s="10" t="s">
        <v>8676</v>
      </c>
      <c r="I3964" s="10" t="s">
        <v>145</v>
      </c>
      <c r="J3964" s="10" t="s">
        <v>530</v>
      </c>
      <c r="K3964" s="12">
        <v>46021</v>
      </c>
      <c r="L3964" s="28" t="s">
        <v>11</v>
      </c>
      <c r="M3964" s="14"/>
      <c r="N3964" s="10" t="s">
        <v>8677</v>
      </c>
    </row>
    <row r="3965" spans="1:14" ht="22.5" customHeight="1">
      <c r="A3965" s="8">
        <v>46021.786578009254</v>
      </c>
      <c r="B3965" s="9" t="s">
        <v>14</v>
      </c>
      <c r="C3965" s="9" t="s">
        <v>15</v>
      </c>
      <c r="D3965" s="10" t="s">
        <v>8678</v>
      </c>
      <c r="E3965" s="9" t="s">
        <v>17</v>
      </c>
      <c r="F3965" s="10">
        <v>27</v>
      </c>
      <c r="G3965" s="11">
        <f t="shared" ref="G3965" si="107">2348103439077</f>
        <v>2348103439077</v>
      </c>
      <c r="H3965" s="10" t="s">
        <v>8679</v>
      </c>
      <c r="I3965" s="10" t="s">
        <v>31</v>
      </c>
      <c r="J3965" s="10" t="s">
        <v>8680</v>
      </c>
      <c r="K3965" s="12">
        <v>46021</v>
      </c>
      <c r="L3965" s="28" t="s">
        <v>11</v>
      </c>
      <c r="M3965" s="14"/>
      <c r="N3965" s="10" t="s">
        <v>1028</v>
      </c>
    </row>
    <row r="3966" spans="1:14" ht="22.5" customHeight="1">
      <c r="A3966" s="8">
        <v>46021.788714895833</v>
      </c>
      <c r="B3966" s="9" t="s">
        <v>14</v>
      </c>
      <c r="C3966" s="9" t="s">
        <v>15</v>
      </c>
      <c r="D3966" s="10" t="s">
        <v>8681</v>
      </c>
      <c r="E3966" s="9" t="s">
        <v>17</v>
      </c>
      <c r="F3966" s="10">
        <v>22</v>
      </c>
      <c r="G3966" s="11">
        <f>2349060798871</f>
        <v>2349060798871</v>
      </c>
      <c r="H3966" s="10" t="s">
        <v>8682</v>
      </c>
      <c r="I3966" s="10" t="s">
        <v>27</v>
      </c>
      <c r="J3966" s="10" t="s">
        <v>1907</v>
      </c>
      <c r="K3966" s="12">
        <v>46021</v>
      </c>
      <c r="L3966" s="28" t="s">
        <v>11</v>
      </c>
      <c r="M3966" s="14"/>
      <c r="N3966" s="10" t="s">
        <v>1028</v>
      </c>
    </row>
    <row r="3967" spans="1:14" ht="22.5" customHeight="1">
      <c r="A3967" s="8">
        <v>46021.79129883102</v>
      </c>
      <c r="B3967" s="9" t="s">
        <v>14</v>
      </c>
      <c r="C3967" s="9" t="s">
        <v>15</v>
      </c>
      <c r="D3967" s="10" t="s">
        <v>8683</v>
      </c>
      <c r="E3967" s="9" t="s">
        <v>22</v>
      </c>
      <c r="F3967" s="10">
        <v>27</v>
      </c>
      <c r="G3967" s="11">
        <v>8024371655</v>
      </c>
      <c r="H3967" s="10" t="s">
        <v>8684</v>
      </c>
      <c r="I3967" s="10" t="s">
        <v>145</v>
      </c>
      <c r="J3967" s="10" t="s">
        <v>4352</v>
      </c>
      <c r="K3967" s="12">
        <v>46021</v>
      </c>
      <c r="L3967" s="28" t="s">
        <v>11</v>
      </c>
      <c r="M3967" s="14"/>
      <c r="N3967" s="10" t="s">
        <v>1028</v>
      </c>
    </row>
    <row r="3968" spans="1:14" ht="22.5" customHeight="1">
      <c r="A3968" s="8">
        <v>46021.795296307871</v>
      </c>
      <c r="B3968" s="9" t="s">
        <v>14</v>
      </c>
      <c r="C3968" s="9" t="s">
        <v>15</v>
      </c>
      <c r="D3968" s="10" t="s">
        <v>8685</v>
      </c>
      <c r="E3968" s="9" t="s">
        <v>17</v>
      </c>
      <c r="F3968" s="10">
        <v>23</v>
      </c>
      <c r="G3968" s="11">
        <v>8140385779</v>
      </c>
      <c r="H3968" s="10" t="s">
        <v>8686</v>
      </c>
      <c r="I3968" s="10" t="s">
        <v>27</v>
      </c>
      <c r="J3968" s="10" t="s">
        <v>8687</v>
      </c>
      <c r="K3968" s="12">
        <v>46021</v>
      </c>
      <c r="L3968" s="28" t="s">
        <v>11</v>
      </c>
      <c r="M3968" s="14"/>
      <c r="N3968" s="10" t="s">
        <v>1028</v>
      </c>
    </row>
    <row r="3969" spans="1:14" ht="22.5" customHeight="1">
      <c r="A3969" s="8">
        <v>46021.797546909722</v>
      </c>
      <c r="B3969" s="9" t="s">
        <v>14</v>
      </c>
      <c r="C3969" s="9" t="s">
        <v>15</v>
      </c>
      <c r="D3969" s="10" t="s">
        <v>8688</v>
      </c>
      <c r="E3969" s="9" t="s">
        <v>22</v>
      </c>
      <c r="F3969" s="10">
        <v>31</v>
      </c>
      <c r="G3969" s="11">
        <v>8164103306</v>
      </c>
      <c r="H3969" s="10" t="s">
        <v>8689</v>
      </c>
      <c r="I3969" s="10" t="s">
        <v>49</v>
      </c>
      <c r="J3969" s="10" t="s">
        <v>50</v>
      </c>
      <c r="K3969" s="12">
        <v>46021</v>
      </c>
      <c r="L3969" s="28" t="s">
        <v>11</v>
      </c>
      <c r="M3969" s="14"/>
      <c r="N3969" s="10" t="s">
        <v>1028</v>
      </c>
    </row>
    <row r="3970" spans="1:14" ht="22.5" customHeight="1">
      <c r="A3970" s="8">
        <v>46021.798948159718</v>
      </c>
      <c r="B3970" s="9" t="s">
        <v>14</v>
      </c>
      <c r="C3970" s="9" t="s">
        <v>15</v>
      </c>
      <c r="D3970" s="10" t="s">
        <v>8690</v>
      </c>
      <c r="E3970" s="9" t="s">
        <v>17</v>
      </c>
      <c r="F3970" s="10">
        <v>32</v>
      </c>
      <c r="G3970" s="11">
        <v>8163431448</v>
      </c>
      <c r="H3970" s="10" t="s">
        <v>8691</v>
      </c>
      <c r="I3970" s="10" t="s">
        <v>145</v>
      </c>
      <c r="J3970" s="10" t="s">
        <v>1717</v>
      </c>
      <c r="K3970" s="12">
        <v>46021</v>
      </c>
      <c r="L3970" s="28" t="s">
        <v>11</v>
      </c>
      <c r="M3970" s="14"/>
      <c r="N3970" s="10" t="s">
        <v>1028</v>
      </c>
    </row>
    <row r="3971" spans="1:14" ht="22.5" customHeight="1">
      <c r="A3971" s="8">
        <v>46021.799658425924</v>
      </c>
      <c r="B3971" s="9" t="s">
        <v>14</v>
      </c>
      <c r="C3971" s="9" t="s">
        <v>15</v>
      </c>
      <c r="D3971" s="10" t="s">
        <v>8692</v>
      </c>
      <c r="E3971" s="9" t="s">
        <v>17</v>
      </c>
      <c r="F3971" s="10">
        <v>34</v>
      </c>
      <c r="G3971" s="11">
        <v>8037743614</v>
      </c>
      <c r="H3971" s="10" t="s">
        <v>8693</v>
      </c>
      <c r="I3971" s="10" t="s">
        <v>145</v>
      </c>
      <c r="J3971" s="10" t="s">
        <v>8694</v>
      </c>
      <c r="K3971" s="12">
        <v>46021</v>
      </c>
      <c r="L3971" s="28" t="s">
        <v>11</v>
      </c>
      <c r="M3971" s="14"/>
      <c r="N3971" s="10" t="s">
        <v>1028</v>
      </c>
    </row>
    <row r="3972" spans="1:14" ht="22.5" customHeight="1">
      <c r="A3972" s="8">
        <v>46021.800760266204</v>
      </c>
      <c r="B3972" s="9" t="s">
        <v>14</v>
      </c>
      <c r="C3972" s="9" t="s">
        <v>15</v>
      </c>
      <c r="D3972" s="10" t="s">
        <v>8695</v>
      </c>
      <c r="E3972" s="9" t="s">
        <v>17</v>
      </c>
      <c r="F3972" s="10">
        <v>24</v>
      </c>
      <c r="G3972" s="11">
        <v>9082834682</v>
      </c>
      <c r="H3972" s="10" t="s">
        <v>5332</v>
      </c>
      <c r="I3972" s="10" t="s">
        <v>27</v>
      </c>
      <c r="J3972" s="10" t="s">
        <v>94</v>
      </c>
      <c r="K3972" s="12">
        <v>46021</v>
      </c>
      <c r="L3972" s="28" t="s">
        <v>11</v>
      </c>
      <c r="M3972" s="14"/>
      <c r="N3972" s="10" t="s">
        <v>1028</v>
      </c>
    </row>
    <row r="3973" spans="1:14" ht="22.5" customHeight="1">
      <c r="A3973" s="8">
        <v>46021.802290243053</v>
      </c>
      <c r="B3973" s="9" t="s">
        <v>14</v>
      </c>
      <c r="C3973" s="9" t="s">
        <v>15</v>
      </c>
      <c r="D3973" s="10" t="s">
        <v>8696</v>
      </c>
      <c r="E3973" s="9" t="s">
        <v>17</v>
      </c>
      <c r="F3973" s="10">
        <v>25</v>
      </c>
      <c r="G3973" s="11">
        <v>8147717388</v>
      </c>
      <c r="H3973" s="10" t="s">
        <v>8697</v>
      </c>
      <c r="I3973" s="10" t="s">
        <v>49</v>
      </c>
      <c r="J3973" s="10" t="s">
        <v>50</v>
      </c>
      <c r="K3973" s="12">
        <v>46021</v>
      </c>
      <c r="L3973" s="28" t="s">
        <v>11</v>
      </c>
      <c r="M3973" s="14"/>
      <c r="N3973" s="10" t="s">
        <v>1028</v>
      </c>
    </row>
    <row r="3974" spans="1:14" ht="22.5" customHeight="1">
      <c r="A3974" s="8">
        <v>46021.803990706016</v>
      </c>
      <c r="B3974" s="9" t="s">
        <v>14</v>
      </c>
      <c r="C3974" s="9" t="s">
        <v>15</v>
      </c>
      <c r="D3974" s="10" t="s">
        <v>8698</v>
      </c>
      <c r="E3974" s="9" t="s">
        <v>17</v>
      </c>
      <c r="F3974" s="10">
        <v>27</v>
      </c>
      <c r="G3974" s="11">
        <v>9039028362</v>
      </c>
      <c r="H3974" s="10" t="s">
        <v>8699</v>
      </c>
      <c r="I3974" s="10" t="s">
        <v>27</v>
      </c>
      <c r="J3974" s="10" t="s">
        <v>8700</v>
      </c>
      <c r="K3974" s="12">
        <v>46021</v>
      </c>
      <c r="L3974" s="28" t="s">
        <v>11</v>
      </c>
      <c r="M3974" s="14"/>
      <c r="N3974" s="10" t="s">
        <v>1028</v>
      </c>
    </row>
    <row r="3975" spans="1:14" ht="22.5" customHeight="1">
      <c r="A3975" s="8">
        <v>46021.805186087964</v>
      </c>
      <c r="B3975" s="9" t="s">
        <v>14</v>
      </c>
      <c r="C3975" s="9" t="s">
        <v>15</v>
      </c>
      <c r="D3975" s="10" t="s">
        <v>8701</v>
      </c>
      <c r="E3975" s="9" t="s">
        <v>17</v>
      </c>
      <c r="F3975" s="10">
        <v>34</v>
      </c>
      <c r="G3975" s="11">
        <v>8060579767</v>
      </c>
      <c r="H3975" s="10" t="s">
        <v>8702</v>
      </c>
      <c r="I3975" s="10" t="s">
        <v>49</v>
      </c>
      <c r="J3975" s="10" t="s">
        <v>303</v>
      </c>
      <c r="K3975" s="12">
        <v>46021</v>
      </c>
      <c r="L3975" s="28" t="s">
        <v>11</v>
      </c>
      <c r="M3975" s="14"/>
      <c r="N3975" s="10" t="s">
        <v>1028</v>
      </c>
    </row>
    <row r="3976" spans="1:14" ht="22.5" customHeight="1">
      <c r="A3976" s="8">
        <v>46021.807985057865</v>
      </c>
      <c r="B3976" s="9" t="s">
        <v>14</v>
      </c>
      <c r="C3976" s="9" t="s">
        <v>15</v>
      </c>
      <c r="D3976" s="10" t="s">
        <v>8703</v>
      </c>
      <c r="E3976" s="9" t="s">
        <v>17</v>
      </c>
      <c r="F3976" s="10">
        <v>27</v>
      </c>
      <c r="G3976" s="11">
        <f t="shared" ref="G3976" si="108">923036230848</f>
        <v>923036230848</v>
      </c>
      <c r="H3976" s="10" t="s">
        <v>8704</v>
      </c>
      <c r="I3976" s="10" t="s">
        <v>19</v>
      </c>
      <c r="J3976" s="10" t="s">
        <v>8705</v>
      </c>
      <c r="K3976" s="12">
        <v>46021</v>
      </c>
      <c r="L3976" s="28" t="s">
        <v>11</v>
      </c>
      <c r="M3976" s="14"/>
      <c r="N3976" s="10" t="s">
        <v>1028</v>
      </c>
    </row>
    <row r="3977" spans="1:14" ht="22.5" customHeight="1">
      <c r="A3977" s="8">
        <v>46021.809239374998</v>
      </c>
      <c r="B3977" s="9" t="s">
        <v>14</v>
      </c>
      <c r="C3977" s="9" t="s">
        <v>15</v>
      </c>
      <c r="D3977" s="10" t="s">
        <v>8706</v>
      </c>
      <c r="E3977" s="9" t="s">
        <v>17</v>
      </c>
      <c r="F3977" s="10">
        <v>26</v>
      </c>
      <c r="G3977" s="11">
        <v>7080591603</v>
      </c>
      <c r="H3977" s="10" t="s">
        <v>8707</v>
      </c>
      <c r="I3977" s="10" t="s">
        <v>27</v>
      </c>
      <c r="J3977" s="10" t="s">
        <v>172</v>
      </c>
      <c r="K3977" s="12">
        <v>46021</v>
      </c>
      <c r="L3977" s="28" t="s">
        <v>11</v>
      </c>
      <c r="M3977" s="14"/>
      <c r="N3977" s="10" t="s">
        <v>1028</v>
      </c>
    </row>
    <row r="3978" spans="1:14" ht="22.5" customHeight="1">
      <c r="A3978" s="8">
        <v>46021.81048241898</v>
      </c>
      <c r="B3978" s="9" t="s">
        <v>14</v>
      </c>
      <c r="C3978" s="9" t="s">
        <v>15</v>
      </c>
      <c r="D3978" s="10" t="s">
        <v>8708</v>
      </c>
      <c r="E3978" s="9" t="s">
        <v>17</v>
      </c>
      <c r="F3978" s="10">
        <v>31</v>
      </c>
      <c r="G3978" s="11">
        <v>7035759726</v>
      </c>
      <c r="H3978" s="10" t="s">
        <v>8709</v>
      </c>
      <c r="I3978" s="10" t="s">
        <v>145</v>
      </c>
      <c r="J3978" s="10" t="s">
        <v>7053</v>
      </c>
      <c r="K3978" s="12">
        <v>46021</v>
      </c>
      <c r="L3978" s="28" t="s">
        <v>11</v>
      </c>
      <c r="M3978" s="14"/>
      <c r="N3978" s="10" t="s">
        <v>1028</v>
      </c>
    </row>
    <row r="3979" spans="1:14" ht="22.5" customHeight="1">
      <c r="A3979" s="8">
        <v>46021.81158789352</v>
      </c>
      <c r="B3979" s="9" t="s">
        <v>14</v>
      </c>
      <c r="C3979" s="9" t="s">
        <v>15</v>
      </c>
      <c r="D3979" s="10" t="s">
        <v>8710</v>
      </c>
      <c r="E3979" s="9" t="s">
        <v>17</v>
      </c>
      <c r="F3979" s="10">
        <v>34</v>
      </c>
      <c r="G3979" s="11">
        <v>8021318293</v>
      </c>
      <c r="H3979" s="10" t="s">
        <v>8711</v>
      </c>
      <c r="I3979" s="10" t="s">
        <v>45</v>
      </c>
      <c r="J3979" s="10" t="s">
        <v>1191</v>
      </c>
      <c r="K3979" s="12">
        <v>46021</v>
      </c>
      <c r="L3979" s="28" t="s">
        <v>11</v>
      </c>
      <c r="M3979" s="14"/>
      <c r="N3979" s="10" t="s">
        <v>1096</v>
      </c>
    </row>
    <row r="3980" spans="1:14" ht="22.5" customHeight="1">
      <c r="A3980" s="8">
        <v>46021.815506712963</v>
      </c>
      <c r="B3980" s="9" t="s">
        <v>14</v>
      </c>
      <c r="C3980" s="9" t="s">
        <v>15</v>
      </c>
      <c r="D3980" s="10" t="s">
        <v>8712</v>
      </c>
      <c r="E3980" s="9" t="s">
        <v>17</v>
      </c>
      <c r="F3980" s="10">
        <v>30</v>
      </c>
      <c r="G3980" s="11">
        <v>7034610389</v>
      </c>
      <c r="H3980" s="10" t="s">
        <v>8713</v>
      </c>
      <c r="I3980" s="10" t="s">
        <v>49</v>
      </c>
      <c r="J3980" s="10" t="s">
        <v>7089</v>
      </c>
      <c r="K3980" s="12">
        <v>46021</v>
      </c>
      <c r="L3980" s="28" t="s">
        <v>11</v>
      </c>
      <c r="M3980" s="14"/>
      <c r="N3980" s="10" t="s">
        <v>1028</v>
      </c>
    </row>
    <row r="3981" spans="1:14" ht="22.5" customHeight="1">
      <c r="A3981" s="8">
        <v>46021.816962094905</v>
      </c>
      <c r="B3981" s="9" t="s">
        <v>14</v>
      </c>
      <c r="C3981" s="9" t="s">
        <v>15</v>
      </c>
      <c r="D3981" s="10" t="s">
        <v>8714</v>
      </c>
      <c r="E3981" s="9" t="s">
        <v>17</v>
      </c>
      <c r="F3981" s="10">
        <v>26</v>
      </c>
      <c r="G3981" s="11">
        <v>7057399871</v>
      </c>
      <c r="H3981" s="10" t="s">
        <v>8715</v>
      </c>
      <c r="I3981" s="10" t="s">
        <v>49</v>
      </c>
      <c r="J3981" s="10" t="s">
        <v>109</v>
      </c>
      <c r="K3981" s="12">
        <v>46021</v>
      </c>
      <c r="L3981" s="28" t="s">
        <v>11</v>
      </c>
      <c r="M3981" s="14"/>
      <c r="N3981" s="10" t="s">
        <v>1028</v>
      </c>
    </row>
    <row r="3982" spans="1:14" ht="22.5" customHeight="1">
      <c r="A3982" s="8">
        <v>46021.820045393513</v>
      </c>
      <c r="B3982" s="9" t="s">
        <v>14</v>
      </c>
      <c r="C3982" s="9" t="s">
        <v>15</v>
      </c>
      <c r="D3982" s="10" t="s">
        <v>8716</v>
      </c>
      <c r="E3982" s="9" t="s">
        <v>22</v>
      </c>
      <c r="F3982" s="10">
        <v>33</v>
      </c>
      <c r="G3982" s="11">
        <v>9039027697</v>
      </c>
      <c r="H3982" s="10" t="s">
        <v>8717</v>
      </c>
      <c r="I3982" s="10" t="s">
        <v>49</v>
      </c>
      <c r="J3982" s="10" t="s">
        <v>914</v>
      </c>
      <c r="K3982" s="12">
        <v>46021</v>
      </c>
      <c r="L3982" s="28" t="s">
        <v>11</v>
      </c>
      <c r="M3982" s="14"/>
      <c r="N3982" s="10" t="s">
        <v>1028</v>
      </c>
    </row>
    <row r="3983" spans="1:14" ht="22.5" customHeight="1">
      <c r="A3983" s="8">
        <v>46021.820352731476</v>
      </c>
      <c r="B3983" s="9" t="s">
        <v>14</v>
      </c>
      <c r="C3983" s="9" t="s">
        <v>15</v>
      </c>
      <c r="D3983" s="10" t="s">
        <v>8718</v>
      </c>
      <c r="E3983" s="9" t="s">
        <v>17</v>
      </c>
      <c r="F3983" s="10">
        <v>25</v>
      </c>
      <c r="G3983" s="11">
        <v>7042686090</v>
      </c>
      <c r="H3983" s="10" t="s">
        <v>8719</v>
      </c>
      <c r="I3983" s="10" t="s">
        <v>27</v>
      </c>
      <c r="J3983" s="10" t="s">
        <v>1559</v>
      </c>
      <c r="K3983" s="12">
        <v>46021</v>
      </c>
      <c r="L3983" s="28" t="s">
        <v>11</v>
      </c>
      <c r="M3983" s="14"/>
      <c r="N3983" s="10" t="s">
        <v>1028</v>
      </c>
    </row>
    <row r="3984" spans="1:14" ht="22.5" customHeight="1">
      <c r="A3984" s="8">
        <v>46021.821903587959</v>
      </c>
      <c r="B3984" s="9" t="s">
        <v>14</v>
      </c>
      <c r="C3984" s="9" t="s">
        <v>15</v>
      </c>
      <c r="D3984" s="10" t="s">
        <v>8720</v>
      </c>
      <c r="E3984" s="9" t="s">
        <v>17</v>
      </c>
      <c r="F3984" s="10">
        <v>25</v>
      </c>
      <c r="G3984" s="11">
        <v>9068424332</v>
      </c>
      <c r="H3984" s="10" t="s">
        <v>8721</v>
      </c>
      <c r="I3984" s="10" t="s">
        <v>27</v>
      </c>
      <c r="J3984" s="10" t="s">
        <v>1559</v>
      </c>
      <c r="K3984" s="12">
        <v>46021</v>
      </c>
      <c r="L3984" s="28" t="s">
        <v>11</v>
      </c>
      <c r="M3984" s="14"/>
      <c r="N3984" s="10" t="s">
        <v>1028</v>
      </c>
    </row>
    <row r="3985" spans="1:14" ht="22.5" customHeight="1">
      <c r="A3985" s="8">
        <v>46021.822584780093</v>
      </c>
      <c r="B3985" s="9" t="s">
        <v>14</v>
      </c>
      <c r="C3985" s="9" t="s">
        <v>15</v>
      </c>
      <c r="D3985" s="10" t="s">
        <v>8722</v>
      </c>
      <c r="E3985" s="9" t="s">
        <v>22</v>
      </c>
      <c r="F3985" s="10">
        <v>27</v>
      </c>
      <c r="G3985" s="11">
        <v>8144798893</v>
      </c>
      <c r="H3985" s="10" t="s">
        <v>8723</v>
      </c>
      <c r="I3985" s="10" t="s">
        <v>45</v>
      </c>
      <c r="J3985" s="10" t="s">
        <v>901</v>
      </c>
      <c r="K3985" s="12">
        <v>46021</v>
      </c>
      <c r="L3985" s="28" t="s">
        <v>11</v>
      </c>
      <c r="M3985" s="14"/>
      <c r="N3985" s="10" t="s">
        <v>1028</v>
      </c>
    </row>
    <row r="3986" spans="1:14" ht="22.5" customHeight="1">
      <c r="A3986" s="8">
        <v>46021.824780324074</v>
      </c>
      <c r="B3986" s="9" t="s">
        <v>14</v>
      </c>
      <c r="C3986" s="9" t="s">
        <v>15</v>
      </c>
      <c r="D3986" s="10" t="s">
        <v>8724</v>
      </c>
      <c r="E3986" s="9" t="s">
        <v>22</v>
      </c>
      <c r="F3986" s="10">
        <v>30</v>
      </c>
      <c r="G3986" s="11">
        <v>7069115298</v>
      </c>
      <c r="H3986" s="10" t="s">
        <v>8725</v>
      </c>
      <c r="I3986" s="10" t="s">
        <v>145</v>
      </c>
      <c r="J3986" s="10" t="s">
        <v>530</v>
      </c>
      <c r="K3986" s="12">
        <v>46021</v>
      </c>
      <c r="L3986" s="28" t="s">
        <v>11</v>
      </c>
      <c r="M3986" s="14"/>
      <c r="N3986" s="10" t="s">
        <v>1028</v>
      </c>
    </row>
    <row r="3987" spans="1:14" ht="22.5" customHeight="1">
      <c r="A3987" s="8">
        <v>46021.82566934028</v>
      </c>
      <c r="B3987" s="9" t="s">
        <v>14</v>
      </c>
      <c r="C3987" s="9" t="s">
        <v>15</v>
      </c>
      <c r="D3987" s="10" t="s">
        <v>8726</v>
      </c>
      <c r="E3987" s="9" t="s">
        <v>22</v>
      </c>
      <c r="F3987" s="10">
        <v>33</v>
      </c>
      <c r="G3987" s="11">
        <v>8126623151</v>
      </c>
      <c r="H3987" s="10" t="s">
        <v>8727</v>
      </c>
      <c r="I3987" s="10" t="s">
        <v>145</v>
      </c>
      <c r="J3987" s="10" t="s">
        <v>4352</v>
      </c>
      <c r="K3987" s="12">
        <v>46021</v>
      </c>
      <c r="L3987" s="28" t="s">
        <v>11</v>
      </c>
      <c r="M3987" s="14"/>
      <c r="N3987" s="10" t="s">
        <v>1096</v>
      </c>
    </row>
    <row r="3988" spans="1:14" ht="22.5" customHeight="1">
      <c r="A3988" s="8">
        <v>46021.830533854169</v>
      </c>
      <c r="B3988" s="9" t="s">
        <v>14</v>
      </c>
      <c r="C3988" s="9" t="s">
        <v>15</v>
      </c>
      <c r="D3988" s="10" t="s">
        <v>8728</v>
      </c>
      <c r="E3988" s="9" t="s">
        <v>17</v>
      </c>
      <c r="F3988" s="10">
        <v>26</v>
      </c>
      <c r="G3988" s="11">
        <v>9069494342</v>
      </c>
      <c r="H3988" s="10" t="s">
        <v>8729</v>
      </c>
      <c r="I3988" s="10" t="s">
        <v>27</v>
      </c>
      <c r="J3988" s="10" t="s">
        <v>8730</v>
      </c>
      <c r="K3988" s="12">
        <v>46021</v>
      </c>
      <c r="L3988" s="28" t="s">
        <v>11</v>
      </c>
      <c r="M3988" s="14"/>
      <c r="N3988" s="10" t="s">
        <v>1028</v>
      </c>
    </row>
    <row r="3989" spans="1:14" ht="22.5" customHeight="1">
      <c r="A3989" s="8">
        <v>46021.83363778935</v>
      </c>
      <c r="B3989" s="9" t="s">
        <v>14</v>
      </c>
      <c r="C3989" s="9" t="s">
        <v>15</v>
      </c>
      <c r="D3989" s="10" t="s">
        <v>8731</v>
      </c>
      <c r="E3989" s="9" t="s">
        <v>17</v>
      </c>
      <c r="F3989" s="10">
        <v>24</v>
      </c>
      <c r="G3989" s="11">
        <v>8064986054</v>
      </c>
      <c r="H3989" s="10" t="s">
        <v>8732</v>
      </c>
      <c r="I3989" s="10" t="s">
        <v>49</v>
      </c>
      <c r="J3989" s="10" t="s">
        <v>282</v>
      </c>
      <c r="K3989" s="12">
        <v>46021</v>
      </c>
      <c r="L3989" s="28" t="s">
        <v>11</v>
      </c>
      <c r="M3989" s="14"/>
      <c r="N3989" s="10" t="s">
        <v>1028</v>
      </c>
    </row>
    <row r="3990" spans="1:14" ht="22.5" customHeight="1">
      <c r="A3990" s="8">
        <v>46021.836105937502</v>
      </c>
      <c r="B3990" s="9" t="s">
        <v>14</v>
      </c>
      <c r="C3990" s="9" t="s">
        <v>15</v>
      </c>
      <c r="D3990" s="10" t="s">
        <v>8733</v>
      </c>
      <c r="E3990" s="9" t="s">
        <v>17</v>
      </c>
      <c r="F3990" s="10">
        <v>32</v>
      </c>
      <c r="G3990" s="11">
        <v>9039011414</v>
      </c>
      <c r="H3990" s="10" t="s">
        <v>8734</v>
      </c>
      <c r="I3990" s="10" t="s">
        <v>49</v>
      </c>
      <c r="J3990" s="10" t="s">
        <v>160</v>
      </c>
      <c r="K3990" s="12">
        <v>46021</v>
      </c>
      <c r="L3990" s="28" t="s">
        <v>11</v>
      </c>
      <c r="M3990" s="14"/>
      <c r="N3990" s="10" t="s">
        <v>1028</v>
      </c>
    </row>
    <row r="3991" spans="1:14" ht="22.5" customHeight="1">
      <c r="A3991" s="8">
        <v>46021.836653506944</v>
      </c>
      <c r="B3991" s="9" t="s">
        <v>14</v>
      </c>
      <c r="C3991" s="9" t="s">
        <v>15</v>
      </c>
      <c r="D3991" s="10" t="s">
        <v>8735</v>
      </c>
      <c r="E3991" s="9" t="s">
        <v>22</v>
      </c>
      <c r="F3991" s="10">
        <v>43</v>
      </c>
      <c r="G3991" s="11">
        <v>7037664125</v>
      </c>
      <c r="H3991" s="10" t="s">
        <v>8736</v>
      </c>
      <c r="I3991" s="10" t="s">
        <v>19</v>
      </c>
      <c r="J3991" s="10" t="s">
        <v>1664</v>
      </c>
      <c r="K3991" s="12">
        <v>46021</v>
      </c>
      <c r="L3991" s="28" t="s">
        <v>11</v>
      </c>
      <c r="M3991" s="14"/>
      <c r="N3991" s="10" t="s">
        <v>1028</v>
      </c>
    </row>
    <row r="3992" spans="1:14" ht="22.5" hidden="1" customHeight="1">
      <c r="A3992" s="8">
        <v>46021.836715231482</v>
      </c>
      <c r="B3992" s="9" t="s">
        <v>14</v>
      </c>
      <c r="C3992" s="9" t="s">
        <v>15</v>
      </c>
      <c r="D3992" s="10" t="s">
        <v>8737</v>
      </c>
      <c r="E3992" s="9" t="s">
        <v>17</v>
      </c>
      <c r="F3992" s="10">
        <v>25</v>
      </c>
      <c r="G3992" s="11">
        <v>9036812962</v>
      </c>
      <c r="H3992" s="10" t="s">
        <v>8738</v>
      </c>
      <c r="I3992" s="10" t="s">
        <v>27</v>
      </c>
      <c r="J3992" s="10" t="s">
        <v>27</v>
      </c>
      <c r="K3992" s="12">
        <v>46021</v>
      </c>
      <c r="L3992" s="10" t="s">
        <v>441</v>
      </c>
      <c r="M3992" s="10" t="s">
        <v>1361</v>
      </c>
      <c r="N3992" s="10" t="s">
        <v>1096</v>
      </c>
    </row>
    <row r="3993" spans="1:14" ht="22.5" customHeight="1">
      <c r="A3993" s="8">
        <v>46021.840422986112</v>
      </c>
      <c r="B3993" s="9" t="s">
        <v>14</v>
      </c>
      <c r="C3993" s="9" t="s">
        <v>15</v>
      </c>
      <c r="D3993" s="10" t="s">
        <v>8739</v>
      </c>
      <c r="E3993" s="9" t="s">
        <v>17</v>
      </c>
      <c r="F3993" s="10">
        <v>20</v>
      </c>
      <c r="G3993" s="11">
        <v>8104448634</v>
      </c>
      <c r="H3993" s="10" t="s">
        <v>8740</v>
      </c>
      <c r="I3993" s="10" t="s">
        <v>27</v>
      </c>
      <c r="J3993" s="10" t="s">
        <v>27</v>
      </c>
      <c r="K3993" s="12">
        <v>46021</v>
      </c>
      <c r="L3993" s="28" t="s">
        <v>11</v>
      </c>
      <c r="M3993" s="10"/>
      <c r="N3993" s="10" t="s">
        <v>1096</v>
      </c>
    </row>
    <row r="3994" spans="1:14" ht="22.5" customHeight="1">
      <c r="A3994" s="8">
        <v>46021.841745659724</v>
      </c>
      <c r="B3994" s="9" t="s">
        <v>14</v>
      </c>
      <c r="C3994" s="9" t="s">
        <v>15</v>
      </c>
      <c r="D3994" s="10" t="s">
        <v>8741</v>
      </c>
      <c r="E3994" s="9" t="s">
        <v>17</v>
      </c>
      <c r="F3994" s="10">
        <v>30</v>
      </c>
      <c r="G3994" s="11">
        <v>7017626494</v>
      </c>
      <c r="H3994" s="10" t="s">
        <v>8742</v>
      </c>
      <c r="I3994" s="10" t="s">
        <v>27</v>
      </c>
      <c r="J3994" s="10" t="s">
        <v>5556</v>
      </c>
      <c r="K3994" s="12">
        <v>46021</v>
      </c>
      <c r="L3994" s="28" t="s">
        <v>11</v>
      </c>
      <c r="M3994" s="14"/>
      <c r="N3994" s="10" t="s">
        <v>1028</v>
      </c>
    </row>
    <row r="3995" spans="1:14" ht="22.5" customHeight="1">
      <c r="A3995" s="8">
        <v>46021.843332962962</v>
      </c>
      <c r="B3995" s="9" t="s">
        <v>14</v>
      </c>
      <c r="C3995" s="9" t="s">
        <v>15</v>
      </c>
      <c r="D3995" s="10" t="s">
        <v>8743</v>
      </c>
      <c r="E3995" s="9" t="s">
        <v>17</v>
      </c>
      <c r="F3995" s="10">
        <v>35</v>
      </c>
      <c r="G3995" s="11">
        <v>8066705351</v>
      </c>
      <c r="H3995" s="10" t="s">
        <v>8744</v>
      </c>
      <c r="I3995" s="10" t="s">
        <v>27</v>
      </c>
      <c r="J3995" s="10" t="s">
        <v>8745</v>
      </c>
      <c r="K3995" s="12">
        <v>46021</v>
      </c>
      <c r="L3995" s="28" t="s">
        <v>11</v>
      </c>
      <c r="M3995" s="14"/>
      <c r="N3995" s="10" t="s">
        <v>1209</v>
      </c>
    </row>
    <row r="3996" spans="1:14" ht="22.5" customHeight="1">
      <c r="A3996" s="8">
        <v>46021.844071400468</v>
      </c>
      <c r="B3996" s="9" t="s">
        <v>14</v>
      </c>
      <c r="C3996" s="9" t="s">
        <v>15</v>
      </c>
      <c r="D3996" s="10" t="s">
        <v>8746</v>
      </c>
      <c r="E3996" s="9" t="s">
        <v>17</v>
      </c>
      <c r="F3996" s="10">
        <v>22</v>
      </c>
      <c r="G3996" s="11">
        <v>9068107450</v>
      </c>
      <c r="H3996" s="10" t="s">
        <v>8747</v>
      </c>
      <c r="I3996" s="10" t="s">
        <v>49</v>
      </c>
      <c r="J3996" s="10" t="s">
        <v>215</v>
      </c>
      <c r="K3996" s="12">
        <v>46021</v>
      </c>
      <c r="L3996" s="28" t="s">
        <v>11</v>
      </c>
      <c r="M3996" s="14"/>
      <c r="N3996" s="10" t="s">
        <v>1028</v>
      </c>
    </row>
    <row r="3997" spans="1:14" ht="22.5" customHeight="1">
      <c r="A3997" s="8">
        <v>46021.844899687501</v>
      </c>
      <c r="B3997" s="9" t="s">
        <v>14</v>
      </c>
      <c r="C3997" s="9" t="s">
        <v>15</v>
      </c>
      <c r="D3997" s="10" t="s">
        <v>8748</v>
      </c>
      <c r="E3997" s="9" t="s">
        <v>17</v>
      </c>
      <c r="F3997" s="10">
        <v>28</v>
      </c>
      <c r="G3997" s="11">
        <v>9032818242</v>
      </c>
      <c r="H3997" s="10" t="s">
        <v>8749</v>
      </c>
      <c r="I3997" s="10" t="s">
        <v>27</v>
      </c>
      <c r="J3997" s="10" t="s">
        <v>70</v>
      </c>
      <c r="K3997" s="12">
        <v>35428</v>
      </c>
      <c r="L3997" s="28" t="s">
        <v>11</v>
      </c>
      <c r="M3997" s="14"/>
      <c r="N3997" s="10" t="s">
        <v>1028</v>
      </c>
    </row>
    <row r="3998" spans="1:14" ht="22.5" customHeight="1">
      <c r="A3998" s="8">
        <v>46021.845263298615</v>
      </c>
      <c r="B3998" s="9" t="s">
        <v>14</v>
      </c>
      <c r="C3998" s="9" t="s">
        <v>15</v>
      </c>
      <c r="D3998" s="10" t="s">
        <v>8750</v>
      </c>
      <c r="E3998" s="9" t="s">
        <v>17</v>
      </c>
      <c r="F3998" s="10">
        <v>29</v>
      </c>
      <c r="G3998" s="11">
        <v>8140735033</v>
      </c>
      <c r="H3998" s="10" t="s">
        <v>8751</v>
      </c>
      <c r="I3998" s="10" t="s">
        <v>49</v>
      </c>
      <c r="J3998" s="10" t="s">
        <v>8752</v>
      </c>
      <c r="K3998" s="12">
        <v>46019</v>
      </c>
      <c r="L3998" s="28" t="s">
        <v>11</v>
      </c>
      <c r="M3998" s="10"/>
      <c r="N3998" s="10" t="s">
        <v>1028</v>
      </c>
    </row>
    <row r="3999" spans="1:14" ht="22.5" customHeight="1">
      <c r="A3999" s="8">
        <v>46021.845711724542</v>
      </c>
      <c r="B3999" s="9" t="s">
        <v>14</v>
      </c>
      <c r="C3999" s="9" t="s">
        <v>15</v>
      </c>
      <c r="D3999" s="10" t="s">
        <v>8753</v>
      </c>
      <c r="E3999" s="9" t="s">
        <v>22</v>
      </c>
      <c r="F3999" s="10">
        <v>27</v>
      </c>
      <c r="G3999" s="11">
        <v>8133185088</v>
      </c>
      <c r="H3999" s="10" t="s">
        <v>8754</v>
      </c>
      <c r="I3999" s="10" t="s">
        <v>27</v>
      </c>
      <c r="J3999" s="10" t="s">
        <v>27</v>
      </c>
      <c r="K3999" s="12">
        <v>46021</v>
      </c>
      <c r="L3999" s="28" t="s">
        <v>11</v>
      </c>
      <c r="M3999" s="14"/>
      <c r="N3999" s="10" t="s">
        <v>1096</v>
      </c>
    </row>
    <row r="4000" spans="1:14" ht="22.5" customHeight="1">
      <c r="A4000" s="8">
        <v>46021.846586354164</v>
      </c>
      <c r="B4000" s="9" t="s">
        <v>14</v>
      </c>
      <c r="C4000" s="9" t="s">
        <v>15</v>
      </c>
      <c r="D4000" s="10" t="s">
        <v>8755</v>
      </c>
      <c r="E4000" s="9" t="s">
        <v>17</v>
      </c>
      <c r="F4000" s="10">
        <v>27</v>
      </c>
      <c r="G4000" s="11">
        <v>7038864112</v>
      </c>
      <c r="H4000" s="10" t="s">
        <v>8756</v>
      </c>
      <c r="I4000" s="10" t="s">
        <v>27</v>
      </c>
      <c r="J4000" s="10" t="s">
        <v>8757</v>
      </c>
      <c r="K4000" s="12">
        <v>46021</v>
      </c>
      <c r="L4000" s="28" t="s">
        <v>11</v>
      </c>
      <c r="M4000" s="14"/>
      <c r="N4000" s="10" t="s">
        <v>1028</v>
      </c>
    </row>
    <row r="4001" spans="1:14" ht="22.5" customHeight="1">
      <c r="A4001" s="8">
        <v>46021.846916678245</v>
      </c>
      <c r="B4001" s="9" t="s">
        <v>14</v>
      </c>
      <c r="C4001" s="9" t="s">
        <v>15</v>
      </c>
      <c r="D4001" s="10" t="s">
        <v>8758</v>
      </c>
      <c r="E4001" s="9" t="s">
        <v>17</v>
      </c>
      <c r="F4001" s="10">
        <v>26</v>
      </c>
      <c r="G4001" s="11">
        <v>8027312669</v>
      </c>
      <c r="H4001" s="10" t="s">
        <v>8759</v>
      </c>
      <c r="I4001" s="10" t="s">
        <v>27</v>
      </c>
      <c r="J4001" s="10" t="s">
        <v>3066</v>
      </c>
      <c r="K4001" s="12">
        <v>46021</v>
      </c>
      <c r="L4001" s="28" t="s">
        <v>11</v>
      </c>
      <c r="M4001" s="14"/>
      <c r="N4001" s="10" t="s">
        <v>1096</v>
      </c>
    </row>
    <row r="4002" spans="1:14" ht="22.5" customHeight="1">
      <c r="A4002" s="8">
        <v>46021.846918645839</v>
      </c>
      <c r="B4002" s="9" t="s">
        <v>14</v>
      </c>
      <c r="C4002" s="9" t="s">
        <v>15</v>
      </c>
      <c r="D4002" s="10" t="s">
        <v>8760</v>
      </c>
      <c r="E4002" s="9" t="s">
        <v>17</v>
      </c>
      <c r="F4002" s="10">
        <v>31</v>
      </c>
      <c r="G4002" s="11">
        <v>8132255051</v>
      </c>
      <c r="H4002" s="10" t="s">
        <v>8761</v>
      </c>
      <c r="I4002" s="10" t="s">
        <v>27</v>
      </c>
      <c r="J4002" s="10" t="s">
        <v>2006</v>
      </c>
      <c r="K4002" s="12">
        <v>46021</v>
      </c>
      <c r="L4002" s="28" t="s">
        <v>11</v>
      </c>
      <c r="M4002" s="10"/>
      <c r="N4002" s="10" t="s">
        <v>1028</v>
      </c>
    </row>
    <row r="4003" spans="1:14" ht="22.5" customHeight="1">
      <c r="A4003" s="8">
        <v>46021.847274675922</v>
      </c>
      <c r="B4003" s="9" t="s">
        <v>14</v>
      </c>
      <c r="C4003" s="9" t="s">
        <v>15</v>
      </c>
      <c r="D4003" s="10" t="s">
        <v>8762</v>
      </c>
      <c r="E4003" s="9" t="s">
        <v>22</v>
      </c>
      <c r="F4003" s="10">
        <v>36</v>
      </c>
      <c r="G4003" s="11">
        <v>8168194262</v>
      </c>
      <c r="H4003" s="10" t="s">
        <v>8763</v>
      </c>
      <c r="I4003" s="10" t="s">
        <v>49</v>
      </c>
      <c r="J4003" s="10" t="s">
        <v>109</v>
      </c>
      <c r="K4003" s="12">
        <v>46021</v>
      </c>
      <c r="L4003" s="28" t="s">
        <v>11</v>
      </c>
      <c r="M4003" s="14"/>
      <c r="N4003" s="10" t="s">
        <v>1035</v>
      </c>
    </row>
    <row r="4004" spans="1:14" ht="22.5" customHeight="1">
      <c r="A4004" s="8">
        <v>46021.847318668981</v>
      </c>
      <c r="B4004" s="9" t="s">
        <v>14</v>
      </c>
      <c r="C4004" s="9" t="s">
        <v>15</v>
      </c>
      <c r="D4004" s="10" t="s">
        <v>8764</v>
      </c>
      <c r="E4004" s="9" t="s">
        <v>17</v>
      </c>
      <c r="F4004" s="10">
        <v>33</v>
      </c>
      <c r="G4004" s="11">
        <v>8065301533</v>
      </c>
      <c r="H4004" s="10" t="s">
        <v>8765</v>
      </c>
      <c r="I4004" s="10" t="s">
        <v>49</v>
      </c>
      <c r="J4004" s="10" t="s">
        <v>232</v>
      </c>
      <c r="K4004" s="12">
        <v>46021</v>
      </c>
      <c r="L4004" s="28" t="s">
        <v>11</v>
      </c>
      <c r="M4004" s="14"/>
      <c r="N4004" s="10" t="s">
        <v>1028</v>
      </c>
    </row>
    <row r="4005" spans="1:14" ht="22.5" customHeight="1">
      <c r="A4005" s="8">
        <v>46021.847712407412</v>
      </c>
      <c r="B4005" s="9" t="s">
        <v>14</v>
      </c>
      <c r="C4005" s="9" t="s">
        <v>15</v>
      </c>
      <c r="D4005" s="10" t="s">
        <v>8766</v>
      </c>
      <c r="E4005" s="9" t="s">
        <v>17</v>
      </c>
      <c r="F4005" s="10">
        <v>19</v>
      </c>
      <c r="G4005" s="11">
        <v>8068410213</v>
      </c>
      <c r="H4005" s="10" t="s">
        <v>8767</v>
      </c>
      <c r="I4005" s="10" t="s">
        <v>49</v>
      </c>
      <c r="J4005" s="10" t="s">
        <v>73</v>
      </c>
      <c r="K4005" s="12">
        <v>38905</v>
      </c>
      <c r="L4005" s="28" t="s">
        <v>11</v>
      </c>
      <c r="M4005" s="14"/>
      <c r="N4005" s="10" t="s">
        <v>1028</v>
      </c>
    </row>
    <row r="4006" spans="1:14" ht="22.5" customHeight="1">
      <c r="A4006" s="8">
        <v>46021.847968194445</v>
      </c>
      <c r="B4006" s="9" t="s">
        <v>14</v>
      </c>
      <c r="C4006" s="9" t="s">
        <v>15</v>
      </c>
      <c r="D4006" s="10" t="s">
        <v>8768</v>
      </c>
      <c r="E4006" s="9" t="s">
        <v>17</v>
      </c>
      <c r="F4006" s="10">
        <v>26</v>
      </c>
      <c r="G4006" s="11">
        <v>8107763573</v>
      </c>
      <c r="H4006" s="10" t="s">
        <v>8769</v>
      </c>
      <c r="I4006" s="10" t="s">
        <v>27</v>
      </c>
      <c r="J4006" s="10" t="s">
        <v>8770</v>
      </c>
      <c r="K4006" s="12">
        <v>46021</v>
      </c>
      <c r="L4006" s="28" t="s">
        <v>11</v>
      </c>
      <c r="M4006" s="10"/>
      <c r="N4006" s="10" t="s">
        <v>1028</v>
      </c>
    </row>
    <row r="4007" spans="1:14" ht="22.5" customHeight="1">
      <c r="A4007" s="8">
        <v>46021.848117002315</v>
      </c>
      <c r="B4007" s="9" t="s">
        <v>14</v>
      </c>
      <c r="C4007" s="9" t="s">
        <v>15</v>
      </c>
      <c r="D4007" s="10" t="s">
        <v>8771</v>
      </c>
      <c r="E4007" s="9" t="s">
        <v>17</v>
      </c>
      <c r="F4007" s="10">
        <v>29</v>
      </c>
      <c r="G4007" s="11">
        <v>9035444690</v>
      </c>
      <c r="H4007" s="10" t="s">
        <v>8772</v>
      </c>
      <c r="I4007" s="10" t="s">
        <v>27</v>
      </c>
      <c r="J4007" s="10" t="s">
        <v>94</v>
      </c>
      <c r="K4007" s="12">
        <v>46021</v>
      </c>
      <c r="L4007" s="28" t="s">
        <v>11</v>
      </c>
      <c r="M4007" s="14"/>
      <c r="N4007" s="10" t="s">
        <v>1096</v>
      </c>
    </row>
    <row r="4008" spans="1:14" ht="22.5" customHeight="1">
      <c r="A4008" s="8">
        <v>46021.848405185185</v>
      </c>
      <c r="B4008" s="9" t="s">
        <v>14</v>
      </c>
      <c r="C4008" s="9" t="s">
        <v>15</v>
      </c>
      <c r="D4008" s="10" t="s">
        <v>8773</v>
      </c>
      <c r="E4008" s="9" t="s">
        <v>17</v>
      </c>
      <c r="F4008" s="10">
        <v>20</v>
      </c>
      <c r="G4008" s="11">
        <v>9026505992</v>
      </c>
      <c r="H4008" s="10" t="s">
        <v>8774</v>
      </c>
      <c r="I4008" s="10" t="s">
        <v>27</v>
      </c>
      <c r="J4008" s="10" t="s">
        <v>42</v>
      </c>
      <c r="K4008" s="12">
        <v>46021</v>
      </c>
      <c r="L4008" s="28" t="s">
        <v>11</v>
      </c>
      <c r="M4008" s="14"/>
      <c r="N4008" s="10" t="s">
        <v>1209</v>
      </c>
    </row>
    <row r="4009" spans="1:14" ht="22.5" customHeight="1">
      <c r="A4009" s="8">
        <v>46021.848576157412</v>
      </c>
      <c r="B4009" s="9" t="s">
        <v>14</v>
      </c>
      <c r="C4009" s="9" t="s">
        <v>15</v>
      </c>
      <c r="D4009" s="10" t="s">
        <v>8775</v>
      </c>
      <c r="E4009" s="9" t="s">
        <v>17</v>
      </c>
      <c r="F4009" s="10">
        <v>32</v>
      </c>
      <c r="G4009" s="11">
        <v>7068638944</v>
      </c>
      <c r="H4009" s="10" t="s">
        <v>8776</v>
      </c>
      <c r="I4009" s="10" t="s">
        <v>49</v>
      </c>
      <c r="J4009" s="10" t="s">
        <v>103</v>
      </c>
      <c r="K4009" s="12">
        <v>45656</v>
      </c>
      <c r="L4009" s="28" t="s">
        <v>11</v>
      </c>
      <c r="M4009" s="14"/>
      <c r="N4009" s="10" t="s">
        <v>1028</v>
      </c>
    </row>
    <row r="4010" spans="1:14" ht="22.5" customHeight="1">
      <c r="A4010" s="8">
        <v>46021.849089606483</v>
      </c>
      <c r="B4010" s="9" t="s">
        <v>14</v>
      </c>
      <c r="C4010" s="9" t="s">
        <v>15</v>
      </c>
      <c r="D4010" s="10" t="s">
        <v>8777</v>
      </c>
      <c r="E4010" s="9" t="s">
        <v>17</v>
      </c>
      <c r="F4010" s="10">
        <v>32</v>
      </c>
      <c r="G4010" s="11">
        <v>8168496271</v>
      </c>
      <c r="H4010" s="10" t="s">
        <v>8778</v>
      </c>
      <c r="I4010" s="10" t="s">
        <v>49</v>
      </c>
      <c r="J4010" s="10" t="s">
        <v>246</v>
      </c>
      <c r="K4010" s="12">
        <v>46021</v>
      </c>
      <c r="L4010" s="28" t="s">
        <v>11</v>
      </c>
      <c r="M4010" s="14"/>
      <c r="N4010" s="10" t="s">
        <v>1028</v>
      </c>
    </row>
    <row r="4011" spans="1:14" ht="22.5" customHeight="1">
      <c r="A4011" s="8">
        <v>46021.849126342597</v>
      </c>
      <c r="B4011" s="9" t="s">
        <v>14</v>
      </c>
      <c r="C4011" s="9" t="s">
        <v>15</v>
      </c>
      <c r="D4011" s="10" t="s">
        <v>8779</v>
      </c>
      <c r="E4011" s="9" t="s">
        <v>17</v>
      </c>
      <c r="F4011" s="10">
        <v>30</v>
      </c>
      <c r="G4011" s="11">
        <v>8147376212</v>
      </c>
      <c r="H4011" s="10" t="s">
        <v>8780</v>
      </c>
      <c r="I4011" s="10" t="s">
        <v>27</v>
      </c>
      <c r="J4011" s="10" t="s">
        <v>1559</v>
      </c>
      <c r="K4011" s="12">
        <v>46021</v>
      </c>
      <c r="L4011" s="28" t="s">
        <v>11</v>
      </c>
      <c r="M4011" s="14"/>
      <c r="N4011" s="10" t="s">
        <v>1096</v>
      </c>
    </row>
    <row r="4012" spans="1:14" ht="22.5" customHeight="1">
      <c r="A4012" s="8">
        <v>46021.849299305555</v>
      </c>
      <c r="B4012" s="9" t="s">
        <v>14</v>
      </c>
      <c r="C4012" s="9" t="s">
        <v>15</v>
      </c>
      <c r="D4012" s="10" t="s">
        <v>8781</v>
      </c>
      <c r="E4012" s="9" t="s">
        <v>17</v>
      </c>
      <c r="F4012" s="10">
        <v>29</v>
      </c>
      <c r="G4012" s="11">
        <v>7030019797</v>
      </c>
      <c r="H4012" s="10" t="s">
        <v>8782</v>
      </c>
      <c r="I4012" s="10" t="s">
        <v>27</v>
      </c>
      <c r="J4012" s="10" t="s">
        <v>8783</v>
      </c>
      <c r="K4012" s="12">
        <v>46021</v>
      </c>
      <c r="L4012" s="28" t="s">
        <v>11</v>
      </c>
      <c r="M4012" s="14"/>
      <c r="N4012" s="10" t="s">
        <v>1028</v>
      </c>
    </row>
    <row r="4013" spans="1:14" ht="22.5" customHeight="1">
      <c r="A4013" s="8">
        <v>46021.84933571759</v>
      </c>
      <c r="B4013" s="9" t="s">
        <v>14</v>
      </c>
      <c r="C4013" s="9" t="s">
        <v>15</v>
      </c>
      <c r="D4013" s="10" t="s">
        <v>8784</v>
      </c>
      <c r="E4013" s="9" t="s">
        <v>17</v>
      </c>
      <c r="F4013" s="10">
        <v>27</v>
      </c>
      <c r="G4013" s="11">
        <v>9061256500</v>
      </c>
      <c r="H4013" s="10" t="s">
        <v>8785</v>
      </c>
      <c r="I4013" s="10" t="s">
        <v>27</v>
      </c>
      <c r="J4013" s="10" t="s">
        <v>1559</v>
      </c>
      <c r="K4013" s="12">
        <v>46021</v>
      </c>
      <c r="L4013" s="28" t="s">
        <v>11</v>
      </c>
      <c r="M4013" s="14"/>
      <c r="N4013" s="10" t="s">
        <v>1028</v>
      </c>
    </row>
    <row r="4014" spans="1:14" ht="22.5" customHeight="1">
      <c r="A4014" s="8">
        <v>46021.849662222223</v>
      </c>
      <c r="B4014" s="9" t="s">
        <v>14</v>
      </c>
      <c r="C4014" s="9" t="s">
        <v>15</v>
      </c>
      <c r="D4014" s="10" t="s">
        <v>8786</v>
      </c>
      <c r="E4014" s="9" t="s">
        <v>17</v>
      </c>
      <c r="F4014" s="10">
        <v>35</v>
      </c>
      <c r="G4014" s="11">
        <v>8036556115</v>
      </c>
      <c r="H4014" s="10" t="s">
        <v>8787</v>
      </c>
      <c r="I4014" s="10" t="s">
        <v>27</v>
      </c>
      <c r="J4014" s="10" t="s">
        <v>172</v>
      </c>
      <c r="K4014" s="12">
        <v>46021</v>
      </c>
      <c r="L4014" s="28" t="s">
        <v>11</v>
      </c>
      <c r="M4014" s="14"/>
      <c r="N4014" s="10" t="s">
        <v>1028</v>
      </c>
    </row>
    <row r="4015" spans="1:14" ht="22.5" customHeight="1">
      <c r="A4015" s="8">
        <v>46021.849842488431</v>
      </c>
      <c r="B4015" s="9" t="s">
        <v>14</v>
      </c>
      <c r="C4015" s="9" t="s">
        <v>15</v>
      </c>
      <c r="D4015" s="10" t="s">
        <v>8788</v>
      </c>
      <c r="E4015" s="9" t="s">
        <v>17</v>
      </c>
      <c r="F4015" s="10">
        <v>26</v>
      </c>
      <c r="G4015" s="11">
        <v>8147000976</v>
      </c>
      <c r="H4015" s="10" t="s">
        <v>8789</v>
      </c>
      <c r="I4015" s="10" t="s">
        <v>27</v>
      </c>
      <c r="J4015" s="10" t="s">
        <v>8158</v>
      </c>
      <c r="K4015" s="12">
        <v>36140</v>
      </c>
      <c r="L4015" s="28" t="s">
        <v>11</v>
      </c>
      <c r="M4015" s="14"/>
      <c r="N4015" s="10" t="s">
        <v>1028</v>
      </c>
    </row>
    <row r="4016" spans="1:14" ht="22.5" hidden="1" customHeight="1">
      <c r="A4016" s="8">
        <v>46021.849891793987</v>
      </c>
      <c r="B4016" s="9" t="s">
        <v>14</v>
      </c>
      <c r="C4016" s="9" t="s">
        <v>15</v>
      </c>
      <c r="D4016" s="10" t="s">
        <v>8790</v>
      </c>
      <c r="E4016" s="9" t="s">
        <v>17</v>
      </c>
      <c r="F4016" s="10">
        <v>29</v>
      </c>
      <c r="G4016" s="11">
        <v>8162148672</v>
      </c>
      <c r="H4016" s="10" t="s">
        <v>8791</v>
      </c>
      <c r="I4016" s="10" t="s">
        <v>27</v>
      </c>
      <c r="J4016" s="10" t="s">
        <v>1895</v>
      </c>
      <c r="K4016" s="12">
        <v>46021</v>
      </c>
      <c r="L4016" s="10" t="s">
        <v>441</v>
      </c>
      <c r="M4016" s="10" t="s">
        <v>1361</v>
      </c>
      <c r="N4016" s="10" t="s">
        <v>1140</v>
      </c>
    </row>
    <row r="4017" spans="1:14" ht="22.5" customHeight="1">
      <c r="A4017" s="8">
        <v>46021.849911990736</v>
      </c>
      <c r="B4017" s="9" t="s">
        <v>14</v>
      </c>
      <c r="C4017" s="9" t="s">
        <v>15</v>
      </c>
      <c r="D4017" s="10" t="s">
        <v>8792</v>
      </c>
      <c r="E4017" s="9" t="s">
        <v>17</v>
      </c>
      <c r="F4017" s="10">
        <v>34</v>
      </c>
      <c r="G4017" s="11">
        <v>7069143646</v>
      </c>
      <c r="H4017" s="10" t="s">
        <v>8793</v>
      </c>
      <c r="I4017" s="10" t="s">
        <v>27</v>
      </c>
      <c r="J4017" s="10" t="s">
        <v>172</v>
      </c>
      <c r="K4017" s="12">
        <v>46021</v>
      </c>
      <c r="L4017" s="28" t="s">
        <v>11</v>
      </c>
      <c r="M4017" s="14"/>
      <c r="N4017" s="10" t="s">
        <v>1028</v>
      </c>
    </row>
    <row r="4018" spans="1:14" ht="22.5" customHeight="1">
      <c r="A4018" s="8">
        <v>46021.850400173615</v>
      </c>
      <c r="B4018" s="9" t="s">
        <v>14</v>
      </c>
      <c r="C4018" s="9" t="s">
        <v>15</v>
      </c>
      <c r="D4018" s="10" t="s">
        <v>4569</v>
      </c>
      <c r="E4018" s="9" t="s">
        <v>17</v>
      </c>
      <c r="F4018" s="10">
        <v>23</v>
      </c>
      <c r="G4018" s="11">
        <v>8103261516</v>
      </c>
      <c r="H4018" s="10" t="s">
        <v>8794</v>
      </c>
      <c r="I4018" s="10" t="s">
        <v>27</v>
      </c>
      <c r="J4018" s="10" t="s">
        <v>67</v>
      </c>
      <c r="K4018" s="12">
        <v>46021</v>
      </c>
      <c r="L4018" s="28" t="s">
        <v>11</v>
      </c>
      <c r="M4018" s="14"/>
      <c r="N4018" s="10" t="s">
        <v>1028</v>
      </c>
    </row>
    <row r="4019" spans="1:14" ht="22.5" customHeight="1">
      <c r="A4019" s="8">
        <v>46021.85049109954</v>
      </c>
      <c r="B4019" s="9" t="s">
        <v>14</v>
      </c>
      <c r="C4019" s="9" t="s">
        <v>15</v>
      </c>
      <c r="D4019" s="10" t="s">
        <v>8795</v>
      </c>
      <c r="E4019" s="9" t="s">
        <v>17</v>
      </c>
      <c r="F4019" s="10">
        <v>28</v>
      </c>
      <c r="G4019" s="11">
        <v>8160800227</v>
      </c>
      <c r="H4019" s="10" t="s">
        <v>8796</v>
      </c>
      <c r="I4019" s="10" t="s">
        <v>27</v>
      </c>
      <c r="J4019" s="10" t="s">
        <v>372</v>
      </c>
      <c r="K4019" s="12">
        <v>46021</v>
      </c>
      <c r="L4019" s="28" t="s">
        <v>11</v>
      </c>
      <c r="M4019" s="14"/>
      <c r="N4019" s="10" t="s">
        <v>1028</v>
      </c>
    </row>
    <row r="4020" spans="1:14" ht="22.5" customHeight="1">
      <c r="A4020" s="8">
        <v>46021.851074108796</v>
      </c>
      <c r="B4020" s="9" t="s">
        <v>14</v>
      </c>
      <c r="C4020" s="9" t="s">
        <v>15</v>
      </c>
      <c r="D4020" s="10" t="s">
        <v>8797</v>
      </c>
      <c r="E4020" s="9" t="s">
        <v>17</v>
      </c>
      <c r="F4020" s="10">
        <v>25</v>
      </c>
      <c r="G4020" s="11">
        <v>9061515838</v>
      </c>
      <c r="H4020" s="10" t="s">
        <v>8798</v>
      </c>
      <c r="I4020" s="10" t="s">
        <v>27</v>
      </c>
      <c r="J4020" s="10" t="s">
        <v>1514</v>
      </c>
      <c r="K4020" s="12">
        <v>46021</v>
      </c>
      <c r="L4020" s="28" t="s">
        <v>11</v>
      </c>
      <c r="M4020" s="14"/>
      <c r="N4020" s="10" t="s">
        <v>1028</v>
      </c>
    </row>
    <row r="4021" spans="1:14" ht="22.5" customHeight="1">
      <c r="A4021" s="8">
        <v>46021.851299155096</v>
      </c>
      <c r="B4021" s="9" t="s">
        <v>14</v>
      </c>
      <c r="C4021" s="9" t="s">
        <v>15</v>
      </c>
      <c r="D4021" s="10" t="s">
        <v>1136</v>
      </c>
      <c r="E4021" s="9" t="s">
        <v>17</v>
      </c>
      <c r="F4021" s="10">
        <v>30</v>
      </c>
      <c r="G4021" s="11">
        <v>7065824896</v>
      </c>
      <c r="H4021" s="10" t="s">
        <v>8799</v>
      </c>
      <c r="I4021" s="10" t="s">
        <v>27</v>
      </c>
      <c r="J4021" s="10" t="s">
        <v>70</v>
      </c>
      <c r="K4021" s="12">
        <v>46021</v>
      </c>
      <c r="L4021" s="28" t="s">
        <v>11</v>
      </c>
      <c r="M4021" s="14"/>
      <c r="N4021" s="10" t="s">
        <v>1028</v>
      </c>
    </row>
    <row r="4022" spans="1:14" ht="22.5" customHeight="1">
      <c r="A4022" s="8">
        <v>46021.851955324077</v>
      </c>
      <c r="B4022" s="9" t="s">
        <v>14</v>
      </c>
      <c r="C4022" s="9" t="s">
        <v>15</v>
      </c>
      <c r="D4022" s="10" t="s">
        <v>8800</v>
      </c>
      <c r="E4022" s="9" t="s">
        <v>17</v>
      </c>
      <c r="F4022" s="10">
        <v>27</v>
      </c>
      <c r="G4022" s="11">
        <v>8149114189</v>
      </c>
      <c r="H4022" s="10" t="s">
        <v>8801</v>
      </c>
      <c r="I4022" s="10" t="s">
        <v>27</v>
      </c>
      <c r="J4022" s="10" t="s">
        <v>1559</v>
      </c>
      <c r="K4022" s="12">
        <v>46021</v>
      </c>
      <c r="L4022" s="28" t="s">
        <v>11</v>
      </c>
      <c r="M4022" s="14"/>
      <c r="N4022" s="10" t="s">
        <v>1028</v>
      </c>
    </row>
    <row r="4023" spans="1:14" ht="22.5" customHeight="1">
      <c r="A4023" s="8">
        <v>46021.853309409722</v>
      </c>
      <c r="B4023" s="9" t="s">
        <v>14</v>
      </c>
      <c r="C4023" s="9" t="s">
        <v>15</v>
      </c>
      <c r="D4023" s="10" t="s">
        <v>8802</v>
      </c>
      <c r="E4023" s="9" t="s">
        <v>17</v>
      </c>
      <c r="F4023" s="10">
        <v>24</v>
      </c>
      <c r="G4023" s="11">
        <v>7063412923</v>
      </c>
      <c r="H4023" s="10" t="s">
        <v>8803</v>
      </c>
      <c r="I4023" s="10" t="s">
        <v>27</v>
      </c>
      <c r="J4023" s="10" t="s">
        <v>1559</v>
      </c>
      <c r="K4023" s="12">
        <v>46021</v>
      </c>
      <c r="L4023" s="28" t="s">
        <v>11</v>
      </c>
      <c r="M4023" s="14"/>
      <c r="N4023" s="10" t="s">
        <v>1028</v>
      </c>
    </row>
    <row r="4024" spans="1:14" ht="22.5" customHeight="1">
      <c r="A4024" s="8">
        <v>46021.853655381943</v>
      </c>
      <c r="B4024" s="9" t="s">
        <v>14</v>
      </c>
      <c r="C4024" s="9" t="s">
        <v>15</v>
      </c>
      <c r="D4024" s="10" t="s">
        <v>8804</v>
      </c>
      <c r="E4024" s="9" t="s">
        <v>17</v>
      </c>
      <c r="F4024" s="10">
        <v>29</v>
      </c>
      <c r="G4024" s="11">
        <v>8038982950</v>
      </c>
      <c r="H4024" s="10" t="s">
        <v>8805</v>
      </c>
      <c r="I4024" s="10" t="s">
        <v>27</v>
      </c>
      <c r="J4024" s="10" t="s">
        <v>42</v>
      </c>
      <c r="K4024" s="12">
        <v>46021</v>
      </c>
      <c r="L4024" s="28" t="s">
        <v>11</v>
      </c>
      <c r="M4024" s="14"/>
      <c r="N4024" s="10" t="s">
        <v>1028</v>
      </c>
    </row>
    <row r="4025" spans="1:14" ht="22.5" customHeight="1">
      <c r="A4025" s="8">
        <v>46021.85365853009</v>
      </c>
      <c r="B4025" s="9" t="s">
        <v>14</v>
      </c>
      <c r="C4025" s="9" t="s">
        <v>15</v>
      </c>
      <c r="D4025" s="10" t="s">
        <v>8806</v>
      </c>
      <c r="E4025" s="9" t="s">
        <v>17</v>
      </c>
      <c r="F4025" s="10">
        <v>20</v>
      </c>
      <c r="G4025" s="11">
        <f>237049433007</f>
        <v>237049433007</v>
      </c>
      <c r="H4025" s="10" t="s">
        <v>8807</v>
      </c>
      <c r="I4025" s="10" t="s">
        <v>27</v>
      </c>
      <c r="J4025" s="10" t="s">
        <v>2196</v>
      </c>
      <c r="K4025" s="12">
        <v>46021</v>
      </c>
      <c r="L4025" s="28" t="s">
        <v>11</v>
      </c>
      <c r="M4025" s="14"/>
      <c r="N4025" s="10" t="s">
        <v>1028</v>
      </c>
    </row>
    <row r="4026" spans="1:14" ht="22.5" customHeight="1">
      <c r="A4026" s="8">
        <v>46021.853969039352</v>
      </c>
      <c r="B4026" s="9" t="s">
        <v>14</v>
      </c>
      <c r="C4026" s="9" t="s">
        <v>15</v>
      </c>
      <c r="D4026" s="10" t="s">
        <v>8808</v>
      </c>
      <c r="E4026" s="9" t="s">
        <v>17</v>
      </c>
      <c r="F4026" s="10">
        <v>30</v>
      </c>
      <c r="G4026" s="11">
        <v>7061811485</v>
      </c>
      <c r="H4026" s="10" t="s">
        <v>8809</v>
      </c>
      <c r="I4026" s="10" t="s">
        <v>49</v>
      </c>
      <c r="J4026" s="10" t="s">
        <v>229</v>
      </c>
      <c r="K4026" s="12">
        <v>46021</v>
      </c>
      <c r="L4026" s="28" t="s">
        <v>11</v>
      </c>
      <c r="M4026" s="14"/>
      <c r="N4026" s="10" t="s">
        <v>1028</v>
      </c>
    </row>
    <row r="4027" spans="1:14" ht="22.5" customHeight="1">
      <c r="A4027" s="8">
        <v>46021.854036122684</v>
      </c>
      <c r="B4027" s="9" t="s">
        <v>14</v>
      </c>
      <c r="C4027" s="9" t="s">
        <v>15</v>
      </c>
      <c r="D4027" s="10" t="s">
        <v>8810</v>
      </c>
      <c r="E4027" s="9" t="s">
        <v>17</v>
      </c>
      <c r="F4027" s="10">
        <v>29</v>
      </c>
      <c r="G4027" s="11">
        <v>7067573580</v>
      </c>
      <c r="H4027" s="10" t="s">
        <v>8811</v>
      </c>
      <c r="I4027" s="10" t="s">
        <v>27</v>
      </c>
      <c r="J4027" s="10" t="s">
        <v>67</v>
      </c>
      <c r="K4027" s="12">
        <v>46021</v>
      </c>
      <c r="L4027" s="28" t="s">
        <v>11</v>
      </c>
      <c r="M4027" s="10"/>
      <c r="N4027" s="10" t="s">
        <v>1028</v>
      </c>
    </row>
    <row r="4028" spans="1:14" ht="22.5" customHeight="1">
      <c r="A4028" s="8">
        <v>46021.854348414352</v>
      </c>
      <c r="B4028" s="9" t="s">
        <v>14</v>
      </c>
      <c r="C4028" s="9" t="s">
        <v>15</v>
      </c>
      <c r="D4028" s="10" t="s">
        <v>8812</v>
      </c>
      <c r="E4028" s="9" t="s">
        <v>17</v>
      </c>
      <c r="F4028" s="10">
        <v>24</v>
      </c>
      <c r="G4028" s="11">
        <v>9065261994</v>
      </c>
      <c r="H4028" s="10" t="s">
        <v>8813</v>
      </c>
      <c r="I4028" s="10" t="s">
        <v>27</v>
      </c>
      <c r="J4028" s="10" t="s">
        <v>4612</v>
      </c>
      <c r="K4028" s="12">
        <v>46021</v>
      </c>
      <c r="L4028" s="28" t="s">
        <v>11</v>
      </c>
      <c r="M4028" s="14"/>
      <c r="N4028" s="10" t="s">
        <v>1028</v>
      </c>
    </row>
    <row r="4029" spans="1:14" ht="22.5" customHeight="1">
      <c r="A4029" s="8">
        <v>46021.854964108796</v>
      </c>
      <c r="B4029" s="9" t="s">
        <v>14</v>
      </c>
      <c r="C4029" s="9" t="s">
        <v>15</v>
      </c>
      <c r="D4029" s="10" t="s">
        <v>8814</v>
      </c>
      <c r="E4029" s="9" t="s">
        <v>17</v>
      </c>
      <c r="F4029" s="10">
        <v>34</v>
      </c>
      <c r="G4029" s="11">
        <v>7034781228</v>
      </c>
      <c r="H4029" s="10" t="s">
        <v>8815</v>
      </c>
      <c r="I4029" s="10" t="s">
        <v>27</v>
      </c>
      <c r="J4029" s="10" t="s">
        <v>28</v>
      </c>
      <c r="K4029" s="12">
        <v>46021</v>
      </c>
      <c r="L4029" s="28" t="s">
        <v>11</v>
      </c>
      <c r="M4029" s="14"/>
      <c r="N4029" s="10" t="s">
        <v>1028</v>
      </c>
    </row>
    <row r="4030" spans="1:14" ht="22.5" customHeight="1">
      <c r="A4030" s="8">
        <v>46021.855517777774</v>
      </c>
      <c r="B4030" s="9" t="s">
        <v>14</v>
      </c>
      <c r="C4030" s="9" t="s">
        <v>15</v>
      </c>
      <c r="D4030" s="10" t="s">
        <v>8816</v>
      </c>
      <c r="E4030" s="9" t="s">
        <v>17</v>
      </c>
      <c r="F4030" s="10">
        <v>25</v>
      </c>
      <c r="G4030" s="11">
        <v>7030270467</v>
      </c>
      <c r="H4030" s="10" t="s">
        <v>8817</v>
      </c>
      <c r="I4030" s="10" t="s">
        <v>27</v>
      </c>
      <c r="J4030" s="10" t="s">
        <v>1735</v>
      </c>
      <c r="K4030" s="12">
        <v>46021</v>
      </c>
      <c r="L4030" s="28" t="s">
        <v>11</v>
      </c>
      <c r="M4030" s="14"/>
      <c r="N4030" s="10" t="s">
        <v>1028</v>
      </c>
    </row>
    <row r="4031" spans="1:14" ht="22.5" customHeight="1">
      <c r="A4031" s="8">
        <v>46021.855833680558</v>
      </c>
      <c r="B4031" s="9" t="s">
        <v>14</v>
      </c>
      <c r="C4031" s="9" t="s">
        <v>15</v>
      </c>
      <c r="D4031" s="10" t="s">
        <v>8818</v>
      </c>
      <c r="E4031" s="9" t="s">
        <v>17</v>
      </c>
      <c r="F4031" s="10">
        <v>32</v>
      </c>
      <c r="G4031" s="11">
        <v>7050502525</v>
      </c>
      <c r="H4031" s="10" t="s">
        <v>8819</v>
      </c>
      <c r="I4031" s="10" t="s">
        <v>49</v>
      </c>
      <c r="J4031" s="10" t="s">
        <v>73</v>
      </c>
      <c r="K4031" s="12">
        <v>46021</v>
      </c>
      <c r="L4031" s="28" t="s">
        <v>11</v>
      </c>
      <c r="M4031" s="14"/>
      <c r="N4031" s="10" t="s">
        <v>1028</v>
      </c>
    </row>
    <row r="4032" spans="1:14" ht="22.5" customHeight="1">
      <c r="A4032" s="8">
        <v>46021.855938645836</v>
      </c>
      <c r="B4032" s="9" t="s">
        <v>14</v>
      </c>
      <c r="C4032" s="9" t="s">
        <v>15</v>
      </c>
      <c r="D4032" s="10" t="s">
        <v>8820</v>
      </c>
      <c r="E4032" s="9" t="s">
        <v>22</v>
      </c>
      <c r="F4032" s="10">
        <v>19</v>
      </c>
      <c r="G4032" s="11">
        <v>9066741036</v>
      </c>
      <c r="H4032" s="10" t="s">
        <v>8821</v>
      </c>
      <c r="I4032" s="10" t="s">
        <v>27</v>
      </c>
      <c r="J4032" s="10" t="s">
        <v>94</v>
      </c>
      <c r="K4032" s="12">
        <v>46021</v>
      </c>
      <c r="L4032" s="28" t="s">
        <v>11</v>
      </c>
      <c r="M4032" s="14"/>
      <c r="N4032" s="10" t="s">
        <v>1096</v>
      </c>
    </row>
    <row r="4033" spans="1:14" ht="22.5" customHeight="1">
      <c r="A4033" s="8">
        <v>46021.855978472224</v>
      </c>
      <c r="B4033" s="9" t="s">
        <v>14</v>
      </c>
      <c r="C4033" s="9" t="s">
        <v>15</v>
      </c>
      <c r="D4033" s="10" t="s">
        <v>8822</v>
      </c>
      <c r="E4033" s="9" t="s">
        <v>17</v>
      </c>
      <c r="F4033" s="10">
        <v>33</v>
      </c>
      <c r="G4033" s="11">
        <v>8032866466</v>
      </c>
      <c r="H4033" s="10" t="s">
        <v>8823</v>
      </c>
      <c r="I4033" s="10" t="s">
        <v>202</v>
      </c>
      <c r="J4033" s="10" t="s">
        <v>1860</v>
      </c>
      <c r="K4033" s="12">
        <v>46021</v>
      </c>
      <c r="L4033" s="28" t="s">
        <v>11</v>
      </c>
      <c r="M4033" s="14"/>
      <c r="N4033" s="10" t="s">
        <v>1028</v>
      </c>
    </row>
    <row r="4034" spans="1:14" ht="22.5" customHeight="1">
      <c r="A4034" s="8">
        <v>46021.856097847223</v>
      </c>
      <c r="B4034" s="9" t="s">
        <v>14</v>
      </c>
      <c r="C4034" s="9" t="s">
        <v>15</v>
      </c>
      <c r="D4034" s="10" t="s">
        <v>8824</v>
      </c>
      <c r="E4034" s="9" t="s">
        <v>17</v>
      </c>
      <c r="F4034" s="10">
        <v>22</v>
      </c>
      <c r="G4034" s="11">
        <v>8142330392</v>
      </c>
      <c r="H4034" s="10" t="s">
        <v>8825</v>
      </c>
      <c r="I4034" s="10" t="s">
        <v>27</v>
      </c>
      <c r="J4034" s="10" t="s">
        <v>1907</v>
      </c>
      <c r="K4034" s="12">
        <v>46021</v>
      </c>
      <c r="L4034" s="28" t="s">
        <v>11</v>
      </c>
      <c r="M4034" s="14"/>
      <c r="N4034" s="10" t="s">
        <v>1028</v>
      </c>
    </row>
    <row r="4035" spans="1:14" ht="22.5" customHeight="1">
      <c r="A4035" s="8">
        <v>46021.856149965279</v>
      </c>
      <c r="B4035" s="9" t="s">
        <v>14</v>
      </c>
      <c r="C4035" s="9" t="s">
        <v>15</v>
      </c>
      <c r="D4035" s="10" t="s">
        <v>8826</v>
      </c>
      <c r="E4035" s="9" t="s">
        <v>17</v>
      </c>
      <c r="F4035" s="10">
        <v>35</v>
      </c>
      <c r="G4035" s="11">
        <v>7068790737</v>
      </c>
      <c r="H4035" s="10" t="s">
        <v>8827</v>
      </c>
      <c r="I4035" s="10" t="s">
        <v>49</v>
      </c>
      <c r="J4035" s="10" t="s">
        <v>282</v>
      </c>
      <c r="K4035" s="12">
        <v>46021</v>
      </c>
      <c r="L4035" s="28" t="s">
        <v>11</v>
      </c>
      <c r="M4035" s="14"/>
      <c r="N4035" s="10" t="s">
        <v>1028</v>
      </c>
    </row>
    <row r="4036" spans="1:14" ht="22.5" customHeight="1">
      <c r="A4036" s="8">
        <v>46021.85678321759</v>
      </c>
      <c r="B4036" s="9" t="s">
        <v>14</v>
      </c>
      <c r="C4036" s="9" t="s">
        <v>15</v>
      </c>
      <c r="D4036" s="10" t="s">
        <v>8828</v>
      </c>
      <c r="E4036" s="9" t="s">
        <v>17</v>
      </c>
      <c r="F4036" s="10">
        <v>26</v>
      </c>
      <c r="G4036" s="11">
        <v>9035216559</v>
      </c>
      <c r="H4036" s="10" t="s">
        <v>8829</v>
      </c>
      <c r="I4036" s="10" t="s">
        <v>27</v>
      </c>
      <c r="J4036" s="10" t="s">
        <v>94</v>
      </c>
      <c r="K4036" s="12">
        <v>46021</v>
      </c>
      <c r="L4036" s="28" t="s">
        <v>11</v>
      </c>
      <c r="M4036" s="14"/>
      <c r="N4036" s="10" t="s">
        <v>1028</v>
      </c>
    </row>
    <row r="4037" spans="1:14" ht="22.5" customHeight="1">
      <c r="A4037" s="8">
        <v>46021.85748092593</v>
      </c>
      <c r="B4037" s="9" t="s">
        <v>14</v>
      </c>
      <c r="C4037" s="9" t="s">
        <v>15</v>
      </c>
      <c r="D4037" s="10" t="s">
        <v>8830</v>
      </c>
      <c r="E4037" s="9" t="s">
        <v>17</v>
      </c>
      <c r="F4037" s="10">
        <v>31</v>
      </c>
      <c r="G4037" s="11">
        <v>7032143228</v>
      </c>
      <c r="H4037" s="10" t="s">
        <v>8831</v>
      </c>
      <c r="I4037" s="10" t="s">
        <v>49</v>
      </c>
      <c r="J4037" s="10" t="s">
        <v>229</v>
      </c>
      <c r="K4037" s="12">
        <v>46021</v>
      </c>
      <c r="L4037" s="28" t="s">
        <v>11</v>
      </c>
      <c r="M4037" s="14"/>
      <c r="N4037" s="10" t="s">
        <v>1028</v>
      </c>
    </row>
    <row r="4038" spans="1:14" ht="22.5" customHeight="1">
      <c r="A4038" s="8">
        <v>46021.858385081017</v>
      </c>
      <c r="B4038" s="9" t="s">
        <v>14</v>
      </c>
      <c r="C4038" s="9" t="s">
        <v>15</v>
      </c>
      <c r="D4038" s="10" t="s">
        <v>8832</v>
      </c>
      <c r="E4038" s="9" t="s">
        <v>22</v>
      </c>
      <c r="F4038" s="10">
        <v>24</v>
      </c>
      <c r="G4038" s="11">
        <v>9039080696</v>
      </c>
      <c r="H4038" s="10" t="s">
        <v>8833</v>
      </c>
      <c r="I4038" s="10" t="s">
        <v>27</v>
      </c>
      <c r="J4038" s="10" t="s">
        <v>94</v>
      </c>
      <c r="K4038" s="12">
        <v>46021</v>
      </c>
      <c r="L4038" s="28" t="s">
        <v>11</v>
      </c>
      <c r="M4038" s="10"/>
      <c r="N4038" s="10" t="s">
        <v>1096</v>
      </c>
    </row>
    <row r="4039" spans="1:14" ht="22.5" customHeight="1">
      <c r="A4039" s="8">
        <v>46021.859182048611</v>
      </c>
      <c r="B4039" s="9" t="s">
        <v>14</v>
      </c>
      <c r="C4039" s="9" t="s">
        <v>15</v>
      </c>
      <c r="D4039" s="10" t="s">
        <v>8834</v>
      </c>
      <c r="E4039" s="9" t="s">
        <v>17</v>
      </c>
      <c r="F4039" s="10">
        <v>30</v>
      </c>
      <c r="G4039" s="11">
        <v>8137632645</v>
      </c>
      <c r="H4039" s="10" t="s">
        <v>8835</v>
      </c>
      <c r="I4039" s="10" t="s">
        <v>49</v>
      </c>
      <c r="J4039" s="10" t="s">
        <v>5056</v>
      </c>
      <c r="K4039" s="12">
        <v>46021</v>
      </c>
      <c r="L4039" s="28" t="s">
        <v>11</v>
      </c>
      <c r="M4039" s="14"/>
      <c r="N4039" s="10" t="s">
        <v>1028</v>
      </c>
    </row>
    <row r="4040" spans="1:14" ht="22.5" customHeight="1">
      <c r="A4040" s="8">
        <v>46021.85921800926</v>
      </c>
      <c r="B4040" s="9" t="s">
        <v>14</v>
      </c>
      <c r="C4040" s="9" t="s">
        <v>15</v>
      </c>
      <c r="D4040" s="10" t="s">
        <v>8836</v>
      </c>
      <c r="E4040" s="9" t="s">
        <v>17</v>
      </c>
      <c r="F4040" s="10">
        <v>28</v>
      </c>
      <c r="G4040" s="11">
        <v>7062095258</v>
      </c>
      <c r="H4040" s="10" t="s">
        <v>8837</v>
      </c>
      <c r="I4040" s="10" t="s">
        <v>27</v>
      </c>
      <c r="J4040" s="10" t="s">
        <v>2105</v>
      </c>
      <c r="K4040" s="12">
        <v>46021</v>
      </c>
      <c r="L4040" s="28" t="s">
        <v>11</v>
      </c>
      <c r="M4040" s="14"/>
      <c r="N4040" s="10" t="s">
        <v>1096</v>
      </c>
    </row>
    <row r="4041" spans="1:14" ht="22.5" hidden="1" customHeight="1">
      <c r="A4041" s="8">
        <v>46021.859455682876</v>
      </c>
      <c r="B4041" s="9" t="s">
        <v>14</v>
      </c>
      <c r="C4041" s="9" t="s">
        <v>15</v>
      </c>
      <c r="D4041" s="10" t="s">
        <v>1136</v>
      </c>
      <c r="E4041" s="9" t="s">
        <v>17</v>
      </c>
      <c r="F4041" s="10">
        <v>32</v>
      </c>
      <c r="G4041" s="11">
        <v>7030171048</v>
      </c>
      <c r="H4041" s="10" t="s">
        <v>8838</v>
      </c>
      <c r="I4041" s="10" t="s">
        <v>49</v>
      </c>
      <c r="J4041" s="10" t="s">
        <v>181</v>
      </c>
      <c r="K4041" s="12">
        <v>46021</v>
      </c>
      <c r="L4041" s="10" t="s">
        <v>441</v>
      </c>
      <c r="M4041" s="10" t="s">
        <v>1361</v>
      </c>
      <c r="N4041" s="10" t="s">
        <v>1028</v>
      </c>
    </row>
    <row r="4042" spans="1:14" ht="22.5" customHeight="1">
      <c r="A4042" s="8">
        <v>46021.860929236107</v>
      </c>
      <c r="B4042" s="9" t="s">
        <v>14</v>
      </c>
      <c r="C4042" s="9" t="s">
        <v>15</v>
      </c>
      <c r="D4042" s="10" t="s">
        <v>5396</v>
      </c>
      <c r="E4042" s="9" t="s">
        <v>17</v>
      </c>
      <c r="F4042" s="10">
        <v>30</v>
      </c>
      <c r="G4042" s="11">
        <v>7035949485</v>
      </c>
      <c r="H4042" s="10" t="s">
        <v>5397</v>
      </c>
      <c r="I4042" s="10" t="s">
        <v>27</v>
      </c>
      <c r="J4042" s="10" t="s">
        <v>3101</v>
      </c>
      <c r="K4042" s="12">
        <v>46021</v>
      </c>
      <c r="L4042" s="28" t="s">
        <v>11</v>
      </c>
      <c r="M4042" s="14"/>
      <c r="N4042" s="10" t="s">
        <v>1028</v>
      </c>
    </row>
    <row r="4043" spans="1:14" ht="22.5" customHeight="1">
      <c r="A4043" s="8">
        <v>46021.861536493059</v>
      </c>
      <c r="B4043" s="9" t="s">
        <v>14</v>
      </c>
      <c r="C4043" s="9" t="s">
        <v>15</v>
      </c>
      <c r="D4043" s="10" t="s">
        <v>8839</v>
      </c>
      <c r="E4043" s="9" t="s">
        <v>17</v>
      </c>
      <c r="F4043" s="10">
        <v>27</v>
      </c>
      <c r="G4043" s="11">
        <v>8147281278</v>
      </c>
      <c r="H4043" s="10" t="s">
        <v>8840</v>
      </c>
      <c r="I4043" s="10" t="s">
        <v>27</v>
      </c>
      <c r="J4043" s="10" t="s">
        <v>8841</v>
      </c>
      <c r="K4043" s="12">
        <v>46021</v>
      </c>
      <c r="L4043" s="28" t="s">
        <v>11</v>
      </c>
      <c r="M4043" s="14"/>
      <c r="N4043" s="10" t="s">
        <v>1096</v>
      </c>
    </row>
    <row r="4044" spans="1:14" ht="22.5" customHeight="1">
      <c r="A4044" s="8">
        <v>46021.861544664353</v>
      </c>
      <c r="B4044" s="9" t="s">
        <v>14</v>
      </c>
      <c r="C4044" s="9" t="s">
        <v>15</v>
      </c>
      <c r="D4044" s="10" t="s">
        <v>8842</v>
      </c>
      <c r="E4044" s="9" t="s">
        <v>22</v>
      </c>
      <c r="F4044" s="10">
        <v>20</v>
      </c>
      <c r="G4044" s="11">
        <v>9069346861</v>
      </c>
      <c r="H4044" s="10" t="s">
        <v>8843</v>
      </c>
      <c r="I4044" s="10" t="s">
        <v>27</v>
      </c>
      <c r="J4044" s="10" t="s">
        <v>6985</v>
      </c>
      <c r="K4044" s="12">
        <v>46021</v>
      </c>
      <c r="L4044" s="28" t="s">
        <v>11</v>
      </c>
      <c r="M4044" s="14"/>
      <c r="N4044" s="10" t="s">
        <v>1028</v>
      </c>
    </row>
    <row r="4045" spans="1:14" ht="22.5" customHeight="1">
      <c r="A4045" s="8">
        <v>46021.862031689816</v>
      </c>
      <c r="B4045" s="9" t="s">
        <v>14</v>
      </c>
      <c r="C4045" s="9" t="s">
        <v>15</v>
      </c>
      <c r="D4045" s="10" t="s">
        <v>8844</v>
      </c>
      <c r="E4045" s="9" t="s">
        <v>17</v>
      </c>
      <c r="F4045" s="10">
        <v>25</v>
      </c>
      <c r="G4045" s="11">
        <v>7068675277</v>
      </c>
      <c r="H4045" s="10" t="s">
        <v>8845</v>
      </c>
      <c r="I4045" s="10" t="s">
        <v>49</v>
      </c>
      <c r="J4045" s="10" t="s">
        <v>8846</v>
      </c>
      <c r="K4045" s="12">
        <v>46021</v>
      </c>
      <c r="L4045" s="28" t="s">
        <v>11</v>
      </c>
      <c r="M4045" s="14"/>
      <c r="N4045" s="10" t="s">
        <v>1028</v>
      </c>
    </row>
    <row r="4046" spans="1:14" ht="22.5" customHeight="1">
      <c r="A4046" s="8">
        <v>46021.862436238429</v>
      </c>
      <c r="B4046" s="9" t="s">
        <v>14</v>
      </c>
      <c r="C4046" s="9" t="s">
        <v>15</v>
      </c>
      <c r="D4046" s="10" t="s">
        <v>8847</v>
      </c>
      <c r="E4046" s="9" t="s">
        <v>17</v>
      </c>
      <c r="F4046" s="10">
        <v>28</v>
      </c>
      <c r="G4046" s="11">
        <v>7032421263</v>
      </c>
      <c r="H4046" s="10" t="s">
        <v>8848</v>
      </c>
      <c r="I4046" s="10" t="s">
        <v>27</v>
      </c>
      <c r="J4046" s="10" t="s">
        <v>8849</v>
      </c>
      <c r="K4046" s="12">
        <v>46021</v>
      </c>
      <c r="L4046" s="28" t="s">
        <v>11</v>
      </c>
      <c r="M4046" s="10"/>
      <c r="N4046" s="10" t="s">
        <v>8850</v>
      </c>
    </row>
    <row r="4047" spans="1:14" ht="22.5" customHeight="1">
      <c r="A4047" s="8">
        <v>46021.862667384259</v>
      </c>
      <c r="B4047" s="9" t="s">
        <v>14</v>
      </c>
      <c r="C4047" s="9" t="s">
        <v>15</v>
      </c>
      <c r="D4047" s="10" t="s">
        <v>8851</v>
      </c>
      <c r="E4047" s="9" t="s">
        <v>17</v>
      </c>
      <c r="F4047" s="10">
        <v>35</v>
      </c>
      <c r="G4047" s="11">
        <v>8051047392</v>
      </c>
      <c r="H4047" s="10" t="s">
        <v>8852</v>
      </c>
      <c r="I4047" s="10" t="s">
        <v>27</v>
      </c>
      <c r="J4047" s="10" t="s">
        <v>2766</v>
      </c>
      <c r="K4047" s="12">
        <v>46021</v>
      </c>
      <c r="L4047" s="28" t="s">
        <v>11</v>
      </c>
      <c r="M4047" s="14"/>
      <c r="N4047" s="10" t="s">
        <v>1096</v>
      </c>
    </row>
    <row r="4048" spans="1:14" ht="22.5" customHeight="1">
      <c r="A4048" s="8">
        <v>46021.862770196763</v>
      </c>
      <c r="B4048" s="9" t="s">
        <v>14</v>
      </c>
      <c r="C4048" s="9" t="s">
        <v>15</v>
      </c>
      <c r="D4048" s="10" t="s">
        <v>8853</v>
      </c>
      <c r="E4048" s="9" t="s">
        <v>22</v>
      </c>
      <c r="F4048" s="10">
        <v>30</v>
      </c>
      <c r="G4048" s="11">
        <v>8061666998</v>
      </c>
      <c r="H4048" s="10" t="s">
        <v>8854</v>
      </c>
      <c r="I4048" s="10" t="s">
        <v>27</v>
      </c>
      <c r="J4048" s="10" t="s">
        <v>70</v>
      </c>
      <c r="K4048" s="12">
        <v>46021</v>
      </c>
      <c r="L4048" s="28" t="s">
        <v>11</v>
      </c>
      <c r="M4048" s="14"/>
      <c r="N4048" s="10" t="s">
        <v>1209</v>
      </c>
    </row>
    <row r="4049" spans="1:14" ht="22.5" customHeight="1">
      <c r="A4049" s="8">
        <v>46021.863512928241</v>
      </c>
      <c r="B4049" s="9" t="s">
        <v>14</v>
      </c>
      <c r="C4049" s="9" t="s">
        <v>15</v>
      </c>
      <c r="D4049" s="10" t="s">
        <v>8855</v>
      </c>
      <c r="E4049" s="9" t="s">
        <v>17</v>
      </c>
      <c r="F4049" s="10">
        <v>34</v>
      </c>
      <c r="G4049" s="11">
        <v>8108858260</v>
      </c>
      <c r="H4049" s="10" t="s">
        <v>8856</v>
      </c>
      <c r="I4049" s="10" t="s">
        <v>145</v>
      </c>
      <c r="J4049" s="10" t="s">
        <v>5002</v>
      </c>
      <c r="K4049" s="12">
        <v>46021</v>
      </c>
      <c r="L4049" s="28" t="s">
        <v>11</v>
      </c>
      <c r="M4049" s="14"/>
      <c r="N4049" s="10" t="s">
        <v>1028</v>
      </c>
    </row>
    <row r="4050" spans="1:14" ht="22.5" customHeight="1">
      <c r="A4050" s="8">
        <v>46021.86367608796</v>
      </c>
      <c r="B4050" s="9" t="s">
        <v>14</v>
      </c>
      <c r="C4050" s="9" t="s">
        <v>15</v>
      </c>
      <c r="D4050" s="10" t="s">
        <v>8857</v>
      </c>
      <c r="E4050" s="9" t="s">
        <v>22</v>
      </c>
      <c r="F4050" s="10">
        <v>23</v>
      </c>
      <c r="G4050" s="11">
        <v>8147501491</v>
      </c>
      <c r="H4050" s="10" t="s">
        <v>8858</v>
      </c>
      <c r="I4050" s="10" t="s">
        <v>27</v>
      </c>
      <c r="J4050" s="10" t="s">
        <v>70</v>
      </c>
      <c r="K4050" s="12">
        <v>46021</v>
      </c>
      <c r="L4050" s="28" t="s">
        <v>11</v>
      </c>
      <c r="M4050" s="14"/>
      <c r="N4050" s="10" t="s">
        <v>1028</v>
      </c>
    </row>
    <row r="4051" spans="1:14" ht="22.5" customHeight="1">
      <c r="A4051" s="8">
        <v>46021.864636192127</v>
      </c>
      <c r="B4051" s="9" t="s">
        <v>14</v>
      </c>
      <c r="C4051" s="9" t="s">
        <v>15</v>
      </c>
      <c r="D4051" s="10" t="s">
        <v>8859</v>
      </c>
      <c r="E4051" s="9" t="s">
        <v>17</v>
      </c>
      <c r="F4051" s="10">
        <v>30</v>
      </c>
      <c r="G4051" s="11">
        <v>7064748262</v>
      </c>
      <c r="H4051" s="10" t="s">
        <v>8860</v>
      </c>
      <c r="I4051" s="10" t="s">
        <v>27</v>
      </c>
      <c r="J4051" s="10" t="s">
        <v>94</v>
      </c>
      <c r="K4051" s="12">
        <v>46021</v>
      </c>
      <c r="L4051" s="28" t="s">
        <v>11</v>
      </c>
      <c r="M4051" s="14"/>
      <c r="N4051" s="10" t="s">
        <v>1028</v>
      </c>
    </row>
    <row r="4052" spans="1:14" ht="22.5" customHeight="1">
      <c r="A4052" s="8">
        <v>46021.864673657408</v>
      </c>
      <c r="B4052" s="9" t="s">
        <v>14</v>
      </c>
      <c r="C4052" s="9" t="s">
        <v>15</v>
      </c>
      <c r="D4052" s="10" t="s">
        <v>8861</v>
      </c>
      <c r="E4052" s="9" t="s">
        <v>22</v>
      </c>
      <c r="F4052" s="18">
        <v>25</v>
      </c>
      <c r="G4052" s="11">
        <f t="shared" ref="G4052" si="109">2347066300821</f>
        <v>2347066300821</v>
      </c>
      <c r="H4052" s="10" t="s">
        <v>8862</v>
      </c>
      <c r="I4052" s="10" t="s">
        <v>49</v>
      </c>
      <c r="J4052" s="10" t="s">
        <v>106</v>
      </c>
      <c r="K4052" s="12">
        <v>46021</v>
      </c>
      <c r="L4052" s="28" t="s">
        <v>11</v>
      </c>
      <c r="M4052" s="14"/>
      <c r="N4052" s="10" t="s">
        <v>1028</v>
      </c>
    </row>
    <row r="4053" spans="1:14" ht="22.5" customHeight="1">
      <c r="A4053" s="8">
        <v>46021.86671613426</v>
      </c>
      <c r="B4053" s="9" t="s">
        <v>14</v>
      </c>
      <c r="C4053" s="9" t="s">
        <v>15</v>
      </c>
      <c r="D4053" s="10" t="s">
        <v>8863</v>
      </c>
      <c r="E4053" s="9" t="s">
        <v>17</v>
      </c>
      <c r="F4053" s="10">
        <v>36</v>
      </c>
      <c r="G4053" s="11">
        <v>8065760706</v>
      </c>
      <c r="H4053" s="10" t="s">
        <v>8864</v>
      </c>
      <c r="I4053" s="10" t="s">
        <v>27</v>
      </c>
      <c r="J4053" s="10" t="s">
        <v>1456</v>
      </c>
      <c r="K4053" s="12">
        <v>46021</v>
      </c>
      <c r="L4053" s="28" t="s">
        <v>11</v>
      </c>
      <c r="M4053" s="10"/>
      <c r="N4053" s="10" t="s">
        <v>1028</v>
      </c>
    </row>
    <row r="4054" spans="1:14" ht="22.5" customHeight="1">
      <c r="A4054" s="8">
        <v>46021.86688976852</v>
      </c>
      <c r="B4054" s="9" t="s">
        <v>14</v>
      </c>
      <c r="C4054" s="9" t="s">
        <v>15</v>
      </c>
      <c r="D4054" s="10" t="s">
        <v>8865</v>
      </c>
      <c r="E4054" s="9" t="s">
        <v>17</v>
      </c>
      <c r="F4054" s="10">
        <v>25</v>
      </c>
      <c r="G4054" s="11">
        <v>9019216725</v>
      </c>
      <c r="H4054" s="10" t="s">
        <v>8866</v>
      </c>
      <c r="I4054" s="10" t="s">
        <v>27</v>
      </c>
      <c r="J4054" s="10" t="s">
        <v>3797</v>
      </c>
      <c r="K4054" s="12">
        <v>46021</v>
      </c>
      <c r="L4054" s="28" t="s">
        <v>11</v>
      </c>
      <c r="M4054" s="10"/>
      <c r="N4054" s="10" t="s">
        <v>1035</v>
      </c>
    </row>
    <row r="4055" spans="1:14" ht="22.5" customHeight="1">
      <c r="A4055" s="8">
        <v>46021.867237349536</v>
      </c>
      <c r="B4055" s="9" t="s">
        <v>14</v>
      </c>
      <c r="C4055" s="9" t="s">
        <v>15</v>
      </c>
      <c r="D4055" s="10" t="s">
        <v>8867</v>
      </c>
      <c r="E4055" s="9" t="s">
        <v>22</v>
      </c>
      <c r="F4055" s="10">
        <v>25</v>
      </c>
      <c r="G4055" s="11">
        <v>8107781247</v>
      </c>
      <c r="H4055" s="10" t="s">
        <v>8868</v>
      </c>
      <c r="I4055" s="10" t="s">
        <v>27</v>
      </c>
      <c r="J4055" s="10" t="s">
        <v>172</v>
      </c>
      <c r="K4055" s="12">
        <v>46021</v>
      </c>
      <c r="L4055" s="28" t="s">
        <v>11</v>
      </c>
      <c r="M4055" s="14"/>
      <c r="N4055" s="10" t="s">
        <v>1028</v>
      </c>
    </row>
    <row r="4056" spans="1:14" ht="22.5" customHeight="1">
      <c r="A4056" s="8">
        <v>46021.868123229171</v>
      </c>
      <c r="B4056" s="9" t="s">
        <v>14</v>
      </c>
      <c r="C4056" s="9" t="s">
        <v>15</v>
      </c>
      <c r="D4056" s="10" t="s">
        <v>8869</v>
      </c>
      <c r="E4056" s="9" t="s">
        <v>17</v>
      </c>
      <c r="F4056" s="10">
        <v>32</v>
      </c>
      <c r="G4056" s="11">
        <v>8031994296</v>
      </c>
      <c r="H4056" s="10" t="s">
        <v>8870</v>
      </c>
      <c r="I4056" s="10" t="s">
        <v>27</v>
      </c>
      <c r="J4056" s="10" t="s">
        <v>94</v>
      </c>
      <c r="K4056" s="12">
        <v>46021</v>
      </c>
      <c r="L4056" s="28" t="s">
        <v>11</v>
      </c>
      <c r="M4056" s="14"/>
      <c r="N4056" s="10" t="s">
        <v>1028</v>
      </c>
    </row>
    <row r="4057" spans="1:14" ht="22.5" customHeight="1">
      <c r="A4057" s="8">
        <v>46021.869294560187</v>
      </c>
      <c r="B4057" s="9" t="s">
        <v>14</v>
      </c>
      <c r="C4057" s="9" t="s">
        <v>15</v>
      </c>
      <c r="D4057" s="10" t="s">
        <v>8871</v>
      </c>
      <c r="E4057" s="9" t="s">
        <v>17</v>
      </c>
      <c r="F4057" s="10">
        <v>28</v>
      </c>
      <c r="G4057" s="11">
        <v>8163826953</v>
      </c>
      <c r="H4057" s="10" t="s">
        <v>8872</v>
      </c>
      <c r="I4057" s="10" t="s">
        <v>27</v>
      </c>
      <c r="J4057" s="10" t="s">
        <v>1456</v>
      </c>
      <c r="K4057" s="12">
        <v>46021</v>
      </c>
      <c r="L4057" s="28" t="s">
        <v>11</v>
      </c>
      <c r="M4057" s="14"/>
      <c r="N4057" s="10" t="s">
        <v>1028</v>
      </c>
    </row>
    <row r="4058" spans="1:14" ht="22.5" customHeight="1">
      <c r="A4058" s="8">
        <v>46021.869849421295</v>
      </c>
      <c r="B4058" s="9" t="s">
        <v>14</v>
      </c>
      <c r="C4058" s="9" t="s">
        <v>15</v>
      </c>
      <c r="D4058" s="10" t="s">
        <v>8873</v>
      </c>
      <c r="E4058" s="9" t="s">
        <v>17</v>
      </c>
      <c r="F4058" s="10">
        <v>30</v>
      </c>
      <c r="G4058" s="11">
        <v>8109857724</v>
      </c>
      <c r="H4058" s="10" t="s">
        <v>8874</v>
      </c>
      <c r="I4058" s="10" t="s">
        <v>27</v>
      </c>
      <c r="J4058" s="10" t="s">
        <v>1559</v>
      </c>
      <c r="K4058" s="12">
        <v>46021</v>
      </c>
      <c r="L4058" s="28" t="s">
        <v>11</v>
      </c>
      <c r="M4058" s="10"/>
      <c r="N4058" s="10" t="s">
        <v>1096</v>
      </c>
    </row>
    <row r="4059" spans="1:14" ht="22.5" customHeight="1">
      <c r="A4059" s="8">
        <v>46021.87092908565</v>
      </c>
      <c r="B4059" s="9" t="s">
        <v>14</v>
      </c>
      <c r="C4059" s="9" t="s">
        <v>15</v>
      </c>
      <c r="D4059" s="10" t="s">
        <v>8875</v>
      </c>
      <c r="E4059" s="9" t="s">
        <v>17</v>
      </c>
      <c r="F4059" s="10">
        <v>26</v>
      </c>
      <c r="G4059" s="11">
        <v>9023243927</v>
      </c>
      <c r="H4059" s="10" t="s">
        <v>8876</v>
      </c>
      <c r="I4059" s="10" t="s">
        <v>27</v>
      </c>
      <c r="J4059" s="10" t="s">
        <v>8877</v>
      </c>
      <c r="K4059" s="12">
        <v>46021</v>
      </c>
      <c r="L4059" s="28" t="s">
        <v>11</v>
      </c>
      <c r="M4059" s="14"/>
      <c r="N4059" s="10" t="s">
        <v>1028</v>
      </c>
    </row>
    <row r="4060" spans="1:14" ht="22.5" customHeight="1">
      <c r="A4060" s="8">
        <v>46021.871059942132</v>
      </c>
      <c r="B4060" s="9" t="s">
        <v>14</v>
      </c>
      <c r="C4060" s="9" t="s">
        <v>15</v>
      </c>
      <c r="D4060" s="10" t="s">
        <v>8878</v>
      </c>
      <c r="E4060" s="9" t="s">
        <v>17</v>
      </c>
      <c r="F4060" s="10">
        <v>29</v>
      </c>
      <c r="G4060" s="11">
        <v>7060951746</v>
      </c>
      <c r="H4060" s="10" t="s">
        <v>8879</v>
      </c>
      <c r="I4060" s="10" t="s">
        <v>27</v>
      </c>
      <c r="J4060" s="10" t="s">
        <v>1514</v>
      </c>
      <c r="K4060" s="12">
        <v>46021</v>
      </c>
      <c r="L4060" s="28" t="s">
        <v>11</v>
      </c>
      <c r="M4060" s="14"/>
      <c r="N4060" s="10" t="s">
        <v>1096</v>
      </c>
    </row>
    <row r="4061" spans="1:14" ht="22.5" customHeight="1">
      <c r="A4061" s="8">
        <v>46021.871567881943</v>
      </c>
      <c r="B4061" s="9" t="s">
        <v>14</v>
      </c>
      <c r="C4061" s="9" t="s">
        <v>15</v>
      </c>
      <c r="D4061" s="10" t="s">
        <v>8880</v>
      </c>
      <c r="E4061" s="9" t="s">
        <v>17</v>
      </c>
      <c r="F4061" s="10">
        <v>19</v>
      </c>
      <c r="G4061" s="11">
        <v>7087270115</v>
      </c>
      <c r="H4061" s="10" t="s">
        <v>8881</v>
      </c>
      <c r="I4061" s="10" t="s">
        <v>27</v>
      </c>
      <c r="J4061" s="10" t="s">
        <v>2836</v>
      </c>
      <c r="K4061" s="12">
        <v>46021</v>
      </c>
      <c r="L4061" s="28" t="s">
        <v>11</v>
      </c>
      <c r="M4061" s="14"/>
      <c r="N4061" s="10" t="s">
        <v>1209</v>
      </c>
    </row>
    <row r="4062" spans="1:14" ht="22.5" customHeight="1">
      <c r="A4062" s="8">
        <v>46021.872285486112</v>
      </c>
      <c r="B4062" s="9" t="s">
        <v>14</v>
      </c>
      <c r="C4062" s="9" t="s">
        <v>15</v>
      </c>
      <c r="D4062" s="10" t="s">
        <v>8882</v>
      </c>
      <c r="E4062" s="9" t="s">
        <v>17</v>
      </c>
      <c r="F4062" s="10">
        <v>34</v>
      </c>
      <c r="G4062" s="11">
        <v>7031818479</v>
      </c>
      <c r="H4062" s="10" t="s">
        <v>8883</v>
      </c>
      <c r="I4062" s="10" t="s">
        <v>27</v>
      </c>
      <c r="J4062" s="10" t="s">
        <v>1559</v>
      </c>
      <c r="K4062" s="12">
        <v>46021</v>
      </c>
      <c r="L4062" s="28" t="s">
        <v>11</v>
      </c>
      <c r="M4062" s="14"/>
      <c r="N4062" s="10" t="s">
        <v>1563</v>
      </c>
    </row>
    <row r="4063" spans="1:14" ht="22.5" customHeight="1">
      <c r="A4063" s="8">
        <v>46021.872514872681</v>
      </c>
      <c r="B4063" s="9" t="s">
        <v>14</v>
      </c>
      <c r="C4063" s="9" t="s">
        <v>15</v>
      </c>
      <c r="D4063" s="10" t="s">
        <v>8884</v>
      </c>
      <c r="E4063" s="9" t="s">
        <v>17</v>
      </c>
      <c r="F4063" s="10">
        <v>23</v>
      </c>
      <c r="G4063" s="11">
        <v>8086781286</v>
      </c>
      <c r="H4063" s="10" t="s">
        <v>8885</v>
      </c>
      <c r="I4063" s="10" t="s">
        <v>27</v>
      </c>
      <c r="J4063" s="10" t="s">
        <v>1317</v>
      </c>
      <c r="K4063" s="12">
        <v>46021</v>
      </c>
      <c r="L4063" s="28" t="s">
        <v>11</v>
      </c>
      <c r="M4063" s="10"/>
      <c r="N4063" s="10" t="s">
        <v>1028</v>
      </c>
    </row>
    <row r="4064" spans="1:14" ht="22.5" customHeight="1">
      <c r="A4064" s="8">
        <v>46021.872544456019</v>
      </c>
      <c r="B4064" s="9" t="s">
        <v>14</v>
      </c>
      <c r="C4064" s="9" t="s">
        <v>15</v>
      </c>
      <c r="D4064" s="10" t="s">
        <v>8886</v>
      </c>
      <c r="E4064" s="9" t="s">
        <v>17</v>
      </c>
      <c r="F4064" s="10">
        <v>65</v>
      </c>
      <c r="G4064" s="11">
        <v>7036217873</v>
      </c>
      <c r="H4064" s="10" t="s">
        <v>8887</v>
      </c>
      <c r="I4064" s="10" t="s">
        <v>202</v>
      </c>
      <c r="J4064" s="10" t="s">
        <v>6091</v>
      </c>
      <c r="K4064" s="12">
        <v>46021</v>
      </c>
      <c r="L4064" s="28" t="s">
        <v>11</v>
      </c>
      <c r="M4064" s="14"/>
      <c r="N4064" s="10" t="s">
        <v>1028</v>
      </c>
    </row>
    <row r="4065" spans="1:14" ht="22.5" customHeight="1">
      <c r="A4065" s="8">
        <v>46021.87271596065</v>
      </c>
      <c r="B4065" s="9" t="s">
        <v>14</v>
      </c>
      <c r="C4065" s="9" t="s">
        <v>15</v>
      </c>
      <c r="D4065" s="10" t="s">
        <v>8888</v>
      </c>
      <c r="E4065" s="9" t="s">
        <v>17</v>
      </c>
      <c r="F4065" s="10">
        <v>29</v>
      </c>
      <c r="G4065" s="11">
        <v>8144691145</v>
      </c>
      <c r="H4065" s="10" t="s">
        <v>8889</v>
      </c>
      <c r="I4065" s="10" t="s">
        <v>45</v>
      </c>
      <c r="J4065" s="10" t="s">
        <v>8890</v>
      </c>
      <c r="K4065" s="12">
        <v>46021</v>
      </c>
      <c r="L4065" s="28" t="s">
        <v>11</v>
      </c>
      <c r="M4065" s="14"/>
      <c r="N4065" s="10" t="s">
        <v>1096</v>
      </c>
    </row>
    <row r="4066" spans="1:14" ht="22.5" customHeight="1">
      <c r="A4066" s="8">
        <v>46021.873178379625</v>
      </c>
      <c r="B4066" s="9" t="s">
        <v>14</v>
      </c>
      <c r="C4066" s="9" t="s">
        <v>15</v>
      </c>
      <c r="D4066" s="10" t="s">
        <v>8891</v>
      </c>
      <c r="E4066" s="9" t="s">
        <v>17</v>
      </c>
      <c r="F4066" s="10">
        <v>24</v>
      </c>
      <c r="G4066" s="11">
        <v>8140433386</v>
      </c>
      <c r="H4066" s="10" t="s">
        <v>8892</v>
      </c>
      <c r="I4066" s="10" t="s">
        <v>27</v>
      </c>
      <c r="J4066" s="10" t="s">
        <v>2858</v>
      </c>
      <c r="K4066" s="12">
        <v>46021</v>
      </c>
      <c r="L4066" s="28" t="s">
        <v>11</v>
      </c>
      <c r="M4066" s="14"/>
      <c r="N4066" s="10" t="s">
        <v>1028</v>
      </c>
    </row>
    <row r="4067" spans="1:14" ht="22.5" customHeight="1">
      <c r="A4067" s="8">
        <v>46021.87393681713</v>
      </c>
      <c r="B4067" s="9" t="s">
        <v>14</v>
      </c>
      <c r="C4067" s="9" t="s">
        <v>15</v>
      </c>
      <c r="D4067" s="10" t="s">
        <v>8893</v>
      </c>
      <c r="E4067" s="9" t="s">
        <v>17</v>
      </c>
      <c r="F4067" s="10">
        <v>30</v>
      </c>
      <c r="G4067" s="11">
        <v>9065335302</v>
      </c>
      <c r="H4067" s="10" t="s">
        <v>8894</v>
      </c>
      <c r="I4067" s="10" t="s">
        <v>49</v>
      </c>
      <c r="J4067" s="10" t="s">
        <v>73</v>
      </c>
      <c r="K4067" s="12">
        <v>46021</v>
      </c>
      <c r="L4067" s="28" t="s">
        <v>11</v>
      </c>
      <c r="M4067" s="14"/>
      <c r="N4067" s="10" t="s">
        <v>1028</v>
      </c>
    </row>
    <row r="4068" spans="1:14" ht="22.5" customHeight="1">
      <c r="A4068" s="8">
        <v>46021.874470578703</v>
      </c>
      <c r="B4068" s="9" t="s">
        <v>14</v>
      </c>
      <c r="C4068" s="9" t="s">
        <v>15</v>
      </c>
      <c r="D4068" s="10" t="s">
        <v>8895</v>
      </c>
      <c r="E4068" s="9" t="s">
        <v>17</v>
      </c>
      <c r="F4068" s="10">
        <v>27</v>
      </c>
      <c r="G4068" s="11">
        <v>8145684850</v>
      </c>
      <c r="H4068" s="10" t="s">
        <v>8896</v>
      </c>
      <c r="I4068" s="10" t="s">
        <v>27</v>
      </c>
      <c r="J4068" s="10" t="s">
        <v>1456</v>
      </c>
      <c r="K4068" s="12">
        <v>46021</v>
      </c>
      <c r="L4068" s="28" t="s">
        <v>11</v>
      </c>
      <c r="M4068" s="14"/>
      <c r="N4068" s="10" t="s">
        <v>1028</v>
      </c>
    </row>
    <row r="4069" spans="1:14" ht="22.5" customHeight="1">
      <c r="A4069" s="8">
        <v>46021.874542731486</v>
      </c>
      <c r="B4069" s="9" t="s">
        <v>14</v>
      </c>
      <c r="C4069" s="9" t="s">
        <v>15</v>
      </c>
      <c r="D4069" s="10" t="s">
        <v>8897</v>
      </c>
      <c r="E4069" s="9" t="s">
        <v>22</v>
      </c>
      <c r="F4069" s="10">
        <v>22</v>
      </c>
      <c r="G4069" s="11">
        <v>7046707279</v>
      </c>
      <c r="H4069" s="10" t="s">
        <v>8898</v>
      </c>
      <c r="I4069" s="10" t="s">
        <v>45</v>
      </c>
      <c r="J4069" s="10" t="s">
        <v>3376</v>
      </c>
      <c r="K4069" s="12">
        <v>46021</v>
      </c>
      <c r="L4069" s="28" t="s">
        <v>11</v>
      </c>
      <c r="M4069" s="14"/>
      <c r="N4069" s="10" t="s">
        <v>1028</v>
      </c>
    </row>
    <row r="4070" spans="1:14" ht="22.5" customHeight="1">
      <c r="A4070" s="8">
        <v>46021.875533865736</v>
      </c>
      <c r="B4070" s="9" t="s">
        <v>14</v>
      </c>
      <c r="C4070" s="9" t="s">
        <v>15</v>
      </c>
      <c r="D4070" s="10" t="s">
        <v>8899</v>
      </c>
      <c r="E4070" s="9" t="s">
        <v>17</v>
      </c>
      <c r="F4070" s="10">
        <v>29</v>
      </c>
      <c r="G4070" s="11">
        <v>7065807413</v>
      </c>
      <c r="H4070" s="10" t="s">
        <v>8900</v>
      </c>
      <c r="I4070" s="10" t="s">
        <v>19</v>
      </c>
      <c r="J4070" s="10" t="s">
        <v>3601</v>
      </c>
      <c r="K4070" s="12">
        <v>46021</v>
      </c>
      <c r="L4070" s="28" t="s">
        <v>11</v>
      </c>
      <c r="M4070" s="14"/>
      <c r="N4070" s="10" t="s">
        <v>1028</v>
      </c>
    </row>
    <row r="4071" spans="1:14" ht="22.5" customHeight="1">
      <c r="A4071" s="8">
        <v>46021.878379907408</v>
      </c>
      <c r="B4071" s="9" t="s">
        <v>14</v>
      </c>
      <c r="C4071" s="9" t="s">
        <v>15</v>
      </c>
      <c r="D4071" s="10" t="s">
        <v>8901</v>
      </c>
      <c r="E4071" s="9" t="s">
        <v>17</v>
      </c>
      <c r="F4071" s="10">
        <v>37</v>
      </c>
      <c r="G4071" s="11">
        <v>8032946630</v>
      </c>
      <c r="H4071" s="10" t="s">
        <v>8902</v>
      </c>
      <c r="I4071" s="10" t="s">
        <v>27</v>
      </c>
      <c r="J4071" s="10" t="s">
        <v>94</v>
      </c>
      <c r="K4071" s="12">
        <v>46021</v>
      </c>
      <c r="L4071" s="28" t="s">
        <v>11</v>
      </c>
      <c r="M4071" s="14"/>
      <c r="N4071" s="10" t="s">
        <v>1096</v>
      </c>
    </row>
    <row r="4072" spans="1:14" ht="22.5" customHeight="1">
      <c r="A4072" s="8">
        <v>46021.87933575231</v>
      </c>
      <c r="B4072" s="9" t="s">
        <v>14</v>
      </c>
      <c r="C4072" s="9" t="s">
        <v>15</v>
      </c>
      <c r="D4072" s="10" t="s">
        <v>8903</v>
      </c>
      <c r="E4072" s="9" t="s">
        <v>17</v>
      </c>
      <c r="F4072" s="10">
        <v>31</v>
      </c>
      <c r="G4072" s="11">
        <v>8107383423</v>
      </c>
      <c r="H4072" s="10" t="s">
        <v>8904</v>
      </c>
      <c r="I4072" s="10" t="s">
        <v>27</v>
      </c>
      <c r="J4072" s="10" t="s">
        <v>8905</v>
      </c>
      <c r="K4072" s="12">
        <v>46021</v>
      </c>
      <c r="L4072" s="28" t="s">
        <v>11</v>
      </c>
      <c r="M4072" s="10"/>
      <c r="N4072" s="10" t="s">
        <v>1028</v>
      </c>
    </row>
    <row r="4073" spans="1:14" ht="22.5" customHeight="1">
      <c r="A4073" s="8">
        <v>46021.879460821758</v>
      </c>
      <c r="B4073" s="9" t="s">
        <v>14</v>
      </c>
      <c r="C4073" s="9" t="s">
        <v>15</v>
      </c>
      <c r="D4073" s="10" t="s">
        <v>8906</v>
      </c>
      <c r="E4073" s="9" t="s">
        <v>17</v>
      </c>
      <c r="F4073" s="10">
        <v>22</v>
      </c>
      <c r="G4073" s="11">
        <v>9034143437</v>
      </c>
      <c r="H4073" s="10" t="s">
        <v>8907</v>
      </c>
      <c r="I4073" s="10" t="s">
        <v>27</v>
      </c>
      <c r="J4073" s="10" t="s">
        <v>1514</v>
      </c>
      <c r="K4073" s="12">
        <v>46021</v>
      </c>
      <c r="L4073" s="28" t="s">
        <v>11</v>
      </c>
      <c r="M4073" s="14"/>
      <c r="N4073" s="10" t="s">
        <v>1028</v>
      </c>
    </row>
    <row r="4074" spans="1:14" ht="22.5" customHeight="1">
      <c r="A4074" s="8">
        <v>46021.881075358797</v>
      </c>
      <c r="B4074" s="9" t="s">
        <v>14</v>
      </c>
      <c r="C4074" s="9" t="s">
        <v>15</v>
      </c>
      <c r="D4074" s="10" t="s">
        <v>8908</v>
      </c>
      <c r="E4074" s="9" t="s">
        <v>17</v>
      </c>
      <c r="F4074" s="10">
        <v>35</v>
      </c>
      <c r="G4074" s="11">
        <v>8054500750</v>
      </c>
      <c r="H4074" s="10" t="s">
        <v>8909</v>
      </c>
      <c r="I4074" s="10" t="s">
        <v>27</v>
      </c>
      <c r="J4074" s="10" t="s">
        <v>703</v>
      </c>
      <c r="K4074" s="12">
        <v>46021</v>
      </c>
      <c r="L4074" s="28" t="s">
        <v>11</v>
      </c>
      <c r="M4074" s="14"/>
      <c r="N4074" s="10" t="s">
        <v>1028</v>
      </c>
    </row>
    <row r="4075" spans="1:14" ht="22.5" customHeight="1">
      <c r="A4075" s="8">
        <v>46021.881331724537</v>
      </c>
      <c r="B4075" s="9" t="s">
        <v>14</v>
      </c>
      <c r="C4075" s="9" t="s">
        <v>15</v>
      </c>
      <c r="D4075" s="10" t="s">
        <v>8910</v>
      </c>
      <c r="E4075" s="9" t="s">
        <v>22</v>
      </c>
      <c r="F4075" s="10">
        <v>35</v>
      </c>
      <c r="G4075" s="11">
        <v>8063584340</v>
      </c>
      <c r="H4075" s="10" t="s">
        <v>8911</v>
      </c>
      <c r="I4075" s="10" t="s">
        <v>145</v>
      </c>
      <c r="J4075" s="10" t="s">
        <v>3296</v>
      </c>
      <c r="K4075" s="12">
        <v>46021</v>
      </c>
      <c r="L4075" s="28" t="s">
        <v>11</v>
      </c>
      <c r="M4075" s="14"/>
      <c r="N4075" s="10" t="s">
        <v>1028</v>
      </c>
    </row>
    <row r="4076" spans="1:14" ht="22.5" customHeight="1">
      <c r="A4076" s="8">
        <v>46021.881506284721</v>
      </c>
      <c r="B4076" s="9" t="s">
        <v>14</v>
      </c>
      <c r="C4076" s="9" t="s">
        <v>15</v>
      </c>
      <c r="D4076" s="10" t="s">
        <v>8912</v>
      </c>
      <c r="E4076" s="9" t="s">
        <v>22</v>
      </c>
      <c r="F4076" s="10">
        <v>32</v>
      </c>
      <c r="G4076" s="11">
        <v>8105906420</v>
      </c>
      <c r="H4076" s="10" t="s">
        <v>8913</v>
      </c>
      <c r="I4076" s="10" t="s">
        <v>49</v>
      </c>
      <c r="J4076" s="10" t="s">
        <v>73</v>
      </c>
      <c r="K4076" s="12">
        <v>46021</v>
      </c>
      <c r="L4076" s="28" t="s">
        <v>11</v>
      </c>
      <c r="M4076" s="14"/>
      <c r="N4076" s="10" t="s">
        <v>1028</v>
      </c>
    </row>
    <row r="4077" spans="1:14" ht="22.5" customHeight="1">
      <c r="A4077" s="8">
        <v>46021.882845046297</v>
      </c>
      <c r="B4077" s="9" t="s">
        <v>14</v>
      </c>
      <c r="C4077" s="9" t="s">
        <v>15</v>
      </c>
      <c r="D4077" s="10" t="s">
        <v>8914</v>
      </c>
      <c r="E4077" s="9" t="s">
        <v>22</v>
      </c>
      <c r="F4077" s="10">
        <v>27</v>
      </c>
      <c r="G4077" s="11">
        <v>8160814130</v>
      </c>
      <c r="H4077" s="10" t="s">
        <v>8915</v>
      </c>
      <c r="I4077" s="10" t="s">
        <v>27</v>
      </c>
      <c r="J4077" s="10" t="s">
        <v>1456</v>
      </c>
      <c r="K4077" s="12">
        <v>46021</v>
      </c>
      <c r="L4077" s="28" t="s">
        <v>11</v>
      </c>
      <c r="M4077" s="10"/>
      <c r="N4077" s="10" t="s">
        <v>1028</v>
      </c>
    </row>
    <row r="4078" spans="1:14" ht="22.5" customHeight="1">
      <c r="A4078" s="8">
        <v>46021.883770335648</v>
      </c>
      <c r="B4078" s="9" t="s">
        <v>14</v>
      </c>
      <c r="C4078" s="9" t="s">
        <v>15</v>
      </c>
      <c r="D4078" s="10" t="s">
        <v>8916</v>
      </c>
      <c r="E4078" s="9" t="s">
        <v>17</v>
      </c>
      <c r="F4078" s="10">
        <v>30</v>
      </c>
      <c r="G4078" s="11">
        <f t="shared" ref="G4078" si="110">2348067561990</f>
        <v>2348067561990</v>
      </c>
      <c r="H4078" s="10" t="s">
        <v>8917</v>
      </c>
      <c r="I4078" s="10" t="s">
        <v>27</v>
      </c>
      <c r="J4078" s="10" t="s">
        <v>1514</v>
      </c>
      <c r="K4078" s="12">
        <v>46021</v>
      </c>
      <c r="L4078" s="28" t="s">
        <v>11</v>
      </c>
      <c r="M4078" s="14"/>
      <c r="N4078" s="10" t="s">
        <v>8918</v>
      </c>
    </row>
    <row r="4079" spans="1:14" ht="22.5" customHeight="1">
      <c r="A4079" s="8">
        <v>46021.88382181713</v>
      </c>
      <c r="B4079" s="9" t="s">
        <v>14</v>
      </c>
      <c r="C4079" s="9" t="s">
        <v>15</v>
      </c>
      <c r="D4079" s="10" t="s">
        <v>8919</v>
      </c>
      <c r="E4079" s="9" t="s">
        <v>17</v>
      </c>
      <c r="F4079" s="10">
        <v>33</v>
      </c>
      <c r="G4079" s="11">
        <v>8032228470</v>
      </c>
      <c r="H4079" s="10" t="s">
        <v>8920</v>
      </c>
      <c r="I4079" s="10" t="s">
        <v>49</v>
      </c>
      <c r="J4079" s="10" t="s">
        <v>103</v>
      </c>
      <c r="K4079" s="12">
        <v>46021</v>
      </c>
      <c r="L4079" s="28" t="s">
        <v>11</v>
      </c>
      <c r="M4079" s="14"/>
      <c r="N4079" s="10" t="s">
        <v>1028</v>
      </c>
    </row>
    <row r="4080" spans="1:14" ht="22.5" customHeight="1">
      <c r="A4080" s="8">
        <v>46021.884086944439</v>
      </c>
      <c r="B4080" s="9" t="s">
        <v>14</v>
      </c>
      <c r="C4080" s="9" t="s">
        <v>15</v>
      </c>
      <c r="D4080" s="10" t="s">
        <v>8921</v>
      </c>
      <c r="E4080" s="9" t="s">
        <v>17</v>
      </c>
      <c r="F4080" s="10">
        <v>34</v>
      </c>
      <c r="G4080" s="11">
        <v>8069140281</v>
      </c>
      <c r="H4080" s="10" t="s">
        <v>8922</v>
      </c>
      <c r="I4080" s="10" t="s">
        <v>27</v>
      </c>
      <c r="J4080" s="10" t="s">
        <v>8923</v>
      </c>
      <c r="K4080" s="12">
        <v>46021</v>
      </c>
      <c r="L4080" s="28" t="s">
        <v>11</v>
      </c>
      <c r="M4080" s="14"/>
      <c r="N4080" s="10" t="s">
        <v>1096</v>
      </c>
    </row>
    <row r="4081" spans="1:14" ht="22.5" customHeight="1">
      <c r="A4081" s="8">
        <v>46021.884323275459</v>
      </c>
      <c r="B4081" s="9" t="s">
        <v>14</v>
      </c>
      <c r="C4081" s="9" t="s">
        <v>15</v>
      </c>
      <c r="D4081" s="10" t="s">
        <v>8924</v>
      </c>
      <c r="E4081" s="9" t="s">
        <v>17</v>
      </c>
      <c r="F4081" s="10">
        <v>30</v>
      </c>
      <c r="G4081" s="11">
        <v>8164683458</v>
      </c>
      <c r="H4081" s="10" t="s">
        <v>8925</v>
      </c>
      <c r="I4081" s="10" t="s">
        <v>27</v>
      </c>
      <c r="J4081" s="10" t="s">
        <v>2006</v>
      </c>
      <c r="K4081" s="12">
        <v>46021</v>
      </c>
      <c r="L4081" s="28" t="s">
        <v>11</v>
      </c>
      <c r="M4081" s="14"/>
      <c r="N4081" s="10" t="s">
        <v>1028</v>
      </c>
    </row>
    <row r="4082" spans="1:14" ht="22.5" customHeight="1">
      <c r="A4082" s="8">
        <v>46021.886308437504</v>
      </c>
      <c r="B4082" s="9" t="s">
        <v>14</v>
      </c>
      <c r="C4082" s="9" t="s">
        <v>15</v>
      </c>
      <c r="D4082" s="10" t="s">
        <v>8926</v>
      </c>
      <c r="E4082" s="9" t="s">
        <v>17</v>
      </c>
      <c r="F4082" s="10">
        <v>20</v>
      </c>
      <c r="G4082" s="11">
        <v>8146498120</v>
      </c>
      <c r="H4082" s="10" t="s">
        <v>8927</v>
      </c>
      <c r="I4082" s="10" t="s">
        <v>27</v>
      </c>
      <c r="J4082" s="10" t="s">
        <v>1895</v>
      </c>
      <c r="K4082" s="12">
        <v>46021</v>
      </c>
      <c r="L4082" s="28" t="s">
        <v>11</v>
      </c>
      <c r="M4082" s="14"/>
      <c r="N4082" s="10" t="s">
        <v>1028</v>
      </c>
    </row>
    <row r="4083" spans="1:14" ht="22.5" customHeight="1">
      <c r="A4083" s="8">
        <v>46021.886862337968</v>
      </c>
      <c r="B4083" s="9" t="s">
        <v>14</v>
      </c>
      <c r="C4083" s="9" t="s">
        <v>15</v>
      </c>
      <c r="D4083" s="10" t="s">
        <v>8928</v>
      </c>
      <c r="E4083" s="9" t="s">
        <v>17</v>
      </c>
      <c r="F4083" s="10">
        <v>34</v>
      </c>
      <c r="G4083" s="11">
        <v>7032647423</v>
      </c>
      <c r="H4083" s="10" t="s">
        <v>8929</v>
      </c>
      <c r="I4083" s="10" t="s">
        <v>27</v>
      </c>
      <c r="J4083" s="10" t="s">
        <v>172</v>
      </c>
      <c r="K4083" s="12">
        <v>46021</v>
      </c>
      <c r="L4083" s="28" t="s">
        <v>11</v>
      </c>
      <c r="M4083" s="14"/>
      <c r="N4083" s="10" t="s">
        <v>1028</v>
      </c>
    </row>
    <row r="4084" spans="1:14" ht="22.5" customHeight="1">
      <c r="A4084" s="8">
        <v>46021.887871180559</v>
      </c>
      <c r="B4084" s="9" t="s">
        <v>14</v>
      </c>
      <c r="C4084" s="9" t="s">
        <v>15</v>
      </c>
      <c r="D4084" s="10" t="s">
        <v>8930</v>
      </c>
      <c r="E4084" s="9" t="s">
        <v>17</v>
      </c>
      <c r="F4084" s="10">
        <v>32</v>
      </c>
      <c r="G4084" s="11">
        <v>8168806003</v>
      </c>
      <c r="H4084" s="10" t="s">
        <v>8931</v>
      </c>
      <c r="I4084" s="10" t="s">
        <v>145</v>
      </c>
      <c r="J4084" s="10" t="s">
        <v>3296</v>
      </c>
      <c r="K4084" s="12">
        <v>46021</v>
      </c>
      <c r="L4084" s="28" t="s">
        <v>11</v>
      </c>
      <c r="M4084" s="14"/>
      <c r="N4084" s="10" t="s">
        <v>1096</v>
      </c>
    </row>
    <row r="4085" spans="1:14" ht="22.5" customHeight="1">
      <c r="A4085" s="8">
        <v>46021.89031638889</v>
      </c>
      <c r="B4085" s="9" t="s">
        <v>14</v>
      </c>
      <c r="C4085" s="9" t="s">
        <v>15</v>
      </c>
      <c r="D4085" s="10" t="s">
        <v>8932</v>
      </c>
      <c r="E4085" s="9" t="s">
        <v>22</v>
      </c>
      <c r="F4085" s="10">
        <v>33</v>
      </c>
      <c r="G4085" s="11">
        <v>8133165061</v>
      </c>
      <c r="H4085" s="10" t="s">
        <v>8933</v>
      </c>
      <c r="I4085" s="10" t="s">
        <v>145</v>
      </c>
      <c r="J4085" s="10" t="s">
        <v>530</v>
      </c>
      <c r="K4085" s="12">
        <v>46021</v>
      </c>
      <c r="L4085" s="28" t="s">
        <v>11</v>
      </c>
      <c r="M4085" s="14"/>
      <c r="N4085" s="10" t="s">
        <v>1209</v>
      </c>
    </row>
    <row r="4086" spans="1:14" ht="22.5" customHeight="1">
      <c r="A4086" s="8">
        <v>46021.890770416663</v>
      </c>
      <c r="B4086" s="9" t="s">
        <v>14</v>
      </c>
      <c r="C4086" s="9" t="s">
        <v>15</v>
      </c>
      <c r="D4086" s="10" t="s">
        <v>8934</v>
      </c>
      <c r="E4086" s="9" t="s">
        <v>17</v>
      </c>
      <c r="F4086" s="10">
        <v>31</v>
      </c>
      <c r="G4086" s="11">
        <v>7056395074</v>
      </c>
      <c r="H4086" s="10" t="s">
        <v>8935</v>
      </c>
      <c r="I4086" s="10" t="s">
        <v>27</v>
      </c>
      <c r="J4086" s="10" t="s">
        <v>27</v>
      </c>
      <c r="K4086" s="12">
        <v>46021</v>
      </c>
      <c r="L4086" s="28" t="s">
        <v>11</v>
      </c>
      <c r="M4086" s="14"/>
      <c r="N4086" s="10" t="s">
        <v>1096</v>
      </c>
    </row>
    <row r="4087" spans="1:14" ht="22.5" customHeight="1">
      <c r="A4087" s="8">
        <v>46021.893858715281</v>
      </c>
      <c r="B4087" s="9" t="s">
        <v>14</v>
      </c>
      <c r="C4087" s="9" t="s">
        <v>15</v>
      </c>
      <c r="D4087" s="10" t="s">
        <v>8936</v>
      </c>
      <c r="E4087" s="9" t="s">
        <v>22</v>
      </c>
      <c r="F4087" s="10">
        <v>31</v>
      </c>
      <c r="G4087" s="11">
        <v>8133672674</v>
      </c>
      <c r="H4087" s="10" t="s">
        <v>8937</v>
      </c>
      <c r="I4087" s="10" t="s">
        <v>49</v>
      </c>
      <c r="J4087" s="10" t="s">
        <v>50</v>
      </c>
      <c r="K4087" s="12">
        <v>34411</v>
      </c>
      <c r="L4087" s="28" t="s">
        <v>11</v>
      </c>
      <c r="M4087" s="14"/>
      <c r="N4087" s="10" t="s">
        <v>1028</v>
      </c>
    </row>
    <row r="4088" spans="1:14" ht="22.5" customHeight="1">
      <c r="A4088" s="8">
        <v>46021.894311296295</v>
      </c>
      <c r="B4088" s="9" t="s">
        <v>14</v>
      </c>
      <c r="C4088" s="9" t="s">
        <v>15</v>
      </c>
      <c r="D4088" s="10" t="s">
        <v>8938</v>
      </c>
      <c r="E4088" s="9" t="s">
        <v>22</v>
      </c>
      <c r="F4088" s="10">
        <v>35</v>
      </c>
      <c r="G4088" s="11">
        <v>8065169398</v>
      </c>
      <c r="H4088" s="10" t="s">
        <v>8939</v>
      </c>
      <c r="I4088" s="10" t="s">
        <v>19</v>
      </c>
      <c r="J4088" s="10" t="s">
        <v>8940</v>
      </c>
      <c r="K4088" s="12">
        <v>46021</v>
      </c>
      <c r="L4088" s="28" t="s">
        <v>11</v>
      </c>
      <c r="M4088" s="14"/>
      <c r="N4088" s="10" t="s">
        <v>1028</v>
      </c>
    </row>
    <row r="4089" spans="1:14" ht="22.5" hidden="1" customHeight="1">
      <c r="A4089" s="8">
        <v>46021.894766886573</v>
      </c>
      <c r="B4089" s="9" t="s">
        <v>14</v>
      </c>
      <c r="C4089" s="9" t="s">
        <v>15</v>
      </c>
      <c r="D4089" s="10" t="s">
        <v>8941</v>
      </c>
      <c r="E4089" s="9" t="s">
        <v>17</v>
      </c>
      <c r="F4089" s="10">
        <v>32</v>
      </c>
      <c r="G4089" s="11">
        <v>8160026370</v>
      </c>
      <c r="H4089" s="10" t="s">
        <v>8942</v>
      </c>
      <c r="I4089" s="10" t="s">
        <v>27</v>
      </c>
      <c r="J4089" s="10" t="s">
        <v>3542</v>
      </c>
      <c r="K4089" s="12">
        <v>46021</v>
      </c>
      <c r="L4089" s="10" t="s">
        <v>441</v>
      </c>
      <c r="M4089" s="10" t="s">
        <v>1356</v>
      </c>
      <c r="N4089" s="10" t="s">
        <v>1028</v>
      </c>
    </row>
    <row r="4090" spans="1:14" ht="22.5" customHeight="1">
      <c r="A4090" s="8">
        <v>46021.897105173615</v>
      </c>
      <c r="B4090" s="9" t="s">
        <v>14</v>
      </c>
      <c r="C4090" s="9" t="s">
        <v>15</v>
      </c>
      <c r="D4090" s="10" t="s">
        <v>8943</v>
      </c>
      <c r="E4090" s="9" t="s">
        <v>17</v>
      </c>
      <c r="F4090" s="10">
        <v>33</v>
      </c>
      <c r="G4090" s="11">
        <v>7033223729</v>
      </c>
      <c r="H4090" s="10" t="s">
        <v>8944</v>
      </c>
      <c r="I4090" s="10" t="s">
        <v>49</v>
      </c>
      <c r="J4090" s="10" t="s">
        <v>282</v>
      </c>
      <c r="K4090" s="12">
        <v>46021</v>
      </c>
      <c r="L4090" s="28" t="s">
        <v>11</v>
      </c>
      <c r="M4090" s="14"/>
      <c r="N4090" s="10" t="s">
        <v>1028</v>
      </c>
    </row>
    <row r="4091" spans="1:14" ht="22.5" customHeight="1">
      <c r="A4091" s="8">
        <v>46021.898021747686</v>
      </c>
      <c r="B4091" s="9" t="s">
        <v>14</v>
      </c>
      <c r="C4091" s="9" t="s">
        <v>15</v>
      </c>
      <c r="D4091" s="10" t="s">
        <v>7073</v>
      </c>
      <c r="E4091" s="9" t="s">
        <v>17</v>
      </c>
      <c r="F4091" s="10">
        <v>27</v>
      </c>
      <c r="G4091" s="11">
        <v>8036712597</v>
      </c>
      <c r="H4091" s="10" t="s">
        <v>8945</v>
      </c>
      <c r="I4091" s="10" t="s">
        <v>27</v>
      </c>
      <c r="J4091" s="10" t="s">
        <v>1672</v>
      </c>
      <c r="K4091" s="12">
        <v>46021</v>
      </c>
      <c r="L4091" s="28" t="s">
        <v>11</v>
      </c>
      <c r="M4091" s="14"/>
      <c r="N4091" s="10" t="s">
        <v>1028</v>
      </c>
    </row>
    <row r="4092" spans="1:14" ht="22.5" customHeight="1">
      <c r="A4092" s="8">
        <v>46021.898260706017</v>
      </c>
      <c r="B4092" s="9" t="s">
        <v>14</v>
      </c>
      <c r="C4092" s="9" t="s">
        <v>15</v>
      </c>
      <c r="D4092" s="10" t="s">
        <v>2534</v>
      </c>
      <c r="E4092" s="9" t="s">
        <v>17</v>
      </c>
      <c r="F4092" s="10">
        <v>29</v>
      </c>
      <c r="G4092" s="11">
        <v>8065166395</v>
      </c>
      <c r="H4092" s="10" t="s">
        <v>8946</v>
      </c>
      <c r="I4092" s="10" t="s">
        <v>49</v>
      </c>
      <c r="J4092" s="10" t="s">
        <v>109</v>
      </c>
      <c r="K4092" s="12">
        <v>46021</v>
      </c>
      <c r="L4092" s="28" t="s">
        <v>11</v>
      </c>
      <c r="M4092" s="14"/>
      <c r="N4092" s="10" t="s">
        <v>1028</v>
      </c>
    </row>
    <row r="4093" spans="1:14" ht="22.5" customHeight="1">
      <c r="A4093" s="8">
        <v>46021.899095925924</v>
      </c>
      <c r="B4093" s="9" t="s">
        <v>14</v>
      </c>
      <c r="C4093" s="9" t="s">
        <v>15</v>
      </c>
      <c r="D4093" s="10" t="s">
        <v>8947</v>
      </c>
      <c r="E4093" s="9" t="s">
        <v>17</v>
      </c>
      <c r="F4093" s="10">
        <v>33</v>
      </c>
      <c r="G4093" s="11">
        <v>8035313638</v>
      </c>
      <c r="H4093" s="10" t="s">
        <v>8948</v>
      </c>
      <c r="I4093" s="10" t="s">
        <v>27</v>
      </c>
      <c r="J4093" s="10" t="s">
        <v>1559</v>
      </c>
      <c r="K4093" s="12">
        <v>46021</v>
      </c>
      <c r="L4093" s="28" t="s">
        <v>11</v>
      </c>
      <c r="M4093" s="14"/>
      <c r="N4093" s="10" t="s">
        <v>1096</v>
      </c>
    </row>
    <row r="4094" spans="1:14" ht="22.5" customHeight="1">
      <c r="A4094" s="8">
        <v>46021.899899571756</v>
      </c>
      <c r="B4094" s="9" t="s">
        <v>14</v>
      </c>
      <c r="C4094" s="9" t="s">
        <v>15</v>
      </c>
      <c r="D4094" s="10" t="s">
        <v>8949</v>
      </c>
      <c r="E4094" s="9" t="s">
        <v>17</v>
      </c>
      <c r="F4094" s="10">
        <v>33</v>
      </c>
      <c r="G4094" s="11">
        <v>7065776655</v>
      </c>
      <c r="H4094" s="10" t="s">
        <v>8950</v>
      </c>
      <c r="I4094" s="10" t="s">
        <v>27</v>
      </c>
      <c r="J4094" s="10" t="s">
        <v>42</v>
      </c>
      <c r="K4094" s="12">
        <v>46021</v>
      </c>
      <c r="L4094" s="28" t="s">
        <v>11</v>
      </c>
      <c r="M4094" s="14"/>
      <c r="N4094" s="10" t="s">
        <v>1028</v>
      </c>
    </row>
    <row r="4095" spans="1:14" ht="22.5" customHeight="1">
      <c r="A4095" s="8">
        <v>46021.900175057875</v>
      </c>
      <c r="B4095" s="9" t="s">
        <v>14</v>
      </c>
      <c r="C4095" s="9" t="s">
        <v>15</v>
      </c>
      <c r="D4095" s="10" t="s">
        <v>8951</v>
      </c>
      <c r="E4095" s="9" t="s">
        <v>17</v>
      </c>
      <c r="F4095" s="10">
        <v>25</v>
      </c>
      <c r="G4095" s="11">
        <v>8038573227</v>
      </c>
      <c r="H4095" s="10" t="s">
        <v>8952</v>
      </c>
      <c r="I4095" s="10" t="s">
        <v>27</v>
      </c>
      <c r="J4095" s="10" t="s">
        <v>2258</v>
      </c>
      <c r="K4095" s="12">
        <v>46021</v>
      </c>
      <c r="L4095" s="28" t="s">
        <v>11</v>
      </c>
      <c r="M4095" s="14"/>
      <c r="N4095" s="10" t="s">
        <v>1028</v>
      </c>
    </row>
    <row r="4096" spans="1:14" ht="22.5" customHeight="1">
      <c r="A4096" s="8">
        <v>46021.901375347225</v>
      </c>
      <c r="B4096" s="9" t="s">
        <v>14</v>
      </c>
      <c r="C4096" s="9" t="s">
        <v>15</v>
      </c>
      <c r="D4096" s="10" t="s">
        <v>8953</v>
      </c>
      <c r="E4096" s="9" t="s">
        <v>22</v>
      </c>
      <c r="F4096" s="10">
        <v>24</v>
      </c>
      <c r="G4096" s="11">
        <v>9128966855</v>
      </c>
      <c r="H4096" s="10" t="s">
        <v>8954</v>
      </c>
      <c r="I4096" s="10" t="s">
        <v>27</v>
      </c>
      <c r="J4096" s="10" t="s">
        <v>3215</v>
      </c>
      <c r="K4096" s="12">
        <v>46021</v>
      </c>
      <c r="L4096" s="28" t="s">
        <v>11</v>
      </c>
      <c r="M4096" s="14"/>
      <c r="N4096" s="10" t="s">
        <v>1028</v>
      </c>
    </row>
    <row r="4097" spans="1:14" ht="22.5" customHeight="1">
      <c r="A4097" s="8">
        <v>46021.902572847219</v>
      </c>
      <c r="B4097" s="9" t="s">
        <v>14</v>
      </c>
      <c r="C4097" s="9" t="s">
        <v>15</v>
      </c>
      <c r="D4097" s="10" t="s">
        <v>6431</v>
      </c>
      <c r="E4097" s="9" t="s">
        <v>17</v>
      </c>
      <c r="F4097" s="10">
        <v>36</v>
      </c>
      <c r="G4097" s="11">
        <v>8167727024</v>
      </c>
      <c r="H4097" s="10" t="s">
        <v>8955</v>
      </c>
      <c r="I4097" s="10" t="s">
        <v>49</v>
      </c>
      <c r="J4097" s="10" t="s">
        <v>599</v>
      </c>
      <c r="K4097" s="12">
        <v>46021</v>
      </c>
      <c r="L4097" s="28" t="s">
        <v>11</v>
      </c>
      <c r="M4097" s="14"/>
      <c r="N4097" s="10" t="s">
        <v>1028</v>
      </c>
    </row>
    <row r="4098" spans="1:14" ht="22.5" customHeight="1">
      <c r="A4098" s="8">
        <v>46021.902961886575</v>
      </c>
      <c r="B4098" s="9" t="s">
        <v>14</v>
      </c>
      <c r="C4098" s="9" t="s">
        <v>15</v>
      </c>
      <c r="D4098" s="10" t="s">
        <v>8956</v>
      </c>
      <c r="E4098" s="9" t="s">
        <v>22</v>
      </c>
      <c r="F4098" s="10">
        <v>25</v>
      </c>
      <c r="G4098" s="11">
        <v>8139669670</v>
      </c>
      <c r="H4098" s="10" t="s">
        <v>8957</v>
      </c>
      <c r="I4098" s="10" t="s">
        <v>27</v>
      </c>
      <c r="J4098" s="10" t="s">
        <v>70</v>
      </c>
      <c r="K4098" s="12">
        <v>46021</v>
      </c>
      <c r="L4098" s="28" t="s">
        <v>11</v>
      </c>
      <c r="M4098" s="14"/>
      <c r="N4098" s="10" t="s">
        <v>1028</v>
      </c>
    </row>
    <row r="4099" spans="1:14" ht="22.5" customHeight="1">
      <c r="A4099" s="8">
        <v>46021.904191377311</v>
      </c>
      <c r="B4099" s="9" t="s">
        <v>14</v>
      </c>
      <c r="C4099" s="9" t="s">
        <v>15</v>
      </c>
      <c r="D4099" s="10" t="s">
        <v>8958</v>
      </c>
      <c r="E4099" s="9" t="s">
        <v>17</v>
      </c>
      <c r="F4099" s="10">
        <v>33</v>
      </c>
      <c r="G4099" s="11">
        <v>8145334432</v>
      </c>
      <c r="H4099" s="10" t="s">
        <v>8959</v>
      </c>
      <c r="I4099" s="10" t="s">
        <v>27</v>
      </c>
      <c r="J4099" s="10" t="s">
        <v>2196</v>
      </c>
      <c r="K4099" s="12">
        <v>46021</v>
      </c>
      <c r="L4099" s="28" t="s">
        <v>11</v>
      </c>
      <c r="M4099" s="14"/>
      <c r="N4099" s="10" t="s">
        <v>1028</v>
      </c>
    </row>
    <row r="4100" spans="1:14" ht="22.5" customHeight="1">
      <c r="A4100" s="8">
        <v>46021.906679085645</v>
      </c>
      <c r="B4100" s="9" t="s">
        <v>14</v>
      </c>
      <c r="C4100" s="9" t="s">
        <v>15</v>
      </c>
      <c r="D4100" s="10" t="s">
        <v>8960</v>
      </c>
      <c r="E4100" s="9" t="s">
        <v>17</v>
      </c>
      <c r="F4100" s="10">
        <v>28</v>
      </c>
      <c r="G4100" s="11">
        <v>7026790789</v>
      </c>
      <c r="H4100" s="10" t="s">
        <v>8961</v>
      </c>
      <c r="I4100" s="10" t="s">
        <v>27</v>
      </c>
      <c r="J4100" s="10" t="s">
        <v>1456</v>
      </c>
      <c r="K4100" s="12">
        <v>46021</v>
      </c>
      <c r="L4100" s="28" t="s">
        <v>11</v>
      </c>
      <c r="M4100" s="14"/>
      <c r="N4100" s="10" t="s">
        <v>1028</v>
      </c>
    </row>
    <row r="4101" spans="1:14" ht="22.5" customHeight="1">
      <c r="A4101" s="8">
        <v>46021.908606446756</v>
      </c>
      <c r="B4101" s="9" t="s">
        <v>14</v>
      </c>
      <c r="C4101" s="9" t="s">
        <v>15</v>
      </c>
      <c r="D4101" s="10" t="s">
        <v>8962</v>
      </c>
      <c r="E4101" s="9" t="s">
        <v>17</v>
      </c>
      <c r="F4101" s="10">
        <v>26</v>
      </c>
      <c r="G4101" s="11">
        <v>7082696219</v>
      </c>
      <c r="H4101" s="10" t="s">
        <v>8963</v>
      </c>
      <c r="I4101" s="10" t="s">
        <v>27</v>
      </c>
      <c r="J4101" s="10" t="s">
        <v>67</v>
      </c>
      <c r="K4101" s="12">
        <v>46021</v>
      </c>
      <c r="L4101" s="28" t="s">
        <v>11</v>
      </c>
      <c r="M4101" s="14"/>
      <c r="N4101" s="10" t="s">
        <v>1028</v>
      </c>
    </row>
    <row r="4102" spans="1:14" ht="22.5" customHeight="1">
      <c r="A4102" s="8">
        <v>46021.909205057869</v>
      </c>
      <c r="B4102" s="9" t="s">
        <v>14</v>
      </c>
      <c r="C4102" s="9" t="s">
        <v>15</v>
      </c>
      <c r="D4102" s="10" t="s">
        <v>8964</v>
      </c>
      <c r="E4102" s="9" t="s">
        <v>17</v>
      </c>
      <c r="F4102" s="10">
        <v>30</v>
      </c>
      <c r="G4102" s="11">
        <v>7035391046</v>
      </c>
      <c r="H4102" s="10" t="s">
        <v>8965</v>
      </c>
      <c r="I4102" s="10" t="s">
        <v>27</v>
      </c>
      <c r="J4102" s="10" t="s">
        <v>8966</v>
      </c>
      <c r="K4102" s="12">
        <v>46021</v>
      </c>
      <c r="L4102" s="28" t="s">
        <v>11</v>
      </c>
      <c r="M4102" s="14"/>
      <c r="N4102" s="10" t="s">
        <v>1028</v>
      </c>
    </row>
    <row r="4103" spans="1:14" ht="22.5" customHeight="1">
      <c r="A4103" s="8">
        <v>46021.910968877317</v>
      </c>
      <c r="B4103" s="9" t="s">
        <v>14</v>
      </c>
      <c r="C4103" s="9" t="s">
        <v>15</v>
      </c>
      <c r="D4103" s="10" t="s">
        <v>8967</v>
      </c>
      <c r="E4103" s="9" t="s">
        <v>17</v>
      </c>
      <c r="F4103" s="10">
        <v>27</v>
      </c>
      <c r="G4103" s="11">
        <v>9151914849</v>
      </c>
      <c r="H4103" s="10" t="s">
        <v>8968</v>
      </c>
      <c r="I4103" s="10" t="s">
        <v>49</v>
      </c>
      <c r="J4103" s="10" t="s">
        <v>606</v>
      </c>
      <c r="K4103" s="12">
        <v>46021</v>
      </c>
      <c r="L4103" s="28" t="s">
        <v>11</v>
      </c>
      <c r="M4103" s="14"/>
      <c r="N4103" s="10" t="s">
        <v>1028</v>
      </c>
    </row>
    <row r="4104" spans="1:14" ht="22.5" customHeight="1">
      <c r="A4104" s="8">
        <v>46021.915293819446</v>
      </c>
      <c r="B4104" s="9" t="s">
        <v>14</v>
      </c>
      <c r="C4104" s="9" t="s">
        <v>15</v>
      </c>
      <c r="D4104" s="10" t="s">
        <v>8969</v>
      </c>
      <c r="E4104" s="9" t="s">
        <v>22</v>
      </c>
      <c r="F4104" s="10">
        <v>22</v>
      </c>
      <c r="G4104" s="11">
        <v>9067389434</v>
      </c>
      <c r="H4104" s="10" t="s">
        <v>8970</v>
      </c>
      <c r="I4104" s="10" t="s">
        <v>19</v>
      </c>
      <c r="J4104" s="10" t="s">
        <v>3466</v>
      </c>
      <c r="K4104" s="12">
        <v>46021</v>
      </c>
      <c r="L4104" s="28" t="s">
        <v>11</v>
      </c>
      <c r="M4104" s="14"/>
      <c r="N4104" s="10" t="s">
        <v>8971</v>
      </c>
    </row>
    <row r="4105" spans="1:14" ht="22.5" hidden="1" customHeight="1">
      <c r="A4105" s="8">
        <v>46021.915660312501</v>
      </c>
      <c r="B4105" s="9" t="s">
        <v>14</v>
      </c>
      <c r="C4105" s="9" t="s">
        <v>15</v>
      </c>
      <c r="D4105" s="10" t="s">
        <v>8972</v>
      </c>
      <c r="E4105" s="9" t="s">
        <v>17</v>
      </c>
      <c r="F4105" s="10">
        <v>25</v>
      </c>
      <c r="G4105" s="11">
        <f t="shared" ref="G4105" si="111">2347038986367</f>
        <v>2347038986367</v>
      </c>
      <c r="H4105" s="10" t="s">
        <v>8973</v>
      </c>
      <c r="I4105" s="10" t="s">
        <v>27</v>
      </c>
      <c r="J4105" s="10" t="s">
        <v>70</v>
      </c>
      <c r="K4105" s="12">
        <v>46021</v>
      </c>
      <c r="L4105" s="10" t="s">
        <v>441</v>
      </c>
      <c r="M4105" s="10" t="s">
        <v>1827</v>
      </c>
      <c r="N4105" s="10" t="s">
        <v>1028</v>
      </c>
    </row>
    <row r="4106" spans="1:14" ht="22.5" customHeight="1">
      <c r="A4106" s="8">
        <v>46021.916489884257</v>
      </c>
      <c r="B4106" s="9" t="s">
        <v>14</v>
      </c>
      <c r="C4106" s="9" t="s">
        <v>15</v>
      </c>
      <c r="D4106" s="10" t="s">
        <v>8974</v>
      </c>
      <c r="E4106" s="9" t="s">
        <v>17</v>
      </c>
      <c r="F4106" s="10">
        <v>24</v>
      </c>
      <c r="G4106" s="11">
        <v>9066900238</v>
      </c>
      <c r="H4106" s="10" t="s">
        <v>8975</v>
      </c>
      <c r="I4106" s="10" t="s">
        <v>27</v>
      </c>
      <c r="J4106" s="10" t="s">
        <v>28</v>
      </c>
      <c r="K4106" s="12">
        <v>46021</v>
      </c>
      <c r="L4106" s="28" t="s">
        <v>11</v>
      </c>
      <c r="M4106" s="14"/>
      <c r="N4106" s="10" t="s">
        <v>1028</v>
      </c>
    </row>
    <row r="4107" spans="1:14" ht="22.5" customHeight="1">
      <c r="A4107" s="8">
        <v>46021.916702800925</v>
      </c>
      <c r="B4107" s="9" t="s">
        <v>14</v>
      </c>
      <c r="C4107" s="9" t="s">
        <v>15</v>
      </c>
      <c r="D4107" s="10" t="s">
        <v>8976</v>
      </c>
      <c r="E4107" s="9" t="s">
        <v>17</v>
      </c>
      <c r="F4107" s="19">
        <v>28</v>
      </c>
      <c r="G4107" s="11">
        <v>8107715311</v>
      </c>
      <c r="H4107" s="10" t="s">
        <v>8977</v>
      </c>
      <c r="I4107" s="10" t="s">
        <v>202</v>
      </c>
      <c r="J4107" s="10" t="s">
        <v>5573</v>
      </c>
      <c r="K4107" s="12">
        <v>46021</v>
      </c>
      <c r="L4107" s="28" t="s">
        <v>11</v>
      </c>
      <c r="M4107" s="14"/>
      <c r="N4107" s="10" t="s">
        <v>1028</v>
      </c>
    </row>
    <row r="4108" spans="1:14" ht="22.5" customHeight="1">
      <c r="A4108" s="8">
        <v>46021.91807565972</v>
      </c>
      <c r="B4108" s="9" t="s">
        <v>14</v>
      </c>
      <c r="C4108" s="9" t="s">
        <v>15</v>
      </c>
      <c r="D4108" s="10" t="s">
        <v>8978</v>
      </c>
      <c r="E4108" s="9" t="s">
        <v>17</v>
      </c>
      <c r="F4108" s="10">
        <v>30</v>
      </c>
      <c r="G4108" s="11">
        <v>8089665789</v>
      </c>
      <c r="H4108" s="10" t="s">
        <v>8979</v>
      </c>
      <c r="I4108" s="10" t="s">
        <v>27</v>
      </c>
      <c r="J4108" s="10" t="s">
        <v>42</v>
      </c>
      <c r="K4108" s="12">
        <v>46021</v>
      </c>
      <c r="L4108" s="28" t="s">
        <v>11</v>
      </c>
      <c r="M4108" s="14"/>
      <c r="N4108" s="10" t="s">
        <v>1096</v>
      </c>
    </row>
    <row r="4109" spans="1:14" ht="22.5" customHeight="1">
      <c r="A4109" s="8">
        <v>46021.922540439817</v>
      </c>
      <c r="B4109" s="9" t="s">
        <v>14</v>
      </c>
      <c r="C4109" s="9" t="s">
        <v>15</v>
      </c>
      <c r="D4109" s="10" t="s">
        <v>8980</v>
      </c>
      <c r="E4109" s="9" t="s">
        <v>17</v>
      </c>
      <c r="F4109" s="10">
        <v>22</v>
      </c>
      <c r="G4109" s="11">
        <v>8032746078</v>
      </c>
      <c r="H4109" s="10" t="s">
        <v>8981</v>
      </c>
      <c r="I4109" s="10" t="s">
        <v>49</v>
      </c>
      <c r="J4109" s="10" t="s">
        <v>50</v>
      </c>
      <c r="K4109" s="12">
        <v>46021</v>
      </c>
      <c r="L4109" s="28" t="s">
        <v>11</v>
      </c>
      <c r="M4109" s="14"/>
      <c r="N4109" s="10" t="s">
        <v>1028</v>
      </c>
    </row>
    <row r="4110" spans="1:14" ht="22.5" customHeight="1">
      <c r="A4110" s="8">
        <v>46021.923063310183</v>
      </c>
      <c r="B4110" s="9" t="s">
        <v>14</v>
      </c>
      <c r="C4110" s="9" t="s">
        <v>15</v>
      </c>
      <c r="D4110" s="10" t="s">
        <v>8982</v>
      </c>
      <c r="E4110" s="9" t="s">
        <v>22</v>
      </c>
      <c r="F4110" s="10">
        <v>32</v>
      </c>
      <c r="G4110" s="11">
        <v>9061419333</v>
      </c>
      <c r="H4110" s="10" t="s">
        <v>8983</v>
      </c>
      <c r="I4110" s="10" t="s">
        <v>27</v>
      </c>
      <c r="J4110" s="10" t="s">
        <v>8984</v>
      </c>
      <c r="K4110" s="12">
        <v>46021</v>
      </c>
      <c r="L4110" s="28" t="s">
        <v>11</v>
      </c>
      <c r="M4110" s="14"/>
      <c r="N4110" s="10" t="s">
        <v>1028</v>
      </c>
    </row>
    <row r="4111" spans="1:14" ht="22.5" customHeight="1">
      <c r="A4111" s="8">
        <v>46021.924689409723</v>
      </c>
      <c r="B4111" s="9" t="s">
        <v>14</v>
      </c>
      <c r="C4111" s="9" t="s">
        <v>15</v>
      </c>
      <c r="D4111" s="10" t="s">
        <v>8985</v>
      </c>
      <c r="E4111" s="9" t="s">
        <v>17</v>
      </c>
      <c r="F4111" s="10">
        <v>27</v>
      </c>
      <c r="G4111" s="11">
        <v>7018483819</v>
      </c>
      <c r="H4111" s="10" t="s">
        <v>8986</v>
      </c>
      <c r="I4111" s="10" t="s">
        <v>49</v>
      </c>
      <c r="J4111" s="10" t="s">
        <v>8987</v>
      </c>
      <c r="K4111" s="12">
        <v>46021</v>
      </c>
      <c r="L4111" s="28" t="s">
        <v>11</v>
      </c>
      <c r="M4111" s="14"/>
      <c r="N4111" s="10" t="s">
        <v>1028</v>
      </c>
    </row>
    <row r="4112" spans="1:14" ht="22.5" customHeight="1">
      <c r="A4112" s="8">
        <v>46021.925868495367</v>
      </c>
      <c r="B4112" s="9" t="s">
        <v>14</v>
      </c>
      <c r="C4112" s="9" t="s">
        <v>15</v>
      </c>
      <c r="D4112" s="10" t="s">
        <v>8988</v>
      </c>
      <c r="E4112" s="9" t="s">
        <v>17</v>
      </c>
      <c r="F4112" s="10">
        <v>33</v>
      </c>
      <c r="G4112" s="11">
        <v>9071715696</v>
      </c>
      <c r="H4112" s="10" t="s">
        <v>8989</v>
      </c>
      <c r="I4112" s="10" t="s">
        <v>27</v>
      </c>
      <c r="J4112" s="10" t="s">
        <v>172</v>
      </c>
      <c r="K4112" s="12">
        <v>46021</v>
      </c>
      <c r="L4112" s="28" t="s">
        <v>11</v>
      </c>
      <c r="M4112" s="14"/>
      <c r="N4112" s="10" t="s">
        <v>1028</v>
      </c>
    </row>
    <row r="4113" spans="1:14" ht="22.5" customHeight="1">
      <c r="A4113" s="8">
        <v>46021.92959777778</v>
      </c>
      <c r="B4113" s="9" t="s">
        <v>14</v>
      </c>
      <c r="C4113" s="9" t="s">
        <v>15</v>
      </c>
      <c r="D4113" s="10" t="s">
        <v>8990</v>
      </c>
      <c r="E4113" s="9" t="s">
        <v>17</v>
      </c>
      <c r="F4113" s="10">
        <v>30</v>
      </c>
      <c r="G4113" s="11">
        <v>8057060104</v>
      </c>
      <c r="H4113" s="10" t="s">
        <v>8991</v>
      </c>
      <c r="I4113" s="10" t="s">
        <v>49</v>
      </c>
      <c r="J4113" s="10" t="s">
        <v>1178</v>
      </c>
      <c r="K4113" s="12">
        <v>46021</v>
      </c>
      <c r="L4113" s="28" t="s">
        <v>11</v>
      </c>
      <c r="M4113" s="14"/>
      <c r="N4113" s="10" t="s">
        <v>1028</v>
      </c>
    </row>
    <row r="4114" spans="1:14" ht="22.5" customHeight="1">
      <c r="A4114" s="8">
        <v>46021.934016712963</v>
      </c>
      <c r="B4114" s="9" t="s">
        <v>14</v>
      </c>
      <c r="C4114" s="9" t="s">
        <v>15</v>
      </c>
      <c r="D4114" s="10" t="s">
        <v>8992</v>
      </c>
      <c r="E4114" s="9" t="s">
        <v>17</v>
      </c>
      <c r="F4114" s="10">
        <v>35</v>
      </c>
      <c r="G4114" s="11">
        <v>8069445557</v>
      </c>
      <c r="H4114" s="10" t="s">
        <v>8993</v>
      </c>
      <c r="I4114" s="10" t="s">
        <v>27</v>
      </c>
      <c r="J4114" s="10" t="s">
        <v>27</v>
      </c>
      <c r="K4114" s="12">
        <v>46021</v>
      </c>
      <c r="L4114" s="28" t="s">
        <v>11</v>
      </c>
      <c r="M4114" s="14"/>
      <c r="N4114" s="10" t="s">
        <v>1096</v>
      </c>
    </row>
    <row r="4115" spans="1:14" ht="22.5" customHeight="1">
      <c r="A4115" s="8">
        <v>46021.934194085647</v>
      </c>
      <c r="B4115" s="9" t="s">
        <v>14</v>
      </c>
      <c r="C4115" s="9" t="s">
        <v>15</v>
      </c>
      <c r="D4115" s="10" t="s">
        <v>8994</v>
      </c>
      <c r="E4115" s="9" t="s">
        <v>17</v>
      </c>
      <c r="F4115" s="10">
        <v>30</v>
      </c>
      <c r="G4115" s="11">
        <v>8124516755</v>
      </c>
      <c r="H4115" s="10" t="s">
        <v>8995</v>
      </c>
      <c r="I4115" s="10" t="s">
        <v>27</v>
      </c>
      <c r="J4115" s="10" t="s">
        <v>1559</v>
      </c>
      <c r="K4115" s="12">
        <v>46021</v>
      </c>
      <c r="L4115" s="28" t="s">
        <v>11</v>
      </c>
      <c r="M4115" s="14"/>
      <c r="N4115" s="10" t="s">
        <v>1028</v>
      </c>
    </row>
    <row r="4116" spans="1:14" ht="22.5" customHeight="1">
      <c r="A4116" s="8">
        <v>46021.934963865744</v>
      </c>
      <c r="B4116" s="9" t="s">
        <v>14</v>
      </c>
      <c r="C4116" s="9" t="s">
        <v>15</v>
      </c>
      <c r="D4116" s="10" t="s">
        <v>8996</v>
      </c>
      <c r="E4116" s="9" t="s">
        <v>17</v>
      </c>
      <c r="F4116" s="10">
        <v>27</v>
      </c>
      <c r="G4116" s="11">
        <v>7062525311</v>
      </c>
      <c r="H4116" s="10" t="s">
        <v>8997</v>
      </c>
      <c r="I4116" s="10" t="s">
        <v>27</v>
      </c>
      <c r="J4116" s="10" t="s">
        <v>28</v>
      </c>
      <c r="K4116" s="12">
        <v>46021</v>
      </c>
      <c r="L4116" s="28" t="s">
        <v>11</v>
      </c>
      <c r="M4116" s="14"/>
      <c r="N4116" s="10" t="s">
        <v>1028</v>
      </c>
    </row>
    <row r="4117" spans="1:14" ht="22.5" customHeight="1">
      <c r="A4117" s="8">
        <v>46021.938222372686</v>
      </c>
      <c r="B4117" s="9" t="s">
        <v>14</v>
      </c>
      <c r="C4117" s="9" t="s">
        <v>15</v>
      </c>
      <c r="D4117" s="10" t="s">
        <v>8998</v>
      </c>
      <c r="E4117" s="9" t="s">
        <v>17</v>
      </c>
      <c r="F4117" s="10">
        <v>28</v>
      </c>
      <c r="G4117" s="11">
        <v>9063490397</v>
      </c>
      <c r="H4117" s="10" t="s">
        <v>8999</v>
      </c>
      <c r="I4117" s="10" t="s">
        <v>27</v>
      </c>
      <c r="J4117" s="10" t="s">
        <v>1456</v>
      </c>
      <c r="K4117" s="12">
        <v>46021</v>
      </c>
      <c r="L4117" s="28" t="s">
        <v>11</v>
      </c>
      <c r="M4117" s="14"/>
      <c r="N4117" s="10" t="s">
        <v>1028</v>
      </c>
    </row>
    <row r="4118" spans="1:14" ht="22.5" customHeight="1">
      <c r="A4118" s="8">
        <v>46021.944358935187</v>
      </c>
      <c r="B4118" s="9" t="s">
        <v>14</v>
      </c>
      <c r="C4118" s="9" t="s">
        <v>15</v>
      </c>
      <c r="D4118" s="10" t="s">
        <v>9000</v>
      </c>
      <c r="E4118" s="9" t="s">
        <v>22</v>
      </c>
      <c r="F4118" s="10">
        <v>26</v>
      </c>
      <c r="G4118" s="11">
        <v>8132447277</v>
      </c>
      <c r="H4118" s="10" t="s">
        <v>9001</v>
      </c>
      <c r="I4118" s="10" t="s">
        <v>27</v>
      </c>
      <c r="J4118" s="10" t="s">
        <v>1559</v>
      </c>
      <c r="K4118" s="12">
        <v>46021</v>
      </c>
      <c r="L4118" s="28" t="s">
        <v>11</v>
      </c>
      <c r="M4118" s="14"/>
      <c r="N4118" s="10" t="s">
        <v>1028</v>
      </c>
    </row>
    <row r="4119" spans="1:14" ht="22.5" customHeight="1">
      <c r="A4119" s="8">
        <v>46021.944778171295</v>
      </c>
      <c r="B4119" s="9" t="s">
        <v>14</v>
      </c>
      <c r="C4119" s="9" t="s">
        <v>15</v>
      </c>
      <c r="D4119" s="10" t="s">
        <v>9002</v>
      </c>
      <c r="E4119" s="9" t="s">
        <v>22</v>
      </c>
      <c r="F4119" s="10">
        <v>29</v>
      </c>
      <c r="G4119" s="11">
        <v>8064224193</v>
      </c>
      <c r="H4119" s="10" t="s">
        <v>9003</v>
      </c>
      <c r="I4119" s="10" t="s">
        <v>27</v>
      </c>
      <c r="J4119" s="10" t="s">
        <v>372</v>
      </c>
      <c r="K4119" s="12">
        <v>46021</v>
      </c>
      <c r="L4119" s="28" t="s">
        <v>11</v>
      </c>
      <c r="M4119" s="14"/>
      <c r="N4119" s="10" t="s">
        <v>1028</v>
      </c>
    </row>
    <row r="4120" spans="1:14" ht="22.5" customHeight="1">
      <c r="A4120" s="8">
        <v>46021.94834224537</v>
      </c>
      <c r="B4120" s="9" t="s">
        <v>14</v>
      </c>
      <c r="C4120" s="9" t="s">
        <v>15</v>
      </c>
      <c r="D4120" s="10" t="s">
        <v>9004</v>
      </c>
      <c r="E4120" s="9" t="s">
        <v>17</v>
      </c>
      <c r="F4120" s="10">
        <v>35</v>
      </c>
      <c r="G4120" s="11">
        <v>8038859018</v>
      </c>
      <c r="H4120" s="10" t="s">
        <v>9005</v>
      </c>
      <c r="I4120" s="10" t="s">
        <v>27</v>
      </c>
      <c r="J4120" s="10" t="s">
        <v>3101</v>
      </c>
      <c r="K4120" s="12">
        <v>46021</v>
      </c>
      <c r="L4120" s="28" t="s">
        <v>11</v>
      </c>
      <c r="M4120" s="14"/>
      <c r="N4120" s="10" t="s">
        <v>1028</v>
      </c>
    </row>
    <row r="4121" spans="1:14" ht="22.5" customHeight="1">
      <c r="A4121" s="8">
        <v>46021.949233506944</v>
      </c>
      <c r="B4121" s="9" t="s">
        <v>14</v>
      </c>
      <c r="C4121" s="9" t="s">
        <v>15</v>
      </c>
      <c r="D4121" s="10" t="s">
        <v>9006</v>
      </c>
      <c r="E4121" s="9" t="s">
        <v>17</v>
      </c>
      <c r="F4121" s="10">
        <v>30</v>
      </c>
      <c r="G4121" s="11">
        <v>7069435904</v>
      </c>
      <c r="H4121" s="10" t="s">
        <v>9007</v>
      </c>
      <c r="I4121" s="10" t="s">
        <v>27</v>
      </c>
      <c r="J4121" s="10" t="s">
        <v>42</v>
      </c>
      <c r="K4121" s="12">
        <v>34978</v>
      </c>
      <c r="L4121" s="28" t="s">
        <v>11</v>
      </c>
      <c r="M4121" s="14"/>
      <c r="N4121" s="10" t="s">
        <v>1028</v>
      </c>
    </row>
    <row r="4122" spans="1:14" ht="22.5" hidden="1" customHeight="1">
      <c r="A4122" s="8">
        <v>46021.95091266204</v>
      </c>
      <c r="B4122" s="9" t="s">
        <v>14</v>
      </c>
      <c r="C4122" s="9" t="s">
        <v>15</v>
      </c>
      <c r="D4122" s="10" t="s">
        <v>9008</v>
      </c>
      <c r="E4122" s="9" t="s">
        <v>17</v>
      </c>
      <c r="F4122" s="10">
        <v>27</v>
      </c>
      <c r="G4122" s="11">
        <v>7013856774</v>
      </c>
      <c r="H4122" s="10" t="s">
        <v>9009</v>
      </c>
      <c r="I4122" s="10" t="s">
        <v>27</v>
      </c>
      <c r="J4122" s="10" t="s">
        <v>9010</v>
      </c>
      <c r="K4122" s="12">
        <v>36130</v>
      </c>
      <c r="L4122" s="10" t="s">
        <v>441</v>
      </c>
      <c r="M4122" s="10" t="s">
        <v>2051</v>
      </c>
      <c r="N4122" s="10" t="s">
        <v>2118</v>
      </c>
    </row>
    <row r="4123" spans="1:14" ht="22.5" customHeight="1">
      <c r="A4123" s="8">
        <v>46021.950989236109</v>
      </c>
      <c r="B4123" s="9" t="s">
        <v>14</v>
      </c>
      <c r="C4123" s="9" t="s">
        <v>15</v>
      </c>
      <c r="D4123" s="10" t="s">
        <v>9011</v>
      </c>
      <c r="E4123" s="9" t="s">
        <v>17</v>
      </c>
      <c r="F4123" s="10">
        <v>35</v>
      </c>
      <c r="G4123" s="11">
        <v>7034336613</v>
      </c>
      <c r="H4123" s="10" t="s">
        <v>9012</v>
      </c>
      <c r="I4123" s="10" t="s">
        <v>27</v>
      </c>
      <c r="J4123" s="10" t="s">
        <v>1456</v>
      </c>
      <c r="K4123" s="12">
        <v>46021</v>
      </c>
      <c r="L4123" s="28" t="s">
        <v>11</v>
      </c>
      <c r="M4123" s="14"/>
      <c r="N4123" s="10" t="s">
        <v>1028</v>
      </c>
    </row>
    <row r="4124" spans="1:14" ht="22.5" customHeight="1">
      <c r="A4124" s="8">
        <v>46021.951094710646</v>
      </c>
      <c r="B4124" s="9" t="s">
        <v>14</v>
      </c>
      <c r="C4124" s="9" t="s">
        <v>15</v>
      </c>
      <c r="D4124" s="10" t="s">
        <v>9013</v>
      </c>
      <c r="E4124" s="9" t="s">
        <v>17</v>
      </c>
      <c r="F4124" s="10">
        <v>25</v>
      </c>
      <c r="G4124" s="11">
        <v>7032908319</v>
      </c>
      <c r="H4124" s="10" t="s">
        <v>9014</v>
      </c>
      <c r="I4124" s="10" t="s">
        <v>27</v>
      </c>
      <c r="J4124" s="10" t="s">
        <v>70</v>
      </c>
      <c r="K4124" s="12">
        <v>46021</v>
      </c>
      <c r="L4124" s="28" t="s">
        <v>11</v>
      </c>
      <c r="M4124" s="14"/>
      <c r="N4124" s="10" t="s">
        <v>1028</v>
      </c>
    </row>
    <row r="4125" spans="1:14" ht="22.5" customHeight="1">
      <c r="A4125" s="8">
        <v>46021.952866817126</v>
      </c>
      <c r="B4125" s="9" t="s">
        <v>14</v>
      </c>
      <c r="C4125" s="9" t="s">
        <v>15</v>
      </c>
      <c r="D4125" s="10" t="s">
        <v>9015</v>
      </c>
      <c r="E4125" s="9" t="s">
        <v>17</v>
      </c>
      <c r="F4125" s="10">
        <v>25</v>
      </c>
      <c r="G4125" s="11">
        <v>8052100201</v>
      </c>
      <c r="H4125" s="10" t="s">
        <v>9016</v>
      </c>
      <c r="I4125" s="10" t="s">
        <v>27</v>
      </c>
      <c r="J4125" s="10" t="s">
        <v>9017</v>
      </c>
      <c r="K4125" s="12">
        <v>46021</v>
      </c>
      <c r="L4125" s="28" t="s">
        <v>11</v>
      </c>
      <c r="M4125" s="14"/>
      <c r="N4125" s="10" t="s">
        <v>1028</v>
      </c>
    </row>
    <row r="4126" spans="1:14" ht="22.5" hidden="1" customHeight="1">
      <c r="A4126" s="8">
        <v>46021.953640428241</v>
      </c>
      <c r="B4126" s="9" t="s">
        <v>14</v>
      </c>
      <c r="C4126" s="9" t="s">
        <v>15</v>
      </c>
      <c r="D4126" s="10" t="s">
        <v>9018</v>
      </c>
      <c r="E4126" s="9" t="s">
        <v>17</v>
      </c>
      <c r="F4126" s="18">
        <v>1</v>
      </c>
      <c r="G4126" s="11">
        <v>8165458174</v>
      </c>
      <c r="H4126" s="10" t="s">
        <v>9019</v>
      </c>
      <c r="I4126" s="10" t="s">
        <v>27</v>
      </c>
      <c r="J4126" s="10" t="s">
        <v>9020</v>
      </c>
      <c r="K4126" s="12">
        <v>36312</v>
      </c>
      <c r="L4126" s="10" t="s">
        <v>441</v>
      </c>
      <c r="M4126" s="14"/>
      <c r="N4126" s="10" t="s">
        <v>7233</v>
      </c>
    </row>
    <row r="4127" spans="1:14" ht="22.5" customHeight="1">
      <c r="A4127" s="8">
        <v>46021.954640023148</v>
      </c>
      <c r="B4127" s="9" t="s">
        <v>14</v>
      </c>
      <c r="C4127" s="9" t="s">
        <v>15</v>
      </c>
      <c r="D4127" s="10" t="s">
        <v>9021</v>
      </c>
      <c r="E4127" s="9" t="s">
        <v>17</v>
      </c>
      <c r="F4127" s="10">
        <v>37</v>
      </c>
      <c r="G4127" s="11">
        <v>7038666690</v>
      </c>
      <c r="H4127" s="10" t="s">
        <v>9022</v>
      </c>
      <c r="I4127" s="10" t="s">
        <v>45</v>
      </c>
      <c r="J4127" s="10" t="s">
        <v>2331</v>
      </c>
      <c r="K4127" s="12">
        <v>46021</v>
      </c>
      <c r="L4127" s="28" t="s">
        <v>11</v>
      </c>
      <c r="M4127" s="14"/>
      <c r="N4127" s="10" t="s">
        <v>1028</v>
      </c>
    </row>
    <row r="4128" spans="1:14" ht="22.5" customHeight="1">
      <c r="A4128" s="8">
        <v>46021.955228576393</v>
      </c>
      <c r="B4128" s="9" t="s">
        <v>14</v>
      </c>
      <c r="C4128" s="9" t="s">
        <v>15</v>
      </c>
      <c r="D4128" s="10" t="s">
        <v>9023</v>
      </c>
      <c r="E4128" s="9" t="s">
        <v>22</v>
      </c>
      <c r="F4128" s="10">
        <v>26</v>
      </c>
      <c r="G4128" s="11">
        <v>8032524673</v>
      </c>
      <c r="H4128" s="10" t="s">
        <v>9024</v>
      </c>
      <c r="I4128" s="10" t="s">
        <v>27</v>
      </c>
      <c r="J4128" s="10" t="s">
        <v>2836</v>
      </c>
      <c r="K4128" s="12">
        <v>46021</v>
      </c>
      <c r="L4128" s="28" t="s">
        <v>11</v>
      </c>
      <c r="M4128" s="10"/>
      <c r="N4128" s="10" t="s">
        <v>1028</v>
      </c>
    </row>
    <row r="4129" spans="1:14" ht="22.5" customHeight="1">
      <c r="A4129" s="8">
        <v>46021.955629386575</v>
      </c>
      <c r="B4129" s="9" t="s">
        <v>14</v>
      </c>
      <c r="C4129" s="9" t="s">
        <v>15</v>
      </c>
      <c r="D4129" s="10" t="s">
        <v>9025</v>
      </c>
      <c r="E4129" s="9" t="s">
        <v>17</v>
      </c>
      <c r="F4129" s="10">
        <v>23</v>
      </c>
      <c r="G4129" s="11">
        <v>8169583210</v>
      </c>
      <c r="H4129" s="10" t="s">
        <v>9026</v>
      </c>
      <c r="I4129" s="10" t="s">
        <v>27</v>
      </c>
      <c r="J4129" s="10" t="s">
        <v>172</v>
      </c>
      <c r="K4129" s="12">
        <v>46021</v>
      </c>
      <c r="L4129" s="28" t="s">
        <v>11</v>
      </c>
      <c r="M4129" s="14"/>
      <c r="N4129" s="10" t="s">
        <v>1096</v>
      </c>
    </row>
    <row r="4130" spans="1:14" ht="22.5" customHeight="1">
      <c r="A4130" s="8">
        <v>46021.957039560184</v>
      </c>
      <c r="B4130" s="9" t="s">
        <v>14</v>
      </c>
      <c r="C4130" s="9" t="s">
        <v>15</v>
      </c>
      <c r="D4130" s="10" t="s">
        <v>9027</v>
      </c>
      <c r="E4130" s="9" t="s">
        <v>17</v>
      </c>
      <c r="F4130" s="10">
        <v>29</v>
      </c>
      <c r="G4130" s="11">
        <v>9030906803</v>
      </c>
      <c r="H4130" s="10" t="s">
        <v>9028</v>
      </c>
      <c r="I4130" s="10" t="s">
        <v>27</v>
      </c>
      <c r="J4130" s="10" t="s">
        <v>70</v>
      </c>
      <c r="K4130" s="12">
        <v>46021</v>
      </c>
      <c r="L4130" s="28" t="s">
        <v>11</v>
      </c>
      <c r="M4130" s="14"/>
      <c r="N4130" s="10" t="s">
        <v>1563</v>
      </c>
    </row>
    <row r="4131" spans="1:14" ht="22.5" customHeight="1">
      <c r="A4131" s="8">
        <v>46021.95800579861</v>
      </c>
      <c r="B4131" s="9" t="s">
        <v>14</v>
      </c>
      <c r="C4131" s="9" t="s">
        <v>15</v>
      </c>
      <c r="D4131" s="10" t="s">
        <v>9029</v>
      </c>
      <c r="E4131" s="9" t="s">
        <v>17</v>
      </c>
      <c r="F4131" s="10">
        <v>24</v>
      </c>
      <c r="G4131" s="11">
        <v>545342396</v>
      </c>
      <c r="H4131" s="10" t="s">
        <v>9030</v>
      </c>
      <c r="I4131" s="10" t="s">
        <v>19</v>
      </c>
      <c r="J4131" s="10" t="s">
        <v>9031</v>
      </c>
      <c r="K4131" s="12">
        <v>46021</v>
      </c>
      <c r="L4131" s="28" t="s">
        <v>11</v>
      </c>
      <c r="M4131" s="14"/>
      <c r="N4131" s="10" t="s">
        <v>9032</v>
      </c>
    </row>
    <row r="4132" spans="1:14" ht="22.5" customHeight="1">
      <c r="A4132" s="8">
        <v>46021.958289965274</v>
      </c>
      <c r="B4132" s="9" t="s">
        <v>14</v>
      </c>
      <c r="C4132" s="9" t="s">
        <v>15</v>
      </c>
      <c r="D4132" s="10" t="s">
        <v>9033</v>
      </c>
      <c r="E4132" s="9" t="s">
        <v>22</v>
      </c>
      <c r="F4132" s="10">
        <v>28</v>
      </c>
      <c r="G4132" s="11">
        <v>7044582090</v>
      </c>
      <c r="H4132" s="10" t="s">
        <v>9034</v>
      </c>
      <c r="I4132" s="10" t="s">
        <v>202</v>
      </c>
      <c r="J4132" s="10" t="s">
        <v>9035</v>
      </c>
      <c r="K4132" s="12">
        <v>46021</v>
      </c>
      <c r="L4132" s="28" t="s">
        <v>11</v>
      </c>
      <c r="M4132" s="10"/>
      <c r="N4132" s="10" t="s">
        <v>1028</v>
      </c>
    </row>
    <row r="4133" spans="1:14" ht="22.5" customHeight="1">
      <c r="A4133" s="8">
        <v>46021.958710462961</v>
      </c>
      <c r="B4133" s="9" t="s">
        <v>14</v>
      </c>
      <c r="C4133" s="9" t="s">
        <v>15</v>
      </c>
      <c r="D4133" s="10" t="s">
        <v>9036</v>
      </c>
      <c r="E4133" s="9" t="s">
        <v>17</v>
      </c>
      <c r="F4133" s="19">
        <v>20</v>
      </c>
      <c r="G4133" s="11">
        <v>9163224996</v>
      </c>
      <c r="H4133" s="10" t="s">
        <v>9037</v>
      </c>
      <c r="I4133" s="10" t="s">
        <v>27</v>
      </c>
      <c r="J4133" s="10" t="s">
        <v>8877</v>
      </c>
      <c r="K4133" s="12">
        <v>46021</v>
      </c>
      <c r="L4133" s="28" t="s">
        <v>11</v>
      </c>
      <c r="M4133" s="10"/>
      <c r="N4133" s="10" t="s">
        <v>9038</v>
      </c>
    </row>
    <row r="4134" spans="1:14" ht="22.5" customHeight="1">
      <c r="A4134" s="8">
        <v>46021.960096111114</v>
      </c>
      <c r="B4134" s="9" t="s">
        <v>14</v>
      </c>
      <c r="C4134" s="9" t="s">
        <v>15</v>
      </c>
      <c r="D4134" s="10" t="s">
        <v>9039</v>
      </c>
      <c r="E4134" s="9" t="s">
        <v>17</v>
      </c>
      <c r="F4134" s="10">
        <v>22</v>
      </c>
      <c r="G4134" s="11">
        <v>9068790482</v>
      </c>
      <c r="H4134" s="10" t="s">
        <v>9040</v>
      </c>
      <c r="I4134" s="10" t="s">
        <v>27</v>
      </c>
      <c r="J4134" s="10" t="s">
        <v>1456</v>
      </c>
      <c r="K4134" s="12">
        <v>46021</v>
      </c>
      <c r="L4134" s="28" t="s">
        <v>11</v>
      </c>
      <c r="M4134" s="14"/>
      <c r="N4134" s="10" t="s">
        <v>1028</v>
      </c>
    </row>
    <row r="4135" spans="1:14" ht="22.5" hidden="1" customHeight="1">
      <c r="A4135" s="8">
        <v>46021.96213832176</v>
      </c>
      <c r="B4135" s="9" t="s">
        <v>14</v>
      </c>
      <c r="C4135" s="9" t="s">
        <v>15</v>
      </c>
      <c r="D4135" s="10" t="s">
        <v>9041</v>
      </c>
      <c r="E4135" s="9" t="s">
        <v>17</v>
      </c>
      <c r="F4135" s="10">
        <v>28</v>
      </c>
      <c r="G4135" s="11">
        <v>8149838886</v>
      </c>
      <c r="H4135" s="10" t="s">
        <v>9042</v>
      </c>
      <c r="I4135" s="10" t="s">
        <v>27</v>
      </c>
      <c r="J4135" s="10" t="s">
        <v>2031</v>
      </c>
      <c r="K4135" s="12">
        <v>46021</v>
      </c>
      <c r="L4135" s="10" t="s">
        <v>441</v>
      </c>
      <c r="M4135" s="10" t="s">
        <v>1361</v>
      </c>
      <c r="N4135" s="10" t="s">
        <v>1096</v>
      </c>
    </row>
    <row r="4136" spans="1:14" ht="22.5" customHeight="1">
      <c r="A4136" s="8">
        <v>46021.962659629629</v>
      </c>
      <c r="B4136" s="9" t="s">
        <v>14</v>
      </c>
      <c r="C4136" s="9" t="s">
        <v>15</v>
      </c>
      <c r="D4136" s="10" t="s">
        <v>9043</v>
      </c>
      <c r="E4136" s="9" t="s">
        <v>22</v>
      </c>
      <c r="F4136" s="10">
        <v>25</v>
      </c>
      <c r="G4136" s="11">
        <v>8107237834</v>
      </c>
      <c r="H4136" s="10" t="s">
        <v>9044</v>
      </c>
      <c r="I4136" s="10" t="s">
        <v>27</v>
      </c>
      <c r="J4136" s="10" t="s">
        <v>9045</v>
      </c>
      <c r="K4136" s="12">
        <v>46021</v>
      </c>
      <c r="L4136" s="28" t="s">
        <v>11</v>
      </c>
      <c r="M4136" s="14"/>
      <c r="N4136" s="10" t="s">
        <v>1028</v>
      </c>
    </row>
    <row r="4137" spans="1:14" ht="22.5" customHeight="1">
      <c r="A4137" s="8">
        <v>46021.964220266207</v>
      </c>
      <c r="B4137" s="9" t="s">
        <v>14</v>
      </c>
      <c r="C4137" s="9" t="s">
        <v>15</v>
      </c>
      <c r="D4137" s="10" t="s">
        <v>9046</v>
      </c>
      <c r="E4137" s="9" t="s">
        <v>17</v>
      </c>
      <c r="F4137" s="10">
        <v>33</v>
      </c>
      <c r="G4137" s="11">
        <v>8103313028</v>
      </c>
      <c r="H4137" s="10" t="s">
        <v>9047</v>
      </c>
      <c r="I4137" s="10" t="s">
        <v>45</v>
      </c>
      <c r="J4137" s="10" t="s">
        <v>5955</v>
      </c>
      <c r="K4137" s="12">
        <v>46021</v>
      </c>
      <c r="L4137" s="28" t="s">
        <v>11</v>
      </c>
      <c r="M4137" s="14"/>
      <c r="N4137" s="10" t="s">
        <v>1028</v>
      </c>
    </row>
    <row r="4138" spans="1:14" ht="22.5" customHeight="1">
      <c r="A4138" s="8">
        <v>46021.966072766205</v>
      </c>
      <c r="B4138" s="9" t="s">
        <v>14</v>
      </c>
      <c r="C4138" s="9" t="s">
        <v>15</v>
      </c>
      <c r="D4138" s="10" t="s">
        <v>9048</v>
      </c>
      <c r="E4138" s="9" t="s">
        <v>17</v>
      </c>
      <c r="F4138" s="10">
        <v>33</v>
      </c>
      <c r="G4138" s="11">
        <v>8067453694</v>
      </c>
      <c r="H4138" s="10" t="s">
        <v>9049</v>
      </c>
      <c r="I4138" s="10" t="s">
        <v>27</v>
      </c>
      <c r="J4138" s="10" t="s">
        <v>3992</v>
      </c>
      <c r="K4138" s="12">
        <v>46021</v>
      </c>
      <c r="L4138" s="28" t="s">
        <v>11</v>
      </c>
      <c r="M4138" s="14"/>
      <c r="N4138" s="10" t="s">
        <v>1028</v>
      </c>
    </row>
    <row r="4139" spans="1:14" ht="22.5" customHeight="1">
      <c r="A4139" s="8">
        <v>46021.966612175922</v>
      </c>
      <c r="B4139" s="9" t="s">
        <v>14</v>
      </c>
      <c r="C4139" s="9" t="s">
        <v>15</v>
      </c>
      <c r="D4139" s="10" t="s">
        <v>1705</v>
      </c>
      <c r="E4139" s="9" t="s">
        <v>17</v>
      </c>
      <c r="F4139" s="10">
        <v>25</v>
      </c>
      <c r="G4139" s="11">
        <v>8104711523</v>
      </c>
      <c r="H4139" s="10" t="s">
        <v>9050</v>
      </c>
      <c r="I4139" s="10" t="s">
        <v>27</v>
      </c>
      <c r="J4139" s="10" t="s">
        <v>1559</v>
      </c>
      <c r="K4139" s="12">
        <v>46021</v>
      </c>
      <c r="L4139" s="28" t="s">
        <v>11</v>
      </c>
      <c r="M4139" s="14"/>
      <c r="N4139" s="10" t="s">
        <v>1096</v>
      </c>
    </row>
    <row r="4140" spans="1:14" ht="22.5" customHeight="1">
      <c r="A4140" s="8">
        <v>46021.966977777774</v>
      </c>
      <c r="B4140" s="9" t="s">
        <v>14</v>
      </c>
      <c r="C4140" s="9" t="s">
        <v>15</v>
      </c>
      <c r="D4140" s="10" t="s">
        <v>9051</v>
      </c>
      <c r="E4140" s="9" t="s">
        <v>17</v>
      </c>
      <c r="F4140" s="10">
        <v>25</v>
      </c>
      <c r="G4140" s="11">
        <v>7045507147</v>
      </c>
      <c r="H4140" s="10" t="s">
        <v>9052</v>
      </c>
      <c r="I4140" s="10" t="s">
        <v>27</v>
      </c>
      <c r="J4140" s="10" t="s">
        <v>172</v>
      </c>
      <c r="K4140" s="12">
        <v>46021</v>
      </c>
      <c r="L4140" s="28" t="s">
        <v>11</v>
      </c>
      <c r="M4140" s="14"/>
      <c r="N4140" s="10" t="s">
        <v>1028</v>
      </c>
    </row>
    <row r="4141" spans="1:14" ht="22.5" customHeight="1">
      <c r="A4141" s="8">
        <v>46021.969826354165</v>
      </c>
      <c r="B4141" s="9" t="s">
        <v>14</v>
      </c>
      <c r="C4141" s="9" t="s">
        <v>15</v>
      </c>
      <c r="D4141" s="10" t="s">
        <v>1713</v>
      </c>
      <c r="E4141" s="9" t="s">
        <v>17</v>
      </c>
      <c r="F4141" s="10">
        <v>28</v>
      </c>
      <c r="G4141" s="11">
        <v>9135485060</v>
      </c>
      <c r="H4141" s="10" t="s">
        <v>9053</v>
      </c>
      <c r="I4141" s="10" t="s">
        <v>27</v>
      </c>
      <c r="J4141" s="10" t="s">
        <v>2348</v>
      </c>
      <c r="K4141" s="12">
        <v>46021</v>
      </c>
      <c r="L4141" s="28" t="s">
        <v>11</v>
      </c>
      <c r="M4141" s="14"/>
      <c r="N4141" s="10" t="s">
        <v>1096</v>
      </c>
    </row>
    <row r="4142" spans="1:14" ht="22.5" customHeight="1">
      <c r="A4142" s="8">
        <v>46021.971809270835</v>
      </c>
      <c r="B4142" s="9" t="s">
        <v>14</v>
      </c>
      <c r="C4142" s="9" t="s">
        <v>15</v>
      </c>
      <c r="D4142" s="10" t="s">
        <v>9054</v>
      </c>
      <c r="E4142" s="9" t="s">
        <v>17</v>
      </c>
      <c r="F4142" s="10">
        <v>28</v>
      </c>
      <c r="G4142" s="11">
        <v>7068783228</v>
      </c>
      <c r="H4142" s="10" t="s">
        <v>9055</v>
      </c>
      <c r="I4142" s="10" t="s">
        <v>49</v>
      </c>
      <c r="J4142" s="10" t="s">
        <v>73</v>
      </c>
      <c r="K4142" s="12">
        <v>46021</v>
      </c>
      <c r="L4142" s="28" t="s">
        <v>11</v>
      </c>
      <c r="M4142" s="14"/>
      <c r="N4142" s="10" t="s">
        <v>1028</v>
      </c>
    </row>
    <row r="4143" spans="1:14" ht="22.5" customHeight="1">
      <c r="A4143" s="8">
        <v>46021.971841527775</v>
      </c>
      <c r="B4143" s="9" t="s">
        <v>14</v>
      </c>
      <c r="C4143" s="9" t="s">
        <v>15</v>
      </c>
      <c r="D4143" s="10" t="s">
        <v>9056</v>
      </c>
      <c r="E4143" s="9" t="s">
        <v>17</v>
      </c>
      <c r="F4143" s="10">
        <v>35</v>
      </c>
      <c r="G4143" s="11">
        <v>8037770941</v>
      </c>
      <c r="H4143" s="10" t="s">
        <v>9057</v>
      </c>
      <c r="I4143" s="10" t="s">
        <v>27</v>
      </c>
      <c r="J4143" s="10" t="s">
        <v>703</v>
      </c>
      <c r="K4143" s="12">
        <v>33155</v>
      </c>
      <c r="L4143" s="28" t="s">
        <v>11</v>
      </c>
      <c r="M4143" s="14"/>
      <c r="N4143" s="10" t="s">
        <v>1028</v>
      </c>
    </row>
    <row r="4144" spans="1:14" ht="22.5" customHeight="1">
      <c r="A4144" s="8">
        <v>46021.972255451386</v>
      </c>
      <c r="B4144" s="9" t="s">
        <v>14</v>
      </c>
      <c r="C4144" s="9" t="s">
        <v>15</v>
      </c>
      <c r="D4144" s="10" t="s">
        <v>9058</v>
      </c>
      <c r="E4144" s="9" t="s">
        <v>17</v>
      </c>
      <c r="F4144" s="10">
        <v>38</v>
      </c>
      <c r="G4144" s="11">
        <v>7038877528</v>
      </c>
      <c r="H4144" s="10" t="s">
        <v>9059</v>
      </c>
      <c r="I4144" s="10" t="s">
        <v>45</v>
      </c>
      <c r="J4144" s="10" t="s">
        <v>339</v>
      </c>
      <c r="K4144" s="12">
        <v>46021</v>
      </c>
      <c r="L4144" s="28" t="s">
        <v>11</v>
      </c>
      <c r="M4144" s="14"/>
      <c r="N4144" s="10" t="s">
        <v>1028</v>
      </c>
    </row>
    <row r="4145" spans="1:14" ht="22.5" customHeight="1">
      <c r="A4145" s="8">
        <v>46021.973763229165</v>
      </c>
      <c r="B4145" s="9" t="s">
        <v>14</v>
      </c>
      <c r="C4145" s="9" t="s">
        <v>15</v>
      </c>
      <c r="D4145" s="10" t="s">
        <v>9060</v>
      </c>
      <c r="E4145" s="9" t="s">
        <v>17</v>
      </c>
      <c r="F4145" s="10">
        <v>25</v>
      </c>
      <c r="G4145" s="11">
        <v>7039339265</v>
      </c>
      <c r="H4145" s="10" t="s">
        <v>9061</v>
      </c>
      <c r="I4145" s="10" t="s">
        <v>27</v>
      </c>
      <c r="J4145" s="10" t="s">
        <v>1456</v>
      </c>
      <c r="K4145" s="12">
        <v>46021</v>
      </c>
      <c r="L4145" s="28" t="s">
        <v>11</v>
      </c>
      <c r="M4145" s="14"/>
      <c r="N4145" s="10" t="s">
        <v>1028</v>
      </c>
    </row>
    <row r="4146" spans="1:14" ht="22.5" customHeight="1">
      <c r="A4146" s="8">
        <v>46021.976587407407</v>
      </c>
      <c r="B4146" s="9" t="s">
        <v>14</v>
      </c>
      <c r="C4146" s="9" t="s">
        <v>15</v>
      </c>
      <c r="D4146" s="10" t="s">
        <v>9062</v>
      </c>
      <c r="E4146" s="9" t="s">
        <v>17</v>
      </c>
      <c r="F4146" s="10">
        <v>28</v>
      </c>
      <c r="G4146" s="11">
        <v>8147468809</v>
      </c>
      <c r="H4146" s="10" t="s">
        <v>9063</v>
      </c>
      <c r="I4146" s="10" t="s">
        <v>27</v>
      </c>
      <c r="J4146" s="10" t="s">
        <v>1559</v>
      </c>
      <c r="K4146" s="12">
        <v>46021</v>
      </c>
      <c r="L4146" s="28" t="s">
        <v>11</v>
      </c>
      <c r="M4146" s="14"/>
      <c r="N4146" s="10" t="s">
        <v>1140</v>
      </c>
    </row>
    <row r="4147" spans="1:14" ht="22.5" customHeight="1">
      <c r="A4147" s="8">
        <v>46021.977799097222</v>
      </c>
      <c r="B4147" s="9" t="s">
        <v>14</v>
      </c>
      <c r="C4147" s="9" t="s">
        <v>15</v>
      </c>
      <c r="D4147" s="10" t="s">
        <v>9064</v>
      </c>
      <c r="E4147" s="9" t="s">
        <v>17</v>
      </c>
      <c r="F4147" s="10">
        <v>35</v>
      </c>
      <c r="G4147" s="11">
        <v>8038483278</v>
      </c>
      <c r="H4147" s="10" t="s">
        <v>9065</v>
      </c>
      <c r="I4147" s="10" t="s">
        <v>27</v>
      </c>
      <c r="J4147" s="10" t="s">
        <v>2426</v>
      </c>
      <c r="K4147" s="12">
        <v>46021</v>
      </c>
      <c r="L4147" s="28" t="s">
        <v>11</v>
      </c>
      <c r="M4147" s="14"/>
      <c r="N4147" s="10" t="s">
        <v>1028</v>
      </c>
    </row>
    <row r="4148" spans="1:14" ht="22.5" customHeight="1">
      <c r="A4148" s="8">
        <v>46021.979489895835</v>
      </c>
      <c r="B4148" s="9" t="s">
        <v>14</v>
      </c>
      <c r="C4148" s="9" t="s">
        <v>15</v>
      </c>
      <c r="D4148" s="10" t="s">
        <v>9066</v>
      </c>
      <c r="E4148" s="9" t="s">
        <v>17</v>
      </c>
      <c r="F4148" s="10">
        <v>26</v>
      </c>
      <c r="G4148" s="11">
        <v>9048443145</v>
      </c>
      <c r="H4148" s="10" t="s">
        <v>9067</v>
      </c>
      <c r="I4148" s="10" t="s">
        <v>49</v>
      </c>
      <c r="J4148" s="10" t="s">
        <v>606</v>
      </c>
      <c r="K4148" s="12">
        <v>46021</v>
      </c>
      <c r="L4148" s="28" t="s">
        <v>11</v>
      </c>
      <c r="M4148" s="14"/>
      <c r="N4148" s="10" t="s">
        <v>1028</v>
      </c>
    </row>
    <row r="4149" spans="1:14" ht="22.5" customHeight="1">
      <c r="A4149" s="8">
        <v>46021.980129479169</v>
      </c>
      <c r="B4149" s="9" t="s">
        <v>14</v>
      </c>
      <c r="C4149" s="9" t="s">
        <v>15</v>
      </c>
      <c r="D4149" s="10" t="s">
        <v>9068</v>
      </c>
      <c r="E4149" s="9" t="s">
        <v>17</v>
      </c>
      <c r="F4149" s="10">
        <v>33</v>
      </c>
      <c r="G4149" s="11">
        <v>8138636878</v>
      </c>
      <c r="H4149" s="10" t="s">
        <v>9069</v>
      </c>
      <c r="I4149" s="10" t="s">
        <v>27</v>
      </c>
      <c r="J4149" s="10" t="s">
        <v>9070</v>
      </c>
      <c r="K4149" s="12">
        <v>46021</v>
      </c>
      <c r="L4149" s="28" t="s">
        <v>11</v>
      </c>
      <c r="M4149" s="14"/>
      <c r="N4149" s="10" t="s">
        <v>1096</v>
      </c>
    </row>
    <row r="4150" spans="1:14" ht="22.5" customHeight="1">
      <c r="A4150" s="8">
        <v>46021.981996689814</v>
      </c>
      <c r="B4150" s="9" t="s">
        <v>14</v>
      </c>
      <c r="C4150" s="9" t="s">
        <v>15</v>
      </c>
      <c r="D4150" s="10" t="s">
        <v>8990</v>
      </c>
      <c r="E4150" s="9" t="s">
        <v>17</v>
      </c>
      <c r="F4150" s="10">
        <v>22</v>
      </c>
      <c r="G4150" s="11">
        <v>7035671856</v>
      </c>
      <c r="H4150" s="10" t="s">
        <v>9071</v>
      </c>
      <c r="I4150" s="10" t="s">
        <v>49</v>
      </c>
      <c r="J4150" s="10" t="s">
        <v>73</v>
      </c>
      <c r="K4150" s="12">
        <v>46021</v>
      </c>
      <c r="L4150" s="28" t="s">
        <v>11</v>
      </c>
      <c r="M4150" s="14"/>
      <c r="N4150" s="10" t="s">
        <v>1028</v>
      </c>
    </row>
    <row r="4151" spans="1:14" ht="22.5" customHeight="1">
      <c r="A4151" s="8">
        <v>46021.982242002312</v>
      </c>
      <c r="B4151" s="9" t="s">
        <v>14</v>
      </c>
      <c r="C4151" s="9" t="s">
        <v>15</v>
      </c>
      <c r="D4151" s="10" t="s">
        <v>9072</v>
      </c>
      <c r="E4151" s="9" t="s">
        <v>17</v>
      </c>
      <c r="F4151" s="10">
        <v>30</v>
      </c>
      <c r="G4151" s="11">
        <v>8068642327</v>
      </c>
      <c r="H4151" s="10" t="s">
        <v>9073</v>
      </c>
      <c r="I4151" s="10" t="s">
        <v>27</v>
      </c>
      <c r="J4151" s="10" t="s">
        <v>3189</v>
      </c>
      <c r="K4151" s="12">
        <v>46021</v>
      </c>
      <c r="L4151" s="28" t="s">
        <v>11</v>
      </c>
      <c r="M4151" s="14"/>
      <c r="N4151" s="10" t="s">
        <v>1028</v>
      </c>
    </row>
    <row r="4152" spans="1:14" ht="22.5" customHeight="1">
      <c r="A4152" s="8">
        <v>46021.984516168981</v>
      </c>
      <c r="B4152" s="9" t="s">
        <v>14</v>
      </c>
      <c r="C4152" s="9" t="s">
        <v>15</v>
      </c>
      <c r="D4152" s="10" t="s">
        <v>9074</v>
      </c>
      <c r="E4152" s="9" t="s">
        <v>17</v>
      </c>
      <c r="F4152" s="10">
        <v>27</v>
      </c>
      <c r="G4152" s="11">
        <v>8131588467</v>
      </c>
      <c r="H4152" s="10" t="s">
        <v>9075</v>
      </c>
      <c r="I4152" s="10" t="s">
        <v>27</v>
      </c>
      <c r="J4152" s="10" t="s">
        <v>94</v>
      </c>
      <c r="K4152" s="12">
        <v>46021</v>
      </c>
      <c r="L4152" s="28" t="s">
        <v>11</v>
      </c>
      <c r="M4152" s="14"/>
      <c r="N4152" s="10" t="s">
        <v>1028</v>
      </c>
    </row>
    <row r="4153" spans="1:14" ht="22.5" hidden="1" customHeight="1">
      <c r="A4153" s="8">
        <v>46021.984963935189</v>
      </c>
      <c r="B4153" s="9" t="s">
        <v>14</v>
      </c>
      <c r="C4153" s="9" t="s">
        <v>15</v>
      </c>
      <c r="D4153" s="10" t="s">
        <v>9076</v>
      </c>
      <c r="E4153" s="9" t="s">
        <v>17</v>
      </c>
      <c r="F4153" s="10">
        <v>45</v>
      </c>
      <c r="G4153" s="11">
        <v>8123433048</v>
      </c>
      <c r="H4153" s="10" t="s">
        <v>9077</v>
      </c>
      <c r="I4153" s="10" t="s">
        <v>27</v>
      </c>
      <c r="J4153" s="10" t="s">
        <v>3992</v>
      </c>
      <c r="K4153" s="12">
        <v>46021</v>
      </c>
      <c r="L4153" s="10" t="s">
        <v>441</v>
      </c>
      <c r="M4153" s="10" t="s">
        <v>1361</v>
      </c>
      <c r="N4153" s="10" t="s">
        <v>1096</v>
      </c>
    </row>
    <row r="4154" spans="1:14" ht="22.5" customHeight="1">
      <c r="A4154" s="8">
        <v>46021.98991502315</v>
      </c>
      <c r="B4154" s="9" t="s">
        <v>14</v>
      </c>
      <c r="C4154" s="9" t="s">
        <v>15</v>
      </c>
      <c r="D4154" s="10" t="s">
        <v>9078</v>
      </c>
      <c r="E4154" s="9" t="s">
        <v>17</v>
      </c>
      <c r="F4154" s="10">
        <v>28</v>
      </c>
      <c r="G4154" s="11">
        <v>8144909850</v>
      </c>
      <c r="H4154" s="10" t="s">
        <v>9079</v>
      </c>
      <c r="I4154" s="10" t="s">
        <v>49</v>
      </c>
      <c r="J4154" s="10" t="s">
        <v>109</v>
      </c>
      <c r="K4154" s="12">
        <v>46021</v>
      </c>
      <c r="L4154" s="28" t="s">
        <v>11</v>
      </c>
      <c r="M4154" s="14"/>
      <c r="N4154" s="10" t="s">
        <v>1028</v>
      </c>
    </row>
    <row r="4155" spans="1:14" ht="22.5" customHeight="1">
      <c r="A4155" s="8">
        <v>46021.990678240742</v>
      </c>
      <c r="B4155" s="9" t="s">
        <v>14</v>
      </c>
      <c r="C4155" s="9" t="s">
        <v>15</v>
      </c>
      <c r="D4155" s="10" t="s">
        <v>9080</v>
      </c>
      <c r="E4155" s="9" t="s">
        <v>17</v>
      </c>
      <c r="F4155" s="10">
        <v>25</v>
      </c>
      <c r="G4155" s="11">
        <v>8137111998</v>
      </c>
      <c r="H4155" s="10" t="s">
        <v>9081</v>
      </c>
      <c r="I4155" s="10" t="s">
        <v>27</v>
      </c>
      <c r="J4155" s="10" t="s">
        <v>9082</v>
      </c>
      <c r="K4155" s="12">
        <v>46021</v>
      </c>
      <c r="L4155" s="28" t="s">
        <v>11</v>
      </c>
      <c r="M4155" s="14"/>
      <c r="N4155" s="10" t="s">
        <v>1028</v>
      </c>
    </row>
    <row r="4156" spans="1:14" ht="22.5" customHeight="1">
      <c r="A4156" s="8">
        <v>46021.991250370367</v>
      </c>
      <c r="B4156" s="9" t="s">
        <v>14</v>
      </c>
      <c r="C4156" s="9" t="s">
        <v>15</v>
      </c>
      <c r="D4156" s="10" t="s">
        <v>9083</v>
      </c>
      <c r="E4156" s="9" t="s">
        <v>17</v>
      </c>
      <c r="F4156" s="10">
        <v>29</v>
      </c>
      <c r="G4156" s="11">
        <v>9033766999</v>
      </c>
      <c r="H4156" s="10" t="s">
        <v>9084</v>
      </c>
      <c r="I4156" s="10" t="s">
        <v>27</v>
      </c>
      <c r="J4156" s="10" t="s">
        <v>172</v>
      </c>
      <c r="K4156" s="12">
        <v>46021</v>
      </c>
      <c r="L4156" s="28" t="s">
        <v>11</v>
      </c>
      <c r="M4156" s="14"/>
      <c r="N4156" s="10" t="s">
        <v>9085</v>
      </c>
    </row>
    <row r="4157" spans="1:14" ht="22.5" customHeight="1">
      <c r="A4157" s="8">
        <v>46021.993909675926</v>
      </c>
      <c r="B4157" s="9" t="s">
        <v>14</v>
      </c>
      <c r="C4157" s="9" t="s">
        <v>15</v>
      </c>
      <c r="D4157" s="10" t="s">
        <v>9086</v>
      </c>
      <c r="E4157" s="9" t="s">
        <v>22</v>
      </c>
      <c r="F4157" s="10">
        <v>27</v>
      </c>
      <c r="G4157" s="11">
        <v>9034487047</v>
      </c>
      <c r="H4157" s="10" t="s">
        <v>9087</v>
      </c>
      <c r="I4157" s="10" t="s">
        <v>45</v>
      </c>
      <c r="J4157" s="10" t="s">
        <v>287</v>
      </c>
      <c r="K4157" s="12">
        <v>46021</v>
      </c>
      <c r="L4157" s="28" t="s">
        <v>11</v>
      </c>
      <c r="M4157" s="10"/>
      <c r="N4157" s="10" t="s">
        <v>1028</v>
      </c>
    </row>
    <row r="4158" spans="1:14" ht="22.5" customHeight="1">
      <c r="A4158" s="8">
        <v>46021.994098240742</v>
      </c>
      <c r="B4158" s="9" t="s">
        <v>14</v>
      </c>
      <c r="C4158" s="9" t="s">
        <v>15</v>
      </c>
      <c r="D4158" s="10" t="s">
        <v>9088</v>
      </c>
      <c r="E4158" s="9" t="s">
        <v>22</v>
      </c>
      <c r="F4158" s="10">
        <v>27</v>
      </c>
      <c r="G4158" s="11">
        <v>8135213569</v>
      </c>
      <c r="H4158" s="10" t="s">
        <v>9089</v>
      </c>
      <c r="I4158" s="10" t="s">
        <v>27</v>
      </c>
      <c r="J4158" s="10" t="s">
        <v>67</v>
      </c>
      <c r="K4158" s="12">
        <v>46021</v>
      </c>
      <c r="L4158" s="28" t="s">
        <v>11</v>
      </c>
      <c r="M4158" s="14"/>
      <c r="N4158" s="10" t="s">
        <v>1096</v>
      </c>
    </row>
    <row r="4159" spans="1:14" ht="22.5" customHeight="1">
      <c r="A4159" s="8">
        <v>46021.997343518524</v>
      </c>
      <c r="B4159" s="9" t="s">
        <v>14</v>
      </c>
      <c r="C4159" s="9" t="s">
        <v>15</v>
      </c>
      <c r="D4159" s="10" t="s">
        <v>9090</v>
      </c>
      <c r="E4159" s="9" t="s">
        <v>17</v>
      </c>
      <c r="F4159" s="10">
        <v>25</v>
      </c>
      <c r="G4159" s="11">
        <v>7087291112</v>
      </c>
      <c r="H4159" s="10" t="s">
        <v>9091</v>
      </c>
      <c r="I4159" s="10" t="s">
        <v>27</v>
      </c>
      <c r="J4159" s="10" t="s">
        <v>9092</v>
      </c>
      <c r="K4159" s="12">
        <v>46021</v>
      </c>
      <c r="L4159" s="28" t="s">
        <v>11</v>
      </c>
      <c r="M4159" s="10"/>
      <c r="N4159" s="10" t="s">
        <v>1028</v>
      </c>
    </row>
    <row r="4160" spans="1:14" ht="22.5" customHeight="1">
      <c r="A4160" s="8">
        <v>46022.005713171297</v>
      </c>
      <c r="B4160" s="9" t="s">
        <v>14</v>
      </c>
      <c r="C4160" s="9" t="s">
        <v>15</v>
      </c>
      <c r="D4160" s="10" t="s">
        <v>9093</v>
      </c>
      <c r="E4160" s="9" t="s">
        <v>17</v>
      </c>
      <c r="F4160" s="10">
        <v>29</v>
      </c>
      <c r="G4160" s="11">
        <v>7065899730</v>
      </c>
      <c r="H4160" s="10" t="s">
        <v>9094</v>
      </c>
      <c r="I4160" s="10" t="s">
        <v>27</v>
      </c>
      <c r="J4160" s="10" t="s">
        <v>2669</v>
      </c>
      <c r="K4160" s="12">
        <v>46021</v>
      </c>
      <c r="L4160" s="28" t="s">
        <v>11</v>
      </c>
      <c r="M4160" s="14"/>
      <c r="N4160" s="10" t="s">
        <v>1028</v>
      </c>
    </row>
    <row r="4161" spans="1:14" ht="22.5" customHeight="1">
      <c r="A4161" s="8">
        <v>46022.00676167824</v>
      </c>
      <c r="B4161" s="9" t="s">
        <v>14</v>
      </c>
      <c r="C4161" s="9" t="s">
        <v>15</v>
      </c>
      <c r="D4161" s="10" t="s">
        <v>9095</v>
      </c>
      <c r="E4161" s="9" t="s">
        <v>17</v>
      </c>
      <c r="F4161" s="10">
        <v>23</v>
      </c>
      <c r="G4161" s="11">
        <v>9017469563</v>
      </c>
      <c r="H4161" s="10" t="s">
        <v>9096</v>
      </c>
      <c r="I4161" s="10" t="s">
        <v>27</v>
      </c>
      <c r="J4161" s="10" t="s">
        <v>2669</v>
      </c>
      <c r="K4161" s="12">
        <v>46022</v>
      </c>
      <c r="L4161" s="28" t="s">
        <v>11</v>
      </c>
      <c r="M4161" s="14"/>
      <c r="N4161" s="10" t="s">
        <v>1028</v>
      </c>
    </row>
    <row r="4162" spans="1:14" ht="22.5" customHeight="1">
      <c r="A4162" s="8">
        <v>46022.008009259254</v>
      </c>
      <c r="B4162" s="9" t="s">
        <v>14</v>
      </c>
      <c r="C4162" s="9" t="s">
        <v>15</v>
      </c>
      <c r="D4162" s="10" t="s">
        <v>9097</v>
      </c>
      <c r="E4162" s="9" t="s">
        <v>17</v>
      </c>
      <c r="F4162" s="10">
        <v>35</v>
      </c>
      <c r="G4162" s="11">
        <v>7035379616</v>
      </c>
      <c r="H4162" s="10" t="s">
        <v>9098</v>
      </c>
      <c r="I4162" s="10" t="s">
        <v>27</v>
      </c>
      <c r="J4162" s="10" t="s">
        <v>2669</v>
      </c>
      <c r="K4162" s="12">
        <v>46022</v>
      </c>
      <c r="L4162" s="28" t="s">
        <v>11</v>
      </c>
      <c r="M4162" s="14"/>
      <c r="N4162" s="10" t="s">
        <v>1028</v>
      </c>
    </row>
    <row r="4163" spans="1:14" ht="22.5" customHeight="1">
      <c r="A4163" s="8">
        <v>46022.01176775463</v>
      </c>
      <c r="B4163" s="9" t="s">
        <v>14</v>
      </c>
      <c r="C4163" s="9" t="s">
        <v>15</v>
      </c>
      <c r="D4163" s="10" t="s">
        <v>9099</v>
      </c>
      <c r="E4163" s="9" t="s">
        <v>22</v>
      </c>
      <c r="F4163" s="10">
        <v>28</v>
      </c>
      <c r="G4163" s="11">
        <v>7031511868</v>
      </c>
      <c r="H4163" s="10" t="s">
        <v>9100</v>
      </c>
      <c r="I4163" s="10" t="s">
        <v>27</v>
      </c>
      <c r="J4163" s="10" t="s">
        <v>703</v>
      </c>
      <c r="K4163" s="12">
        <v>46022</v>
      </c>
      <c r="L4163" s="28" t="s">
        <v>11</v>
      </c>
      <c r="M4163" s="14"/>
      <c r="N4163" s="10" t="s">
        <v>1028</v>
      </c>
    </row>
    <row r="4164" spans="1:14" ht="22.5" customHeight="1">
      <c r="A4164" s="8">
        <v>46022.013875509263</v>
      </c>
      <c r="B4164" s="9" t="s">
        <v>14</v>
      </c>
      <c r="C4164" s="9" t="s">
        <v>15</v>
      </c>
      <c r="D4164" s="10" t="s">
        <v>9101</v>
      </c>
      <c r="E4164" s="9" t="s">
        <v>17</v>
      </c>
      <c r="F4164" s="10">
        <v>25</v>
      </c>
      <c r="G4164" s="11">
        <v>7039133988</v>
      </c>
      <c r="H4164" s="10" t="s">
        <v>9102</v>
      </c>
      <c r="I4164" s="10" t="s">
        <v>27</v>
      </c>
      <c r="J4164" s="10" t="s">
        <v>67</v>
      </c>
      <c r="K4164" s="12">
        <v>46022</v>
      </c>
      <c r="L4164" s="28" t="s">
        <v>11</v>
      </c>
      <c r="M4164" s="14"/>
      <c r="N4164" s="10" t="s">
        <v>1096</v>
      </c>
    </row>
    <row r="4165" spans="1:14" ht="22.5" customHeight="1">
      <c r="A4165" s="8">
        <v>46022.014417314815</v>
      </c>
      <c r="B4165" s="9" t="s">
        <v>14</v>
      </c>
      <c r="C4165" s="9" t="s">
        <v>15</v>
      </c>
      <c r="D4165" s="10" t="s">
        <v>9103</v>
      </c>
      <c r="E4165" s="9" t="s">
        <v>17</v>
      </c>
      <c r="F4165" s="10">
        <v>28</v>
      </c>
      <c r="G4165" s="11">
        <v>9023262222</v>
      </c>
      <c r="H4165" s="10" t="s">
        <v>9104</v>
      </c>
      <c r="I4165" s="10" t="s">
        <v>49</v>
      </c>
      <c r="J4165" s="10" t="s">
        <v>157</v>
      </c>
      <c r="K4165" s="12">
        <v>46022</v>
      </c>
      <c r="L4165" s="28" t="s">
        <v>11</v>
      </c>
      <c r="M4165" s="14"/>
      <c r="N4165" s="10" t="s">
        <v>1028</v>
      </c>
    </row>
    <row r="4166" spans="1:14" ht="22.5" customHeight="1">
      <c r="A4166" s="8">
        <v>46022.016992627316</v>
      </c>
      <c r="B4166" s="9" t="s">
        <v>14</v>
      </c>
      <c r="C4166" s="9" t="s">
        <v>15</v>
      </c>
      <c r="D4166" s="10" t="s">
        <v>9105</v>
      </c>
      <c r="E4166" s="9" t="s">
        <v>17</v>
      </c>
      <c r="F4166" s="10">
        <v>29</v>
      </c>
      <c r="G4166" s="11">
        <v>8066639234</v>
      </c>
      <c r="H4166" s="10" t="s">
        <v>9106</v>
      </c>
      <c r="I4166" s="10" t="s">
        <v>27</v>
      </c>
      <c r="J4166" s="10" t="s">
        <v>9107</v>
      </c>
      <c r="K4166" s="12">
        <v>46022</v>
      </c>
      <c r="L4166" s="28" t="s">
        <v>11</v>
      </c>
      <c r="M4166" s="14"/>
      <c r="N4166" s="10" t="s">
        <v>1028</v>
      </c>
    </row>
    <row r="4167" spans="1:14" ht="22.5" customHeight="1">
      <c r="A4167" s="8">
        <v>46022.022149166667</v>
      </c>
      <c r="B4167" s="9" t="s">
        <v>14</v>
      </c>
      <c r="C4167" s="9" t="s">
        <v>15</v>
      </c>
      <c r="D4167" s="10" t="s">
        <v>9108</v>
      </c>
      <c r="E4167" s="9" t="s">
        <v>17</v>
      </c>
      <c r="F4167" s="10">
        <v>28</v>
      </c>
      <c r="G4167" s="11">
        <v>7026664748</v>
      </c>
      <c r="H4167" s="10" t="s">
        <v>9109</v>
      </c>
      <c r="I4167" s="10" t="s">
        <v>27</v>
      </c>
      <c r="J4167" s="10" t="s">
        <v>94</v>
      </c>
      <c r="K4167" s="12">
        <v>46022</v>
      </c>
      <c r="L4167" s="28" t="s">
        <v>11</v>
      </c>
      <c r="M4167" s="14"/>
      <c r="N4167" s="10" t="s">
        <v>1028</v>
      </c>
    </row>
    <row r="4168" spans="1:14" ht="22.5" customHeight="1">
      <c r="A4168" s="8">
        <v>46022.025043159723</v>
      </c>
      <c r="B4168" s="9" t="s">
        <v>14</v>
      </c>
      <c r="C4168" s="9" t="s">
        <v>15</v>
      </c>
      <c r="D4168" s="10" t="s">
        <v>9110</v>
      </c>
      <c r="E4168" s="9" t="s">
        <v>17</v>
      </c>
      <c r="F4168" s="10">
        <v>56</v>
      </c>
      <c r="G4168" s="11">
        <v>708055391</v>
      </c>
      <c r="H4168" s="10" t="s">
        <v>9111</v>
      </c>
      <c r="I4168" s="10" t="s">
        <v>27</v>
      </c>
      <c r="J4168" s="10" t="s">
        <v>1514</v>
      </c>
      <c r="K4168" s="12">
        <v>46022</v>
      </c>
      <c r="L4168" s="28" t="s">
        <v>11</v>
      </c>
      <c r="M4168" s="10"/>
      <c r="N4168" s="10" t="s">
        <v>1028</v>
      </c>
    </row>
    <row r="4169" spans="1:14" ht="22.5" customHeight="1">
      <c r="A4169" s="8">
        <v>46022.026239895829</v>
      </c>
      <c r="B4169" s="9" t="s">
        <v>14</v>
      </c>
      <c r="C4169" s="9" t="s">
        <v>15</v>
      </c>
      <c r="D4169" s="10" t="s">
        <v>9112</v>
      </c>
      <c r="E4169" s="9" t="s">
        <v>17</v>
      </c>
      <c r="F4169" s="10">
        <v>26</v>
      </c>
      <c r="G4169" s="11">
        <v>8134302228</v>
      </c>
      <c r="H4169" s="10" t="s">
        <v>9113</v>
      </c>
      <c r="I4169" s="10" t="s">
        <v>27</v>
      </c>
      <c r="J4169" s="10" t="s">
        <v>8877</v>
      </c>
      <c r="K4169" s="12">
        <v>46022</v>
      </c>
      <c r="L4169" s="28" t="s">
        <v>11</v>
      </c>
      <c r="M4169" s="14"/>
      <c r="N4169" s="10" t="s">
        <v>1028</v>
      </c>
    </row>
    <row r="4170" spans="1:14" ht="22.5" customHeight="1">
      <c r="A4170" s="8">
        <v>46022.027286689816</v>
      </c>
      <c r="B4170" s="9" t="s">
        <v>14</v>
      </c>
      <c r="C4170" s="9" t="s">
        <v>15</v>
      </c>
      <c r="D4170" s="10" t="s">
        <v>9114</v>
      </c>
      <c r="E4170" s="9" t="s">
        <v>17</v>
      </c>
      <c r="F4170" s="10">
        <v>24</v>
      </c>
      <c r="G4170" s="11">
        <v>8132464662</v>
      </c>
      <c r="H4170" s="10" t="s">
        <v>9115</v>
      </c>
      <c r="I4170" s="10" t="s">
        <v>27</v>
      </c>
      <c r="J4170" s="10" t="s">
        <v>1559</v>
      </c>
      <c r="K4170" s="12">
        <v>46022</v>
      </c>
      <c r="L4170" s="28" t="s">
        <v>11</v>
      </c>
      <c r="M4170" s="14"/>
      <c r="N4170" s="10" t="s">
        <v>1028</v>
      </c>
    </row>
    <row r="4171" spans="1:14" ht="22.5" customHeight="1">
      <c r="A4171" s="8">
        <v>46022.027431087961</v>
      </c>
      <c r="B4171" s="9" t="s">
        <v>14</v>
      </c>
      <c r="C4171" s="9" t="s">
        <v>15</v>
      </c>
      <c r="D4171" s="10" t="s">
        <v>9116</v>
      </c>
      <c r="E4171" s="9" t="s">
        <v>17</v>
      </c>
      <c r="F4171" s="18">
        <v>27</v>
      </c>
      <c r="G4171" s="11">
        <v>8141781769</v>
      </c>
      <c r="H4171" s="10" t="s">
        <v>9117</v>
      </c>
      <c r="I4171" s="10" t="s">
        <v>49</v>
      </c>
      <c r="J4171" s="10" t="s">
        <v>60</v>
      </c>
      <c r="K4171" s="12">
        <v>46022</v>
      </c>
      <c r="L4171" s="28" t="s">
        <v>11</v>
      </c>
      <c r="M4171" s="14"/>
      <c r="N4171" s="10" t="s">
        <v>1140</v>
      </c>
    </row>
    <row r="4172" spans="1:14" ht="22.5" customHeight="1">
      <c r="A4172" s="8">
        <v>46022.031338877314</v>
      </c>
      <c r="B4172" s="9" t="s">
        <v>14</v>
      </c>
      <c r="C4172" s="9" t="s">
        <v>15</v>
      </c>
      <c r="D4172" s="10" t="s">
        <v>2970</v>
      </c>
      <c r="E4172" s="9" t="s">
        <v>17</v>
      </c>
      <c r="F4172" s="10">
        <v>27</v>
      </c>
      <c r="G4172" s="11">
        <v>7047079608</v>
      </c>
      <c r="H4172" s="10" t="s">
        <v>9118</v>
      </c>
      <c r="I4172" s="10" t="s">
        <v>27</v>
      </c>
      <c r="J4172" s="10" t="s">
        <v>9119</v>
      </c>
      <c r="K4172" s="12">
        <v>46022</v>
      </c>
      <c r="L4172" s="28" t="s">
        <v>11</v>
      </c>
      <c r="M4172" s="14"/>
      <c r="N4172" s="10" t="s">
        <v>1096</v>
      </c>
    </row>
    <row r="4173" spans="1:14" ht="22.5" customHeight="1">
      <c r="A4173" s="8">
        <v>46022.0349034838</v>
      </c>
      <c r="B4173" s="9" t="s">
        <v>14</v>
      </c>
      <c r="C4173" s="9" t="s">
        <v>15</v>
      </c>
      <c r="D4173" s="10" t="s">
        <v>9120</v>
      </c>
      <c r="E4173" s="9" t="s">
        <v>17</v>
      </c>
      <c r="F4173" s="10">
        <v>25</v>
      </c>
      <c r="G4173" s="11">
        <v>7013002291</v>
      </c>
      <c r="H4173" s="10" t="s">
        <v>9121</v>
      </c>
      <c r="I4173" s="10" t="s">
        <v>27</v>
      </c>
      <c r="J4173" s="10" t="s">
        <v>2861</v>
      </c>
      <c r="K4173" s="12">
        <v>46022</v>
      </c>
      <c r="L4173" s="28" t="s">
        <v>11</v>
      </c>
      <c r="M4173" s="14"/>
      <c r="N4173" s="10" t="s">
        <v>1096</v>
      </c>
    </row>
    <row r="4174" spans="1:14" ht="22.5" customHeight="1">
      <c r="A4174" s="8">
        <v>46022.0360874537</v>
      </c>
      <c r="B4174" s="9" t="s">
        <v>14</v>
      </c>
      <c r="C4174" s="9" t="s">
        <v>15</v>
      </c>
      <c r="D4174" s="10" t="s">
        <v>9122</v>
      </c>
      <c r="E4174" s="9" t="s">
        <v>17</v>
      </c>
      <c r="F4174" s="10">
        <v>26</v>
      </c>
      <c r="G4174" s="11">
        <f>22246128228</f>
        <v>22246128228</v>
      </c>
      <c r="H4174" s="10" t="s">
        <v>9123</v>
      </c>
      <c r="I4174" s="10" t="s">
        <v>202</v>
      </c>
      <c r="J4174" s="10" t="s">
        <v>9124</v>
      </c>
      <c r="K4174" s="12">
        <v>46021</v>
      </c>
      <c r="L4174" s="28" t="s">
        <v>11</v>
      </c>
      <c r="M4174" s="14"/>
      <c r="N4174" s="10" t="s">
        <v>1028</v>
      </c>
    </row>
    <row r="4175" spans="1:14" ht="22.5" customHeight="1">
      <c r="A4175" s="8">
        <v>46022.037051840278</v>
      </c>
      <c r="B4175" s="9" t="s">
        <v>14</v>
      </c>
      <c r="C4175" s="9" t="s">
        <v>15</v>
      </c>
      <c r="D4175" s="10" t="s">
        <v>9125</v>
      </c>
      <c r="E4175" s="9" t="s">
        <v>22</v>
      </c>
      <c r="F4175" s="10">
        <v>28</v>
      </c>
      <c r="G4175" s="11">
        <v>8039387673</v>
      </c>
      <c r="H4175" s="10" t="s">
        <v>9126</v>
      </c>
      <c r="I4175" s="10" t="s">
        <v>27</v>
      </c>
      <c r="J4175" s="10" t="s">
        <v>9127</v>
      </c>
      <c r="K4175" s="12">
        <v>46022</v>
      </c>
      <c r="L4175" s="28" t="s">
        <v>11</v>
      </c>
      <c r="M4175" s="14"/>
      <c r="N4175" s="10" t="s">
        <v>1028</v>
      </c>
    </row>
    <row r="4176" spans="1:14" ht="22.5" customHeight="1">
      <c r="A4176" s="8">
        <v>46022.050979270833</v>
      </c>
      <c r="B4176" s="9" t="s">
        <v>14</v>
      </c>
      <c r="C4176" s="9" t="s">
        <v>15</v>
      </c>
      <c r="D4176" s="10" t="s">
        <v>9128</v>
      </c>
      <c r="E4176" s="9" t="s">
        <v>17</v>
      </c>
      <c r="F4176" s="10">
        <v>31</v>
      </c>
      <c r="G4176" s="11">
        <v>9066526416</v>
      </c>
      <c r="H4176" s="10" t="s">
        <v>9129</v>
      </c>
      <c r="I4176" s="10" t="s">
        <v>27</v>
      </c>
      <c r="J4176" s="10" t="s">
        <v>9130</v>
      </c>
      <c r="K4176" s="12">
        <v>46022</v>
      </c>
      <c r="L4176" s="28" t="s">
        <v>11</v>
      </c>
      <c r="M4176" s="14"/>
      <c r="N4176" s="10" t="s">
        <v>1028</v>
      </c>
    </row>
    <row r="4177" spans="1:14" ht="22.5" customHeight="1">
      <c r="A4177" s="8">
        <v>46022.074641712963</v>
      </c>
      <c r="B4177" s="9" t="s">
        <v>14</v>
      </c>
      <c r="C4177" s="9" t="s">
        <v>15</v>
      </c>
      <c r="D4177" s="10" t="s">
        <v>9131</v>
      </c>
      <c r="E4177" s="9" t="s">
        <v>22</v>
      </c>
      <c r="F4177" s="10">
        <v>35</v>
      </c>
      <c r="G4177" s="11">
        <v>7061718345</v>
      </c>
      <c r="H4177" s="10" t="s">
        <v>9132</v>
      </c>
      <c r="I4177" s="10" t="s">
        <v>202</v>
      </c>
      <c r="J4177" s="10" t="s">
        <v>3682</v>
      </c>
      <c r="K4177" s="12">
        <v>46022</v>
      </c>
      <c r="L4177" s="28" t="s">
        <v>11</v>
      </c>
      <c r="M4177" s="14"/>
      <c r="N4177" s="10" t="s">
        <v>1028</v>
      </c>
    </row>
    <row r="4178" spans="1:14" ht="22.5" customHeight="1">
      <c r="A4178" s="8">
        <v>46022.076701655096</v>
      </c>
      <c r="B4178" s="9" t="s">
        <v>14</v>
      </c>
      <c r="C4178" s="9" t="s">
        <v>15</v>
      </c>
      <c r="D4178" s="10" t="s">
        <v>9133</v>
      </c>
      <c r="E4178" s="9" t="s">
        <v>17</v>
      </c>
      <c r="F4178" s="10">
        <v>32</v>
      </c>
      <c r="G4178" s="11">
        <v>8065476037</v>
      </c>
      <c r="H4178" s="10" t="s">
        <v>9134</v>
      </c>
      <c r="I4178" s="10" t="s">
        <v>49</v>
      </c>
      <c r="J4178" s="10" t="s">
        <v>5056</v>
      </c>
      <c r="K4178" s="12">
        <v>46022</v>
      </c>
      <c r="L4178" s="28" t="s">
        <v>11</v>
      </c>
      <c r="M4178" s="14"/>
      <c r="N4178" s="10" t="s">
        <v>1096</v>
      </c>
    </row>
    <row r="4179" spans="1:14" ht="22.5" customHeight="1">
      <c r="A4179" s="8">
        <v>46022.085868263894</v>
      </c>
      <c r="B4179" s="9" t="s">
        <v>14</v>
      </c>
      <c r="C4179" s="9" t="s">
        <v>15</v>
      </c>
      <c r="D4179" s="10" t="s">
        <v>9135</v>
      </c>
      <c r="E4179" s="9" t="s">
        <v>17</v>
      </c>
      <c r="F4179" s="10">
        <v>30</v>
      </c>
      <c r="G4179" s="11">
        <v>8141387904</v>
      </c>
      <c r="H4179" s="10" t="s">
        <v>9136</v>
      </c>
      <c r="I4179" s="10" t="s">
        <v>49</v>
      </c>
      <c r="J4179" s="10" t="s">
        <v>365</v>
      </c>
      <c r="K4179" s="12">
        <v>46022</v>
      </c>
      <c r="L4179" s="28" t="s">
        <v>11</v>
      </c>
      <c r="M4179" s="10"/>
      <c r="N4179" s="10" t="s">
        <v>1096</v>
      </c>
    </row>
    <row r="4180" spans="1:14" ht="22.5" customHeight="1">
      <c r="A4180" s="8">
        <v>46022.094514745375</v>
      </c>
      <c r="B4180" s="9" t="s">
        <v>14</v>
      </c>
      <c r="C4180" s="9" t="s">
        <v>15</v>
      </c>
      <c r="D4180" s="10" t="s">
        <v>9137</v>
      </c>
      <c r="E4180" s="9" t="s">
        <v>17</v>
      </c>
      <c r="F4180" s="10">
        <v>34</v>
      </c>
      <c r="G4180" s="11">
        <v>8134103998</v>
      </c>
      <c r="H4180" s="10" t="s">
        <v>9138</v>
      </c>
      <c r="I4180" s="10" t="s">
        <v>49</v>
      </c>
      <c r="J4180" s="10" t="s">
        <v>503</v>
      </c>
      <c r="K4180" s="12">
        <v>46022</v>
      </c>
      <c r="L4180" s="28" t="s">
        <v>11</v>
      </c>
      <c r="M4180" s="14"/>
      <c r="N4180" s="10" t="s">
        <v>1028</v>
      </c>
    </row>
    <row r="4181" spans="1:14" ht="22.5" customHeight="1">
      <c r="A4181" s="8">
        <v>46022.095730416666</v>
      </c>
      <c r="B4181" s="9" t="s">
        <v>14</v>
      </c>
      <c r="C4181" s="9" t="s">
        <v>15</v>
      </c>
      <c r="D4181" s="10" t="s">
        <v>9139</v>
      </c>
      <c r="E4181" s="9" t="s">
        <v>17</v>
      </c>
      <c r="F4181" s="10">
        <v>47</v>
      </c>
      <c r="G4181" s="11">
        <v>8090726394</v>
      </c>
      <c r="H4181" s="10" t="s">
        <v>9140</v>
      </c>
      <c r="I4181" s="10" t="s">
        <v>49</v>
      </c>
      <c r="J4181" s="10" t="s">
        <v>160</v>
      </c>
      <c r="K4181" s="12">
        <v>46022</v>
      </c>
      <c r="L4181" s="28" t="s">
        <v>11</v>
      </c>
      <c r="M4181" s="14"/>
      <c r="N4181" s="10" t="s">
        <v>1028</v>
      </c>
    </row>
    <row r="4182" spans="1:14" ht="22.5" customHeight="1">
      <c r="A4182" s="8">
        <v>46022.106894745375</v>
      </c>
      <c r="B4182" s="9" t="s">
        <v>14</v>
      </c>
      <c r="C4182" s="9" t="s">
        <v>15</v>
      </c>
      <c r="D4182" s="10" t="s">
        <v>9141</v>
      </c>
      <c r="E4182" s="9" t="s">
        <v>22</v>
      </c>
      <c r="F4182" s="10">
        <v>22</v>
      </c>
      <c r="G4182" s="11">
        <v>7039606626</v>
      </c>
      <c r="H4182" s="10" t="s">
        <v>9142</v>
      </c>
      <c r="I4182" s="10" t="s">
        <v>49</v>
      </c>
      <c r="J4182" s="10" t="s">
        <v>197</v>
      </c>
      <c r="K4182" s="12">
        <v>46022</v>
      </c>
      <c r="L4182" s="28" t="s">
        <v>11</v>
      </c>
      <c r="M4182" s="14"/>
      <c r="N4182" s="10" t="s">
        <v>1028</v>
      </c>
    </row>
    <row r="4183" spans="1:14" ht="22.5" customHeight="1">
      <c r="A4183" s="8">
        <v>46022.135333194441</v>
      </c>
      <c r="B4183" s="9" t="s">
        <v>14</v>
      </c>
      <c r="C4183" s="9" t="s">
        <v>15</v>
      </c>
      <c r="D4183" s="10" t="s">
        <v>9143</v>
      </c>
      <c r="E4183" s="9" t="s">
        <v>17</v>
      </c>
      <c r="F4183" s="10">
        <v>31</v>
      </c>
      <c r="G4183" s="11">
        <v>7036240011</v>
      </c>
      <c r="H4183" s="10" t="s">
        <v>9144</v>
      </c>
      <c r="I4183" s="10" t="s">
        <v>27</v>
      </c>
      <c r="J4183" s="10" t="s">
        <v>1456</v>
      </c>
      <c r="K4183" s="12">
        <v>46022</v>
      </c>
      <c r="L4183" s="28" t="s">
        <v>11</v>
      </c>
      <c r="M4183" s="14"/>
      <c r="N4183" s="10" t="s">
        <v>1028</v>
      </c>
    </row>
    <row r="4184" spans="1:14" ht="22.5" customHeight="1">
      <c r="A4184" s="8">
        <v>46022.144786168981</v>
      </c>
      <c r="B4184" s="9" t="s">
        <v>14</v>
      </c>
      <c r="C4184" s="9" t="s">
        <v>15</v>
      </c>
      <c r="D4184" s="10" t="s">
        <v>9145</v>
      </c>
      <c r="E4184" s="9" t="s">
        <v>22</v>
      </c>
      <c r="F4184" s="10">
        <v>37</v>
      </c>
      <c r="G4184" s="11">
        <v>8143202194</v>
      </c>
      <c r="H4184" s="10" t="s">
        <v>9146</v>
      </c>
      <c r="I4184" s="10" t="s">
        <v>45</v>
      </c>
      <c r="J4184" s="10" t="s">
        <v>521</v>
      </c>
      <c r="K4184" s="12">
        <v>46022</v>
      </c>
      <c r="L4184" s="28" t="s">
        <v>11</v>
      </c>
      <c r="M4184" s="14"/>
      <c r="N4184" s="10" t="s">
        <v>1140</v>
      </c>
    </row>
    <row r="4185" spans="1:14" ht="22.5" customHeight="1">
      <c r="A4185" s="8">
        <v>46022.152166851854</v>
      </c>
      <c r="B4185" s="9" t="s">
        <v>14</v>
      </c>
      <c r="C4185" s="9" t="s">
        <v>15</v>
      </c>
      <c r="D4185" s="10" t="s">
        <v>3228</v>
      </c>
      <c r="E4185" s="9" t="s">
        <v>17</v>
      </c>
      <c r="F4185" s="10">
        <v>31</v>
      </c>
      <c r="G4185" s="11">
        <v>8039514792</v>
      </c>
      <c r="H4185" s="10" t="s">
        <v>3229</v>
      </c>
      <c r="I4185" s="10" t="s">
        <v>27</v>
      </c>
      <c r="J4185" s="10" t="s">
        <v>28</v>
      </c>
      <c r="K4185" s="12">
        <v>46022</v>
      </c>
      <c r="L4185" s="28" t="s">
        <v>11</v>
      </c>
      <c r="M4185" s="14"/>
      <c r="N4185" s="10" t="s">
        <v>1028</v>
      </c>
    </row>
    <row r="4186" spans="1:14" ht="22.5" customHeight="1">
      <c r="A4186" s="8">
        <v>46022.153083206023</v>
      </c>
      <c r="B4186" s="9" t="s">
        <v>14</v>
      </c>
      <c r="C4186" s="9" t="s">
        <v>15</v>
      </c>
      <c r="D4186" s="10" t="s">
        <v>9147</v>
      </c>
      <c r="E4186" s="9" t="s">
        <v>22</v>
      </c>
      <c r="F4186" s="10">
        <v>30</v>
      </c>
      <c r="G4186" s="11">
        <v>9038101507</v>
      </c>
      <c r="H4186" s="10" t="s">
        <v>9148</v>
      </c>
      <c r="I4186" s="10" t="s">
        <v>19</v>
      </c>
      <c r="J4186" s="10" t="s">
        <v>166</v>
      </c>
      <c r="K4186" s="12">
        <v>46022</v>
      </c>
      <c r="L4186" s="28" t="s">
        <v>11</v>
      </c>
      <c r="M4186" s="10"/>
      <c r="N4186" s="10" t="s">
        <v>1096</v>
      </c>
    </row>
    <row r="4187" spans="1:14" ht="22.5" customHeight="1">
      <c r="A4187" s="8">
        <v>46022.175376585648</v>
      </c>
      <c r="B4187" s="9" t="s">
        <v>14</v>
      </c>
      <c r="C4187" s="9" t="s">
        <v>15</v>
      </c>
      <c r="D4187" s="10" t="s">
        <v>9149</v>
      </c>
      <c r="E4187" s="9" t="s">
        <v>22</v>
      </c>
      <c r="F4187" s="10">
        <v>28</v>
      </c>
      <c r="G4187" s="11">
        <v>9066596080</v>
      </c>
      <c r="H4187" s="10" t="s">
        <v>9150</v>
      </c>
      <c r="I4187" s="10" t="s">
        <v>19</v>
      </c>
      <c r="J4187" s="10" t="s">
        <v>8663</v>
      </c>
      <c r="K4187" s="12">
        <v>46022</v>
      </c>
      <c r="L4187" s="28" t="s">
        <v>11</v>
      </c>
      <c r="M4187" s="14"/>
      <c r="N4187" s="10" t="s">
        <v>1096</v>
      </c>
    </row>
    <row r="4188" spans="1:14" ht="22.5" customHeight="1">
      <c r="A4188" s="8">
        <v>46022.181404791671</v>
      </c>
      <c r="B4188" s="9" t="s">
        <v>14</v>
      </c>
      <c r="C4188" s="9" t="s">
        <v>15</v>
      </c>
      <c r="D4188" s="10" t="s">
        <v>9151</v>
      </c>
      <c r="E4188" s="9" t="s">
        <v>17</v>
      </c>
      <c r="F4188" s="19">
        <v>1</v>
      </c>
      <c r="G4188" s="11">
        <f>2348035598009</f>
        <v>2348035598009</v>
      </c>
      <c r="H4188" s="10" t="s">
        <v>9152</v>
      </c>
      <c r="I4188" s="10" t="s">
        <v>45</v>
      </c>
      <c r="J4188" s="10" t="s">
        <v>9153</v>
      </c>
      <c r="K4188" s="12">
        <v>46022</v>
      </c>
      <c r="L4188" s="28" t="s">
        <v>11</v>
      </c>
      <c r="M4188" s="14"/>
      <c r="N4188" s="10" t="s">
        <v>1035</v>
      </c>
    </row>
    <row r="4189" spans="1:14" ht="22.5" customHeight="1">
      <c r="A4189" s="8">
        <v>46022.185363564815</v>
      </c>
      <c r="B4189" s="9" t="s">
        <v>14</v>
      </c>
      <c r="C4189" s="9" t="s">
        <v>15</v>
      </c>
      <c r="D4189" s="10" t="s">
        <v>9154</v>
      </c>
      <c r="E4189" s="9" t="s">
        <v>22</v>
      </c>
      <c r="F4189" s="10">
        <v>26</v>
      </c>
      <c r="G4189" s="11">
        <v>8062171994</v>
      </c>
      <c r="H4189" s="10" t="s">
        <v>9155</v>
      </c>
      <c r="I4189" s="10" t="s">
        <v>49</v>
      </c>
      <c r="J4189" s="10" t="s">
        <v>73</v>
      </c>
      <c r="K4189" s="12">
        <v>46022</v>
      </c>
      <c r="L4189" s="28" t="s">
        <v>11</v>
      </c>
      <c r="M4189" s="14"/>
      <c r="N4189" s="10" t="s">
        <v>1096</v>
      </c>
    </row>
    <row r="4190" spans="1:14" ht="22.5" hidden="1" customHeight="1">
      <c r="A4190" s="8">
        <v>46022.192303402779</v>
      </c>
      <c r="B4190" s="9" t="s">
        <v>14</v>
      </c>
      <c r="C4190" s="9" t="s">
        <v>15</v>
      </c>
      <c r="D4190" s="10" t="s">
        <v>9156</v>
      </c>
      <c r="E4190" s="9" t="s">
        <v>17</v>
      </c>
      <c r="F4190" s="10">
        <v>28</v>
      </c>
      <c r="G4190" s="11">
        <v>8068678447</v>
      </c>
      <c r="H4190" s="10" t="s">
        <v>9157</v>
      </c>
      <c r="I4190" s="10" t="s">
        <v>27</v>
      </c>
      <c r="J4190" s="10" t="s">
        <v>27</v>
      </c>
      <c r="K4190" s="12">
        <v>46022</v>
      </c>
      <c r="L4190" s="10" t="s">
        <v>441</v>
      </c>
      <c r="M4190" s="10" t="s">
        <v>1827</v>
      </c>
      <c r="N4190" s="10" t="s">
        <v>1096</v>
      </c>
    </row>
    <row r="4191" spans="1:14" ht="22.5" customHeight="1">
      <c r="A4191" s="8">
        <v>46022.195544097223</v>
      </c>
      <c r="B4191" s="9" t="s">
        <v>14</v>
      </c>
      <c r="C4191" s="9" t="s">
        <v>15</v>
      </c>
      <c r="D4191" s="10" t="s">
        <v>9158</v>
      </c>
      <c r="E4191" s="9" t="s">
        <v>22</v>
      </c>
      <c r="F4191" s="10">
        <v>28</v>
      </c>
      <c r="G4191" s="11">
        <v>7059463643</v>
      </c>
      <c r="H4191" s="10" t="s">
        <v>9159</v>
      </c>
      <c r="I4191" s="10" t="s">
        <v>19</v>
      </c>
      <c r="J4191" s="10" t="s">
        <v>812</v>
      </c>
      <c r="K4191" s="12">
        <v>46022</v>
      </c>
      <c r="L4191" s="28" t="s">
        <v>11</v>
      </c>
      <c r="M4191" s="14"/>
      <c r="N4191" s="10" t="s">
        <v>1140</v>
      </c>
    </row>
    <row r="4192" spans="1:14" ht="22.5" hidden="1" customHeight="1">
      <c r="A4192" s="8">
        <v>46022.195726342594</v>
      </c>
      <c r="B4192" s="9" t="s">
        <v>14</v>
      </c>
      <c r="C4192" s="9" t="s">
        <v>15</v>
      </c>
      <c r="D4192" s="10" t="s">
        <v>9160</v>
      </c>
      <c r="E4192" s="9" t="s">
        <v>17</v>
      </c>
      <c r="F4192" s="10">
        <v>23</v>
      </c>
      <c r="G4192" s="11">
        <v>9031636664</v>
      </c>
      <c r="H4192" s="10" t="s">
        <v>9161</v>
      </c>
      <c r="I4192" s="10" t="s">
        <v>19</v>
      </c>
      <c r="J4192" s="10" t="s">
        <v>9162</v>
      </c>
      <c r="K4192" s="12">
        <v>46022</v>
      </c>
      <c r="L4192" s="10" t="s">
        <v>441</v>
      </c>
      <c r="M4192" s="10" t="s">
        <v>1827</v>
      </c>
      <c r="N4192" s="10" t="s">
        <v>1028</v>
      </c>
    </row>
    <row r="4193" spans="1:14" ht="22.5" customHeight="1">
      <c r="A4193" s="8">
        <v>46022.209460347221</v>
      </c>
      <c r="B4193" s="9" t="s">
        <v>14</v>
      </c>
      <c r="C4193" s="9" t="s">
        <v>15</v>
      </c>
      <c r="D4193" s="10" t="s">
        <v>9163</v>
      </c>
      <c r="E4193" s="9" t="s">
        <v>17</v>
      </c>
      <c r="F4193" s="10">
        <v>23</v>
      </c>
      <c r="G4193" s="11">
        <v>8114523492</v>
      </c>
      <c r="H4193" s="10" t="s">
        <v>9164</v>
      </c>
      <c r="I4193" s="10" t="s">
        <v>145</v>
      </c>
      <c r="J4193" s="10" t="s">
        <v>145</v>
      </c>
      <c r="K4193" s="12">
        <v>37438</v>
      </c>
      <c r="L4193" s="28" t="s">
        <v>11</v>
      </c>
      <c r="M4193" s="10"/>
      <c r="N4193" s="10" t="s">
        <v>1096</v>
      </c>
    </row>
    <row r="4194" spans="1:14" ht="22.5" customHeight="1">
      <c r="A4194" s="8">
        <v>46022.212948993052</v>
      </c>
      <c r="B4194" s="9" t="s">
        <v>14</v>
      </c>
      <c r="C4194" s="9" t="s">
        <v>15</v>
      </c>
      <c r="D4194" s="10" t="s">
        <v>9165</v>
      </c>
      <c r="E4194" s="9" t="s">
        <v>17</v>
      </c>
      <c r="F4194" s="10">
        <v>25</v>
      </c>
      <c r="G4194" s="11">
        <v>9020190539</v>
      </c>
      <c r="H4194" s="10" t="s">
        <v>9166</v>
      </c>
      <c r="I4194" s="10" t="s">
        <v>27</v>
      </c>
      <c r="J4194" s="10" t="s">
        <v>2105</v>
      </c>
      <c r="K4194" s="12">
        <v>46022</v>
      </c>
      <c r="L4194" s="28" t="s">
        <v>11</v>
      </c>
      <c r="M4194" s="14"/>
      <c r="N4194" s="10" t="s">
        <v>1028</v>
      </c>
    </row>
    <row r="4195" spans="1:14" ht="22.5" customHeight="1">
      <c r="A4195" s="8">
        <v>46022.218641041662</v>
      </c>
      <c r="B4195" s="9" t="s">
        <v>14</v>
      </c>
      <c r="C4195" s="9" t="s">
        <v>15</v>
      </c>
      <c r="D4195" s="10" t="s">
        <v>9167</v>
      </c>
      <c r="E4195" s="9" t="s">
        <v>17</v>
      </c>
      <c r="F4195" s="18">
        <v>25</v>
      </c>
      <c r="G4195" s="11">
        <v>8068228254</v>
      </c>
      <c r="H4195" s="10" t="s">
        <v>9168</v>
      </c>
      <c r="I4195" s="10" t="s">
        <v>27</v>
      </c>
      <c r="J4195" s="10" t="s">
        <v>27</v>
      </c>
      <c r="K4195" s="12">
        <v>46022</v>
      </c>
      <c r="L4195" s="28" t="s">
        <v>11</v>
      </c>
      <c r="M4195" s="14"/>
      <c r="N4195" s="10" t="s">
        <v>1096</v>
      </c>
    </row>
    <row r="4196" spans="1:14" ht="22.5" customHeight="1">
      <c r="A4196" s="8">
        <v>46022.230367951386</v>
      </c>
      <c r="B4196" s="9" t="s">
        <v>14</v>
      </c>
      <c r="C4196" s="9" t="s">
        <v>15</v>
      </c>
      <c r="D4196" s="10" t="s">
        <v>9169</v>
      </c>
      <c r="E4196" s="9" t="s">
        <v>17</v>
      </c>
      <c r="F4196" s="10">
        <v>22</v>
      </c>
      <c r="G4196" s="11">
        <v>8147732141</v>
      </c>
      <c r="H4196" s="10" t="s">
        <v>9170</v>
      </c>
      <c r="I4196" s="10" t="s">
        <v>49</v>
      </c>
      <c r="J4196" s="10" t="s">
        <v>246</v>
      </c>
      <c r="K4196" s="12">
        <v>46022</v>
      </c>
      <c r="L4196" s="28" t="s">
        <v>11</v>
      </c>
      <c r="M4196" s="14"/>
      <c r="N4196" s="10" t="s">
        <v>1028</v>
      </c>
    </row>
    <row r="4197" spans="1:14" ht="22.5" customHeight="1">
      <c r="A4197" s="8">
        <v>46022.233840046298</v>
      </c>
      <c r="B4197" s="9" t="s">
        <v>14</v>
      </c>
      <c r="C4197" s="9" t="s">
        <v>15</v>
      </c>
      <c r="D4197" s="10" t="s">
        <v>9171</v>
      </c>
      <c r="E4197" s="9" t="s">
        <v>17</v>
      </c>
      <c r="F4197" s="10">
        <v>29</v>
      </c>
      <c r="G4197" s="11">
        <v>8069716125</v>
      </c>
      <c r="H4197" s="10" t="s">
        <v>9172</v>
      </c>
      <c r="I4197" s="10" t="s">
        <v>27</v>
      </c>
      <c r="J4197" s="10" t="s">
        <v>2317</v>
      </c>
      <c r="K4197" s="12">
        <v>46022</v>
      </c>
      <c r="L4197" s="28" t="s">
        <v>11</v>
      </c>
      <c r="M4197" s="14"/>
      <c r="N4197" s="10" t="s">
        <v>1028</v>
      </c>
    </row>
    <row r="4198" spans="1:14" ht="22.5" customHeight="1">
      <c r="A4198" s="8">
        <v>46022.234342754629</v>
      </c>
      <c r="B4198" s="9" t="s">
        <v>14</v>
      </c>
      <c r="C4198" s="9" t="s">
        <v>15</v>
      </c>
      <c r="D4198" s="10" t="s">
        <v>9173</v>
      </c>
      <c r="E4198" s="9" t="s">
        <v>22</v>
      </c>
      <c r="F4198" s="10">
        <v>26</v>
      </c>
      <c r="G4198" s="11">
        <v>7065255328</v>
      </c>
      <c r="H4198" s="10" t="s">
        <v>9174</v>
      </c>
      <c r="I4198" s="10" t="s">
        <v>49</v>
      </c>
      <c r="J4198" s="10" t="s">
        <v>50</v>
      </c>
      <c r="K4198" s="12">
        <v>46022</v>
      </c>
      <c r="L4198" s="28" t="s">
        <v>11</v>
      </c>
      <c r="M4198" s="14"/>
      <c r="N4198" s="10" t="s">
        <v>1028</v>
      </c>
    </row>
    <row r="4199" spans="1:14" ht="22.5" customHeight="1">
      <c r="A4199" s="8">
        <v>46022.237819895832</v>
      </c>
      <c r="B4199" s="9" t="s">
        <v>14</v>
      </c>
      <c r="C4199" s="9" t="s">
        <v>15</v>
      </c>
      <c r="D4199" s="10" t="s">
        <v>9175</v>
      </c>
      <c r="E4199" s="9" t="s">
        <v>17</v>
      </c>
      <c r="F4199" s="10">
        <v>25</v>
      </c>
      <c r="G4199" s="11">
        <v>9078285596</v>
      </c>
      <c r="H4199" s="10" t="s">
        <v>9176</v>
      </c>
      <c r="I4199" s="10" t="s">
        <v>27</v>
      </c>
      <c r="J4199" s="10" t="s">
        <v>372</v>
      </c>
      <c r="K4199" s="12">
        <v>46022</v>
      </c>
      <c r="L4199" s="28" t="s">
        <v>11</v>
      </c>
      <c r="M4199" s="14"/>
      <c r="N4199" s="10" t="s">
        <v>1028</v>
      </c>
    </row>
    <row r="4200" spans="1:14" ht="22.5" customHeight="1">
      <c r="A4200" s="8">
        <v>46022.23803025463</v>
      </c>
      <c r="B4200" s="9" t="s">
        <v>14</v>
      </c>
      <c r="C4200" s="9" t="s">
        <v>15</v>
      </c>
      <c r="D4200" s="10" t="s">
        <v>9177</v>
      </c>
      <c r="E4200" s="9" t="s">
        <v>22</v>
      </c>
      <c r="F4200" s="10">
        <v>26</v>
      </c>
      <c r="G4200" s="11">
        <v>7012112350</v>
      </c>
      <c r="H4200" s="10" t="s">
        <v>9178</v>
      </c>
      <c r="I4200" s="10" t="s">
        <v>45</v>
      </c>
      <c r="J4200" s="10" t="s">
        <v>131</v>
      </c>
      <c r="K4200" s="12">
        <v>46022</v>
      </c>
      <c r="L4200" s="28" t="s">
        <v>11</v>
      </c>
      <c r="M4200" s="14"/>
      <c r="N4200" s="10" t="s">
        <v>1096</v>
      </c>
    </row>
    <row r="4201" spans="1:14" ht="22.5" customHeight="1">
      <c r="A4201" s="8">
        <v>46022.247111157412</v>
      </c>
      <c r="B4201" s="9" t="s">
        <v>14</v>
      </c>
      <c r="C4201" s="9" t="s">
        <v>15</v>
      </c>
      <c r="D4201" s="10" t="s">
        <v>9179</v>
      </c>
      <c r="E4201" s="9" t="s">
        <v>17</v>
      </c>
      <c r="F4201" s="10">
        <v>27</v>
      </c>
      <c r="G4201" s="11">
        <v>8035779458</v>
      </c>
      <c r="H4201" s="10" t="s">
        <v>9180</v>
      </c>
      <c r="I4201" s="10" t="s">
        <v>27</v>
      </c>
      <c r="J4201" s="10" t="s">
        <v>2258</v>
      </c>
      <c r="K4201" s="12">
        <v>46022</v>
      </c>
      <c r="L4201" s="28" t="s">
        <v>11</v>
      </c>
      <c r="M4201" s="14"/>
      <c r="N4201" s="10" t="s">
        <v>1028</v>
      </c>
    </row>
    <row r="4202" spans="1:14" ht="22.5" customHeight="1">
      <c r="A4202" s="8">
        <v>46022.252343657412</v>
      </c>
      <c r="B4202" s="9" t="s">
        <v>14</v>
      </c>
      <c r="C4202" s="9" t="s">
        <v>15</v>
      </c>
      <c r="D4202" s="10" t="s">
        <v>9181</v>
      </c>
      <c r="E4202" s="9" t="s">
        <v>17</v>
      </c>
      <c r="F4202" s="10">
        <v>26</v>
      </c>
      <c r="G4202" s="11">
        <v>8068676354</v>
      </c>
      <c r="H4202" s="10" t="s">
        <v>9182</v>
      </c>
      <c r="I4202" s="10" t="s">
        <v>27</v>
      </c>
      <c r="J4202" s="10" t="s">
        <v>42</v>
      </c>
      <c r="K4202" s="12">
        <v>46022</v>
      </c>
      <c r="L4202" s="28" t="s">
        <v>11</v>
      </c>
      <c r="M4202" s="14"/>
      <c r="N4202" s="10" t="s">
        <v>1028</v>
      </c>
    </row>
    <row r="4203" spans="1:14" ht="22.5" customHeight="1">
      <c r="A4203" s="8">
        <v>46022.254866909723</v>
      </c>
      <c r="B4203" s="9" t="s">
        <v>14</v>
      </c>
      <c r="C4203" s="9" t="s">
        <v>15</v>
      </c>
      <c r="D4203" s="10" t="s">
        <v>9183</v>
      </c>
      <c r="E4203" s="9" t="s">
        <v>17</v>
      </c>
      <c r="F4203" s="10">
        <v>26</v>
      </c>
      <c r="G4203" s="11">
        <v>8083890812</v>
      </c>
      <c r="H4203" s="10" t="s">
        <v>9184</v>
      </c>
      <c r="I4203" s="10" t="s">
        <v>27</v>
      </c>
      <c r="J4203" s="10" t="s">
        <v>9185</v>
      </c>
      <c r="K4203" s="12">
        <v>46022</v>
      </c>
      <c r="L4203" s="28" t="s">
        <v>11</v>
      </c>
      <c r="M4203" s="14"/>
      <c r="N4203" s="10" t="s">
        <v>9186</v>
      </c>
    </row>
    <row r="4204" spans="1:14" ht="22.5" customHeight="1">
      <c r="A4204" s="8">
        <v>46022.256772592591</v>
      </c>
      <c r="B4204" s="9" t="s">
        <v>14</v>
      </c>
      <c r="C4204" s="9" t="s">
        <v>15</v>
      </c>
      <c r="D4204" s="10" t="s">
        <v>4512</v>
      </c>
      <c r="E4204" s="9" t="s">
        <v>17</v>
      </c>
      <c r="F4204" s="10">
        <v>27</v>
      </c>
      <c r="G4204" s="11">
        <v>8066661672</v>
      </c>
      <c r="H4204" s="10" t="s">
        <v>9187</v>
      </c>
      <c r="I4204" s="10" t="s">
        <v>49</v>
      </c>
      <c r="J4204" s="10" t="s">
        <v>106</v>
      </c>
      <c r="K4204" s="12">
        <v>46022</v>
      </c>
      <c r="L4204" s="28" t="s">
        <v>11</v>
      </c>
      <c r="M4204" s="14"/>
      <c r="N4204" s="10" t="s">
        <v>1028</v>
      </c>
    </row>
    <row r="4205" spans="1:14" ht="22.5" customHeight="1">
      <c r="A4205" s="8">
        <v>46022.261016331016</v>
      </c>
      <c r="B4205" s="9" t="s">
        <v>14</v>
      </c>
      <c r="C4205" s="9" t="s">
        <v>15</v>
      </c>
      <c r="D4205" s="10" t="s">
        <v>8073</v>
      </c>
      <c r="E4205" s="9" t="s">
        <v>17</v>
      </c>
      <c r="F4205" s="10">
        <v>37</v>
      </c>
      <c r="G4205" s="11">
        <v>8036041792</v>
      </c>
      <c r="H4205" s="10" t="s">
        <v>9188</v>
      </c>
      <c r="I4205" s="10" t="s">
        <v>49</v>
      </c>
      <c r="J4205" s="10" t="s">
        <v>73</v>
      </c>
      <c r="K4205" s="12">
        <v>46022</v>
      </c>
      <c r="L4205" s="28" t="s">
        <v>11</v>
      </c>
      <c r="M4205" s="14"/>
      <c r="N4205" s="10" t="s">
        <v>1096</v>
      </c>
    </row>
    <row r="4206" spans="1:14" ht="22.5" customHeight="1">
      <c r="A4206" s="8">
        <v>46022.261729999998</v>
      </c>
      <c r="B4206" s="9" t="s">
        <v>14</v>
      </c>
      <c r="C4206" s="9" t="s">
        <v>15</v>
      </c>
      <c r="D4206" s="10" t="s">
        <v>9189</v>
      </c>
      <c r="E4206" s="9" t="s">
        <v>17</v>
      </c>
      <c r="F4206" s="10">
        <v>35</v>
      </c>
      <c r="G4206" s="11">
        <v>8064011180</v>
      </c>
      <c r="H4206" s="10" t="s">
        <v>9190</v>
      </c>
      <c r="I4206" s="10" t="s">
        <v>49</v>
      </c>
      <c r="J4206" s="10" t="s">
        <v>160</v>
      </c>
      <c r="K4206" s="12">
        <v>46022</v>
      </c>
      <c r="L4206" s="28" t="s">
        <v>11</v>
      </c>
      <c r="M4206" s="14"/>
      <c r="N4206" s="10" t="s">
        <v>1028</v>
      </c>
    </row>
    <row r="4207" spans="1:14" ht="22.5" customHeight="1">
      <c r="A4207" s="8">
        <v>46022.261856273151</v>
      </c>
      <c r="B4207" s="9" t="s">
        <v>14</v>
      </c>
      <c r="C4207" s="9" t="s">
        <v>15</v>
      </c>
      <c r="D4207" s="10" t="s">
        <v>9191</v>
      </c>
      <c r="E4207" s="9" t="s">
        <v>17</v>
      </c>
      <c r="F4207" s="10">
        <v>21</v>
      </c>
      <c r="G4207" s="11">
        <v>8037762387</v>
      </c>
      <c r="H4207" s="10" t="s">
        <v>9192</v>
      </c>
      <c r="I4207" s="10" t="s">
        <v>27</v>
      </c>
      <c r="J4207" s="10" t="s">
        <v>8158</v>
      </c>
      <c r="K4207" s="12">
        <v>46022</v>
      </c>
      <c r="L4207" s="28" t="s">
        <v>11</v>
      </c>
      <c r="M4207" s="10"/>
      <c r="N4207" s="10" t="s">
        <v>1028</v>
      </c>
    </row>
    <row r="4208" spans="1:14" ht="22.5" customHeight="1">
      <c r="A4208" s="8">
        <v>46022.262435127312</v>
      </c>
      <c r="B4208" s="9" t="s">
        <v>14</v>
      </c>
      <c r="C4208" s="9" t="s">
        <v>15</v>
      </c>
      <c r="D4208" s="10" t="s">
        <v>9193</v>
      </c>
      <c r="E4208" s="9" t="s">
        <v>17</v>
      </c>
      <c r="F4208" s="10">
        <v>26</v>
      </c>
      <c r="G4208" s="11">
        <v>8063272112</v>
      </c>
      <c r="H4208" s="10" t="s">
        <v>9194</v>
      </c>
      <c r="I4208" s="10" t="s">
        <v>27</v>
      </c>
      <c r="J4208" s="10" t="s">
        <v>3500</v>
      </c>
      <c r="K4208" s="12">
        <v>46022</v>
      </c>
      <c r="L4208" s="28" t="s">
        <v>11</v>
      </c>
      <c r="M4208" s="14"/>
      <c r="N4208" s="10" t="s">
        <v>1028</v>
      </c>
    </row>
    <row r="4209" spans="1:14" ht="22.5" customHeight="1">
      <c r="A4209" s="8">
        <v>46022.265390949076</v>
      </c>
      <c r="B4209" s="9" t="s">
        <v>14</v>
      </c>
      <c r="C4209" s="9" t="s">
        <v>15</v>
      </c>
      <c r="D4209" s="10" t="s">
        <v>9195</v>
      </c>
      <c r="E4209" s="9" t="s">
        <v>17</v>
      </c>
      <c r="F4209" s="10">
        <v>29</v>
      </c>
      <c r="G4209" s="11">
        <v>7032605537</v>
      </c>
      <c r="H4209" s="10" t="s">
        <v>9196</v>
      </c>
      <c r="I4209" s="10" t="s">
        <v>27</v>
      </c>
      <c r="J4209" s="10" t="s">
        <v>1559</v>
      </c>
      <c r="K4209" s="12">
        <v>46022</v>
      </c>
      <c r="L4209" s="28" t="s">
        <v>11</v>
      </c>
      <c r="M4209" s="14"/>
      <c r="N4209" s="10" t="s">
        <v>1028</v>
      </c>
    </row>
    <row r="4210" spans="1:14" ht="22.5" customHeight="1">
      <c r="A4210" s="8">
        <v>46022.265648935187</v>
      </c>
      <c r="B4210" s="9" t="s">
        <v>14</v>
      </c>
      <c r="C4210" s="9" t="s">
        <v>15</v>
      </c>
      <c r="D4210" s="10" t="s">
        <v>9197</v>
      </c>
      <c r="E4210" s="9" t="s">
        <v>22</v>
      </c>
      <c r="F4210" s="10">
        <v>23</v>
      </c>
      <c r="G4210" s="11">
        <v>9073350908</v>
      </c>
      <c r="H4210" s="10" t="s">
        <v>9198</v>
      </c>
      <c r="I4210" s="10" t="s">
        <v>27</v>
      </c>
      <c r="J4210" s="10" t="s">
        <v>703</v>
      </c>
      <c r="K4210" s="12">
        <v>46022</v>
      </c>
      <c r="L4210" s="28" t="s">
        <v>11</v>
      </c>
      <c r="M4210" s="14"/>
      <c r="N4210" s="10" t="s">
        <v>1028</v>
      </c>
    </row>
    <row r="4211" spans="1:14" ht="22.5" customHeight="1">
      <c r="A4211" s="8">
        <v>46022.268400416666</v>
      </c>
      <c r="B4211" s="9" t="s">
        <v>14</v>
      </c>
      <c r="C4211" s="9" t="s">
        <v>15</v>
      </c>
      <c r="D4211" s="10" t="s">
        <v>9199</v>
      </c>
      <c r="E4211" s="9" t="s">
        <v>22</v>
      </c>
      <c r="F4211" s="10">
        <v>27</v>
      </c>
      <c r="G4211" s="11">
        <v>7088978770</v>
      </c>
      <c r="H4211" s="10" t="s">
        <v>9200</v>
      </c>
      <c r="I4211" s="10" t="s">
        <v>27</v>
      </c>
      <c r="J4211" s="10" t="s">
        <v>3189</v>
      </c>
      <c r="K4211" s="12">
        <v>46022</v>
      </c>
      <c r="L4211" s="28" t="s">
        <v>11</v>
      </c>
      <c r="M4211" s="14"/>
      <c r="N4211" s="10" t="s">
        <v>1028</v>
      </c>
    </row>
    <row r="4212" spans="1:14" ht="22.5" customHeight="1">
      <c r="A4212" s="8">
        <v>46022.269439444441</v>
      </c>
      <c r="B4212" s="9" t="s">
        <v>14</v>
      </c>
      <c r="C4212" s="9" t="s">
        <v>15</v>
      </c>
      <c r="D4212" s="10" t="s">
        <v>9201</v>
      </c>
      <c r="E4212" s="9" t="s">
        <v>17</v>
      </c>
      <c r="F4212" s="10">
        <v>30</v>
      </c>
      <c r="G4212" s="11">
        <v>7061523875</v>
      </c>
      <c r="H4212" s="10" t="s">
        <v>9202</v>
      </c>
      <c r="I4212" s="10" t="s">
        <v>27</v>
      </c>
      <c r="J4212" s="10" t="s">
        <v>2258</v>
      </c>
      <c r="K4212" s="12">
        <v>46022</v>
      </c>
      <c r="L4212" s="28" t="s">
        <v>11</v>
      </c>
      <c r="M4212" s="14"/>
      <c r="N4212" s="10" t="s">
        <v>1140</v>
      </c>
    </row>
    <row r="4213" spans="1:14" ht="22.5" customHeight="1">
      <c r="A4213" s="8">
        <v>46022.275880891204</v>
      </c>
      <c r="B4213" s="9" t="s">
        <v>14</v>
      </c>
      <c r="C4213" s="9" t="s">
        <v>15</v>
      </c>
      <c r="D4213" s="10" t="s">
        <v>9203</v>
      </c>
      <c r="E4213" s="9" t="s">
        <v>17</v>
      </c>
      <c r="F4213" s="10">
        <v>26</v>
      </c>
      <c r="G4213" s="11">
        <v>9067158894</v>
      </c>
      <c r="H4213" s="10" t="s">
        <v>9204</v>
      </c>
      <c r="I4213" s="10" t="s">
        <v>27</v>
      </c>
      <c r="J4213" s="10" t="s">
        <v>703</v>
      </c>
      <c r="K4213" s="12">
        <v>46022</v>
      </c>
      <c r="L4213" s="28" t="s">
        <v>11</v>
      </c>
      <c r="M4213" s="14"/>
      <c r="N4213" s="10" t="s">
        <v>1028</v>
      </c>
    </row>
    <row r="4214" spans="1:14" ht="22.5" customHeight="1">
      <c r="A4214" s="8">
        <v>46022.279934039354</v>
      </c>
      <c r="B4214" s="9" t="s">
        <v>14</v>
      </c>
      <c r="C4214" s="9" t="s">
        <v>15</v>
      </c>
      <c r="D4214" s="10" t="s">
        <v>9205</v>
      </c>
      <c r="E4214" s="9" t="s">
        <v>22</v>
      </c>
      <c r="F4214" s="10">
        <v>25</v>
      </c>
      <c r="G4214" s="11">
        <v>7043411052</v>
      </c>
      <c r="H4214" s="10" t="s">
        <v>9206</v>
      </c>
      <c r="I4214" s="10" t="s">
        <v>27</v>
      </c>
      <c r="J4214" s="10" t="s">
        <v>1288</v>
      </c>
      <c r="K4214" s="12">
        <v>46022</v>
      </c>
      <c r="L4214" s="28" t="s">
        <v>11</v>
      </c>
      <c r="M4214" s="14"/>
      <c r="N4214" s="10" t="s">
        <v>1028</v>
      </c>
    </row>
    <row r="4215" spans="1:14" ht="22.5" customHeight="1">
      <c r="A4215" s="8">
        <v>46022.281580972223</v>
      </c>
      <c r="B4215" s="9" t="s">
        <v>14</v>
      </c>
      <c r="C4215" s="9" t="s">
        <v>15</v>
      </c>
      <c r="D4215" s="10" t="s">
        <v>9207</v>
      </c>
      <c r="E4215" s="9" t="s">
        <v>17</v>
      </c>
      <c r="F4215" s="10">
        <v>32</v>
      </c>
      <c r="G4215" s="11">
        <v>8069569708</v>
      </c>
      <c r="H4215" s="10" t="s">
        <v>9208</v>
      </c>
      <c r="I4215" s="10" t="s">
        <v>49</v>
      </c>
      <c r="J4215" s="10" t="s">
        <v>160</v>
      </c>
      <c r="K4215" s="12">
        <v>46022</v>
      </c>
      <c r="L4215" s="28" t="s">
        <v>11</v>
      </c>
      <c r="M4215" s="14"/>
      <c r="N4215" s="10" t="s">
        <v>1028</v>
      </c>
    </row>
    <row r="4216" spans="1:14" ht="22.5" customHeight="1">
      <c r="A4216" s="8">
        <v>46022.282081400466</v>
      </c>
      <c r="B4216" s="9" t="s">
        <v>14</v>
      </c>
      <c r="C4216" s="9" t="s">
        <v>15</v>
      </c>
      <c r="D4216" s="10" t="s">
        <v>9209</v>
      </c>
      <c r="E4216" s="9" t="s">
        <v>17</v>
      </c>
      <c r="F4216" s="10">
        <v>23</v>
      </c>
      <c r="G4216" s="11">
        <v>7038777710</v>
      </c>
      <c r="H4216" s="10" t="s">
        <v>9210</v>
      </c>
      <c r="I4216" s="10" t="s">
        <v>27</v>
      </c>
      <c r="J4216" s="10" t="s">
        <v>703</v>
      </c>
      <c r="K4216" s="12">
        <v>46022</v>
      </c>
      <c r="L4216" s="28" t="s">
        <v>11</v>
      </c>
      <c r="M4216" s="14"/>
      <c r="N4216" s="10" t="s">
        <v>1028</v>
      </c>
    </row>
    <row r="4217" spans="1:14" ht="22.5" customHeight="1">
      <c r="A4217" s="8">
        <v>46022.28638351852</v>
      </c>
      <c r="B4217" s="9" t="s">
        <v>14</v>
      </c>
      <c r="C4217" s="9" t="s">
        <v>15</v>
      </c>
      <c r="D4217" s="10" t="s">
        <v>9211</v>
      </c>
      <c r="E4217" s="9" t="s">
        <v>17</v>
      </c>
      <c r="F4217" s="10">
        <v>33</v>
      </c>
      <c r="G4217" s="11">
        <v>9137321779</v>
      </c>
      <c r="H4217" s="10" t="s">
        <v>9212</v>
      </c>
      <c r="I4217" s="10" t="s">
        <v>202</v>
      </c>
      <c r="J4217" s="10" t="s">
        <v>6091</v>
      </c>
      <c r="K4217" s="12">
        <v>46022</v>
      </c>
      <c r="L4217" s="28" t="s">
        <v>11</v>
      </c>
      <c r="M4217" s="14"/>
      <c r="N4217" s="10" t="s">
        <v>1096</v>
      </c>
    </row>
    <row r="4218" spans="1:14" ht="22.5" hidden="1" customHeight="1">
      <c r="A4218" s="8">
        <v>46022.289986898148</v>
      </c>
      <c r="B4218" s="9" t="s">
        <v>14</v>
      </c>
      <c r="C4218" s="9" t="s">
        <v>15</v>
      </c>
      <c r="D4218" s="10" t="s">
        <v>9213</v>
      </c>
      <c r="E4218" s="9" t="s">
        <v>17</v>
      </c>
      <c r="F4218" s="10">
        <v>33</v>
      </c>
      <c r="G4218" s="11">
        <v>9026969986</v>
      </c>
      <c r="H4218" s="10" t="s">
        <v>9214</v>
      </c>
      <c r="I4218" s="10" t="s">
        <v>27</v>
      </c>
      <c r="J4218" s="10" t="s">
        <v>1890</v>
      </c>
      <c r="K4218" s="12">
        <v>46022</v>
      </c>
      <c r="L4218" s="10" t="s">
        <v>441</v>
      </c>
      <c r="M4218" s="14"/>
      <c r="N4218" s="10" t="s">
        <v>1209</v>
      </c>
    </row>
    <row r="4219" spans="1:14" ht="22.5" customHeight="1">
      <c r="A4219" s="8">
        <v>46022.300832291672</v>
      </c>
      <c r="B4219" s="9" t="s">
        <v>14</v>
      </c>
      <c r="C4219" s="9" t="s">
        <v>15</v>
      </c>
      <c r="D4219" s="10" t="s">
        <v>3323</v>
      </c>
      <c r="E4219" s="9" t="s">
        <v>22</v>
      </c>
      <c r="F4219" s="10">
        <v>21</v>
      </c>
      <c r="G4219" s="11">
        <v>9045122354</v>
      </c>
      <c r="H4219" s="10" t="s">
        <v>9215</v>
      </c>
      <c r="I4219" s="10" t="s">
        <v>49</v>
      </c>
      <c r="J4219" s="10" t="s">
        <v>7089</v>
      </c>
      <c r="K4219" s="12">
        <v>46022</v>
      </c>
      <c r="L4219" s="28" t="s">
        <v>11</v>
      </c>
      <c r="M4219" s="14"/>
      <c r="N4219" s="10" t="s">
        <v>1028</v>
      </c>
    </row>
    <row r="4220" spans="1:14" ht="22.5" customHeight="1">
      <c r="A4220" s="8">
        <v>46022.301614317126</v>
      </c>
      <c r="B4220" s="9" t="s">
        <v>14</v>
      </c>
      <c r="C4220" s="9" t="s">
        <v>15</v>
      </c>
      <c r="D4220" s="10" t="s">
        <v>9216</v>
      </c>
      <c r="E4220" s="9" t="s">
        <v>17</v>
      </c>
      <c r="F4220" s="10">
        <v>30</v>
      </c>
      <c r="G4220" s="11">
        <v>7030995284</v>
      </c>
      <c r="H4220" s="10" t="s">
        <v>9217</v>
      </c>
      <c r="I4220" s="10" t="s">
        <v>49</v>
      </c>
      <c r="J4220" s="10" t="s">
        <v>106</v>
      </c>
      <c r="K4220" s="12">
        <v>46022</v>
      </c>
      <c r="L4220" s="28" t="s">
        <v>11</v>
      </c>
      <c r="M4220" s="14"/>
      <c r="N4220" s="10" t="s">
        <v>1028</v>
      </c>
    </row>
    <row r="4221" spans="1:14" ht="22.5" customHeight="1">
      <c r="A4221" s="8">
        <v>46022.303745972225</v>
      </c>
      <c r="B4221" s="9" t="s">
        <v>14</v>
      </c>
      <c r="C4221" s="9" t="s">
        <v>15</v>
      </c>
      <c r="D4221" s="10" t="s">
        <v>9218</v>
      </c>
      <c r="E4221" s="9" t="s">
        <v>17</v>
      </c>
      <c r="F4221" s="10">
        <v>27</v>
      </c>
      <c r="G4221" s="11">
        <v>8106263739</v>
      </c>
      <c r="H4221" s="10" t="s">
        <v>9219</v>
      </c>
      <c r="I4221" s="10" t="s">
        <v>49</v>
      </c>
      <c r="J4221" s="10" t="s">
        <v>181</v>
      </c>
      <c r="K4221" s="12">
        <v>46022</v>
      </c>
      <c r="L4221" s="28" t="s">
        <v>11</v>
      </c>
      <c r="M4221" s="14"/>
      <c r="N4221" s="10" t="s">
        <v>1096</v>
      </c>
    </row>
    <row r="4222" spans="1:14" ht="22.5" customHeight="1">
      <c r="A4222" s="8">
        <v>46022.30537342593</v>
      </c>
      <c r="B4222" s="9" t="s">
        <v>14</v>
      </c>
      <c r="C4222" s="9" t="s">
        <v>15</v>
      </c>
      <c r="D4222" s="10" t="s">
        <v>9220</v>
      </c>
      <c r="E4222" s="9" t="s">
        <v>22</v>
      </c>
      <c r="F4222" s="10">
        <v>34</v>
      </c>
      <c r="G4222" s="11">
        <v>7066883396</v>
      </c>
      <c r="H4222" s="10" t="s">
        <v>9221</v>
      </c>
      <c r="I4222" s="10" t="s">
        <v>27</v>
      </c>
      <c r="J4222" s="10" t="s">
        <v>9222</v>
      </c>
      <c r="K4222" s="12">
        <v>46022</v>
      </c>
      <c r="L4222" s="28" t="s">
        <v>11</v>
      </c>
      <c r="M4222" s="14"/>
      <c r="N4222" s="10" t="s">
        <v>1096</v>
      </c>
    </row>
    <row r="4223" spans="1:14" ht="22.5" customHeight="1">
      <c r="A4223" s="8">
        <v>46022.306519305552</v>
      </c>
      <c r="B4223" s="9" t="s">
        <v>14</v>
      </c>
      <c r="C4223" s="9" t="s">
        <v>15</v>
      </c>
      <c r="D4223" s="10" t="s">
        <v>9223</v>
      </c>
      <c r="E4223" s="9" t="s">
        <v>17</v>
      </c>
      <c r="F4223" s="10">
        <v>27</v>
      </c>
      <c r="G4223" s="11">
        <v>8060945071</v>
      </c>
      <c r="H4223" s="10" t="s">
        <v>9224</v>
      </c>
      <c r="I4223" s="10" t="s">
        <v>45</v>
      </c>
      <c r="J4223" s="10" t="s">
        <v>287</v>
      </c>
      <c r="K4223" s="12">
        <v>46022</v>
      </c>
      <c r="L4223" s="28" t="s">
        <v>11</v>
      </c>
      <c r="M4223" s="14"/>
      <c r="N4223" s="10" t="s">
        <v>1096</v>
      </c>
    </row>
    <row r="4224" spans="1:14" ht="22.5" customHeight="1">
      <c r="A4224" s="8">
        <v>46022.310533854165</v>
      </c>
      <c r="B4224" s="9" t="s">
        <v>14</v>
      </c>
      <c r="C4224" s="9" t="s">
        <v>15</v>
      </c>
      <c r="D4224" s="10" t="s">
        <v>9225</v>
      </c>
      <c r="E4224" s="9" t="s">
        <v>17</v>
      </c>
      <c r="F4224" s="10">
        <v>34</v>
      </c>
      <c r="G4224" s="11">
        <v>7037419101</v>
      </c>
      <c r="H4224" s="10" t="s">
        <v>9226</v>
      </c>
      <c r="I4224" s="10" t="s">
        <v>49</v>
      </c>
      <c r="J4224" s="10" t="s">
        <v>9227</v>
      </c>
      <c r="K4224" s="12">
        <v>46022</v>
      </c>
      <c r="L4224" s="28" t="s">
        <v>11</v>
      </c>
      <c r="M4224" s="14"/>
      <c r="N4224" s="10" t="s">
        <v>1209</v>
      </c>
    </row>
    <row r="4225" spans="1:14" ht="22.5" customHeight="1">
      <c r="A4225" s="8">
        <v>46022.311137060184</v>
      </c>
      <c r="B4225" s="9" t="s">
        <v>14</v>
      </c>
      <c r="C4225" s="9" t="s">
        <v>15</v>
      </c>
      <c r="D4225" s="10" t="s">
        <v>9228</v>
      </c>
      <c r="E4225" s="9" t="s">
        <v>17</v>
      </c>
      <c r="F4225" s="10">
        <v>18</v>
      </c>
      <c r="G4225" s="11">
        <f t="shared" ref="G4225" si="112">2348143270996</f>
        <v>2348143270996</v>
      </c>
      <c r="H4225" s="10" t="s">
        <v>9229</v>
      </c>
      <c r="I4225" s="10" t="s">
        <v>49</v>
      </c>
      <c r="J4225" s="10" t="s">
        <v>50</v>
      </c>
      <c r="K4225" s="12">
        <v>46022</v>
      </c>
      <c r="L4225" s="28" t="s">
        <v>11</v>
      </c>
      <c r="M4225" s="14"/>
      <c r="N4225" s="10" t="s">
        <v>1028</v>
      </c>
    </row>
    <row r="4226" spans="1:14" ht="22.5" customHeight="1">
      <c r="A4226" s="8">
        <v>46022.314290879629</v>
      </c>
      <c r="B4226" s="9" t="s">
        <v>14</v>
      </c>
      <c r="C4226" s="9" t="s">
        <v>15</v>
      </c>
      <c r="D4226" s="10" t="s">
        <v>9230</v>
      </c>
      <c r="E4226" s="9" t="s">
        <v>17</v>
      </c>
      <c r="F4226" s="10">
        <v>31</v>
      </c>
      <c r="G4226" s="11">
        <v>8136533190</v>
      </c>
      <c r="H4226" s="10" t="s">
        <v>9231</v>
      </c>
      <c r="I4226" s="10" t="s">
        <v>19</v>
      </c>
      <c r="J4226" s="10" t="s">
        <v>9232</v>
      </c>
      <c r="K4226" s="12">
        <v>46022</v>
      </c>
      <c r="L4226" s="28" t="s">
        <v>11</v>
      </c>
      <c r="M4226" s="14"/>
      <c r="N4226" s="10" t="s">
        <v>1028</v>
      </c>
    </row>
    <row r="4227" spans="1:14" ht="22.5" customHeight="1">
      <c r="A4227" s="8">
        <v>46022.316113819441</v>
      </c>
      <c r="B4227" s="9" t="s">
        <v>14</v>
      </c>
      <c r="C4227" s="9" t="s">
        <v>15</v>
      </c>
      <c r="D4227" s="10" t="s">
        <v>9233</v>
      </c>
      <c r="E4227" s="9" t="s">
        <v>22</v>
      </c>
      <c r="F4227" s="10">
        <v>30</v>
      </c>
      <c r="G4227" s="11">
        <v>7068661886</v>
      </c>
      <c r="H4227" s="10" t="s">
        <v>9234</v>
      </c>
      <c r="I4227" s="10" t="s">
        <v>27</v>
      </c>
      <c r="J4227" s="10" t="s">
        <v>2836</v>
      </c>
      <c r="K4227" s="12">
        <v>46022</v>
      </c>
      <c r="L4227" s="28" t="s">
        <v>11</v>
      </c>
      <c r="M4227" s="14"/>
      <c r="N4227" s="10" t="s">
        <v>1096</v>
      </c>
    </row>
    <row r="4228" spans="1:14" ht="22.5" customHeight="1">
      <c r="A4228" s="8">
        <v>46022.31739758102</v>
      </c>
      <c r="B4228" s="9" t="s">
        <v>14</v>
      </c>
      <c r="C4228" s="9" t="s">
        <v>15</v>
      </c>
      <c r="D4228" s="10" t="s">
        <v>9235</v>
      </c>
      <c r="E4228" s="9" t="s">
        <v>17</v>
      </c>
      <c r="F4228" s="10">
        <v>26</v>
      </c>
      <c r="G4228" s="11">
        <v>8100707389</v>
      </c>
      <c r="H4228" s="10" t="s">
        <v>9236</v>
      </c>
      <c r="I4228" s="10" t="s">
        <v>27</v>
      </c>
      <c r="J4228" s="10" t="s">
        <v>1559</v>
      </c>
      <c r="K4228" s="12">
        <v>36348</v>
      </c>
      <c r="L4228" s="28" t="s">
        <v>11</v>
      </c>
      <c r="M4228" s="10"/>
      <c r="N4228" s="10" t="s">
        <v>1028</v>
      </c>
    </row>
    <row r="4229" spans="1:14" ht="22.5" customHeight="1">
      <c r="A4229" s="8">
        <v>46022.320445300924</v>
      </c>
      <c r="B4229" s="9" t="s">
        <v>14</v>
      </c>
      <c r="C4229" s="9" t="s">
        <v>15</v>
      </c>
      <c r="D4229" s="10" t="s">
        <v>9237</v>
      </c>
      <c r="E4229" s="9" t="s">
        <v>17</v>
      </c>
      <c r="F4229" s="10">
        <v>32</v>
      </c>
      <c r="G4229" s="11">
        <v>7062663917</v>
      </c>
      <c r="H4229" s="10" t="s">
        <v>9238</v>
      </c>
      <c r="I4229" s="10" t="s">
        <v>27</v>
      </c>
      <c r="J4229" s="10" t="s">
        <v>7759</v>
      </c>
      <c r="K4229" s="12">
        <v>46022</v>
      </c>
      <c r="L4229" s="28" t="s">
        <v>11</v>
      </c>
      <c r="M4229" s="14"/>
      <c r="N4229" s="10" t="s">
        <v>1028</v>
      </c>
    </row>
    <row r="4230" spans="1:14" ht="22.5" customHeight="1">
      <c r="A4230" s="8">
        <v>46022.330257905094</v>
      </c>
      <c r="B4230" s="9" t="s">
        <v>14</v>
      </c>
      <c r="C4230" s="9" t="s">
        <v>15</v>
      </c>
      <c r="D4230" s="10" t="s">
        <v>9239</v>
      </c>
      <c r="E4230" s="9" t="s">
        <v>17</v>
      </c>
      <c r="F4230" s="10">
        <v>25</v>
      </c>
      <c r="G4230" s="11">
        <v>8068871694</v>
      </c>
      <c r="H4230" s="10" t="s">
        <v>9240</v>
      </c>
      <c r="I4230" s="10" t="s">
        <v>27</v>
      </c>
      <c r="J4230" s="10" t="s">
        <v>2105</v>
      </c>
      <c r="K4230" s="12">
        <v>46022</v>
      </c>
      <c r="L4230" s="28" t="s">
        <v>11</v>
      </c>
      <c r="M4230" s="14"/>
      <c r="N4230" s="10" t="s">
        <v>1028</v>
      </c>
    </row>
    <row r="4231" spans="1:14" ht="22.5" customHeight="1">
      <c r="A4231" s="8">
        <v>46022.330408113427</v>
      </c>
      <c r="B4231" s="9" t="s">
        <v>14</v>
      </c>
      <c r="C4231" s="9" t="s">
        <v>15</v>
      </c>
      <c r="D4231" s="10" t="s">
        <v>9241</v>
      </c>
      <c r="E4231" s="9" t="s">
        <v>17</v>
      </c>
      <c r="F4231" s="10">
        <v>34</v>
      </c>
      <c r="G4231" s="11">
        <v>8074755854</v>
      </c>
      <c r="H4231" s="10" t="s">
        <v>9242</v>
      </c>
      <c r="I4231" s="10" t="s">
        <v>45</v>
      </c>
      <c r="J4231" s="10" t="s">
        <v>2072</v>
      </c>
      <c r="K4231" s="12">
        <v>46022</v>
      </c>
      <c r="L4231" s="28" t="s">
        <v>11</v>
      </c>
      <c r="M4231" s="14"/>
      <c r="N4231" s="10" t="s">
        <v>1028</v>
      </c>
    </row>
    <row r="4232" spans="1:14" ht="22.5" customHeight="1">
      <c r="A4232" s="8">
        <v>46022.330636307874</v>
      </c>
      <c r="B4232" s="9" t="s">
        <v>14</v>
      </c>
      <c r="C4232" s="9" t="s">
        <v>15</v>
      </c>
      <c r="D4232" s="10" t="s">
        <v>9243</v>
      </c>
      <c r="E4232" s="9" t="s">
        <v>22</v>
      </c>
      <c r="F4232" s="10">
        <v>26</v>
      </c>
      <c r="G4232" s="11">
        <v>7048191555</v>
      </c>
      <c r="H4232" s="10" t="s">
        <v>9244</v>
      </c>
      <c r="I4232" s="10" t="s">
        <v>27</v>
      </c>
      <c r="J4232" s="10" t="s">
        <v>70</v>
      </c>
      <c r="K4232" s="12">
        <v>46022</v>
      </c>
      <c r="L4232" s="28" t="s">
        <v>11</v>
      </c>
      <c r="M4232" s="14"/>
      <c r="N4232" s="10" t="s">
        <v>1035</v>
      </c>
    </row>
    <row r="4233" spans="1:14" ht="22.5" customHeight="1">
      <c r="A4233" s="8">
        <v>46022.33235420139</v>
      </c>
      <c r="B4233" s="9" t="s">
        <v>14</v>
      </c>
      <c r="C4233" s="9" t="s">
        <v>15</v>
      </c>
      <c r="D4233" s="10" t="s">
        <v>9245</v>
      </c>
      <c r="E4233" s="9" t="s">
        <v>17</v>
      </c>
      <c r="F4233" s="10">
        <v>28</v>
      </c>
      <c r="G4233" s="11">
        <v>9133743591</v>
      </c>
      <c r="H4233" s="10" t="s">
        <v>9246</v>
      </c>
      <c r="I4233" s="10" t="s">
        <v>19</v>
      </c>
      <c r="J4233" s="10" t="s">
        <v>9247</v>
      </c>
      <c r="K4233" s="12">
        <v>46022</v>
      </c>
      <c r="L4233" s="28" t="s">
        <v>11</v>
      </c>
      <c r="M4233" s="14"/>
      <c r="N4233" s="10" t="s">
        <v>1028</v>
      </c>
    </row>
    <row r="4234" spans="1:14" ht="22.5" customHeight="1">
      <c r="A4234" s="8">
        <v>46022.333986458332</v>
      </c>
      <c r="B4234" s="9" t="s">
        <v>14</v>
      </c>
      <c r="C4234" s="9" t="s">
        <v>15</v>
      </c>
      <c r="D4234" s="10" t="s">
        <v>9248</v>
      </c>
      <c r="E4234" s="9" t="s">
        <v>22</v>
      </c>
      <c r="F4234" s="10">
        <v>25</v>
      </c>
      <c r="G4234" s="11">
        <v>8034457185</v>
      </c>
      <c r="H4234" s="10" t="s">
        <v>9249</v>
      </c>
      <c r="I4234" s="10" t="s">
        <v>27</v>
      </c>
      <c r="J4234" s="10" t="s">
        <v>9250</v>
      </c>
      <c r="K4234" s="12">
        <v>46023</v>
      </c>
      <c r="L4234" s="28" t="s">
        <v>11</v>
      </c>
      <c r="M4234" s="14"/>
      <c r="N4234" s="10" t="s">
        <v>1028</v>
      </c>
    </row>
    <row r="4235" spans="1:14" ht="22.5" customHeight="1">
      <c r="A4235" s="8">
        <v>46022.33643998843</v>
      </c>
      <c r="B4235" s="9" t="s">
        <v>14</v>
      </c>
      <c r="C4235" s="9" t="s">
        <v>15</v>
      </c>
      <c r="D4235" s="10" t="s">
        <v>9251</v>
      </c>
      <c r="E4235" s="9" t="s">
        <v>17</v>
      </c>
      <c r="F4235" s="10">
        <v>30</v>
      </c>
      <c r="G4235" s="11">
        <v>9077561811</v>
      </c>
      <c r="H4235" s="10" t="s">
        <v>9252</v>
      </c>
      <c r="I4235" s="10" t="s">
        <v>27</v>
      </c>
      <c r="J4235" s="10" t="s">
        <v>94</v>
      </c>
      <c r="K4235" s="12">
        <v>46022</v>
      </c>
      <c r="L4235" s="28" t="s">
        <v>11</v>
      </c>
      <c r="M4235" s="14"/>
      <c r="N4235" s="10" t="s">
        <v>1096</v>
      </c>
    </row>
    <row r="4236" spans="1:14" ht="22.5" customHeight="1">
      <c r="A4236" s="8">
        <v>46022.337163599535</v>
      </c>
      <c r="B4236" s="9" t="s">
        <v>14</v>
      </c>
      <c r="C4236" s="9" t="s">
        <v>15</v>
      </c>
      <c r="D4236" s="10" t="s">
        <v>9253</v>
      </c>
      <c r="E4236" s="9" t="s">
        <v>17</v>
      </c>
      <c r="F4236" s="10">
        <v>34</v>
      </c>
      <c r="G4236" s="11">
        <v>8030660337</v>
      </c>
      <c r="H4236" s="10" t="s">
        <v>9254</v>
      </c>
      <c r="I4236" s="10" t="s">
        <v>27</v>
      </c>
      <c r="J4236" s="10" t="s">
        <v>8877</v>
      </c>
      <c r="K4236" s="12">
        <v>46022</v>
      </c>
      <c r="L4236" s="28" t="s">
        <v>11</v>
      </c>
      <c r="M4236" s="10"/>
      <c r="N4236" s="10" t="s">
        <v>1028</v>
      </c>
    </row>
    <row r="4237" spans="1:14" ht="22.5" customHeight="1">
      <c r="A4237" s="8">
        <v>46022.343992731483</v>
      </c>
      <c r="B4237" s="9" t="s">
        <v>14</v>
      </c>
      <c r="C4237" s="9" t="s">
        <v>15</v>
      </c>
      <c r="D4237" s="10" t="s">
        <v>9255</v>
      </c>
      <c r="E4237" s="9" t="s">
        <v>17</v>
      </c>
      <c r="F4237" s="10">
        <v>34</v>
      </c>
      <c r="G4237" s="11">
        <v>8065576152</v>
      </c>
      <c r="H4237" s="10" t="s">
        <v>9256</v>
      </c>
      <c r="I4237" s="10" t="s">
        <v>27</v>
      </c>
      <c r="J4237" s="10" t="s">
        <v>703</v>
      </c>
      <c r="K4237" s="12">
        <v>46022</v>
      </c>
      <c r="L4237" s="28" t="s">
        <v>11</v>
      </c>
      <c r="M4237" s="14"/>
      <c r="N4237" s="10" t="s">
        <v>9257</v>
      </c>
    </row>
    <row r="4238" spans="1:14" ht="22.5" customHeight="1">
      <c r="A4238" s="8">
        <v>46022.345535821762</v>
      </c>
      <c r="B4238" s="9" t="s">
        <v>14</v>
      </c>
      <c r="C4238" s="9" t="s">
        <v>15</v>
      </c>
      <c r="D4238" s="10" t="s">
        <v>9258</v>
      </c>
      <c r="E4238" s="9" t="s">
        <v>17</v>
      </c>
      <c r="F4238" s="10">
        <v>27</v>
      </c>
      <c r="G4238" s="11">
        <v>9035355327</v>
      </c>
      <c r="H4238" s="10" t="s">
        <v>9259</v>
      </c>
      <c r="I4238" s="10" t="s">
        <v>27</v>
      </c>
      <c r="J4238" s="10" t="s">
        <v>1949</v>
      </c>
      <c r="K4238" s="12">
        <v>46022</v>
      </c>
      <c r="L4238" s="28" t="s">
        <v>11</v>
      </c>
      <c r="M4238" s="14"/>
      <c r="N4238" s="10" t="s">
        <v>1028</v>
      </c>
    </row>
    <row r="4239" spans="1:14" ht="22.5" customHeight="1">
      <c r="A4239" s="8">
        <v>46022.349299918977</v>
      </c>
      <c r="B4239" s="9" t="s">
        <v>14</v>
      </c>
      <c r="C4239" s="9" t="s">
        <v>15</v>
      </c>
      <c r="D4239" s="10" t="s">
        <v>9260</v>
      </c>
      <c r="E4239" s="9" t="s">
        <v>22</v>
      </c>
      <c r="F4239" s="10">
        <v>27</v>
      </c>
      <c r="G4239" s="11">
        <v>8127288556</v>
      </c>
      <c r="H4239" s="10" t="s">
        <v>9261</v>
      </c>
      <c r="I4239" s="10" t="s">
        <v>27</v>
      </c>
      <c r="J4239" s="10" t="s">
        <v>94</v>
      </c>
      <c r="K4239" s="12">
        <v>46022</v>
      </c>
      <c r="L4239" s="28" t="s">
        <v>11</v>
      </c>
      <c r="M4239" s="14"/>
      <c r="N4239" s="10" t="s">
        <v>1028</v>
      </c>
    </row>
    <row r="4240" spans="1:14" ht="22.5" customHeight="1">
      <c r="A4240" s="8">
        <v>46022.349523900462</v>
      </c>
      <c r="B4240" s="9" t="s">
        <v>14</v>
      </c>
      <c r="C4240" s="9" t="s">
        <v>15</v>
      </c>
      <c r="D4240" s="10" t="s">
        <v>9262</v>
      </c>
      <c r="E4240" s="9" t="s">
        <v>17</v>
      </c>
      <c r="F4240" s="10">
        <v>31</v>
      </c>
      <c r="G4240" s="11">
        <v>9044047527</v>
      </c>
      <c r="H4240" s="10" t="s">
        <v>9263</v>
      </c>
      <c r="I4240" s="10" t="s">
        <v>45</v>
      </c>
      <c r="J4240" s="10" t="s">
        <v>339</v>
      </c>
      <c r="K4240" s="12">
        <v>46022</v>
      </c>
      <c r="L4240" s="28" t="s">
        <v>11</v>
      </c>
      <c r="M4240" s="14"/>
      <c r="N4240" s="10" t="s">
        <v>1096</v>
      </c>
    </row>
    <row r="4241" spans="1:14" ht="22.5" customHeight="1">
      <c r="A4241" s="8">
        <v>46022.351069317127</v>
      </c>
      <c r="B4241" s="9" t="s">
        <v>14</v>
      </c>
      <c r="C4241" s="9" t="s">
        <v>15</v>
      </c>
      <c r="D4241" s="10" t="s">
        <v>9264</v>
      </c>
      <c r="E4241" s="9" t="s">
        <v>17</v>
      </c>
      <c r="F4241" s="10">
        <v>42</v>
      </c>
      <c r="G4241" s="11">
        <v>8034790688</v>
      </c>
      <c r="H4241" s="10" t="s">
        <v>9265</v>
      </c>
      <c r="I4241" s="10" t="s">
        <v>27</v>
      </c>
      <c r="J4241" s="10" t="s">
        <v>42</v>
      </c>
      <c r="K4241" s="12">
        <v>46022</v>
      </c>
      <c r="L4241" s="28" t="s">
        <v>11</v>
      </c>
      <c r="M4241" s="10"/>
      <c r="N4241" s="10" t="s">
        <v>1096</v>
      </c>
    </row>
    <row r="4242" spans="1:14" ht="22.5" customHeight="1">
      <c r="A4242" s="8">
        <v>46022.351486087966</v>
      </c>
      <c r="B4242" s="9" t="s">
        <v>14</v>
      </c>
      <c r="C4242" s="9" t="s">
        <v>15</v>
      </c>
      <c r="D4242" s="10" t="s">
        <v>9266</v>
      </c>
      <c r="E4242" s="9" t="s">
        <v>17</v>
      </c>
      <c r="F4242" s="10">
        <v>25</v>
      </c>
      <c r="G4242" s="11">
        <v>8083895688</v>
      </c>
      <c r="H4242" s="10" t="s">
        <v>9267</v>
      </c>
      <c r="I4242" s="10" t="s">
        <v>19</v>
      </c>
      <c r="J4242" s="10" t="s">
        <v>9268</v>
      </c>
      <c r="K4242" s="12">
        <v>46022</v>
      </c>
      <c r="L4242" s="28" t="s">
        <v>11</v>
      </c>
      <c r="M4242" s="14"/>
      <c r="N4242" s="10" t="s">
        <v>1096</v>
      </c>
    </row>
    <row r="4243" spans="1:14" ht="22.5" customHeight="1">
      <c r="A4243" s="8">
        <v>46022.351487118052</v>
      </c>
      <c r="B4243" s="9" t="s">
        <v>14</v>
      </c>
      <c r="C4243" s="9" t="s">
        <v>15</v>
      </c>
      <c r="D4243" s="10" t="s">
        <v>9269</v>
      </c>
      <c r="E4243" s="9" t="s">
        <v>17</v>
      </c>
      <c r="F4243" s="10">
        <v>34</v>
      </c>
      <c r="G4243" s="11">
        <v>8138174906</v>
      </c>
      <c r="H4243" s="10" t="s">
        <v>9270</v>
      </c>
      <c r="I4243" s="10" t="s">
        <v>45</v>
      </c>
      <c r="J4243" s="10" t="s">
        <v>1919</v>
      </c>
      <c r="K4243" s="12">
        <v>46022</v>
      </c>
      <c r="L4243" s="28" t="s">
        <v>11</v>
      </c>
      <c r="M4243" s="14"/>
      <c r="N4243" s="10" t="s">
        <v>1028</v>
      </c>
    </row>
    <row r="4244" spans="1:14" ht="22.5" customHeight="1">
      <c r="A4244" s="8">
        <v>46022.352248252311</v>
      </c>
      <c r="B4244" s="9" t="s">
        <v>14</v>
      </c>
      <c r="C4244" s="9" t="s">
        <v>15</v>
      </c>
      <c r="D4244" s="10" t="s">
        <v>9271</v>
      </c>
      <c r="E4244" s="9" t="s">
        <v>22</v>
      </c>
      <c r="F4244" s="10">
        <v>29</v>
      </c>
      <c r="G4244" s="11">
        <v>9036148721</v>
      </c>
      <c r="H4244" s="10" t="s">
        <v>9272</v>
      </c>
      <c r="I4244" s="10" t="s">
        <v>27</v>
      </c>
      <c r="J4244" s="10" t="s">
        <v>9273</v>
      </c>
      <c r="K4244" s="12">
        <v>35346</v>
      </c>
      <c r="L4244" s="28" t="s">
        <v>11</v>
      </c>
      <c r="M4244" s="14"/>
      <c r="N4244" s="10" t="s">
        <v>1028</v>
      </c>
    </row>
    <row r="4245" spans="1:14" ht="22.5" customHeight="1">
      <c r="A4245" s="8">
        <v>46022.352650613422</v>
      </c>
      <c r="B4245" s="9" t="s">
        <v>14</v>
      </c>
      <c r="C4245" s="9" t="s">
        <v>15</v>
      </c>
      <c r="D4245" s="10" t="s">
        <v>9274</v>
      </c>
      <c r="E4245" s="9" t="s">
        <v>17</v>
      </c>
      <c r="F4245" s="10">
        <v>39</v>
      </c>
      <c r="G4245" s="11">
        <v>7065902939</v>
      </c>
      <c r="H4245" s="10" t="s">
        <v>9275</v>
      </c>
      <c r="I4245" s="10" t="s">
        <v>49</v>
      </c>
      <c r="J4245" s="10" t="s">
        <v>229</v>
      </c>
      <c r="K4245" s="12">
        <v>46022</v>
      </c>
      <c r="L4245" s="28" t="s">
        <v>11</v>
      </c>
      <c r="M4245" s="14"/>
      <c r="N4245" s="10" t="s">
        <v>1028</v>
      </c>
    </row>
    <row r="4246" spans="1:14" ht="22.5" customHeight="1">
      <c r="A4246" s="8">
        <v>46022.353236712966</v>
      </c>
      <c r="B4246" s="9" t="s">
        <v>14</v>
      </c>
      <c r="C4246" s="9" t="s">
        <v>15</v>
      </c>
      <c r="D4246" s="10" t="s">
        <v>9276</v>
      </c>
      <c r="E4246" s="9" t="s">
        <v>17</v>
      </c>
      <c r="F4246" s="10">
        <v>25</v>
      </c>
      <c r="G4246" s="11">
        <v>8149364516</v>
      </c>
      <c r="H4246" s="10" t="s">
        <v>9277</v>
      </c>
      <c r="I4246" s="10" t="s">
        <v>27</v>
      </c>
      <c r="J4246" s="10" t="s">
        <v>703</v>
      </c>
      <c r="K4246" s="12">
        <v>46022</v>
      </c>
      <c r="L4246" s="28" t="s">
        <v>11</v>
      </c>
      <c r="M4246" s="14"/>
      <c r="N4246" s="10" t="s">
        <v>1028</v>
      </c>
    </row>
    <row r="4247" spans="1:14" ht="22.5" customHeight="1">
      <c r="A4247" s="8">
        <v>46022.353432511576</v>
      </c>
      <c r="B4247" s="9" t="s">
        <v>14</v>
      </c>
      <c r="C4247" s="9" t="s">
        <v>15</v>
      </c>
      <c r="D4247" s="10" t="s">
        <v>9278</v>
      </c>
      <c r="E4247" s="9" t="s">
        <v>22</v>
      </c>
      <c r="F4247" s="10">
        <v>34</v>
      </c>
      <c r="G4247" s="11">
        <v>8165731662</v>
      </c>
      <c r="H4247" s="10" t="s">
        <v>9279</v>
      </c>
      <c r="I4247" s="10" t="s">
        <v>27</v>
      </c>
      <c r="J4247" s="10" t="s">
        <v>172</v>
      </c>
      <c r="K4247" s="12">
        <v>46022</v>
      </c>
      <c r="L4247" s="28" t="s">
        <v>11</v>
      </c>
      <c r="M4247" s="14"/>
      <c r="N4247" s="10" t="s">
        <v>1028</v>
      </c>
    </row>
    <row r="4248" spans="1:14" ht="22.5" customHeight="1">
      <c r="A4248" s="8">
        <v>46022.353608969905</v>
      </c>
      <c r="B4248" s="9" t="s">
        <v>14</v>
      </c>
      <c r="C4248" s="9" t="s">
        <v>15</v>
      </c>
      <c r="D4248" s="10" t="s">
        <v>9280</v>
      </c>
      <c r="E4248" s="9" t="s">
        <v>17</v>
      </c>
      <c r="F4248" s="10">
        <v>27</v>
      </c>
      <c r="G4248" s="11">
        <v>7081278123</v>
      </c>
      <c r="H4248" s="10" t="s">
        <v>9281</v>
      </c>
      <c r="I4248" s="10" t="s">
        <v>27</v>
      </c>
      <c r="J4248" s="10" t="s">
        <v>94</v>
      </c>
      <c r="K4248" s="12">
        <v>46022</v>
      </c>
      <c r="L4248" s="28" t="s">
        <v>11</v>
      </c>
      <c r="M4248" s="14"/>
      <c r="N4248" s="10" t="s">
        <v>1096</v>
      </c>
    </row>
    <row r="4249" spans="1:14" ht="22.5" customHeight="1">
      <c r="A4249" s="8">
        <v>46022.353954328704</v>
      </c>
      <c r="B4249" s="9" t="s">
        <v>14</v>
      </c>
      <c r="C4249" s="9" t="s">
        <v>15</v>
      </c>
      <c r="D4249" s="10" t="s">
        <v>1622</v>
      </c>
      <c r="E4249" s="9" t="s">
        <v>17</v>
      </c>
      <c r="F4249" s="10">
        <v>28</v>
      </c>
      <c r="G4249" s="11">
        <v>7034630881</v>
      </c>
      <c r="H4249" s="10" t="s">
        <v>9282</v>
      </c>
      <c r="I4249" s="10" t="s">
        <v>49</v>
      </c>
      <c r="J4249" s="10" t="s">
        <v>208</v>
      </c>
      <c r="K4249" s="12">
        <v>46022</v>
      </c>
      <c r="L4249" s="28" t="s">
        <v>11</v>
      </c>
      <c r="M4249" s="14"/>
      <c r="N4249" s="10" t="s">
        <v>1028</v>
      </c>
    </row>
    <row r="4250" spans="1:14" ht="22.5" customHeight="1">
      <c r="A4250" s="8">
        <v>46022.354825856484</v>
      </c>
      <c r="B4250" s="9" t="s">
        <v>14</v>
      </c>
      <c r="C4250" s="9" t="s">
        <v>15</v>
      </c>
      <c r="D4250" s="10" t="s">
        <v>9283</v>
      </c>
      <c r="E4250" s="9" t="s">
        <v>17</v>
      </c>
      <c r="F4250" s="10">
        <v>27</v>
      </c>
      <c r="G4250" s="11">
        <v>9039492670</v>
      </c>
      <c r="H4250" s="10" t="s">
        <v>9284</v>
      </c>
      <c r="I4250" s="10" t="s">
        <v>45</v>
      </c>
      <c r="J4250" s="10" t="s">
        <v>339</v>
      </c>
      <c r="K4250" s="12">
        <v>46022</v>
      </c>
      <c r="L4250" s="28" t="s">
        <v>11</v>
      </c>
      <c r="M4250" s="14"/>
      <c r="N4250" s="10" t="s">
        <v>9285</v>
      </c>
    </row>
    <row r="4251" spans="1:14" ht="22.5" customHeight="1">
      <c r="A4251" s="8">
        <v>46022.355390625002</v>
      </c>
      <c r="B4251" s="9" t="s">
        <v>14</v>
      </c>
      <c r="C4251" s="9" t="s">
        <v>15</v>
      </c>
      <c r="D4251" s="10" t="s">
        <v>9286</v>
      </c>
      <c r="E4251" s="9" t="s">
        <v>22</v>
      </c>
      <c r="F4251" s="10">
        <v>22</v>
      </c>
      <c r="G4251" s="11">
        <v>9034324519</v>
      </c>
      <c r="H4251" s="10" t="s">
        <v>9287</v>
      </c>
      <c r="I4251" s="10" t="s">
        <v>27</v>
      </c>
      <c r="J4251" s="10" t="s">
        <v>9288</v>
      </c>
      <c r="K4251" s="12">
        <v>46022</v>
      </c>
      <c r="L4251" s="28" t="s">
        <v>11</v>
      </c>
      <c r="M4251" s="10"/>
      <c r="N4251" s="10" t="s">
        <v>1209</v>
      </c>
    </row>
    <row r="4252" spans="1:14" ht="22.5" customHeight="1">
      <c r="A4252" s="8">
        <v>46022.357389247685</v>
      </c>
      <c r="B4252" s="9" t="s">
        <v>14</v>
      </c>
      <c r="C4252" s="9" t="s">
        <v>15</v>
      </c>
      <c r="D4252" s="10" t="s">
        <v>9289</v>
      </c>
      <c r="E4252" s="9" t="s">
        <v>17</v>
      </c>
      <c r="F4252" s="10">
        <v>34</v>
      </c>
      <c r="G4252" s="11">
        <v>8132424768</v>
      </c>
      <c r="H4252" s="10" t="s">
        <v>9290</v>
      </c>
      <c r="I4252" s="10" t="s">
        <v>45</v>
      </c>
      <c r="J4252" s="10" t="s">
        <v>46</v>
      </c>
      <c r="K4252" s="12">
        <v>46022</v>
      </c>
      <c r="L4252" s="28" t="s">
        <v>11</v>
      </c>
      <c r="M4252" s="14"/>
      <c r="N4252" s="10" t="s">
        <v>1028</v>
      </c>
    </row>
    <row r="4253" spans="1:14" ht="22.5" customHeight="1">
      <c r="A4253" s="8">
        <v>46022.357481157407</v>
      </c>
      <c r="B4253" s="9" t="s">
        <v>14</v>
      </c>
      <c r="C4253" s="9" t="s">
        <v>15</v>
      </c>
      <c r="D4253" s="10" t="s">
        <v>9291</v>
      </c>
      <c r="E4253" s="9" t="s">
        <v>17</v>
      </c>
      <c r="F4253" s="10">
        <v>30</v>
      </c>
      <c r="G4253" s="11">
        <v>8166344501</v>
      </c>
      <c r="H4253" s="10" t="s">
        <v>9292</v>
      </c>
      <c r="I4253" s="10" t="s">
        <v>49</v>
      </c>
      <c r="J4253" s="10" t="s">
        <v>50</v>
      </c>
      <c r="K4253" s="12">
        <v>46022</v>
      </c>
      <c r="L4253" s="28" t="s">
        <v>11</v>
      </c>
      <c r="M4253" s="14"/>
      <c r="N4253" s="10" t="s">
        <v>1028</v>
      </c>
    </row>
    <row r="4254" spans="1:14" ht="22.5" customHeight="1">
      <c r="A4254" s="8">
        <v>46022.357772997682</v>
      </c>
      <c r="B4254" s="9" t="s">
        <v>14</v>
      </c>
      <c r="C4254" s="9" t="s">
        <v>15</v>
      </c>
      <c r="D4254" s="10" t="s">
        <v>9293</v>
      </c>
      <c r="E4254" s="9" t="s">
        <v>17</v>
      </c>
      <c r="F4254" s="10">
        <v>20</v>
      </c>
      <c r="G4254" s="11">
        <v>8106456362</v>
      </c>
      <c r="H4254" s="10" t="s">
        <v>9294</v>
      </c>
      <c r="I4254" s="10" t="s">
        <v>27</v>
      </c>
      <c r="J4254" s="10" t="s">
        <v>53</v>
      </c>
      <c r="K4254" s="12">
        <v>46022</v>
      </c>
      <c r="L4254" s="28" t="s">
        <v>11</v>
      </c>
      <c r="M4254" s="14"/>
      <c r="N4254" s="10" t="s">
        <v>1096</v>
      </c>
    </row>
    <row r="4255" spans="1:14" ht="22.5" hidden="1" customHeight="1">
      <c r="A4255" s="8">
        <v>46022.359028993058</v>
      </c>
      <c r="B4255" s="9" t="s">
        <v>14</v>
      </c>
      <c r="C4255" s="9" t="s">
        <v>15</v>
      </c>
      <c r="D4255" s="10" t="s">
        <v>9295</v>
      </c>
      <c r="E4255" s="9" t="s">
        <v>17</v>
      </c>
      <c r="F4255" s="10">
        <v>36</v>
      </c>
      <c r="G4255" s="11">
        <v>7030936666</v>
      </c>
      <c r="H4255" s="10" t="s">
        <v>9296</v>
      </c>
      <c r="I4255" s="10" t="s">
        <v>19</v>
      </c>
      <c r="J4255" s="10" t="s">
        <v>20</v>
      </c>
      <c r="K4255" s="12">
        <v>46022</v>
      </c>
      <c r="L4255" s="10" t="s">
        <v>441</v>
      </c>
      <c r="M4255" s="10" t="s">
        <v>1827</v>
      </c>
      <c r="N4255" s="10" t="s">
        <v>1096</v>
      </c>
    </row>
    <row r="4256" spans="1:14" ht="22.5" customHeight="1">
      <c r="A4256" s="8">
        <v>46022.362604791662</v>
      </c>
      <c r="B4256" s="9" t="s">
        <v>14</v>
      </c>
      <c r="C4256" s="9" t="s">
        <v>15</v>
      </c>
      <c r="D4256" s="10" t="s">
        <v>9297</v>
      </c>
      <c r="E4256" s="9" t="s">
        <v>22</v>
      </c>
      <c r="F4256" s="10">
        <v>35</v>
      </c>
      <c r="G4256" s="11">
        <v>7036944757</v>
      </c>
      <c r="H4256" s="10" t="s">
        <v>9298</v>
      </c>
      <c r="I4256" s="10" t="s">
        <v>49</v>
      </c>
      <c r="J4256" s="10" t="s">
        <v>181</v>
      </c>
      <c r="K4256" s="12">
        <v>46022</v>
      </c>
      <c r="L4256" s="28" t="s">
        <v>11</v>
      </c>
      <c r="M4256" s="14"/>
      <c r="N4256" s="10" t="s">
        <v>1028</v>
      </c>
    </row>
    <row r="4257" spans="1:14" ht="22.5" customHeight="1">
      <c r="A4257" s="8">
        <v>46022.36368174768</v>
      </c>
      <c r="B4257" s="9" t="s">
        <v>14</v>
      </c>
      <c r="C4257" s="9" t="s">
        <v>15</v>
      </c>
      <c r="D4257" s="10" t="s">
        <v>9299</v>
      </c>
      <c r="E4257" s="9" t="s">
        <v>17</v>
      </c>
      <c r="F4257" s="10">
        <v>33</v>
      </c>
      <c r="G4257" s="11">
        <v>8034905839</v>
      </c>
      <c r="H4257" s="10" t="s">
        <v>9300</v>
      </c>
      <c r="I4257" s="10" t="s">
        <v>45</v>
      </c>
      <c r="J4257" s="10" t="s">
        <v>122</v>
      </c>
      <c r="K4257" s="12">
        <v>46022</v>
      </c>
      <c r="L4257" s="28" t="s">
        <v>11</v>
      </c>
      <c r="M4257" s="14"/>
      <c r="N4257" s="10" t="s">
        <v>1028</v>
      </c>
    </row>
    <row r="4258" spans="1:14" ht="22.5" customHeight="1">
      <c r="A4258" s="8">
        <v>46022.36623240741</v>
      </c>
      <c r="B4258" s="9" t="s">
        <v>14</v>
      </c>
      <c r="C4258" s="9" t="s">
        <v>15</v>
      </c>
      <c r="D4258" s="10" t="s">
        <v>9301</v>
      </c>
      <c r="E4258" s="9" t="s">
        <v>22</v>
      </c>
      <c r="F4258" s="10">
        <v>33</v>
      </c>
      <c r="G4258" s="11">
        <v>8137868801</v>
      </c>
      <c r="H4258" s="10" t="s">
        <v>9302</v>
      </c>
      <c r="I4258" s="10" t="s">
        <v>49</v>
      </c>
      <c r="J4258" s="10" t="s">
        <v>106</v>
      </c>
      <c r="K4258" s="12">
        <v>46022</v>
      </c>
      <c r="L4258" s="28" t="s">
        <v>11</v>
      </c>
      <c r="M4258" s="14"/>
      <c r="N4258" s="10" t="s">
        <v>1028</v>
      </c>
    </row>
    <row r="4259" spans="1:14" ht="22.5" customHeight="1">
      <c r="A4259" s="8">
        <v>46022.367425648146</v>
      </c>
      <c r="B4259" s="9" t="s">
        <v>14</v>
      </c>
      <c r="C4259" s="9" t="s">
        <v>15</v>
      </c>
      <c r="D4259" s="10" t="s">
        <v>9303</v>
      </c>
      <c r="E4259" s="9" t="s">
        <v>17</v>
      </c>
      <c r="F4259" s="10">
        <v>35</v>
      </c>
      <c r="G4259" s="11">
        <v>8036595994</v>
      </c>
      <c r="H4259" s="10" t="s">
        <v>9304</v>
      </c>
      <c r="I4259" s="10" t="s">
        <v>27</v>
      </c>
      <c r="J4259" s="10" t="s">
        <v>1514</v>
      </c>
      <c r="K4259" s="12">
        <v>46022</v>
      </c>
      <c r="L4259" s="28" t="s">
        <v>11</v>
      </c>
      <c r="M4259" s="14"/>
      <c r="N4259" s="10" t="s">
        <v>1028</v>
      </c>
    </row>
    <row r="4260" spans="1:14" ht="22.5" customHeight="1">
      <c r="A4260" s="8">
        <v>46022.36785278935</v>
      </c>
      <c r="B4260" s="9" t="s">
        <v>14</v>
      </c>
      <c r="C4260" s="9" t="s">
        <v>15</v>
      </c>
      <c r="D4260" s="10" t="s">
        <v>9305</v>
      </c>
      <c r="E4260" s="9" t="s">
        <v>17</v>
      </c>
      <c r="F4260" s="10">
        <v>32</v>
      </c>
      <c r="G4260" s="11">
        <v>8038376191</v>
      </c>
      <c r="H4260" s="10" t="s">
        <v>9306</v>
      </c>
      <c r="I4260" s="10" t="s">
        <v>49</v>
      </c>
      <c r="J4260" s="10" t="s">
        <v>303</v>
      </c>
      <c r="K4260" s="12">
        <v>46022</v>
      </c>
      <c r="L4260" s="28" t="s">
        <v>11</v>
      </c>
      <c r="M4260" s="14"/>
      <c r="N4260" s="10" t="s">
        <v>1028</v>
      </c>
    </row>
    <row r="4261" spans="1:14" ht="22.5" customHeight="1">
      <c r="A4261" s="8">
        <v>46022.370856527778</v>
      </c>
      <c r="B4261" s="9" t="s">
        <v>14</v>
      </c>
      <c r="C4261" s="9" t="s">
        <v>15</v>
      </c>
      <c r="D4261" s="10" t="s">
        <v>9307</v>
      </c>
      <c r="E4261" s="9" t="s">
        <v>17</v>
      </c>
      <c r="F4261" s="10">
        <v>28</v>
      </c>
      <c r="G4261" s="11">
        <v>7087691223</v>
      </c>
      <c r="H4261" s="10" t="s">
        <v>9308</v>
      </c>
      <c r="I4261" s="10" t="s">
        <v>27</v>
      </c>
      <c r="J4261" s="10" t="s">
        <v>67</v>
      </c>
      <c r="K4261" s="12">
        <v>46022</v>
      </c>
      <c r="L4261" s="28" t="s">
        <v>11</v>
      </c>
      <c r="M4261" s="14"/>
      <c r="N4261" s="10" t="s">
        <v>1028</v>
      </c>
    </row>
    <row r="4262" spans="1:14" ht="22.5" customHeight="1">
      <c r="A4262" s="8">
        <v>46022.370974965277</v>
      </c>
      <c r="B4262" s="9" t="s">
        <v>14</v>
      </c>
      <c r="C4262" s="9" t="s">
        <v>15</v>
      </c>
      <c r="D4262" s="10" t="s">
        <v>9309</v>
      </c>
      <c r="E4262" s="9" t="s">
        <v>17</v>
      </c>
      <c r="F4262" s="10">
        <v>33</v>
      </c>
      <c r="G4262" s="11">
        <v>7033310180</v>
      </c>
      <c r="H4262" s="10" t="s">
        <v>9310</v>
      </c>
      <c r="I4262" s="10" t="s">
        <v>49</v>
      </c>
      <c r="J4262" s="10" t="s">
        <v>606</v>
      </c>
      <c r="K4262" s="12">
        <v>46022</v>
      </c>
      <c r="L4262" s="28" t="s">
        <v>11</v>
      </c>
      <c r="M4262" s="14"/>
      <c r="N4262" s="10" t="s">
        <v>1028</v>
      </c>
    </row>
    <row r="4263" spans="1:14" ht="22.5" customHeight="1">
      <c r="A4263" s="8">
        <v>46022.374363287032</v>
      </c>
      <c r="B4263" s="9" t="s">
        <v>14</v>
      </c>
      <c r="C4263" s="9" t="s">
        <v>15</v>
      </c>
      <c r="D4263" s="10" t="s">
        <v>4747</v>
      </c>
      <c r="E4263" s="9" t="s">
        <v>17</v>
      </c>
      <c r="F4263" s="10">
        <v>28</v>
      </c>
      <c r="G4263" s="11">
        <v>8108556374</v>
      </c>
      <c r="H4263" s="10" t="s">
        <v>9311</v>
      </c>
      <c r="I4263" s="10" t="s">
        <v>27</v>
      </c>
      <c r="J4263" s="10" t="s">
        <v>27</v>
      </c>
      <c r="K4263" s="12">
        <v>35431</v>
      </c>
      <c r="L4263" s="28" t="s">
        <v>11</v>
      </c>
      <c r="M4263" s="14"/>
      <c r="N4263" s="10" t="s">
        <v>1028</v>
      </c>
    </row>
    <row r="4264" spans="1:14" ht="22.5" customHeight="1">
      <c r="A4264" s="8">
        <v>46022.375405416664</v>
      </c>
      <c r="B4264" s="9" t="s">
        <v>14</v>
      </c>
      <c r="C4264" s="9" t="s">
        <v>15</v>
      </c>
      <c r="D4264" s="10" t="s">
        <v>9312</v>
      </c>
      <c r="E4264" s="9" t="s">
        <v>17</v>
      </c>
      <c r="F4264" s="10">
        <v>32</v>
      </c>
      <c r="G4264" s="11">
        <v>8135286566</v>
      </c>
      <c r="H4264" s="10" t="s">
        <v>9313</v>
      </c>
      <c r="I4264" s="10" t="s">
        <v>49</v>
      </c>
      <c r="J4264" s="10" t="s">
        <v>229</v>
      </c>
      <c r="K4264" s="12">
        <v>46022</v>
      </c>
      <c r="L4264" s="28" t="s">
        <v>11</v>
      </c>
      <c r="M4264" s="14"/>
      <c r="N4264" s="10" t="s">
        <v>1028</v>
      </c>
    </row>
    <row r="4265" spans="1:14" ht="22.5" customHeight="1">
      <c r="A4265" s="8">
        <v>46022.376586030092</v>
      </c>
      <c r="B4265" s="9" t="s">
        <v>14</v>
      </c>
      <c r="C4265" s="9" t="s">
        <v>15</v>
      </c>
      <c r="D4265" s="10" t="s">
        <v>9314</v>
      </c>
      <c r="E4265" s="9" t="s">
        <v>17</v>
      </c>
      <c r="F4265" s="10">
        <v>29</v>
      </c>
      <c r="G4265" s="11">
        <v>8164446974</v>
      </c>
      <c r="H4265" s="10" t="s">
        <v>9315</v>
      </c>
      <c r="I4265" s="10" t="s">
        <v>145</v>
      </c>
      <c r="J4265" s="10" t="s">
        <v>1717</v>
      </c>
      <c r="K4265" s="12">
        <v>46022</v>
      </c>
      <c r="L4265" s="28" t="s">
        <v>11</v>
      </c>
      <c r="M4265" s="14"/>
      <c r="N4265" s="10" t="s">
        <v>1096</v>
      </c>
    </row>
    <row r="4266" spans="1:14" ht="22.5" customHeight="1">
      <c r="A4266" s="8">
        <v>46022.37678017361</v>
      </c>
      <c r="B4266" s="9" t="s">
        <v>14</v>
      </c>
      <c r="C4266" s="9" t="s">
        <v>15</v>
      </c>
      <c r="D4266" s="10" t="s">
        <v>9316</v>
      </c>
      <c r="E4266" s="9" t="s">
        <v>17</v>
      </c>
      <c r="F4266" s="10">
        <v>19</v>
      </c>
      <c r="G4266" s="11">
        <v>8168880849</v>
      </c>
      <c r="H4266" s="10" t="s">
        <v>9317</v>
      </c>
      <c r="I4266" s="10" t="s">
        <v>49</v>
      </c>
      <c r="J4266" s="10" t="s">
        <v>50</v>
      </c>
      <c r="K4266" s="12">
        <v>46022</v>
      </c>
      <c r="L4266" s="28" t="s">
        <v>11</v>
      </c>
      <c r="M4266" s="14"/>
      <c r="N4266" s="10" t="s">
        <v>1028</v>
      </c>
    </row>
    <row r="4267" spans="1:14" ht="22.5" customHeight="1">
      <c r="A4267" s="8">
        <v>46022.379263298615</v>
      </c>
      <c r="B4267" s="9" t="s">
        <v>14</v>
      </c>
      <c r="C4267" s="9" t="s">
        <v>15</v>
      </c>
      <c r="D4267" s="10" t="s">
        <v>9318</v>
      </c>
      <c r="E4267" s="9" t="s">
        <v>17</v>
      </c>
      <c r="F4267" s="10">
        <v>25</v>
      </c>
      <c r="G4267" s="11">
        <v>8139333539</v>
      </c>
      <c r="H4267" s="10" t="s">
        <v>9319</v>
      </c>
      <c r="I4267" s="10" t="s">
        <v>49</v>
      </c>
      <c r="J4267" s="10" t="s">
        <v>50</v>
      </c>
      <c r="K4267" s="12">
        <v>46022</v>
      </c>
      <c r="L4267" s="28" t="s">
        <v>11</v>
      </c>
      <c r="M4267" s="14"/>
      <c r="N4267" s="10" t="s">
        <v>1035</v>
      </c>
    </row>
    <row r="4268" spans="1:14" ht="22.5" customHeight="1">
      <c r="A4268" s="8">
        <v>46022.380761099535</v>
      </c>
      <c r="B4268" s="9" t="s">
        <v>14</v>
      </c>
      <c r="C4268" s="9" t="s">
        <v>15</v>
      </c>
      <c r="D4268" s="10" t="s">
        <v>9320</v>
      </c>
      <c r="E4268" s="9" t="s">
        <v>17</v>
      </c>
      <c r="F4268" s="10">
        <v>24</v>
      </c>
      <c r="G4268" s="11">
        <f t="shared" ref="G4268" si="113">2348025687894</f>
        <v>2348025687894</v>
      </c>
      <c r="H4268" s="10" t="s">
        <v>9321</v>
      </c>
      <c r="I4268" s="10" t="s">
        <v>27</v>
      </c>
      <c r="J4268" s="10" t="s">
        <v>2858</v>
      </c>
      <c r="K4268" s="12">
        <v>46022</v>
      </c>
      <c r="L4268" s="28" t="s">
        <v>11</v>
      </c>
      <c r="M4268" s="14"/>
      <c r="N4268" s="10" t="s">
        <v>1028</v>
      </c>
    </row>
    <row r="4269" spans="1:14" ht="22.5" customHeight="1">
      <c r="A4269" s="8">
        <v>46022.381474085647</v>
      </c>
      <c r="B4269" s="9" t="s">
        <v>14</v>
      </c>
      <c r="C4269" s="9" t="s">
        <v>15</v>
      </c>
      <c r="D4269" s="10" t="s">
        <v>8518</v>
      </c>
      <c r="E4269" s="9" t="s">
        <v>22</v>
      </c>
      <c r="F4269" s="10">
        <v>23</v>
      </c>
      <c r="G4269" s="11">
        <v>8100469936</v>
      </c>
      <c r="H4269" s="10" t="s">
        <v>8519</v>
      </c>
      <c r="I4269" s="10" t="s">
        <v>27</v>
      </c>
      <c r="J4269" s="10" t="s">
        <v>172</v>
      </c>
      <c r="K4269" s="12">
        <v>46021</v>
      </c>
      <c r="L4269" s="28" t="s">
        <v>11</v>
      </c>
      <c r="M4269" s="14"/>
      <c r="N4269" s="10" t="s">
        <v>1096</v>
      </c>
    </row>
    <row r="4270" spans="1:14" ht="22.5" customHeight="1">
      <c r="A4270" s="8">
        <v>46022.384801655091</v>
      </c>
      <c r="B4270" s="9" t="s">
        <v>14</v>
      </c>
      <c r="C4270" s="9" t="s">
        <v>15</v>
      </c>
      <c r="D4270" s="10" t="s">
        <v>9322</v>
      </c>
      <c r="E4270" s="9" t="s">
        <v>22</v>
      </c>
      <c r="F4270" s="10">
        <v>35</v>
      </c>
      <c r="G4270" s="11">
        <v>8167929374</v>
      </c>
      <c r="H4270" s="10" t="s">
        <v>9323</v>
      </c>
      <c r="I4270" s="10" t="s">
        <v>27</v>
      </c>
      <c r="J4270" s="10" t="s">
        <v>9324</v>
      </c>
      <c r="K4270" s="12">
        <v>32552</v>
      </c>
      <c r="L4270" s="28" t="s">
        <v>11</v>
      </c>
      <c r="M4270" s="14"/>
      <c r="N4270" s="10" t="s">
        <v>1028</v>
      </c>
    </row>
    <row r="4271" spans="1:14" ht="22.5" customHeight="1">
      <c r="A4271" s="8">
        <v>46022.386204236114</v>
      </c>
      <c r="B4271" s="9" t="s">
        <v>14</v>
      </c>
      <c r="C4271" s="9" t="s">
        <v>15</v>
      </c>
      <c r="D4271" s="10" t="s">
        <v>9325</v>
      </c>
      <c r="E4271" s="9" t="s">
        <v>17</v>
      </c>
      <c r="F4271" s="10">
        <v>35</v>
      </c>
      <c r="G4271" s="11">
        <v>7035852080</v>
      </c>
      <c r="H4271" s="10" t="s">
        <v>9326</v>
      </c>
      <c r="I4271" s="10" t="s">
        <v>27</v>
      </c>
      <c r="J4271" s="10" t="s">
        <v>9327</v>
      </c>
      <c r="K4271" s="12">
        <v>46022</v>
      </c>
      <c r="L4271" s="28" t="s">
        <v>11</v>
      </c>
      <c r="M4271" s="14"/>
      <c r="N4271" s="10" t="s">
        <v>1028</v>
      </c>
    </row>
    <row r="4272" spans="1:14" ht="22.5" hidden="1" customHeight="1">
      <c r="A4272" s="8">
        <v>46022.38720380787</v>
      </c>
      <c r="B4272" s="9" t="s">
        <v>14</v>
      </c>
      <c r="C4272" s="9" t="s">
        <v>15</v>
      </c>
      <c r="D4272" s="10" t="s">
        <v>9328</v>
      </c>
      <c r="E4272" s="9" t="s">
        <v>17</v>
      </c>
      <c r="F4272" s="10">
        <v>34</v>
      </c>
      <c r="G4272" s="11">
        <v>8060030036</v>
      </c>
      <c r="H4272" s="10" t="s">
        <v>9329</v>
      </c>
      <c r="I4272" s="10" t="s">
        <v>27</v>
      </c>
      <c r="J4272" s="10" t="s">
        <v>27</v>
      </c>
      <c r="K4272" s="12">
        <v>46022</v>
      </c>
      <c r="L4272" s="10" t="s">
        <v>441</v>
      </c>
      <c r="M4272" s="14"/>
      <c r="N4272" s="10" t="s">
        <v>1140</v>
      </c>
    </row>
    <row r="4273" spans="1:14" ht="22.5" customHeight="1">
      <c r="A4273" s="8">
        <v>46022.38930574074</v>
      </c>
      <c r="B4273" s="9" t="s">
        <v>14</v>
      </c>
      <c r="C4273" s="9" t="s">
        <v>15</v>
      </c>
      <c r="D4273" s="10" t="s">
        <v>9330</v>
      </c>
      <c r="E4273" s="9" t="s">
        <v>17</v>
      </c>
      <c r="F4273" s="10">
        <v>32</v>
      </c>
      <c r="G4273" s="11">
        <v>9034095742</v>
      </c>
      <c r="H4273" s="10" t="s">
        <v>9331</v>
      </c>
      <c r="I4273" s="10" t="s">
        <v>45</v>
      </c>
      <c r="J4273" s="10" t="s">
        <v>7631</v>
      </c>
      <c r="K4273" s="12">
        <v>46022</v>
      </c>
      <c r="L4273" s="28" t="s">
        <v>11</v>
      </c>
      <c r="M4273" s="14"/>
      <c r="N4273" s="10" t="s">
        <v>1096</v>
      </c>
    </row>
    <row r="4274" spans="1:14" ht="22.5" hidden="1" customHeight="1">
      <c r="A4274" s="8">
        <v>46022.389431574076</v>
      </c>
      <c r="B4274" s="9" t="s">
        <v>14</v>
      </c>
      <c r="C4274" s="9" t="s">
        <v>15</v>
      </c>
      <c r="D4274" s="10" t="s">
        <v>9332</v>
      </c>
      <c r="E4274" s="9" t="s">
        <v>17</v>
      </c>
      <c r="F4274" s="10">
        <v>29</v>
      </c>
      <c r="G4274" s="11">
        <v>7032105211</v>
      </c>
      <c r="H4274" s="10" t="s">
        <v>9333</v>
      </c>
      <c r="I4274" s="10" t="s">
        <v>27</v>
      </c>
      <c r="J4274" s="10" t="s">
        <v>9334</v>
      </c>
      <c r="K4274" s="12">
        <v>46022</v>
      </c>
      <c r="L4274" s="10" t="s">
        <v>441</v>
      </c>
      <c r="M4274" s="10" t="s">
        <v>1361</v>
      </c>
      <c r="N4274" s="10" t="s">
        <v>1028</v>
      </c>
    </row>
    <row r="4275" spans="1:14" ht="22.5" hidden="1" customHeight="1">
      <c r="A4275" s="8">
        <v>46022.390826030096</v>
      </c>
      <c r="B4275" s="9" t="s">
        <v>14</v>
      </c>
      <c r="C4275" s="9" t="s">
        <v>15</v>
      </c>
      <c r="D4275" s="10" t="s">
        <v>9335</v>
      </c>
      <c r="E4275" s="9" t="s">
        <v>17</v>
      </c>
      <c r="F4275" s="10">
        <v>28</v>
      </c>
      <c r="G4275" s="11">
        <v>8065912928</v>
      </c>
      <c r="H4275" s="10" t="s">
        <v>9336</v>
      </c>
      <c r="I4275" s="10" t="s">
        <v>27</v>
      </c>
      <c r="J4275" s="10" t="s">
        <v>8877</v>
      </c>
      <c r="K4275" s="12">
        <v>46022</v>
      </c>
      <c r="L4275" s="10" t="s">
        <v>441</v>
      </c>
      <c r="M4275" s="14"/>
      <c r="N4275" s="10" t="s">
        <v>1028</v>
      </c>
    </row>
    <row r="4276" spans="1:14" ht="22.5" customHeight="1">
      <c r="A4276" s="8">
        <v>46022.396040324078</v>
      </c>
      <c r="B4276" s="9" t="s">
        <v>14</v>
      </c>
      <c r="C4276" s="9" t="s">
        <v>15</v>
      </c>
      <c r="D4276" s="10" t="s">
        <v>9337</v>
      </c>
      <c r="E4276" s="9" t="s">
        <v>17</v>
      </c>
      <c r="F4276" s="10">
        <v>25</v>
      </c>
      <c r="G4276" s="11">
        <v>8144222220</v>
      </c>
      <c r="H4276" s="10" t="s">
        <v>9338</v>
      </c>
      <c r="I4276" s="10" t="s">
        <v>27</v>
      </c>
      <c r="J4276" s="10" t="s">
        <v>9339</v>
      </c>
      <c r="K4276" s="12">
        <v>46022</v>
      </c>
      <c r="L4276" s="28" t="s">
        <v>11</v>
      </c>
      <c r="M4276" s="10"/>
      <c r="N4276" s="10" t="s">
        <v>1489</v>
      </c>
    </row>
    <row r="4277" spans="1:14" ht="22.5" customHeight="1">
      <c r="A4277" s="8">
        <v>46022.400540092596</v>
      </c>
      <c r="B4277" s="9" t="s">
        <v>14</v>
      </c>
      <c r="C4277" s="9" t="s">
        <v>15</v>
      </c>
      <c r="D4277" s="10" t="s">
        <v>9340</v>
      </c>
      <c r="E4277" s="9" t="s">
        <v>17</v>
      </c>
      <c r="F4277" s="10">
        <v>31</v>
      </c>
      <c r="G4277" s="11">
        <v>8100764454</v>
      </c>
      <c r="H4277" s="10" t="s">
        <v>9341</v>
      </c>
      <c r="I4277" s="10" t="s">
        <v>49</v>
      </c>
      <c r="J4277" s="10" t="s">
        <v>232</v>
      </c>
      <c r="K4277" s="12">
        <v>46022</v>
      </c>
      <c r="L4277" s="28" t="s">
        <v>11</v>
      </c>
      <c r="M4277" s="14"/>
      <c r="N4277" s="10" t="s">
        <v>1028</v>
      </c>
    </row>
    <row r="4278" spans="1:14" ht="22.5" customHeight="1">
      <c r="A4278" s="8">
        <v>46022.401469733799</v>
      </c>
      <c r="B4278" s="9" t="s">
        <v>14</v>
      </c>
      <c r="C4278" s="9" t="s">
        <v>15</v>
      </c>
      <c r="D4278" s="10" t="s">
        <v>9342</v>
      </c>
      <c r="E4278" s="9" t="s">
        <v>17</v>
      </c>
      <c r="F4278" s="10">
        <v>30</v>
      </c>
      <c r="G4278" s="11">
        <v>844001052</v>
      </c>
      <c r="H4278" s="10" t="s">
        <v>9343</v>
      </c>
      <c r="I4278" s="10" t="s">
        <v>49</v>
      </c>
      <c r="J4278" s="10" t="s">
        <v>229</v>
      </c>
      <c r="K4278" s="12">
        <v>46022</v>
      </c>
      <c r="L4278" s="28" t="s">
        <v>11</v>
      </c>
      <c r="M4278" s="14"/>
      <c r="N4278" s="10" t="s">
        <v>1028</v>
      </c>
    </row>
    <row r="4279" spans="1:14" ht="22.5" customHeight="1">
      <c r="A4279" s="8">
        <v>46022.403787071758</v>
      </c>
      <c r="B4279" s="9" t="s">
        <v>14</v>
      </c>
      <c r="C4279" s="9" t="s">
        <v>15</v>
      </c>
      <c r="D4279" s="10" t="s">
        <v>9344</v>
      </c>
      <c r="E4279" s="9" t="s">
        <v>22</v>
      </c>
      <c r="F4279" s="10">
        <v>37</v>
      </c>
      <c r="G4279" s="11">
        <v>803237543</v>
      </c>
      <c r="H4279" s="10" t="s">
        <v>9345</v>
      </c>
      <c r="I4279" s="10" t="s">
        <v>27</v>
      </c>
      <c r="J4279" s="10" t="s">
        <v>9346</v>
      </c>
      <c r="K4279" s="12">
        <v>46022</v>
      </c>
      <c r="L4279" s="28" t="s">
        <v>11</v>
      </c>
      <c r="M4279" s="14"/>
      <c r="N4279" s="10" t="s">
        <v>1028</v>
      </c>
    </row>
    <row r="4280" spans="1:14" ht="22.5" customHeight="1">
      <c r="A4280" s="8">
        <v>46022.406472037037</v>
      </c>
      <c r="B4280" s="9" t="s">
        <v>14</v>
      </c>
      <c r="C4280" s="9" t="s">
        <v>15</v>
      </c>
      <c r="D4280" s="10" t="s">
        <v>9347</v>
      </c>
      <c r="E4280" s="9" t="s">
        <v>17</v>
      </c>
      <c r="F4280" s="10">
        <v>29</v>
      </c>
      <c r="G4280" s="11">
        <f t="shared" ref="G4280" si="114">2348147410705</f>
        <v>2348147410705</v>
      </c>
      <c r="H4280" s="10" t="s">
        <v>9348</v>
      </c>
      <c r="I4280" s="10" t="s">
        <v>31</v>
      </c>
      <c r="J4280" s="10" t="s">
        <v>39</v>
      </c>
      <c r="K4280" s="12">
        <v>46022</v>
      </c>
      <c r="L4280" s="28" t="s">
        <v>11</v>
      </c>
      <c r="M4280" s="14"/>
      <c r="N4280" s="10" t="s">
        <v>1028</v>
      </c>
    </row>
    <row r="4281" spans="1:14" ht="22.5" customHeight="1">
      <c r="A4281" s="8">
        <v>46022.407422395831</v>
      </c>
      <c r="B4281" s="9" t="s">
        <v>14</v>
      </c>
      <c r="C4281" s="9" t="s">
        <v>15</v>
      </c>
      <c r="D4281" s="10" t="s">
        <v>8518</v>
      </c>
      <c r="E4281" s="9" t="s">
        <v>22</v>
      </c>
      <c r="F4281" s="10">
        <v>19</v>
      </c>
      <c r="G4281" s="11">
        <v>9036722049</v>
      </c>
      <c r="H4281" s="10" t="s">
        <v>9349</v>
      </c>
      <c r="I4281" s="10" t="s">
        <v>49</v>
      </c>
      <c r="J4281" s="10" t="s">
        <v>50</v>
      </c>
      <c r="K4281" s="12">
        <v>46022</v>
      </c>
      <c r="L4281" s="28" t="s">
        <v>11</v>
      </c>
      <c r="M4281" s="14"/>
      <c r="N4281" s="10" t="s">
        <v>1028</v>
      </c>
    </row>
    <row r="4282" spans="1:14" ht="22.5" customHeight="1">
      <c r="A4282" s="8">
        <v>46022.409153726854</v>
      </c>
      <c r="B4282" s="9" t="s">
        <v>14</v>
      </c>
      <c r="C4282" s="9" t="s">
        <v>15</v>
      </c>
      <c r="D4282" s="10" t="s">
        <v>9350</v>
      </c>
      <c r="E4282" s="9" t="s">
        <v>17</v>
      </c>
      <c r="F4282" s="10">
        <v>35</v>
      </c>
      <c r="G4282" s="11">
        <v>9011928419</v>
      </c>
      <c r="H4282" s="10" t="s">
        <v>9351</v>
      </c>
      <c r="I4282" s="10" t="s">
        <v>27</v>
      </c>
      <c r="J4282" s="10" t="s">
        <v>1456</v>
      </c>
      <c r="K4282" s="12">
        <v>46022</v>
      </c>
      <c r="L4282" s="28" t="s">
        <v>11</v>
      </c>
      <c r="M4282" s="14"/>
      <c r="N4282" s="10" t="s">
        <v>1140</v>
      </c>
    </row>
    <row r="4283" spans="1:14" ht="22.5" hidden="1" customHeight="1">
      <c r="A4283" s="8">
        <v>46022.410233506947</v>
      </c>
      <c r="B4283" s="9" t="s">
        <v>14</v>
      </c>
      <c r="C4283" s="9" t="s">
        <v>15</v>
      </c>
      <c r="D4283" s="10" t="s">
        <v>9352</v>
      </c>
      <c r="E4283" s="9" t="s">
        <v>17</v>
      </c>
      <c r="F4283" s="10">
        <v>25</v>
      </c>
      <c r="G4283" s="11">
        <v>8068931689</v>
      </c>
      <c r="H4283" s="10" t="s">
        <v>9353</v>
      </c>
      <c r="I4283" s="10" t="s">
        <v>27</v>
      </c>
      <c r="J4283" s="10" t="s">
        <v>9354</v>
      </c>
      <c r="K4283" s="12">
        <v>46022</v>
      </c>
      <c r="L4283" s="10" t="s">
        <v>441</v>
      </c>
      <c r="M4283" s="10" t="s">
        <v>1361</v>
      </c>
      <c r="N4283" s="10" t="s">
        <v>1028</v>
      </c>
    </row>
    <row r="4284" spans="1:14" ht="22.5" customHeight="1">
      <c r="A4284" s="8">
        <v>46022.412499733793</v>
      </c>
      <c r="B4284" s="9" t="s">
        <v>14</v>
      </c>
      <c r="C4284" s="9" t="s">
        <v>15</v>
      </c>
      <c r="D4284" s="10" t="s">
        <v>9355</v>
      </c>
      <c r="E4284" s="9" t="s">
        <v>17</v>
      </c>
      <c r="F4284" s="10">
        <v>25</v>
      </c>
      <c r="G4284" s="11">
        <v>8136580377</v>
      </c>
      <c r="H4284" s="10" t="s">
        <v>9356</v>
      </c>
      <c r="I4284" s="10" t="s">
        <v>27</v>
      </c>
      <c r="J4284" s="10" t="s">
        <v>1907</v>
      </c>
      <c r="K4284" s="12">
        <v>46022</v>
      </c>
      <c r="L4284" s="28" t="s">
        <v>11</v>
      </c>
      <c r="M4284" s="14"/>
      <c r="N4284" s="10" t="s">
        <v>1028</v>
      </c>
    </row>
    <row r="4285" spans="1:14" ht="22.5" customHeight="1">
      <c r="A4285" s="8">
        <v>46022.413972662034</v>
      </c>
      <c r="B4285" s="9" t="s">
        <v>14</v>
      </c>
      <c r="C4285" s="9" t="s">
        <v>15</v>
      </c>
      <c r="D4285" s="10" t="s">
        <v>9357</v>
      </c>
      <c r="E4285" s="9" t="s">
        <v>17</v>
      </c>
      <c r="F4285" s="10">
        <v>30</v>
      </c>
      <c r="G4285" s="11">
        <v>8165295418</v>
      </c>
      <c r="H4285" s="10" t="s">
        <v>9358</v>
      </c>
      <c r="I4285" s="10" t="s">
        <v>27</v>
      </c>
      <c r="J4285" s="10" t="s">
        <v>1907</v>
      </c>
      <c r="K4285" s="12">
        <v>46022</v>
      </c>
      <c r="L4285" s="28" t="s">
        <v>11</v>
      </c>
      <c r="M4285" s="14"/>
      <c r="N4285" s="10" t="s">
        <v>1096</v>
      </c>
    </row>
    <row r="4286" spans="1:14" ht="22.5" customHeight="1">
      <c r="A4286" s="8">
        <v>46022.414261851853</v>
      </c>
      <c r="B4286" s="9" t="s">
        <v>14</v>
      </c>
      <c r="C4286" s="9" t="s">
        <v>15</v>
      </c>
      <c r="D4286" s="10" t="s">
        <v>9359</v>
      </c>
      <c r="E4286" s="9" t="s">
        <v>22</v>
      </c>
      <c r="F4286" s="10">
        <v>25</v>
      </c>
      <c r="G4286" s="11">
        <v>8147326323</v>
      </c>
      <c r="H4286" s="10" t="s">
        <v>9360</v>
      </c>
      <c r="I4286" s="10" t="s">
        <v>49</v>
      </c>
      <c r="J4286" s="10" t="s">
        <v>9361</v>
      </c>
      <c r="K4286" s="12">
        <v>46022</v>
      </c>
      <c r="L4286" s="28" t="s">
        <v>11</v>
      </c>
      <c r="M4286" s="14"/>
      <c r="N4286" s="10" t="s">
        <v>1028</v>
      </c>
    </row>
    <row r="4287" spans="1:14" ht="22.5" customHeight="1">
      <c r="A4287" s="8">
        <v>46022.416553194445</v>
      </c>
      <c r="B4287" s="9" t="s">
        <v>14</v>
      </c>
      <c r="C4287" s="9" t="s">
        <v>15</v>
      </c>
      <c r="D4287" s="10" t="s">
        <v>9362</v>
      </c>
      <c r="E4287" s="9" t="s">
        <v>17</v>
      </c>
      <c r="F4287" s="10">
        <v>27</v>
      </c>
      <c r="G4287" s="11">
        <v>9027620997</v>
      </c>
      <c r="H4287" s="10" t="s">
        <v>9363</v>
      </c>
      <c r="I4287" s="10" t="s">
        <v>27</v>
      </c>
      <c r="J4287" s="10" t="s">
        <v>5011</v>
      </c>
      <c r="K4287" s="12">
        <v>46022</v>
      </c>
      <c r="L4287" s="28" t="s">
        <v>11</v>
      </c>
      <c r="M4287" s="14"/>
      <c r="N4287" s="10" t="s">
        <v>1028</v>
      </c>
    </row>
    <row r="4288" spans="1:14" ht="22.5" customHeight="1">
      <c r="A4288" s="8">
        <v>46022.417823113428</v>
      </c>
      <c r="B4288" s="9" t="s">
        <v>14</v>
      </c>
      <c r="C4288" s="9" t="s">
        <v>15</v>
      </c>
      <c r="D4288" s="10" t="s">
        <v>9364</v>
      </c>
      <c r="E4288" s="9" t="s">
        <v>22</v>
      </c>
      <c r="F4288" s="10">
        <v>22</v>
      </c>
      <c r="G4288" s="11">
        <v>7037295616</v>
      </c>
      <c r="H4288" s="10" t="s">
        <v>9365</v>
      </c>
      <c r="I4288" s="10" t="s">
        <v>202</v>
      </c>
      <c r="J4288" s="10" t="s">
        <v>3062</v>
      </c>
      <c r="K4288" s="12">
        <v>46022</v>
      </c>
      <c r="L4288" s="28" t="s">
        <v>11</v>
      </c>
      <c r="M4288" s="14"/>
      <c r="N4288" s="10" t="s">
        <v>1028</v>
      </c>
    </row>
    <row r="4289" spans="1:14" ht="22.5" customHeight="1">
      <c r="A4289" s="8">
        <v>46022.421714398151</v>
      </c>
      <c r="B4289" s="9" t="s">
        <v>14</v>
      </c>
      <c r="C4289" s="9" t="s">
        <v>15</v>
      </c>
      <c r="D4289" s="10" t="s">
        <v>9366</v>
      </c>
      <c r="E4289" s="9" t="s">
        <v>17</v>
      </c>
      <c r="F4289" s="10">
        <v>34</v>
      </c>
      <c r="G4289" s="11">
        <v>8163488855</v>
      </c>
      <c r="H4289" s="10" t="s">
        <v>9367</v>
      </c>
      <c r="I4289" s="10" t="s">
        <v>45</v>
      </c>
      <c r="J4289" s="10" t="s">
        <v>9368</v>
      </c>
      <c r="K4289" s="12">
        <v>46022</v>
      </c>
      <c r="L4289" s="28" t="s">
        <v>11</v>
      </c>
      <c r="M4289" s="14"/>
      <c r="N4289" s="10" t="s">
        <v>1028</v>
      </c>
    </row>
    <row r="4290" spans="1:14" ht="22.5" customHeight="1">
      <c r="A4290" s="8">
        <v>46022.422270590279</v>
      </c>
      <c r="B4290" s="9" t="s">
        <v>14</v>
      </c>
      <c r="C4290" s="9" t="s">
        <v>15</v>
      </c>
      <c r="D4290" s="10" t="s">
        <v>9369</v>
      </c>
      <c r="E4290" s="9" t="s">
        <v>22</v>
      </c>
      <c r="F4290" s="10">
        <v>24</v>
      </c>
      <c r="G4290" s="11">
        <v>8138675536</v>
      </c>
      <c r="H4290" s="10" t="s">
        <v>9370</v>
      </c>
      <c r="I4290" s="10" t="s">
        <v>45</v>
      </c>
      <c r="J4290" s="10" t="s">
        <v>932</v>
      </c>
      <c r="K4290" s="12">
        <v>46022</v>
      </c>
      <c r="L4290" s="28" t="s">
        <v>11</v>
      </c>
      <c r="M4290" s="14"/>
      <c r="N4290" s="10" t="s">
        <v>1028</v>
      </c>
    </row>
    <row r="4291" spans="1:14" ht="22.5" customHeight="1">
      <c r="A4291" s="8">
        <v>46022.425359618057</v>
      </c>
      <c r="B4291" s="9" t="s">
        <v>14</v>
      </c>
      <c r="C4291" s="9" t="s">
        <v>15</v>
      </c>
      <c r="D4291" s="10" t="s">
        <v>9371</v>
      </c>
      <c r="E4291" s="9" t="s">
        <v>17</v>
      </c>
      <c r="F4291" s="10">
        <v>30</v>
      </c>
      <c r="G4291" s="11">
        <v>8034391921</v>
      </c>
      <c r="H4291" s="10" t="s">
        <v>9372</v>
      </c>
      <c r="I4291" s="10" t="s">
        <v>45</v>
      </c>
      <c r="J4291" s="10" t="s">
        <v>46</v>
      </c>
      <c r="K4291" s="12">
        <v>46022</v>
      </c>
      <c r="L4291" s="28" t="s">
        <v>11</v>
      </c>
      <c r="M4291" s="14"/>
      <c r="N4291" s="10" t="s">
        <v>1028</v>
      </c>
    </row>
    <row r="4292" spans="1:14" ht="22.5" customHeight="1">
      <c r="A4292" s="8">
        <v>46022.426191250001</v>
      </c>
      <c r="B4292" s="9" t="s">
        <v>14</v>
      </c>
      <c r="C4292" s="9" t="s">
        <v>15</v>
      </c>
      <c r="D4292" s="10" t="s">
        <v>9373</v>
      </c>
      <c r="E4292" s="9" t="s">
        <v>17</v>
      </c>
      <c r="F4292" s="10">
        <v>25</v>
      </c>
      <c r="G4292" s="11">
        <v>8131032944</v>
      </c>
      <c r="H4292" s="10" t="s">
        <v>9374</v>
      </c>
      <c r="I4292" s="10" t="s">
        <v>45</v>
      </c>
      <c r="J4292" s="10" t="s">
        <v>7616</v>
      </c>
      <c r="K4292" s="12">
        <v>46022</v>
      </c>
      <c r="L4292" s="28" t="s">
        <v>11</v>
      </c>
      <c r="M4292" s="14"/>
      <c r="N4292" s="10" t="s">
        <v>1096</v>
      </c>
    </row>
    <row r="4293" spans="1:14" ht="22.5" customHeight="1">
      <c r="A4293" s="8">
        <v>46022.426879120372</v>
      </c>
      <c r="B4293" s="9" t="s">
        <v>14</v>
      </c>
      <c r="C4293" s="9" t="s">
        <v>15</v>
      </c>
      <c r="D4293" s="10" t="s">
        <v>9375</v>
      </c>
      <c r="E4293" s="9" t="s">
        <v>17</v>
      </c>
      <c r="F4293" s="10">
        <v>28</v>
      </c>
      <c r="G4293" s="11">
        <v>7063925992</v>
      </c>
      <c r="H4293" s="10" t="s">
        <v>9376</v>
      </c>
      <c r="I4293" s="10" t="s">
        <v>49</v>
      </c>
      <c r="J4293" s="10" t="s">
        <v>73</v>
      </c>
      <c r="K4293" s="12">
        <v>46022</v>
      </c>
      <c r="L4293" s="28" t="s">
        <v>11</v>
      </c>
      <c r="M4293" s="14"/>
      <c r="N4293" s="10" t="s">
        <v>1028</v>
      </c>
    </row>
    <row r="4294" spans="1:14" ht="22.5" customHeight="1">
      <c r="A4294" s="8">
        <v>46022.427093159728</v>
      </c>
      <c r="B4294" s="9" t="s">
        <v>14</v>
      </c>
      <c r="C4294" s="9" t="s">
        <v>15</v>
      </c>
      <c r="D4294" s="10" t="s">
        <v>9377</v>
      </c>
      <c r="E4294" s="9" t="s">
        <v>17</v>
      </c>
      <c r="F4294" s="10">
        <v>32</v>
      </c>
      <c r="G4294" s="11">
        <v>8037923784</v>
      </c>
      <c r="H4294" s="10" t="s">
        <v>9378</v>
      </c>
      <c r="I4294" s="10" t="s">
        <v>49</v>
      </c>
      <c r="J4294" s="10" t="s">
        <v>181</v>
      </c>
      <c r="K4294" s="12">
        <v>46022</v>
      </c>
      <c r="L4294" s="28" t="s">
        <v>11</v>
      </c>
      <c r="M4294" s="14"/>
      <c r="N4294" s="10" t="s">
        <v>1096</v>
      </c>
    </row>
    <row r="4295" spans="1:14" ht="22.5" customHeight="1">
      <c r="A4295" s="8">
        <v>46022.427922337964</v>
      </c>
      <c r="B4295" s="9" t="s">
        <v>14</v>
      </c>
      <c r="C4295" s="9" t="s">
        <v>15</v>
      </c>
      <c r="D4295" s="10" t="s">
        <v>9379</v>
      </c>
      <c r="E4295" s="9" t="s">
        <v>17</v>
      </c>
      <c r="F4295" s="10">
        <v>23</v>
      </c>
      <c r="G4295" s="11">
        <v>8127470076</v>
      </c>
      <c r="H4295" s="10" t="s">
        <v>9380</v>
      </c>
      <c r="I4295" s="10" t="s">
        <v>27</v>
      </c>
      <c r="J4295" s="10" t="s">
        <v>9381</v>
      </c>
      <c r="K4295" s="12">
        <v>46022</v>
      </c>
      <c r="L4295" s="28" t="s">
        <v>11</v>
      </c>
      <c r="M4295" s="14"/>
      <c r="N4295" s="10" t="s">
        <v>1028</v>
      </c>
    </row>
    <row r="4296" spans="1:14" ht="22.5" customHeight="1">
      <c r="A4296" s="8">
        <v>46022.43147865741</v>
      </c>
      <c r="B4296" s="9" t="s">
        <v>14</v>
      </c>
      <c r="C4296" s="9" t="s">
        <v>15</v>
      </c>
      <c r="D4296" s="10" t="s">
        <v>9382</v>
      </c>
      <c r="E4296" s="9" t="s">
        <v>17</v>
      </c>
      <c r="F4296" s="10">
        <v>23</v>
      </c>
      <c r="G4296" s="11">
        <v>8081149394</v>
      </c>
      <c r="H4296" s="10" t="s">
        <v>9383</v>
      </c>
      <c r="I4296" s="10" t="s">
        <v>27</v>
      </c>
      <c r="J4296" s="10" t="s">
        <v>1907</v>
      </c>
      <c r="K4296" s="12">
        <v>46022</v>
      </c>
      <c r="L4296" s="28" t="s">
        <v>11</v>
      </c>
      <c r="M4296" s="14"/>
      <c r="N4296" s="10" t="s">
        <v>1028</v>
      </c>
    </row>
    <row r="4297" spans="1:14" ht="22.5" customHeight="1">
      <c r="A4297" s="8">
        <v>46022.431566921296</v>
      </c>
      <c r="B4297" s="9" t="s">
        <v>14</v>
      </c>
      <c r="C4297" s="9" t="s">
        <v>15</v>
      </c>
      <c r="D4297" s="10" t="s">
        <v>9384</v>
      </c>
      <c r="E4297" s="9" t="s">
        <v>17</v>
      </c>
      <c r="F4297" s="10">
        <v>37</v>
      </c>
      <c r="G4297" s="11">
        <v>8036372555</v>
      </c>
      <c r="H4297" s="10" t="s">
        <v>9385</v>
      </c>
      <c r="I4297" s="10" t="s">
        <v>27</v>
      </c>
      <c r="J4297" s="10" t="s">
        <v>1475</v>
      </c>
      <c r="K4297" s="12">
        <v>46022</v>
      </c>
      <c r="L4297" s="28" t="s">
        <v>11</v>
      </c>
      <c r="M4297" s="14"/>
      <c r="N4297" s="10" t="s">
        <v>1028</v>
      </c>
    </row>
    <row r="4298" spans="1:14" ht="22.5" customHeight="1">
      <c r="A4298" s="8">
        <v>46022.431960312504</v>
      </c>
      <c r="B4298" s="9" t="s">
        <v>14</v>
      </c>
      <c r="C4298" s="9" t="s">
        <v>15</v>
      </c>
      <c r="D4298" s="10" t="s">
        <v>9386</v>
      </c>
      <c r="E4298" s="9" t="s">
        <v>17</v>
      </c>
      <c r="F4298" s="10">
        <v>23</v>
      </c>
      <c r="G4298" s="11">
        <v>8080962435</v>
      </c>
      <c r="H4298" s="10" t="s">
        <v>9387</v>
      </c>
      <c r="I4298" s="10" t="s">
        <v>27</v>
      </c>
      <c r="J4298" s="10" t="s">
        <v>1907</v>
      </c>
      <c r="K4298" s="12">
        <v>46022</v>
      </c>
      <c r="L4298" s="28" t="s">
        <v>11</v>
      </c>
      <c r="M4298" s="14"/>
      <c r="N4298" s="10" t="s">
        <v>1028</v>
      </c>
    </row>
    <row r="4299" spans="1:14" ht="22.5" customHeight="1">
      <c r="A4299" s="8">
        <v>46022.435585312502</v>
      </c>
      <c r="B4299" s="9" t="s">
        <v>14</v>
      </c>
      <c r="C4299" s="9" t="s">
        <v>15</v>
      </c>
      <c r="D4299" s="10" t="s">
        <v>9388</v>
      </c>
      <c r="E4299" s="9" t="s">
        <v>17</v>
      </c>
      <c r="F4299" s="10">
        <v>27</v>
      </c>
      <c r="G4299" s="11">
        <v>8135930594</v>
      </c>
      <c r="H4299" s="10" t="s">
        <v>9389</v>
      </c>
      <c r="I4299" s="10" t="s">
        <v>19</v>
      </c>
      <c r="J4299" s="10" t="s">
        <v>119</v>
      </c>
      <c r="K4299" s="12">
        <v>46022</v>
      </c>
      <c r="L4299" s="28" t="s">
        <v>11</v>
      </c>
      <c r="M4299" s="14"/>
      <c r="N4299" s="10" t="s">
        <v>1028</v>
      </c>
    </row>
    <row r="4300" spans="1:14" ht="22.5" customHeight="1">
      <c r="A4300" s="8">
        <v>46022.437100277777</v>
      </c>
      <c r="B4300" s="9" t="s">
        <v>14</v>
      </c>
      <c r="C4300" s="9" t="s">
        <v>15</v>
      </c>
      <c r="D4300" s="10" t="s">
        <v>9390</v>
      </c>
      <c r="E4300" s="9" t="s">
        <v>22</v>
      </c>
      <c r="F4300" s="10">
        <v>22</v>
      </c>
      <c r="G4300" s="11">
        <v>7026630431</v>
      </c>
      <c r="H4300" s="10" t="s">
        <v>9391</v>
      </c>
      <c r="I4300" s="10" t="s">
        <v>27</v>
      </c>
      <c r="J4300" s="10" t="s">
        <v>703</v>
      </c>
      <c r="K4300" s="12">
        <v>46022</v>
      </c>
      <c r="L4300" s="28" t="s">
        <v>11</v>
      </c>
      <c r="M4300" s="10"/>
      <c r="N4300" s="10" t="s">
        <v>1028</v>
      </c>
    </row>
    <row r="4301" spans="1:14" ht="22.5" customHeight="1">
      <c r="A4301" s="8">
        <v>46022.438069826385</v>
      </c>
      <c r="B4301" s="9" t="s">
        <v>14</v>
      </c>
      <c r="C4301" s="9" t="s">
        <v>15</v>
      </c>
      <c r="D4301" s="10" t="s">
        <v>9392</v>
      </c>
      <c r="E4301" s="9" t="s">
        <v>22</v>
      </c>
      <c r="F4301" s="10">
        <v>25</v>
      </c>
      <c r="G4301" s="11">
        <v>8166557434</v>
      </c>
      <c r="H4301" s="10" t="s">
        <v>9393</v>
      </c>
      <c r="I4301" s="10" t="s">
        <v>49</v>
      </c>
      <c r="J4301" s="10" t="s">
        <v>50</v>
      </c>
      <c r="K4301" s="12">
        <v>46022</v>
      </c>
      <c r="L4301" s="28" t="s">
        <v>11</v>
      </c>
      <c r="M4301" s="14"/>
      <c r="N4301" s="10" t="s">
        <v>1096</v>
      </c>
    </row>
    <row r="4302" spans="1:14" ht="22.5" customHeight="1">
      <c r="A4302" s="8">
        <v>46022.442537962968</v>
      </c>
      <c r="B4302" s="9" t="s">
        <v>14</v>
      </c>
      <c r="C4302" s="9" t="s">
        <v>15</v>
      </c>
      <c r="D4302" s="10" t="s">
        <v>9394</v>
      </c>
      <c r="E4302" s="9" t="s">
        <v>17</v>
      </c>
      <c r="F4302" s="10">
        <v>26</v>
      </c>
      <c r="G4302" s="11">
        <v>9032909413</v>
      </c>
      <c r="H4302" s="10" t="s">
        <v>9395</v>
      </c>
      <c r="I4302" s="10" t="s">
        <v>27</v>
      </c>
      <c r="J4302" s="10" t="s">
        <v>1907</v>
      </c>
      <c r="K4302" s="12">
        <v>46022</v>
      </c>
      <c r="L4302" s="28" t="s">
        <v>11</v>
      </c>
      <c r="M4302" s="14"/>
      <c r="N4302" s="10" t="s">
        <v>1028</v>
      </c>
    </row>
    <row r="4303" spans="1:14" ht="22.5" customHeight="1">
      <c r="A4303" s="8">
        <v>46022.443257106483</v>
      </c>
      <c r="B4303" s="9" t="s">
        <v>14</v>
      </c>
      <c r="C4303" s="9" t="s">
        <v>15</v>
      </c>
      <c r="D4303" s="10" t="s">
        <v>9396</v>
      </c>
      <c r="E4303" s="9" t="s">
        <v>22</v>
      </c>
      <c r="F4303" s="10">
        <v>35</v>
      </c>
      <c r="G4303" s="11">
        <v>8062628122</v>
      </c>
      <c r="H4303" s="10" t="s">
        <v>9397</v>
      </c>
      <c r="I4303" s="10" t="s">
        <v>19</v>
      </c>
      <c r="J4303" s="10" t="s">
        <v>166</v>
      </c>
      <c r="K4303" s="12">
        <v>46022</v>
      </c>
      <c r="L4303" s="28" t="s">
        <v>11</v>
      </c>
      <c r="M4303" s="14"/>
      <c r="N4303" s="10" t="s">
        <v>1028</v>
      </c>
    </row>
    <row r="4304" spans="1:14" ht="22.5" customHeight="1">
      <c r="A4304" s="8">
        <v>46022.444770243055</v>
      </c>
      <c r="B4304" s="9" t="s">
        <v>14</v>
      </c>
      <c r="C4304" s="9" t="s">
        <v>15</v>
      </c>
      <c r="D4304" s="10" t="s">
        <v>9398</v>
      </c>
      <c r="E4304" s="9" t="s">
        <v>17</v>
      </c>
      <c r="F4304" s="10">
        <v>29</v>
      </c>
      <c r="G4304" s="11">
        <v>8148184678</v>
      </c>
      <c r="H4304" s="10" t="s">
        <v>9399</v>
      </c>
      <c r="I4304" s="10" t="s">
        <v>49</v>
      </c>
      <c r="J4304" s="10" t="s">
        <v>606</v>
      </c>
      <c r="K4304" s="12">
        <v>46022</v>
      </c>
      <c r="L4304" s="28" t="s">
        <v>11</v>
      </c>
      <c r="M4304" s="14"/>
      <c r="N4304" s="10" t="s">
        <v>1028</v>
      </c>
    </row>
    <row r="4305" spans="1:14" ht="22.5" customHeight="1">
      <c r="A4305" s="8">
        <v>46022.446670185185</v>
      </c>
      <c r="B4305" s="9" t="s">
        <v>14</v>
      </c>
      <c r="C4305" s="9" t="s">
        <v>15</v>
      </c>
      <c r="D4305" s="10" t="s">
        <v>9400</v>
      </c>
      <c r="E4305" s="9" t="s">
        <v>17</v>
      </c>
      <c r="F4305" s="10">
        <v>21</v>
      </c>
      <c r="G4305" s="11">
        <v>9030402808</v>
      </c>
      <c r="H4305" s="10" t="s">
        <v>9401</v>
      </c>
      <c r="I4305" s="10" t="s">
        <v>27</v>
      </c>
      <c r="J4305" s="10" t="s">
        <v>2196</v>
      </c>
      <c r="K4305" s="12">
        <v>46022</v>
      </c>
      <c r="L4305" s="28" t="s">
        <v>11</v>
      </c>
      <c r="M4305" s="14"/>
      <c r="N4305" s="10" t="s">
        <v>2482</v>
      </c>
    </row>
    <row r="4306" spans="1:14" ht="22.5" customHeight="1">
      <c r="A4306" s="8">
        <v>46022.446915069449</v>
      </c>
      <c r="B4306" s="9" t="s">
        <v>14</v>
      </c>
      <c r="C4306" s="9" t="s">
        <v>15</v>
      </c>
      <c r="D4306" s="10" t="s">
        <v>9402</v>
      </c>
      <c r="E4306" s="9" t="s">
        <v>17</v>
      </c>
      <c r="F4306" s="10">
        <v>42</v>
      </c>
      <c r="G4306" s="11">
        <v>8034896852</v>
      </c>
      <c r="H4306" s="10" t="s">
        <v>9403</v>
      </c>
      <c r="I4306" s="10" t="s">
        <v>45</v>
      </c>
      <c r="J4306" s="10" t="s">
        <v>131</v>
      </c>
      <c r="K4306" s="12">
        <v>46022</v>
      </c>
      <c r="L4306" s="28" t="s">
        <v>11</v>
      </c>
      <c r="M4306" s="14"/>
      <c r="N4306" s="10" t="s">
        <v>1028</v>
      </c>
    </row>
    <row r="4307" spans="1:14" ht="22.5" customHeight="1">
      <c r="A4307" s="8">
        <v>46022.449343437504</v>
      </c>
      <c r="B4307" s="9" t="s">
        <v>14</v>
      </c>
      <c r="C4307" s="9" t="s">
        <v>15</v>
      </c>
      <c r="D4307" s="10" t="s">
        <v>9404</v>
      </c>
      <c r="E4307" s="9" t="s">
        <v>17</v>
      </c>
      <c r="F4307" s="10">
        <v>23</v>
      </c>
      <c r="G4307" s="11">
        <v>8149673496</v>
      </c>
      <c r="H4307" s="10" t="s">
        <v>9405</v>
      </c>
      <c r="I4307" s="10" t="s">
        <v>27</v>
      </c>
      <c r="J4307" s="10" t="s">
        <v>9406</v>
      </c>
      <c r="K4307" s="12">
        <v>46022</v>
      </c>
      <c r="L4307" s="28" t="s">
        <v>11</v>
      </c>
      <c r="M4307" s="14"/>
      <c r="N4307" s="10" t="s">
        <v>1028</v>
      </c>
    </row>
    <row r="4308" spans="1:14" ht="22.5" customHeight="1">
      <c r="A4308" s="8">
        <v>46022.450602962963</v>
      </c>
      <c r="B4308" s="9" t="s">
        <v>14</v>
      </c>
      <c r="C4308" s="9" t="s">
        <v>15</v>
      </c>
      <c r="D4308" s="10" t="s">
        <v>9407</v>
      </c>
      <c r="E4308" s="9" t="s">
        <v>17</v>
      </c>
      <c r="F4308" s="10">
        <v>36</v>
      </c>
      <c r="G4308" s="11">
        <v>8056689332</v>
      </c>
      <c r="H4308" s="10" t="s">
        <v>9408</v>
      </c>
      <c r="I4308" s="10" t="s">
        <v>49</v>
      </c>
      <c r="J4308" s="10" t="s">
        <v>606</v>
      </c>
      <c r="K4308" s="12">
        <v>46022</v>
      </c>
      <c r="L4308" s="28" t="s">
        <v>11</v>
      </c>
      <c r="M4308" s="10"/>
      <c r="N4308" s="10" t="s">
        <v>1028</v>
      </c>
    </row>
    <row r="4309" spans="1:14" ht="22.5" customHeight="1">
      <c r="A4309" s="8">
        <v>46022.450617245369</v>
      </c>
      <c r="B4309" s="9" t="s">
        <v>14</v>
      </c>
      <c r="C4309" s="9" t="s">
        <v>15</v>
      </c>
      <c r="D4309" s="10" t="s">
        <v>9409</v>
      </c>
      <c r="E4309" s="9" t="s">
        <v>17</v>
      </c>
      <c r="F4309" s="10">
        <v>30</v>
      </c>
      <c r="G4309" s="11">
        <v>8060402686</v>
      </c>
      <c r="H4309" s="10" t="s">
        <v>9410</v>
      </c>
      <c r="I4309" s="10" t="s">
        <v>27</v>
      </c>
      <c r="J4309" s="10" t="s">
        <v>94</v>
      </c>
      <c r="K4309" s="12">
        <v>46022</v>
      </c>
      <c r="L4309" s="28" t="s">
        <v>11</v>
      </c>
      <c r="M4309" s="14"/>
      <c r="N4309" s="10" t="s">
        <v>1028</v>
      </c>
    </row>
    <row r="4310" spans="1:14" ht="22.5" customHeight="1">
      <c r="A4310" s="8">
        <v>46022.453492858796</v>
      </c>
      <c r="B4310" s="9" t="s">
        <v>14</v>
      </c>
      <c r="C4310" s="9" t="s">
        <v>15</v>
      </c>
      <c r="D4310" s="10" t="s">
        <v>9411</v>
      </c>
      <c r="E4310" s="9" t="s">
        <v>17</v>
      </c>
      <c r="F4310" s="10">
        <v>39</v>
      </c>
      <c r="G4310" s="11">
        <v>7035903591</v>
      </c>
      <c r="H4310" s="10" t="s">
        <v>9412</v>
      </c>
      <c r="I4310" s="10" t="s">
        <v>49</v>
      </c>
      <c r="J4310" s="10" t="s">
        <v>50</v>
      </c>
      <c r="K4310" s="12">
        <v>46022</v>
      </c>
      <c r="L4310" s="28" t="s">
        <v>11</v>
      </c>
      <c r="M4310" s="14"/>
      <c r="N4310" s="10" t="s">
        <v>1028</v>
      </c>
    </row>
    <row r="4311" spans="1:14" ht="22.5" customHeight="1">
      <c r="A4311" s="8">
        <v>46022.453988333335</v>
      </c>
      <c r="B4311" s="9" t="s">
        <v>14</v>
      </c>
      <c r="C4311" s="9" t="s">
        <v>15</v>
      </c>
      <c r="D4311" s="10" t="s">
        <v>9413</v>
      </c>
      <c r="E4311" s="9" t="s">
        <v>17</v>
      </c>
      <c r="F4311" s="10">
        <v>38</v>
      </c>
      <c r="G4311" s="11">
        <v>7033358241</v>
      </c>
      <c r="H4311" s="10" t="s">
        <v>9414</v>
      </c>
      <c r="I4311" s="10" t="s">
        <v>45</v>
      </c>
      <c r="J4311" s="10" t="s">
        <v>9415</v>
      </c>
      <c r="K4311" s="12">
        <v>46022</v>
      </c>
      <c r="L4311" s="28" t="s">
        <v>11</v>
      </c>
      <c r="M4311" s="14"/>
      <c r="N4311" s="10" t="s">
        <v>1028</v>
      </c>
    </row>
    <row r="4312" spans="1:14" ht="22.5" customHeight="1">
      <c r="A4312" s="8">
        <v>46022.454990879633</v>
      </c>
      <c r="B4312" s="9" t="s">
        <v>14</v>
      </c>
      <c r="C4312" s="9" t="s">
        <v>15</v>
      </c>
      <c r="D4312" s="10" t="s">
        <v>9416</v>
      </c>
      <c r="E4312" s="9" t="s">
        <v>17</v>
      </c>
      <c r="F4312" s="10">
        <v>27</v>
      </c>
      <c r="G4312" s="11">
        <v>8035981209</v>
      </c>
      <c r="H4312" s="10" t="s">
        <v>9417</v>
      </c>
      <c r="I4312" s="10" t="s">
        <v>27</v>
      </c>
      <c r="J4312" s="10" t="s">
        <v>2328</v>
      </c>
      <c r="K4312" s="12">
        <v>46022</v>
      </c>
      <c r="L4312" s="28" t="s">
        <v>11</v>
      </c>
      <c r="M4312" s="10"/>
      <c r="N4312" s="10" t="s">
        <v>1028</v>
      </c>
    </row>
    <row r="4313" spans="1:14" ht="22.5" customHeight="1">
      <c r="A4313" s="8">
        <v>46022.45517400463</v>
      </c>
      <c r="B4313" s="9" t="s">
        <v>14</v>
      </c>
      <c r="C4313" s="9" t="s">
        <v>15</v>
      </c>
      <c r="D4313" s="10" t="s">
        <v>9418</v>
      </c>
      <c r="E4313" s="9" t="s">
        <v>17</v>
      </c>
      <c r="F4313" s="10">
        <v>30</v>
      </c>
      <c r="G4313" s="11">
        <v>8077157072</v>
      </c>
      <c r="H4313" s="10" t="s">
        <v>9419</v>
      </c>
      <c r="I4313" s="10" t="s">
        <v>49</v>
      </c>
      <c r="J4313" s="10" t="s">
        <v>229</v>
      </c>
      <c r="K4313" s="12">
        <v>46022</v>
      </c>
      <c r="L4313" s="28" t="s">
        <v>11</v>
      </c>
      <c r="M4313" s="14"/>
      <c r="N4313" s="10" t="s">
        <v>1028</v>
      </c>
    </row>
    <row r="4314" spans="1:14" ht="22.5" customHeight="1">
      <c r="A4314" s="8">
        <v>46022.461138981482</v>
      </c>
      <c r="B4314" s="9" t="s">
        <v>14</v>
      </c>
      <c r="C4314" s="9" t="s">
        <v>15</v>
      </c>
      <c r="D4314" s="10" t="s">
        <v>9420</v>
      </c>
      <c r="E4314" s="9" t="s">
        <v>17</v>
      </c>
      <c r="F4314" s="10">
        <v>33</v>
      </c>
      <c r="G4314" s="11">
        <v>9167482009</v>
      </c>
      <c r="H4314" s="10" t="s">
        <v>9421</v>
      </c>
      <c r="I4314" s="10" t="s">
        <v>27</v>
      </c>
      <c r="J4314" s="10" t="s">
        <v>2006</v>
      </c>
      <c r="K4314" s="12">
        <v>46022</v>
      </c>
      <c r="L4314" s="28" t="s">
        <v>11</v>
      </c>
      <c r="M4314" s="14"/>
      <c r="N4314" s="10" t="s">
        <v>1028</v>
      </c>
    </row>
    <row r="4315" spans="1:14" ht="22.5" customHeight="1">
      <c r="A4315" s="8">
        <v>46022.462008877315</v>
      </c>
      <c r="B4315" s="9" t="s">
        <v>14</v>
      </c>
      <c r="C4315" s="9" t="s">
        <v>15</v>
      </c>
      <c r="D4315" s="10" t="s">
        <v>9422</v>
      </c>
      <c r="E4315" s="9" t="s">
        <v>17</v>
      </c>
      <c r="F4315" s="10">
        <v>23</v>
      </c>
      <c r="G4315" s="11">
        <v>8108791988</v>
      </c>
      <c r="H4315" s="10" t="s">
        <v>9423</v>
      </c>
      <c r="I4315" s="10" t="s">
        <v>27</v>
      </c>
      <c r="J4315" s="10" t="s">
        <v>2858</v>
      </c>
      <c r="K4315" s="12">
        <v>46022</v>
      </c>
      <c r="L4315" s="28" t="s">
        <v>11</v>
      </c>
      <c r="M4315" s="14"/>
      <c r="N4315" s="10" t="s">
        <v>1028</v>
      </c>
    </row>
    <row r="4316" spans="1:14" ht="22.5" customHeight="1">
      <c r="A4316" s="8">
        <v>46022.465978460648</v>
      </c>
      <c r="B4316" s="9" t="s">
        <v>14</v>
      </c>
      <c r="C4316" s="9" t="s">
        <v>15</v>
      </c>
      <c r="D4316" s="10" t="s">
        <v>9424</v>
      </c>
      <c r="E4316" s="9" t="s">
        <v>17</v>
      </c>
      <c r="F4316" s="10">
        <v>31</v>
      </c>
      <c r="G4316" s="11">
        <f t="shared" ref="G4316" si="115">2347068248537</f>
        <v>2347068248537</v>
      </c>
      <c r="H4316" s="10" t="s">
        <v>9425</v>
      </c>
      <c r="I4316" s="10" t="s">
        <v>27</v>
      </c>
      <c r="J4316" s="10" t="s">
        <v>2348</v>
      </c>
      <c r="K4316" s="12">
        <v>46022</v>
      </c>
      <c r="L4316" s="28" t="s">
        <v>11</v>
      </c>
      <c r="M4316" s="14"/>
      <c r="N4316" s="10" t="s">
        <v>1028</v>
      </c>
    </row>
    <row r="4317" spans="1:14" ht="22.5" customHeight="1">
      <c r="A4317" s="8">
        <v>46022.467768541668</v>
      </c>
      <c r="B4317" s="9" t="s">
        <v>14</v>
      </c>
      <c r="C4317" s="9" t="s">
        <v>15</v>
      </c>
      <c r="D4317" s="10" t="s">
        <v>9426</v>
      </c>
      <c r="E4317" s="9" t="s">
        <v>17</v>
      </c>
      <c r="F4317" s="10">
        <v>28</v>
      </c>
      <c r="G4317" s="11">
        <v>7026471437</v>
      </c>
      <c r="H4317" s="10" t="s">
        <v>9427</v>
      </c>
      <c r="I4317" s="10" t="s">
        <v>202</v>
      </c>
      <c r="J4317" s="10" t="s">
        <v>203</v>
      </c>
      <c r="K4317" s="12">
        <v>46022</v>
      </c>
      <c r="L4317" s="28" t="s">
        <v>11</v>
      </c>
      <c r="M4317" s="14"/>
      <c r="N4317" s="10" t="s">
        <v>1028</v>
      </c>
    </row>
    <row r="4318" spans="1:14" ht="22.5" customHeight="1">
      <c r="A4318" s="8">
        <v>46022.468361562496</v>
      </c>
      <c r="B4318" s="9" t="s">
        <v>14</v>
      </c>
      <c r="C4318" s="9" t="s">
        <v>15</v>
      </c>
      <c r="D4318" s="10" t="s">
        <v>9428</v>
      </c>
      <c r="E4318" s="9" t="s">
        <v>17</v>
      </c>
      <c r="F4318" s="10">
        <v>29</v>
      </c>
      <c r="G4318" s="11">
        <v>8153451517</v>
      </c>
      <c r="H4318" s="10" t="s">
        <v>9429</v>
      </c>
      <c r="I4318" s="10" t="s">
        <v>49</v>
      </c>
      <c r="J4318" s="10" t="s">
        <v>606</v>
      </c>
      <c r="K4318" s="12">
        <v>46022</v>
      </c>
      <c r="L4318" s="28" t="s">
        <v>11</v>
      </c>
      <c r="M4318" s="14"/>
      <c r="N4318" s="10" t="s">
        <v>1028</v>
      </c>
    </row>
    <row r="4319" spans="1:14" ht="22.5" customHeight="1">
      <c r="A4319" s="8">
        <v>46022.46866273148</v>
      </c>
      <c r="B4319" s="9" t="s">
        <v>14</v>
      </c>
      <c r="C4319" s="9" t="s">
        <v>15</v>
      </c>
      <c r="D4319" s="10" t="s">
        <v>9430</v>
      </c>
      <c r="E4319" s="9" t="s">
        <v>22</v>
      </c>
      <c r="F4319" s="10">
        <v>23</v>
      </c>
      <c r="G4319" s="11">
        <v>9038924494</v>
      </c>
      <c r="H4319" s="10" t="s">
        <v>9431</v>
      </c>
      <c r="I4319" s="10" t="s">
        <v>31</v>
      </c>
      <c r="J4319" s="10" t="s">
        <v>32</v>
      </c>
      <c r="K4319" s="12">
        <v>46012</v>
      </c>
      <c r="L4319" s="28" t="s">
        <v>11</v>
      </c>
      <c r="M4319" s="14"/>
      <c r="N4319" s="10" t="s">
        <v>1028</v>
      </c>
    </row>
    <row r="4320" spans="1:14" ht="22.5" customHeight="1">
      <c r="A4320" s="8">
        <v>46022.471619062504</v>
      </c>
      <c r="B4320" s="9" t="s">
        <v>14</v>
      </c>
      <c r="C4320" s="9" t="s">
        <v>15</v>
      </c>
      <c r="D4320" s="10" t="s">
        <v>9432</v>
      </c>
      <c r="E4320" s="9" t="s">
        <v>17</v>
      </c>
      <c r="F4320" s="10">
        <v>27</v>
      </c>
      <c r="G4320" s="11">
        <v>9014769029</v>
      </c>
      <c r="H4320" s="10" t="s">
        <v>9433</v>
      </c>
      <c r="I4320" s="10" t="s">
        <v>27</v>
      </c>
      <c r="J4320" s="10" t="s">
        <v>703</v>
      </c>
      <c r="K4320" s="12">
        <v>46022</v>
      </c>
      <c r="L4320" s="28" t="s">
        <v>11</v>
      </c>
      <c r="M4320" s="14"/>
      <c r="N4320" s="10" t="s">
        <v>1028</v>
      </c>
    </row>
    <row r="4321" spans="1:14" ht="22.5" customHeight="1">
      <c r="A4321" s="8">
        <v>46022.472759317126</v>
      </c>
      <c r="B4321" s="9" t="s">
        <v>14</v>
      </c>
      <c r="C4321" s="9" t="s">
        <v>15</v>
      </c>
      <c r="D4321" s="10" t="s">
        <v>9434</v>
      </c>
      <c r="E4321" s="9" t="s">
        <v>17</v>
      </c>
      <c r="F4321" s="10">
        <v>25</v>
      </c>
      <c r="G4321" s="11">
        <v>8144479920</v>
      </c>
      <c r="H4321" s="10" t="s">
        <v>9435</v>
      </c>
      <c r="I4321" s="10" t="s">
        <v>27</v>
      </c>
      <c r="J4321" s="10" t="s">
        <v>2858</v>
      </c>
      <c r="K4321" s="12">
        <v>46022</v>
      </c>
      <c r="L4321" s="28" t="s">
        <v>11</v>
      </c>
      <c r="M4321" s="10"/>
      <c r="N4321" s="10" t="s">
        <v>1028</v>
      </c>
    </row>
    <row r="4322" spans="1:14" ht="22.5" customHeight="1">
      <c r="A4322" s="8">
        <v>46022.473658541669</v>
      </c>
      <c r="B4322" s="9" t="s">
        <v>14</v>
      </c>
      <c r="C4322" s="9" t="s">
        <v>15</v>
      </c>
      <c r="D4322" s="10" t="s">
        <v>9436</v>
      </c>
      <c r="E4322" s="9" t="s">
        <v>17</v>
      </c>
      <c r="F4322" s="10">
        <v>28</v>
      </c>
      <c r="G4322" s="11">
        <v>8145511899</v>
      </c>
      <c r="H4322" s="10" t="s">
        <v>9437</v>
      </c>
      <c r="I4322" s="10" t="s">
        <v>27</v>
      </c>
      <c r="J4322" s="10" t="s">
        <v>9438</v>
      </c>
      <c r="K4322" s="12">
        <v>46022</v>
      </c>
      <c r="L4322" s="28" t="s">
        <v>11</v>
      </c>
      <c r="M4322" s="14"/>
      <c r="N4322" s="10" t="s">
        <v>1028</v>
      </c>
    </row>
    <row r="4323" spans="1:14" ht="22.5" customHeight="1">
      <c r="A4323" s="8">
        <v>46022.475880717597</v>
      </c>
      <c r="B4323" s="9" t="s">
        <v>14</v>
      </c>
      <c r="C4323" s="9" t="s">
        <v>15</v>
      </c>
      <c r="D4323" s="10" t="s">
        <v>9439</v>
      </c>
      <c r="E4323" s="9" t="s">
        <v>17</v>
      </c>
      <c r="F4323" s="10">
        <v>29</v>
      </c>
      <c r="G4323" s="11">
        <v>8103245656</v>
      </c>
      <c r="H4323" s="10" t="s">
        <v>9440</v>
      </c>
      <c r="I4323" s="10" t="s">
        <v>27</v>
      </c>
      <c r="J4323" s="10" t="s">
        <v>9441</v>
      </c>
      <c r="K4323" s="12">
        <v>46022</v>
      </c>
      <c r="L4323" s="28" t="s">
        <v>11</v>
      </c>
      <c r="M4323" s="14"/>
      <c r="N4323" s="10" t="s">
        <v>2482</v>
      </c>
    </row>
    <row r="4324" spans="1:14" ht="22.5" customHeight="1">
      <c r="A4324" s="8">
        <v>46022.481026817128</v>
      </c>
      <c r="B4324" s="9" t="s">
        <v>14</v>
      </c>
      <c r="C4324" s="9" t="s">
        <v>15</v>
      </c>
      <c r="D4324" s="10" t="s">
        <v>9442</v>
      </c>
      <c r="E4324" s="9" t="s">
        <v>17</v>
      </c>
      <c r="F4324" s="10">
        <v>24</v>
      </c>
      <c r="G4324" s="11">
        <v>8165819985</v>
      </c>
      <c r="H4324" s="10" t="s">
        <v>9443</v>
      </c>
      <c r="I4324" s="10" t="s">
        <v>49</v>
      </c>
      <c r="J4324" s="10" t="s">
        <v>103</v>
      </c>
      <c r="K4324" s="12">
        <v>46022</v>
      </c>
      <c r="L4324" s="28" t="s">
        <v>11</v>
      </c>
      <c r="M4324" s="14"/>
      <c r="N4324" s="10" t="s">
        <v>1028</v>
      </c>
    </row>
    <row r="4325" spans="1:14" ht="22.5" customHeight="1">
      <c r="A4325" s="8">
        <v>46022.482647627316</v>
      </c>
      <c r="B4325" s="9" t="s">
        <v>14</v>
      </c>
      <c r="C4325" s="9" t="s">
        <v>15</v>
      </c>
      <c r="D4325" s="10" t="s">
        <v>9444</v>
      </c>
      <c r="E4325" s="9" t="s">
        <v>17</v>
      </c>
      <c r="F4325" s="19">
        <v>30</v>
      </c>
      <c r="G4325" s="11">
        <v>9151615921</v>
      </c>
      <c r="H4325" s="10" t="s">
        <v>9445</v>
      </c>
      <c r="I4325" s="10" t="s">
        <v>45</v>
      </c>
      <c r="J4325" s="10" t="s">
        <v>901</v>
      </c>
      <c r="K4325" s="12">
        <v>46022</v>
      </c>
      <c r="L4325" s="28" t="s">
        <v>11</v>
      </c>
      <c r="M4325" s="14"/>
      <c r="N4325" s="10" t="s">
        <v>1028</v>
      </c>
    </row>
    <row r="4326" spans="1:14" ht="22.5" customHeight="1">
      <c r="A4326" s="8">
        <v>46022.484211296294</v>
      </c>
      <c r="B4326" s="9" t="s">
        <v>14</v>
      </c>
      <c r="C4326" s="9" t="s">
        <v>15</v>
      </c>
      <c r="D4326" s="10" t="s">
        <v>9446</v>
      </c>
      <c r="E4326" s="9" t="s">
        <v>17</v>
      </c>
      <c r="F4326" s="10">
        <v>31</v>
      </c>
      <c r="G4326" s="11">
        <v>7064549814</v>
      </c>
      <c r="H4326" s="10" t="s">
        <v>9447</v>
      </c>
      <c r="I4326" s="10" t="s">
        <v>27</v>
      </c>
      <c r="J4326" s="10" t="s">
        <v>9082</v>
      </c>
      <c r="K4326" s="12">
        <v>46022</v>
      </c>
      <c r="L4326" s="28" t="s">
        <v>11</v>
      </c>
      <c r="M4326" s="14"/>
      <c r="N4326" s="10" t="s">
        <v>1096</v>
      </c>
    </row>
    <row r="4327" spans="1:14" ht="22.5" customHeight="1">
      <c r="A4327" s="8">
        <v>46022.485857476851</v>
      </c>
      <c r="B4327" s="9" t="s">
        <v>14</v>
      </c>
      <c r="C4327" s="9" t="s">
        <v>15</v>
      </c>
      <c r="D4327" s="10" t="s">
        <v>9448</v>
      </c>
      <c r="E4327" s="9" t="s">
        <v>22</v>
      </c>
      <c r="F4327" s="10">
        <v>37</v>
      </c>
      <c r="G4327" s="11">
        <v>7036340018</v>
      </c>
      <c r="H4327" s="10" t="s">
        <v>9449</v>
      </c>
      <c r="I4327" s="10" t="s">
        <v>45</v>
      </c>
      <c r="J4327" s="10" t="s">
        <v>932</v>
      </c>
      <c r="K4327" s="12">
        <v>46022</v>
      </c>
      <c r="L4327" s="28" t="s">
        <v>11</v>
      </c>
      <c r="M4327" s="14"/>
      <c r="N4327" s="10" t="s">
        <v>1028</v>
      </c>
    </row>
    <row r="4328" spans="1:14" ht="22.5" customHeight="1">
      <c r="A4328" s="8">
        <v>46022.487163518519</v>
      </c>
      <c r="B4328" s="9" t="s">
        <v>14</v>
      </c>
      <c r="C4328" s="9" t="s">
        <v>15</v>
      </c>
      <c r="D4328" s="10" t="s">
        <v>9450</v>
      </c>
      <c r="E4328" s="9" t="s">
        <v>22</v>
      </c>
      <c r="F4328" s="10">
        <v>25</v>
      </c>
      <c r="G4328" s="11">
        <v>8135779321</v>
      </c>
      <c r="H4328" s="10" t="s">
        <v>9451</v>
      </c>
      <c r="I4328" s="10" t="s">
        <v>49</v>
      </c>
      <c r="J4328" s="10" t="s">
        <v>606</v>
      </c>
      <c r="K4328" s="12">
        <v>46022</v>
      </c>
      <c r="L4328" s="28" t="s">
        <v>11</v>
      </c>
      <c r="M4328" s="14"/>
      <c r="N4328" s="10" t="s">
        <v>1028</v>
      </c>
    </row>
    <row r="4329" spans="1:14" ht="22.5" customHeight="1">
      <c r="A4329" s="8">
        <v>46022.487738750002</v>
      </c>
      <c r="B4329" s="9" t="s">
        <v>14</v>
      </c>
      <c r="C4329" s="9" t="s">
        <v>15</v>
      </c>
      <c r="D4329" s="10" t="s">
        <v>9452</v>
      </c>
      <c r="E4329" s="9" t="s">
        <v>17</v>
      </c>
      <c r="F4329" s="10">
        <v>28</v>
      </c>
      <c r="G4329" s="11">
        <v>7065333058</v>
      </c>
      <c r="H4329" s="10" t="s">
        <v>9453</v>
      </c>
      <c r="I4329" s="10" t="s">
        <v>27</v>
      </c>
      <c r="J4329" s="10" t="s">
        <v>9454</v>
      </c>
      <c r="K4329" s="12">
        <v>46022</v>
      </c>
      <c r="L4329" s="28" t="s">
        <v>11</v>
      </c>
      <c r="M4329" s="14"/>
      <c r="N4329" s="10" t="s">
        <v>1140</v>
      </c>
    </row>
    <row r="4330" spans="1:14" ht="22.5" customHeight="1">
      <c r="A4330" s="8">
        <v>46022.487519618051</v>
      </c>
      <c r="B4330" s="9" t="s">
        <v>14</v>
      </c>
      <c r="C4330" s="9" t="s">
        <v>15</v>
      </c>
      <c r="D4330" s="10" t="s">
        <v>9455</v>
      </c>
      <c r="E4330" s="9" t="s">
        <v>17</v>
      </c>
      <c r="F4330" s="10">
        <v>29</v>
      </c>
      <c r="G4330" s="11">
        <v>8081442910</v>
      </c>
      <c r="H4330" s="10" t="s">
        <v>9456</v>
      </c>
      <c r="I4330" s="10" t="s">
        <v>27</v>
      </c>
      <c r="J4330" s="10" t="s">
        <v>94</v>
      </c>
      <c r="K4330" s="12">
        <v>46022</v>
      </c>
      <c r="L4330" s="28" t="s">
        <v>11</v>
      </c>
      <c r="M4330" s="14"/>
      <c r="N4330" s="10" t="s">
        <v>1028</v>
      </c>
    </row>
    <row r="4331" spans="1:14" ht="22.5" customHeight="1">
      <c r="A4331" s="8">
        <v>46022.491320462963</v>
      </c>
      <c r="B4331" s="9" t="s">
        <v>14</v>
      </c>
      <c r="C4331" s="9" t="s">
        <v>15</v>
      </c>
      <c r="D4331" s="10" t="s">
        <v>9457</v>
      </c>
      <c r="E4331" s="9" t="s">
        <v>17</v>
      </c>
      <c r="F4331" s="10">
        <v>28</v>
      </c>
      <c r="G4331" s="11">
        <v>7035075714</v>
      </c>
      <c r="H4331" s="10" t="s">
        <v>9458</v>
      </c>
      <c r="I4331" s="10" t="s">
        <v>27</v>
      </c>
      <c r="J4331" s="10" t="s">
        <v>372</v>
      </c>
      <c r="K4331" s="12">
        <v>46022</v>
      </c>
      <c r="L4331" s="28" t="s">
        <v>11</v>
      </c>
      <c r="M4331" s="14"/>
      <c r="N4331" s="10" t="s">
        <v>1096</v>
      </c>
    </row>
    <row r="4332" spans="1:14" ht="22.5" customHeight="1">
      <c r="A4332" s="8">
        <v>46022.497780694444</v>
      </c>
      <c r="B4332" s="9" t="s">
        <v>14</v>
      </c>
      <c r="C4332" s="9" t="s">
        <v>15</v>
      </c>
      <c r="D4332" s="10" t="s">
        <v>815</v>
      </c>
      <c r="E4332" s="9" t="s">
        <v>22</v>
      </c>
      <c r="F4332" s="10">
        <v>34</v>
      </c>
      <c r="G4332" s="11">
        <v>9060269004</v>
      </c>
      <c r="H4332" s="10" t="s">
        <v>9459</v>
      </c>
      <c r="I4332" s="10" t="s">
        <v>49</v>
      </c>
      <c r="J4332" s="10" t="s">
        <v>106</v>
      </c>
      <c r="K4332" s="12">
        <v>46022</v>
      </c>
      <c r="L4332" s="28" t="s">
        <v>11</v>
      </c>
      <c r="M4332" s="14"/>
      <c r="N4332" s="10" t="s">
        <v>1563</v>
      </c>
    </row>
    <row r="4333" spans="1:14" ht="22.5" customHeight="1">
      <c r="A4333" s="8">
        <v>46022.498086458334</v>
      </c>
      <c r="B4333" s="9" t="s">
        <v>14</v>
      </c>
      <c r="C4333" s="9" t="s">
        <v>15</v>
      </c>
      <c r="D4333" s="10" t="s">
        <v>9460</v>
      </c>
      <c r="E4333" s="9" t="s">
        <v>22</v>
      </c>
      <c r="F4333" s="10">
        <v>23</v>
      </c>
      <c r="G4333" s="11">
        <v>7042414219</v>
      </c>
      <c r="H4333" s="10" t="s">
        <v>9461</v>
      </c>
      <c r="I4333" s="10" t="s">
        <v>27</v>
      </c>
      <c r="J4333" s="10" t="s">
        <v>9462</v>
      </c>
      <c r="K4333" s="12">
        <v>46022</v>
      </c>
      <c r="L4333" s="28" t="s">
        <v>11</v>
      </c>
      <c r="M4333" s="14"/>
      <c r="N4333" s="10" t="s">
        <v>1096</v>
      </c>
    </row>
    <row r="4334" spans="1:14" ht="22.5" customHeight="1">
      <c r="A4334" s="8">
        <v>46022.502475162037</v>
      </c>
      <c r="B4334" s="9" t="s">
        <v>14</v>
      </c>
      <c r="C4334" s="9" t="s">
        <v>15</v>
      </c>
      <c r="D4334" s="10" t="s">
        <v>9463</v>
      </c>
      <c r="E4334" s="9" t="s">
        <v>17</v>
      </c>
      <c r="F4334" s="10">
        <v>27</v>
      </c>
      <c r="G4334" s="11">
        <v>8030989866</v>
      </c>
      <c r="H4334" s="10" t="s">
        <v>9464</v>
      </c>
      <c r="I4334" s="10" t="s">
        <v>27</v>
      </c>
      <c r="J4334" s="10" t="s">
        <v>1559</v>
      </c>
      <c r="K4334" s="12">
        <v>46022</v>
      </c>
      <c r="L4334" s="28" t="s">
        <v>11</v>
      </c>
      <c r="M4334" s="14"/>
      <c r="N4334" s="10" t="s">
        <v>1028</v>
      </c>
    </row>
    <row r="4335" spans="1:14" ht="22.5" customHeight="1">
      <c r="A4335" s="8">
        <v>46022.502874039354</v>
      </c>
      <c r="B4335" s="9" t="s">
        <v>14</v>
      </c>
      <c r="C4335" s="9" t="s">
        <v>15</v>
      </c>
      <c r="D4335" s="10" t="s">
        <v>9465</v>
      </c>
      <c r="E4335" s="9" t="s">
        <v>17</v>
      </c>
      <c r="F4335" s="10">
        <v>23</v>
      </c>
      <c r="G4335" s="11">
        <v>7018363997</v>
      </c>
      <c r="H4335" s="10" t="s">
        <v>9466</v>
      </c>
      <c r="I4335" s="10" t="s">
        <v>49</v>
      </c>
      <c r="J4335" s="10" t="s">
        <v>606</v>
      </c>
      <c r="K4335" s="12">
        <v>46022</v>
      </c>
      <c r="L4335" s="28" t="s">
        <v>11</v>
      </c>
      <c r="M4335" s="14"/>
      <c r="N4335" s="10" t="s">
        <v>1028</v>
      </c>
    </row>
    <row r="4336" spans="1:14" ht="22.5" customHeight="1">
      <c r="A4336" s="8">
        <v>46022.504171006949</v>
      </c>
      <c r="B4336" s="9" t="s">
        <v>14</v>
      </c>
      <c r="C4336" s="9" t="s">
        <v>15</v>
      </c>
      <c r="D4336" s="10" t="s">
        <v>9467</v>
      </c>
      <c r="E4336" s="9" t="s">
        <v>17</v>
      </c>
      <c r="F4336" s="10">
        <v>33</v>
      </c>
      <c r="G4336" s="11">
        <v>7066869791</v>
      </c>
      <c r="H4336" s="10" t="s">
        <v>9468</v>
      </c>
      <c r="I4336" s="10" t="s">
        <v>49</v>
      </c>
      <c r="J4336" s="10" t="s">
        <v>9469</v>
      </c>
      <c r="K4336" s="12">
        <v>46022</v>
      </c>
      <c r="L4336" s="28" t="s">
        <v>11</v>
      </c>
      <c r="M4336" s="14"/>
      <c r="N4336" s="10" t="s">
        <v>1028</v>
      </c>
    </row>
    <row r="4337" spans="1:14" ht="22.5" customHeight="1">
      <c r="A4337" s="8">
        <v>46022.504676041666</v>
      </c>
      <c r="B4337" s="9" t="s">
        <v>14</v>
      </c>
      <c r="C4337" s="9" t="s">
        <v>15</v>
      </c>
      <c r="D4337" s="10" t="s">
        <v>9470</v>
      </c>
      <c r="E4337" s="9" t="s">
        <v>17</v>
      </c>
      <c r="F4337" s="10">
        <v>21</v>
      </c>
      <c r="G4337" s="11">
        <v>3438221399</v>
      </c>
      <c r="H4337" s="10" t="s">
        <v>9471</v>
      </c>
      <c r="I4337" s="10" t="s">
        <v>49</v>
      </c>
      <c r="J4337" s="10" t="s">
        <v>9472</v>
      </c>
      <c r="K4337" s="12">
        <v>46022</v>
      </c>
      <c r="L4337" s="28" t="s">
        <v>11</v>
      </c>
      <c r="M4337" s="14"/>
      <c r="N4337" s="10" t="s">
        <v>1028</v>
      </c>
    </row>
    <row r="4338" spans="1:14" ht="22.5" customHeight="1">
      <c r="A4338" s="8">
        <v>46022.512159618054</v>
      </c>
      <c r="B4338" s="9" t="s">
        <v>14</v>
      </c>
      <c r="C4338" s="9" t="s">
        <v>15</v>
      </c>
      <c r="D4338" s="10" t="s">
        <v>9473</v>
      </c>
      <c r="E4338" s="9" t="s">
        <v>17</v>
      </c>
      <c r="F4338" s="10">
        <v>32</v>
      </c>
      <c r="G4338" s="11">
        <f t="shared" ref="G4338" si="116">2348067146882</f>
        <v>2348067146882</v>
      </c>
      <c r="H4338" s="10" t="s">
        <v>9474</v>
      </c>
      <c r="I4338" s="10" t="s">
        <v>27</v>
      </c>
      <c r="J4338" s="10" t="s">
        <v>9475</v>
      </c>
      <c r="K4338" s="12">
        <v>46022</v>
      </c>
      <c r="L4338" s="28" t="s">
        <v>11</v>
      </c>
      <c r="M4338" s="14"/>
      <c r="N4338" s="10" t="s">
        <v>1028</v>
      </c>
    </row>
    <row r="4339" spans="1:14" ht="22.5" customHeight="1">
      <c r="A4339" s="8">
        <v>46022.513221284724</v>
      </c>
      <c r="B4339" s="9" t="s">
        <v>14</v>
      </c>
      <c r="C4339" s="9" t="s">
        <v>15</v>
      </c>
      <c r="D4339" s="10" t="s">
        <v>9476</v>
      </c>
      <c r="E4339" s="9" t="s">
        <v>22</v>
      </c>
      <c r="F4339" s="10">
        <v>33</v>
      </c>
      <c r="G4339" s="11">
        <v>8139364781</v>
      </c>
      <c r="H4339" s="10" t="s">
        <v>9477</v>
      </c>
      <c r="I4339" s="10" t="s">
        <v>45</v>
      </c>
      <c r="J4339" s="10" t="s">
        <v>688</v>
      </c>
      <c r="K4339" s="12">
        <v>33879</v>
      </c>
      <c r="L4339" s="28" t="s">
        <v>11</v>
      </c>
      <c r="M4339" s="14"/>
      <c r="N4339" s="10" t="s">
        <v>1028</v>
      </c>
    </row>
    <row r="4340" spans="1:14" ht="22.5" customHeight="1">
      <c r="A4340" s="8">
        <v>46022.513776064814</v>
      </c>
      <c r="B4340" s="9" t="s">
        <v>14</v>
      </c>
      <c r="C4340" s="9" t="s">
        <v>15</v>
      </c>
      <c r="D4340" s="10" t="s">
        <v>9478</v>
      </c>
      <c r="E4340" s="9" t="s">
        <v>17</v>
      </c>
      <c r="F4340" s="10">
        <v>37</v>
      </c>
      <c r="G4340" s="11">
        <v>7063729899</v>
      </c>
      <c r="H4340" s="10" t="s">
        <v>9479</v>
      </c>
      <c r="I4340" s="10" t="s">
        <v>27</v>
      </c>
      <c r="J4340" s="10" t="s">
        <v>2639</v>
      </c>
      <c r="K4340" s="12">
        <v>46022</v>
      </c>
      <c r="L4340" s="28" t="s">
        <v>11</v>
      </c>
      <c r="M4340" s="14"/>
      <c r="N4340" s="10" t="s">
        <v>1028</v>
      </c>
    </row>
    <row r="4341" spans="1:14" ht="22.5" customHeight="1">
      <c r="A4341" s="8">
        <v>46022.516122534726</v>
      </c>
      <c r="B4341" s="9" t="s">
        <v>14</v>
      </c>
      <c r="C4341" s="9" t="s">
        <v>15</v>
      </c>
      <c r="D4341" s="10" t="s">
        <v>9480</v>
      </c>
      <c r="E4341" s="9" t="s">
        <v>17</v>
      </c>
      <c r="F4341" s="10">
        <v>30</v>
      </c>
      <c r="G4341" s="11">
        <v>8132977876</v>
      </c>
      <c r="H4341" s="10" t="s">
        <v>9481</v>
      </c>
      <c r="I4341" s="10" t="s">
        <v>27</v>
      </c>
      <c r="J4341" s="10" t="s">
        <v>1456</v>
      </c>
      <c r="K4341" s="12">
        <v>34654</v>
      </c>
      <c r="L4341" s="28" t="s">
        <v>11</v>
      </c>
      <c r="M4341" s="14"/>
      <c r="N4341" s="10" t="s">
        <v>1096</v>
      </c>
    </row>
    <row r="4342" spans="1:14" ht="22.5" customHeight="1">
      <c r="A4342" s="8">
        <v>46022.519204548611</v>
      </c>
      <c r="B4342" s="9" t="s">
        <v>14</v>
      </c>
      <c r="C4342" s="9" t="s">
        <v>15</v>
      </c>
      <c r="D4342" s="10" t="s">
        <v>9482</v>
      </c>
      <c r="E4342" s="9" t="s">
        <v>22</v>
      </c>
      <c r="F4342" s="10">
        <v>34</v>
      </c>
      <c r="G4342" s="11">
        <v>8166126548</v>
      </c>
      <c r="H4342" s="10" t="s">
        <v>9483</v>
      </c>
      <c r="I4342" s="10" t="s">
        <v>49</v>
      </c>
      <c r="J4342" s="10" t="s">
        <v>109</v>
      </c>
      <c r="K4342" s="12">
        <v>46022</v>
      </c>
      <c r="L4342" s="28" t="s">
        <v>11</v>
      </c>
      <c r="M4342" s="14"/>
      <c r="N4342" s="10" t="s">
        <v>1028</v>
      </c>
    </row>
    <row r="4343" spans="1:14" ht="22.5" customHeight="1">
      <c r="A4343" s="8">
        <v>46022.52158497685</v>
      </c>
      <c r="B4343" s="9" t="s">
        <v>14</v>
      </c>
      <c r="C4343" s="9" t="s">
        <v>15</v>
      </c>
      <c r="D4343" s="10" t="s">
        <v>9484</v>
      </c>
      <c r="E4343" s="9" t="s">
        <v>17</v>
      </c>
      <c r="F4343" s="10">
        <v>31</v>
      </c>
      <c r="G4343" s="11">
        <v>7033421143</v>
      </c>
      <c r="H4343" s="10" t="s">
        <v>9485</v>
      </c>
      <c r="I4343" s="10" t="s">
        <v>27</v>
      </c>
      <c r="J4343" s="10" t="s">
        <v>1902</v>
      </c>
      <c r="K4343" s="12">
        <v>46022</v>
      </c>
      <c r="L4343" s="28" t="s">
        <v>11</v>
      </c>
      <c r="M4343" s="14"/>
      <c r="N4343" s="10" t="s">
        <v>1028</v>
      </c>
    </row>
    <row r="4344" spans="1:14" ht="22.5" customHeight="1">
      <c r="A4344" s="8">
        <v>46022.525749525463</v>
      </c>
      <c r="B4344" s="9" t="s">
        <v>14</v>
      </c>
      <c r="C4344" s="9" t="s">
        <v>15</v>
      </c>
      <c r="D4344" s="10" t="s">
        <v>9486</v>
      </c>
      <c r="E4344" s="9" t="s">
        <v>17</v>
      </c>
      <c r="F4344" s="10">
        <v>24</v>
      </c>
      <c r="G4344" s="11">
        <v>7087756433</v>
      </c>
      <c r="H4344" s="10" t="s">
        <v>9487</v>
      </c>
      <c r="I4344" s="10" t="s">
        <v>27</v>
      </c>
      <c r="J4344" s="10" t="s">
        <v>27</v>
      </c>
      <c r="K4344" s="12">
        <v>46022</v>
      </c>
      <c r="L4344" s="28" t="s">
        <v>11</v>
      </c>
      <c r="M4344" s="10"/>
      <c r="N4344" s="10" t="s">
        <v>1563</v>
      </c>
    </row>
    <row r="4345" spans="1:14" ht="22.5" customHeight="1">
      <c r="A4345" s="8">
        <v>46022.526606527783</v>
      </c>
      <c r="B4345" s="9" t="s">
        <v>14</v>
      </c>
      <c r="C4345" s="9" t="s">
        <v>15</v>
      </c>
      <c r="D4345" s="10" t="s">
        <v>9488</v>
      </c>
      <c r="E4345" s="9" t="s">
        <v>17</v>
      </c>
      <c r="F4345" s="10">
        <v>29</v>
      </c>
      <c r="G4345" s="11">
        <v>8166096426</v>
      </c>
      <c r="H4345" s="10" t="s">
        <v>9489</v>
      </c>
      <c r="I4345" s="10" t="s">
        <v>27</v>
      </c>
      <c r="J4345" s="10" t="s">
        <v>94</v>
      </c>
      <c r="K4345" s="12">
        <v>46022</v>
      </c>
      <c r="L4345" s="28" t="s">
        <v>11</v>
      </c>
      <c r="M4345" s="14"/>
      <c r="N4345" s="10" t="s">
        <v>1028</v>
      </c>
    </row>
    <row r="4346" spans="1:14" ht="22.5" customHeight="1">
      <c r="A4346" s="8">
        <v>46022.527360196764</v>
      </c>
      <c r="B4346" s="9" t="s">
        <v>14</v>
      </c>
      <c r="C4346" s="9" t="s">
        <v>15</v>
      </c>
      <c r="D4346" s="10" t="s">
        <v>9490</v>
      </c>
      <c r="E4346" s="9" t="s">
        <v>22</v>
      </c>
      <c r="F4346" s="10">
        <v>23</v>
      </c>
      <c r="G4346" s="11">
        <v>9033750505</v>
      </c>
      <c r="H4346" s="10" t="s">
        <v>9491</v>
      </c>
      <c r="I4346" s="10" t="s">
        <v>27</v>
      </c>
      <c r="J4346" s="10" t="s">
        <v>1456</v>
      </c>
      <c r="K4346" s="12">
        <v>46022</v>
      </c>
      <c r="L4346" s="28" t="s">
        <v>11</v>
      </c>
      <c r="M4346" s="14"/>
      <c r="N4346" s="10" t="s">
        <v>1028</v>
      </c>
    </row>
    <row r="4347" spans="1:14" ht="22.5" customHeight="1">
      <c r="A4347" s="8">
        <v>46022.527657546292</v>
      </c>
      <c r="B4347" s="9" t="s">
        <v>14</v>
      </c>
      <c r="C4347" s="9" t="s">
        <v>15</v>
      </c>
      <c r="D4347" s="10" t="s">
        <v>9492</v>
      </c>
      <c r="E4347" s="9" t="s">
        <v>17</v>
      </c>
      <c r="F4347" s="10">
        <v>24</v>
      </c>
      <c r="G4347" s="11">
        <v>9015664481</v>
      </c>
      <c r="H4347" s="10" t="s">
        <v>9493</v>
      </c>
      <c r="I4347" s="10" t="s">
        <v>27</v>
      </c>
      <c r="J4347" s="10" t="s">
        <v>8877</v>
      </c>
      <c r="K4347" s="12">
        <v>46022</v>
      </c>
      <c r="L4347" s="28" t="s">
        <v>11</v>
      </c>
      <c r="M4347" s="14"/>
      <c r="N4347" s="10" t="s">
        <v>1028</v>
      </c>
    </row>
    <row r="4348" spans="1:14" ht="22.5" customHeight="1">
      <c r="A4348" s="8">
        <v>46022.530754664353</v>
      </c>
      <c r="B4348" s="9" t="s">
        <v>14</v>
      </c>
      <c r="C4348" s="9" t="s">
        <v>15</v>
      </c>
      <c r="D4348" s="10" t="s">
        <v>9494</v>
      </c>
      <c r="E4348" s="9" t="s">
        <v>22</v>
      </c>
      <c r="F4348" s="10">
        <v>34</v>
      </c>
      <c r="G4348" s="11">
        <v>8063778082</v>
      </c>
      <c r="H4348" s="10" t="s">
        <v>9495</v>
      </c>
      <c r="I4348" s="10" t="s">
        <v>145</v>
      </c>
      <c r="J4348" s="10" t="s">
        <v>6726</v>
      </c>
      <c r="K4348" s="12">
        <v>46022</v>
      </c>
      <c r="L4348" s="28" t="s">
        <v>11</v>
      </c>
      <c r="M4348" s="14"/>
      <c r="N4348" s="10" t="s">
        <v>1028</v>
      </c>
    </row>
    <row r="4349" spans="1:14" ht="22.5" hidden="1" customHeight="1">
      <c r="A4349" s="8">
        <v>46022.531963240741</v>
      </c>
      <c r="B4349" s="9" t="s">
        <v>14</v>
      </c>
      <c r="C4349" s="9" t="s">
        <v>15</v>
      </c>
      <c r="D4349" s="10" t="s">
        <v>9496</v>
      </c>
      <c r="E4349" s="9" t="s">
        <v>17</v>
      </c>
      <c r="F4349" s="10">
        <v>27</v>
      </c>
      <c r="G4349" s="11">
        <v>8066620113</v>
      </c>
      <c r="H4349" s="10" t="s">
        <v>9497</v>
      </c>
      <c r="I4349" s="10" t="s">
        <v>49</v>
      </c>
      <c r="J4349" s="10" t="s">
        <v>106</v>
      </c>
      <c r="K4349" s="12">
        <v>46022</v>
      </c>
      <c r="L4349" s="10" t="s">
        <v>441</v>
      </c>
      <c r="M4349" s="14"/>
      <c r="N4349" s="10" t="s">
        <v>1028</v>
      </c>
    </row>
    <row r="4350" spans="1:14" ht="22.5" customHeight="1">
      <c r="A4350" s="8">
        <v>46022.536875300924</v>
      </c>
      <c r="B4350" s="9" t="s">
        <v>14</v>
      </c>
      <c r="C4350" s="9" t="s">
        <v>15</v>
      </c>
      <c r="D4350" s="10" t="s">
        <v>9498</v>
      </c>
      <c r="E4350" s="9" t="s">
        <v>17</v>
      </c>
      <c r="F4350" s="10">
        <v>25</v>
      </c>
      <c r="G4350" s="11">
        <v>9047093926</v>
      </c>
      <c r="H4350" s="10" t="s">
        <v>9499</v>
      </c>
      <c r="I4350" s="10" t="s">
        <v>27</v>
      </c>
      <c r="J4350" s="10" t="s">
        <v>172</v>
      </c>
      <c r="K4350" s="12">
        <v>46022</v>
      </c>
      <c r="L4350" s="28" t="s">
        <v>11</v>
      </c>
      <c r="M4350" s="14"/>
      <c r="N4350" s="10" t="s">
        <v>1028</v>
      </c>
    </row>
    <row r="4351" spans="1:14" ht="22.5" customHeight="1">
      <c r="A4351" s="8">
        <v>46022.544778564814</v>
      </c>
      <c r="B4351" s="9" t="s">
        <v>14</v>
      </c>
      <c r="C4351" s="9" t="s">
        <v>15</v>
      </c>
      <c r="D4351" s="10" t="s">
        <v>9500</v>
      </c>
      <c r="E4351" s="9" t="s">
        <v>17</v>
      </c>
      <c r="F4351" s="10">
        <v>30</v>
      </c>
      <c r="G4351" s="11">
        <v>8065461926</v>
      </c>
      <c r="H4351" s="10" t="s">
        <v>9501</v>
      </c>
      <c r="I4351" s="10" t="s">
        <v>27</v>
      </c>
      <c r="J4351" s="10" t="s">
        <v>42</v>
      </c>
      <c r="K4351" s="12">
        <v>46022</v>
      </c>
      <c r="L4351" s="28" t="s">
        <v>11</v>
      </c>
      <c r="M4351" s="14"/>
      <c r="N4351" s="10" t="s">
        <v>1096</v>
      </c>
    </row>
    <row r="4352" spans="1:14" ht="22.5" hidden="1" customHeight="1">
      <c r="A4352" s="8">
        <v>46022.54873086806</v>
      </c>
      <c r="B4352" s="9" t="s">
        <v>14</v>
      </c>
      <c r="C4352" s="9" t="s">
        <v>15</v>
      </c>
      <c r="D4352" s="10" t="s">
        <v>9502</v>
      </c>
      <c r="E4352" s="9" t="s">
        <v>17</v>
      </c>
      <c r="F4352" s="10">
        <v>30</v>
      </c>
      <c r="G4352" s="11">
        <v>8039941371</v>
      </c>
      <c r="H4352" s="10" t="s">
        <v>9503</v>
      </c>
      <c r="I4352" s="10" t="s">
        <v>45</v>
      </c>
      <c r="J4352" s="10" t="s">
        <v>9504</v>
      </c>
      <c r="K4352" s="12">
        <v>46022</v>
      </c>
      <c r="L4352" s="10" t="s">
        <v>441</v>
      </c>
      <c r="M4352" s="10" t="s">
        <v>1361</v>
      </c>
      <c r="N4352" s="10" t="s">
        <v>1096</v>
      </c>
    </row>
    <row r="4353" spans="1:14" ht="22.5" customHeight="1">
      <c r="A4353" s="8">
        <v>46022.56031137731</v>
      </c>
      <c r="B4353" s="9" t="s">
        <v>14</v>
      </c>
      <c r="C4353" s="9" t="s">
        <v>15</v>
      </c>
      <c r="D4353" s="10" t="s">
        <v>9505</v>
      </c>
      <c r="E4353" s="9" t="s">
        <v>17</v>
      </c>
      <c r="F4353" s="10">
        <v>29</v>
      </c>
      <c r="G4353" s="11">
        <v>7033350826</v>
      </c>
      <c r="H4353" s="10" t="s">
        <v>9506</v>
      </c>
      <c r="I4353" s="10" t="s">
        <v>27</v>
      </c>
      <c r="J4353" s="10" t="s">
        <v>9507</v>
      </c>
      <c r="K4353" s="12">
        <v>46022</v>
      </c>
      <c r="L4353" s="28" t="s">
        <v>11</v>
      </c>
      <c r="M4353" s="14"/>
      <c r="N4353" s="10" t="s">
        <v>7233</v>
      </c>
    </row>
    <row r="4354" spans="1:14" ht="22.5" customHeight="1">
      <c r="A4354" s="8">
        <v>46022.567634282408</v>
      </c>
      <c r="B4354" s="9" t="s">
        <v>14</v>
      </c>
      <c r="C4354" s="9" t="s">
        <v>15</v>
      </c>
      <c r="D4354" s="10" t="s">
        <v>9508</v>
      </c>
      <c r="E4354" s="9" t="s">
        <v>17</v>
      </c>
      <c r="F4354" s="10">
        <v>27</v>
      </c>
      <c r="G4354" s="11">
        <v>7067235900</v>
      </c>
      <c r="H4354" s="10" t="s">
        <v>9509</v>
      </c>
      <c r="I4354" s="10" t="s">
        <v>27</v>
      </c>
      <c r="J4354" s="10" t="s">
        <v>28</v>
      </c>
      <c r="K4354" s="12">
        <v>46022</v>
      </c>
      <c r="L4354" s="28" t="s">
        <v>11</v>
      </c>
      <c r="M4354" s="14"/>
      <c r="N4354" s="10" t="s">
        <v>8186</v>
      </c>
    </row>
    <row r="4355" spans="1:14" ht="22.5" customHeight="1">
      <c r="A4355" s="8">
        <v>46022.569830879627</v>
      </c>
      <c r="B4355" s="9" t="s">
        <v>14</v>
      </c>
      <c r="C4355" s="9" t="s">
        <v>15</v>
      </c>
      <c r="D4355" s="10" t="s">
        <v>9510</v>
      </c>
      <c r="E4355" s="9" t="s">
        <v>17</v>
      </c>
      <c r="F4355" s="10">
        <v>27</v>
      </c>
      <c r="G4355" s="11">
        <v>8160260813</v>
      </c>
      <c r="H4355" s="10" t="s">
        <v>9511</v>
      </c>
      <c r="I4355" s="10" t="s">
        <v>27</v>
      </c>
      <c r="J4355" s="10" t="s">
        <v>4612</v>
      </c>
      <c r="K4355" s="12">
        <v>46022</v>
      </c>
      <c r="L4355" s="28" t="s">
        <v>11</v>
      </c>
      <c r="M4355" s="14"/>
      <c r="N4355" s="10" t="s">
        <v>1028</v>
      </c>
    </row>
    <row r="4356" spans="1:14" ht="22.5" customHeight="1">
      <c r="A4356" s="8">
        <v>46022.571768402777</v>
      </c>
      <c r="B4356" s="9" t="s">
        <v>14</v>
      </c>
      <c r="C4356" s="9" t="s">
        <v>15</v>
      </c>
      <c r="D4356" s="10" t="s">
        <v>9512</v>
      </c>
      <c r="E4356" s="9" t="s">
        <v>17</v>
      </c>
      <c r="F4356" s="10">
        <v>17</v>
      </c>
      <c r="G4356" s="11">
        <v>9123962045</v>
      </c>
      <c r="H4356" s="10" t="s">
        <v>9513</v>
      </c>
      <c r="I4356" s="10" t="s">
        <v>145</v>
      </c>
      <c r="J4356" s="10" t="s">
        <v>6726</v>
      </c>
      <c r="K4356" s="12">
        <v>46022</v>
      </c>
      <c r="L4356" s="28" t="s">
        <v>11</v>
      </c>
      <c r="M4356" s="14"/>
      <c r="N4356" s="10" t="s">
        <v>1028</v>
      </c>
    </row>
    <row r="4357" spans="1:14" ht="22.5" customHeight="1">
      <c r="A4357" s="8">
        <v>46022.572264317132</v>
      </c>
      <c r="B4357" s="9" t="s">
        <v>14</v>
      </c>
      <c r="C4357" s="9" t="s">
        <v>15</v>
      </c>
      <c r="D4357" s="10" t="s">
        <v>9514</v>
      </c>
      <c r="E4357" s="9" t="s">
        <v>22</v>
      </c>
      <c r="F4357" s="10">
        <v>31</v>
      </c>
      <c r="G4357" s="11">
        <v>8169613765</v>
      </c>
      <c r="H4357" s="10" t="s">
        <v>9515</v>
      </c>
      <c r="I4357" s="10" t="s">
        <v>49</v>
      </c>
      <c r="J4357" s="10" t="s">
        <v>606</v>
      </c>
      <c r="K4357" s="12">
        <v>46022</v>
      </c>
      <c r="L4357" s="28" t="s">
        <v>11</v>
      </c>
      <c r="M4357" s="14"/>
      <c r="N4357" s="10" t="s">
        <v>1028</v>
      </c>
    </row>
    <row r="4358" spans="1:14" ht="22.5" customHeight="1">
      <c r="A4358" s="8">
        <v>46022.584144918983</v>
      </c>
      <c r="B4358" s="9" t="s">
        <v>14</v>
      </c>
      <c r="C4358" s="9" t="s">
        <v>15</v>
      </c>
      <c r="D4358" s="10" t="s">
        <v>9516</v>
      </c>
      <c r="E4358" s="9" t="s">
        <v>17</v>
      </c>
      <c r="F4358" s="10">
        <v>27</v>
      </c>
      <c r="G4358" s="11">
        <f>2347061193987</f>
        <v>2347061193987</v>
      </c>
      <c r="H4358" s="10" t="s">
        <v>9517</v>
      </c>
      <c r="I4358" s="10" t="s">
        <v>27</v>
      </c>
      <c r="J4358" s="10" t="s">
        <v>1875</v>
      </c>
      <c r="K4358" s="12">
        <v>46022</v>
      </c>
      <c r="L4358" s="28" t="s">
        <v>11</v>
      </c>
      <c r="M4358" s="14"/>
      <c r="N4358" s="10" t="s">
        <v>9518</v>
      </c>
    </row>
    <row r="4359" spans="1:14" ht="22.5" customHeight="1">
      <c r="A4359" s="8">
        <v>46022.58873609954</v>
      </c>
      <c r="B4359" s="9" t="s">
        <v>14</v>
      </c>
      <c r="C4359" s="9" t="s">
        <v>15</v>
      </c>
      <c r="D4359" s="10" t="s">
        <v>9519</v>
      </c>
      <c r="E4359" s="9" t="s">
        <v>22</v>
      </c>
      <c r="F4359" s="10">
        <v>32</v>
      </c>
      <c r="G4359" s="11">
        <f>2347035788898</f>
        <v>2347035788898</v>
      </c>
      <c r="H4359" s="10" t="s">
        <v>9520</v>
      </c>
      <c r="I4359" s="10" t="s">
        <v>49</v>
      </c>
      <c r="J4359" s="10" t="s">
        <v>215</v>
      </c>
      <c r="K4359" s="12">
        <v>46022</v>
      </c>
      <c r="L4359" s="28" t="s">
        <v>11</v>
      </c>
      <c r="M4359" s="14"/>
      <c r="N4359" s="10" t="s">
        <v>1028</v>
      </c>
    </row>
    <row r="4360" spans="1:14" ht="22.5" customHeight="1">
      <c r="A4360" s="8">
        <v>46022.590480162035</v>
      </c>
      <c r="B4360" s="9" t="s">
        <v>14</v>
      </c>
      <c r="C4360" s="9" t="s">
        <v>15</v>
      </c>
      <c r="D4360" s="10" t="s">
        <v>9521</v>
      </c>
      <c r="E4360" s="9" t="s">
        <v>17</v>
      </c>
      <c r="F4360" s="10">
        <v>35</v>
      </c>
      <c r="G4360" s="11">
        <v>7036930753</v>
      </c>
      <c r="H4360" s="10" t="s">
        <v>9522</v>
      </c>
      <c r="I4360" s="10" t="s">
        <v>49</v>
      </c>
      <c r="J4360" s="10" t="s">
        <v>246</v>
      </c>
      <c r="K4360" s="12">
        <v>46022</v>
      </c>
      <c r="L4360" s="28" t="s">
        <v>11</v>
      </c>
      <c r="M4360" s="14"/>
      <c r="N4360" s="10" t="s">
        <v>1028</v>
      </c>
    </row>
    <row r="4361" spans="1:14" ht="22.5" customHeight="1">
      <c r="A4361" s="8">
        <v>46022.598123344906</v>
      </c>
      <c r="B4361" s="9" t="s">
        <v>14</v>
      </c>
      <c r="C4361" s="9" t="s">
        <v>15</v>
      </c>
      <c r="D4361" s="10" t="s">
        <v>9523</v>
      </c>
      <c r="E4361" s="9" t="s">
        <v>17</v>
      </c>
      <c r="F4361" s="10">
        <v>27</v>
      </c>
      <c r="G4361" s="11">
        <v>8100100082</v>
      </c>
      <c r="H4361" s="10" t="s">
        <v>9524</v>
      </c>
      <c r="I4361" s="10" t="s">
        <v>49</v>
      </c>
      <c r="J4361" s="10" t="s">
        <v>606</v>
      </c>
      <c r="K4361" s="12">
        <v>46022</v>
      </c>
      <c r="L4361" s="28" t="s">
        <v>11</v>
      </c>
      <c r="M4361" s="14"/>
      <c r="N4361" s="10" t="s">
        <v>1028</v>
      </c>
    </row>
    <row r="4362" spans="1:14" ht="22.5" customHeight="1">
      <c r="A4362" s="8">
        <v>46022.605198472222</v>
      </c>
      <c r="B4362" s="9" t="s">
        <v>14</v>
      </c>
      <c r="C4362" s="9" t="s">
        <v>15</v>
      </c>
      <c r="D4362" s="10" t="s">
        <v>9525</v>
      </c>
      <c r="E4362" s="9" t="s">
        <v>17</v>
      </c>
      <c r="F4362" s="10">
        <v>22</v>
      </c>
      <c r="G4362" s="11">
        <v>7042882424</v>
      </c>
      <c r="H4362" s="10" t="s">
        <v>9526</v>
      </c>
      <c r="I4362" s="10" t="s">
        <v>27</v>
      </c>
      <c r="J4362" s="10" t="s">
        <v>2258</v>
      </c>
      <c r="K4362" s="12">
        <v>46022</v>
      </c>
      <c r="L4362" s="28" t="s">
        <v>11</v>
      </c>
      <c r="M4362" s="14"/>
      <c r="N4362" s="10" t="s">
        <v>1028</v>
      </c>
    </row>
    <row r="4363" spans="1:14" ht="22.5" customHeight="1">
      <c r="A4363" s="8">
        <v>46022.610604027781</v>
      </c>
      <c r="B4363" s="9" t="s">
        <v>14</v>
      </c>
      <c r="C4363" s="9" t="s">
        <v>15</v>
      </c>
      <c r="D4363" s="10" t="s">
        <v>8273</v>
      </c>
      <c r="E4363" s="9" t="s">
        <v>17</v>
      </c>
      <c r="F4363" s="10">
        <v>34</v>
      </c>
      <c r="G4363" s="11">
        <v>8137793512</v>
      </c>
      <c r="H4363" s="10" t="s">
        <v>9527</v>
      </c>
      <c r="I4363" s="10" t="s">
        <v>27</v>
      </c>
      <c r="J4363" s="10" t="s">
        <v>3492</v>
      </c>
      <c r="K4363" s="12">
        <v>46022</v>
      </c>
      <c r="L4363" s="28" t="s">
        <v>11</v>
      </c>
      <c r="M4363" s="14"/>
      <c r="N4363" s="10" t="s">
        <v>1028</v>
      </c>
    </row>
    <row r="4364" spans="1:14" ht="22.5" customHeight="1">
      <c r="A4364" s="8">
        <v>46022.611533391202</v>
      </c>
      <c r="B4364" s="9" t="s">
        <v>14</v>
      </c>
      <c r="C4364" s="9" t="s">
        <v>15</v>
      </c>
      <c r="D4364" s="10" t="s">
        <v>9528</v>
      </c>
      <c r="E4364" s="9" t="s">
        <v>22</v>
      </c>
      <c r="F4364" s="10">
        <v>34</v>
      </c>
      <c r="G4364" s="11">
        <v>7060655700</v>
      </c>
      <c r="H4364" s="10" t="s">
        <v>9529</v>
      </c>
      <c r="I4364" s="10" t="s">
        <v>145</v>
      </c>
      <c r="J4364" s="10" t="s">
        <v>6726</v>
      </c>
      <c r="K4364" s="12">
        <v>46022</v>
      </c>
      <c r="L4364" s="28" t="s">
        <v>11</v>
      </c>
      <c r="M4364" s="14"/>
      <c r="N4364" s="10" t="s">
        <v>1028</v>
      </c>
    </row>
    <row r="4365" spans="1:14" ht="22.5" customHeight="1">
      <c r="A4365" s="8">
        <v>46022.619857638885</v>
      </c>
      <c r="B4365" s="9" t="s">
        <v>14</v>
      </c>
      <c r="C4365" s="9" t="s">
        <v>15</v>
      </c>
      <c r="D4365" s="10" t="s">
        <v>9530</v>
      </c>
      <c r="E4365" s="9" t="s">
        <v>17</v>
      </c>
      <c r="F4365" s="10">
        <v>31</v>
      </c>
      <c r="G4365" s="11">
        <v>9012056953</v>
      </c>
      <c r="H4365" s="10" t="s">
        <v>9531</v>
      </c>
      <c r="I4365" s="10" t="s">
        <v>27</v>
      </c>
      <c r="J4365" s="10" t="s">
        <v>9532</v>
      </c>
      <c r="K4365" s="12">
        <v>46387</v>
      </c>
      <c r="L4365" s="28" t="s">
        <v>11</v>
      </c>
      <c r="M4365" s="14"/>
      <c r="N4365" s="10" t="s">
        <v>1028</v>
      </c>
    </row>
    <row r="4366" spans="1:14" ht="22.5" customHeight="1">
      <c r="A4366" s="8">
        <v>46022.62483237269</v>
      </c>
      <c r="B4366" s="9" t="s">
        <v>14</v>
      </c>
      <c r="C4366" s="9" t="s">
        <v>15</v>
      </c>
      <c r="D4366" s="10" t="s">
        <v>9533</v>
      </c>
      <c r="E4366" s="9" t="s">
        <v>17</v>
      </c>
      <c r="F4366" s="10">
        <v>22</v>
      </c>
      <c r="G4366" s="11">
        <v>7066953136</v>
      </c>
      <c r="H4366" s="10" t="s">
        <v>9534</v>
      </c>
      <c r="I4366" s="10" t="s">
        <v>19</v>
      </c>
      <c r="J4366" s="10" t="s">
        <v>3495</v>
      </c>
      <c r="K4366" s="12">
        <v>46022</v>
      </c>
      <c r="L4366" s="28" t="s">
        <v>11</v>
      </c>
      <c r="M4366" s="14"/>
      <c r="N4366" s="10" t="s">
        <v>1028</v>
      </c>
    </row>
    <row r="4367" spans="1:14" ht="22.5" hidden="1" customHeight="1">
      <c r="A4367" s="8">
        <v>46022.625859918982</v>
      </c>
      <c r="B4367" s="9" t="s">
        <v>14</v>
      </c>
      <c r="C4367" s="9" t="s">
        <v>15</v>
      </c>
      <c r="D4367" s="10" t="s">
        <v>9535</v>
      </c>
      <c r="E4367" s="9" t="s">
        <v>22</v>
      </c>
      <c r="F4367" s="10">
        <v>28</v>
      </c>
      <c r="G4367" s="11">
        <v>8066278141</v>
      </c>
      <c r="H4367" s="10" t="s">
        <v>9536</v>
      </c>
      <c r="I4367" s="10" t="s">
        <v>27</v>
      </c>
      <c r="J4367" s="10" t="s">
        <v>9537</v>
      </c>
      <c r="K4367" s="12">
        <v>46022</v>
      </c>
      <c r="L4367" s="10" t="s">
        <v>441</v>
      </c>
      <c r="M4367" s="14"/>
      <c r="N4367" s="10" t="s">
        <v>1028</v>
      </c>
    </row>
    <row r="4368" spans="1:14" ht="22.5" customHeight="1">
      <c r="A4368" s="8">
        <v>46022.630010138892</v>
      </c>
      <c r="B4368" s="9" t="s">
        <v>14</v>
      </c>
      <c r="C4368" s="9" t="s">
        <v>15</v>
      </c>
      <c r="D4368" s="10" t="s">
        <v>9538</v>
      </c>
      <c r="E4368" s="9" t="s">
        <v>22</v>
      </c>
      <c r="F4368" s="10">
        <v>44</v>
      </c>
      <c r="G4368" s="11">
        <v>7030668017</v>
      </c>
      <c r="H4368" s="10" t="s">
        <v>9539</v>
      </c>
      <c r="I4368" s="10" t="s">
        <v>27</v>
      </c>
      <c r="J4368" s="10" t="s">
        <v>1559</v>
      </c>
      <c r="K4368" s="12">
        <v>46022</v>
      </c>
      <c r="L4368" s="28" t="s">
        <v>11</v>
      </c>
      <c r="M4368" s="14"/>
      <c r="N4368" s="10" t="s">
        <v>1028</v>
      </c>
    </row>
    <row r="4369" spans="1:14" ht="22.5" customHeight="1">
      <c r="A4369" s="8">
        <v>46022.633032893515</v>
      </c>
      <c r="B4369" s="9" t="s">
        <v>14</v>
      </c>
      <c r="C4369" s="9" t="s">
        <v>15</v>
      </c>
      <c r="D4369" s="10" t="s">
        <v>9540</v>
      </c>
      <c r="E4369" s="9" t="s">
        <v>17</v>
      </c>
      <c r="F4369" s="10">
        <v>32</v>
      </c>
      <c r="G4369" s="11">
        <f>2348062956551</f>
        <v>2348062956551</v>
      </c>
      <c r="H4369" s="10" t="s">
        <v>9541</v>
      </c>
      <c r="I4369" s="10" t="s">
        <v>27</v>
      </c>
      <c r="J4369" s="10" t="s">
        <v>27</v>
      </c>
      <c r="K4369" s="12">
        <v>46022</v>
      </c>
      <c r="L4369" s="28" t="s">
        <v>11</v>
      </c>
      <c r="M4369" s="14"/>
      <c r="N4369" s="10" t="s">
        <v>1028</v>
      </c>
    </row>
    <row r="4370" spans="1:14" ht="22.5" customHeight="1">
      <c r="A4370" s="8">
        <v>46022.637393946759</v>
      </c>
      <c r="B4370" s="9" t="s">
        <v>14</v>
      </c>
      <c r="C4370" s="9" t="s">
        <v>15</v>
      </c>
      <c r="D4370" s="10" t="s">
        <v>9542</v>
      </c>
      <c r="E4370" s="9" t="s">
        <v>22</v>
      </c>
      <c r="F4370" s="10">
        <v>35</v>
      </c>
      <c r="G4370" s="11">
        <v>8060199897</v>
      </c>
      <c r="H4370" s="10" t="s">
        <v>9543</v>
      </c>
      <c r="I4370" s="10" t="s">
        <v>31</v>
      </c>
      <c r="J4370" s="10" t="s">
        <v>32</v>
      </c>
      <c r="K4370" s="12">
        <v>46022</v>
      </c>
      <c r="L4370" s="28" t="s">
        <v>11</v>
      </c>
      <c r="M4370" s="14"/>
      <c r="N4370" s="10" t="s">
        <v>1028</v>
      </c>
    </row>
    <row r="4371" spans="1:14" ht="22.5" customHeight="1">
      <c r="A4371" s="8">
        <v>46022.64391457176</v>
      </c>
      <c r="B4371" s="9" t="s">
        <v>14</v>
      </c>
      <c r="C4371" s="9" t="s">
        <v>15</v>
      </c>
      <c r="D4371" s="10" t="s">
        <v>347</v>
      </c>
      <c r="E4371" s="9" t="s">
        <v>17</v>
      </c>
      <c r="F4371" s="10">
        <v>30</v>
      </c>
      <c r="G4371" s="11">
        <v>8086063599</v>
      </c>
      <c r="H4371" s="10" t="s">
        <v>9544</v>
      </c>
      <c r="I4371" s="10" t="s">
        <v>49</v>
      </c>
      <c r="J4371" s="10" t="s">
        <v>606</v>
      </c>
      <c r="K4371" s="12">
        <v>46022</v>
      </c>
      <c r="L4371" s="28" t="s">
        <v>11</v>
      </c>
      <c r="M4371" s="14"/>
      <c r="N4371" s="10" t="s">
        <v>1028</v>
      </c>
    </row>
    <row r="4372" spans="1:14" ht="22.5" customHeight="1">
      <c r="A4372" s="8">
        <v>46022.647131365738</v>
      </c>
      <c r="B4372" s="9" t="s">
        <v>14</v>
      </c>
      <c r="C4372" s="9" t="s">
        <v>15</v>
      </c>
      <c r="D4372" s="10" t="s">
        <v>9545</v>
      </c>
      <c r="E4372" s="9" t="s">
        <v>22</v>
      </c>
      <c r="F4372" s="10">
        <v>28</v>
      </c>
      <c r="G4372" s="11">
        <v>9031319587</v>
      </c>
      <c r="H4372" s="10" t="s">
        <v>9546</v>
      </c>
      <c r="I4372" s="10" t="s">
        <v>49</v>
      </c>
      <c r="J4372" s="10" t="s">
        <v>215</v>
      </c>
      <c r="K4372" s="12">
        <v>35694</v>
      </c>
      <c r="L4372" s="28" t="s">
        <v>11</v>
      </c>
      <c r="M4372" s="14"/>
      <c r="N4372" s="10" t="s">
        <v>1028</v>
      </c>
    </row>
    <row r="4373" spans="1:14" ht="22.5" customHeight="1">
      <c r="A4373" s="8">
        <v>46022.656761782404</v>
      </c>
      <c r="B4373" s="9" t="s">
        <v>14</v>
      </c>
      <c r="C4373" s="9" t="s">
        <v>15</v>
      </c>
      <c r="D4373" s="10" t="s">
        <v>7786</v>
      </c>
      <c r="E4373" s="9" t="s">
        <v>17</v>
      </c>
      <c r="F4373" s="10">
        <v>26</v>
      </c>
      <c r="G4373" s="11">
        <v>9072794514</v>
      </c>
      <c r="H4373" s="10" t="s">
        <v>7787</v>
      </c>
      <c r="I4373" s="10" t="s">
        <v>202</v>
      </c>
      <c r="J4373" s="10" t="s">
        <v>4015</v>
      </c>
      <c r="K4373" s="12">
        <v>46022</v>
      </c>
      <c r="L4373" s="28" t="s">
        <v>11</v>
      </c>
      <c r="M4373" s="14"/>
      <c r="N4373" s="10" t="s">
        <v>1028</v>
      </c>
    </row>
    <row r="4374" spans="1:14" ht="22.5" customHeight="1">
      <c r="A4374" s="8">
        <v>46022.663371851857</v>
      </c>
      <c r="B4374" s="9" t="s">
        <v>14</v>
      </c>
      <c r="C4374" s="9" t="s">
        <v>15</v>
      </c>
      <c r="D4374" s="10" t="s">
        <v>9547</v>
      </c>
      <c r="E4374" s="9" t="s">
        <v>22</v>
      </c>
      <c r="F4374" s="10">
        <v>32</v>
      </c>
      <c r="G4374" s="11">
        <v>7036880240</v>
      </c>
      <c r="H4374" s="10" t="s">
        <v>9548</v>
      </c>
      <c r="I4374" s="10" t="s">
        <v>145</v>
      </c>
      <c r="J4374" s="10" t="s">
        <v>4100</v>
      </c>
      <c r="K4374" s="12">
        <v>46022</v>
      </c>
      <c r="L4374" s="28" t="s">
        <v>11</v>
      </c>
      <c r="M4374" s="14"/>
      <c r="N4374" s="10" t="s">
        <v>1028</v>
      </c>
    </row>
    <row r="4375" spans="1:14" ht="22.5" customHeight="1">
      <c r="A4375" s="8">
        <v>46022.663751111111</v>
      </c>
      <c r="B4375" s="9" t="s">
        <v>14</v>
      </c>
      <c r="C4375" s="9" t="s">
        <v>15</v>
      </c>
      <c r="D4375" s="10" t="s">
        <v>9549</v>
      </c>
      <c r="E4375" s="9" t="s">
        <v>17</v>
      </c>
      <c r="F4375" s="10">
        <v>23</v>
      </c>
      <c r="G4375" s="11">
        <v>7033951542</v>
      </c>
      <c r="H4375" s="10" t="s">
        <v>9550</v>
      </c>
      <c r="I4375" s="10" t="s">
        <v>27</v>
      </c>
      <c r="J4375" s="10" t="s">
        <v>28</v>
      </c>
      <c r="K4375" s="12">
        <v>46022</v>
      </c>
      <c r="L4375" s="28" t="s">
        <v>11</v>
      </c>
      <c r="M4375" s="14"/>
      <c r="N4375" s="10" t="s">
        <v>1028</v>
      </c>
    </row>
    <row r="4376" spans="1:14" ht="22.5" customHeight="1">
      <c r="A4376" s="8">
        <v>46022.673082372683</v>
      </c>
      <c r="B4376" s="9" t="s">
        <v>14</v>
      </c>
      <c r="C4376" s="9" t="s">
        <v>15</v>
      </c>
      <c r="D4376" s="10" t="s">
        <v>9551</v>
      </c>
      <c r="E4376" s="9" t="s">
        <v>17</v>
      </c>
      <c r="F4376" s="10">
        <v>33</v>
      </c>
      <c r="G4376" s="11">
        <v>8133049966</v>
      </c>
      <c r="H4376" s="10" t="s">
        <v>9552</v>
      </c>
      <c r="I4376" s="10" t="s">
        <v>145</v>
      </c>
      <c r="J4376" s="10" t="s">
        <v>4289</v>
      </c>
      <c r="K4376" s="12">
        <v>46022</v>
      </c>
      <c r="L4376" s="28" t="s">
        <v>11</v>
      </c>
      <c r="M4376" s="14"/>
      <c r="N4376" s="10" t="s">
        <v>1028</v>
      </c>
    </row>
    <row r="4377" spans="1:14" ht="22.5" customHeight="1">
      <c r="A4377" s="8">
        <v>46022.676311053241</v>
      </c>
      <c r="B4377" s="9" t="s">
        <v>14</v>
      </c>
      <c r="C4377" s="9" t="s">
        <v>15</v>
      </c>
      <c r="D4377" s="10" t="s">
        <v>9553</v>
      </c>
      <c r="E4377" s="9" t="s">
        <v>17</v>
      </c>
      <c r="F4377" s="10">
        <v>28</v>
      </c>
      <c r="G4377" s="11">
        <v>9156515377</v>
      </c>
      <c r="H4377" s="10" t="s">
        <v>9554</v>
      </c>
      <c r="I4377" s="10" t="s">
        <v>49</v>
      </c>
      <c r="J4377" s="10" t="s">
        <v>9555</v>
      </c>
      <c r="K4377" s="12">
        <v>35787</v>
      </c>
      <c r="L4377" s="28" t="s">
        <v>11</v>
      </c>
      <c r="M4377" s="14"/>
      <c r="N4377" s="10" t="s">
        <v>1028</v>
      </c>
    </row>
    <row r="4378" spans="1:14" ht="22.5" customHeight="1">
      <c r="A4378" s="8">
        <v>46022.687235115736</v>
      </c>
      <c r="B4378" s="9" t="s">
        <v>14</v>
      </c>
      <c r="C4378" s="9" t="s">
        <v>15</v>
      </c>
      <c r="D4378" s="10" t="s">
        <v>9556</v>
      </c>
      <c r="E4378" s="9" t="s">
        <v>17</v>
      </c>
      <c r="F4378" s="10">
        <v>31</v>
      </c>
      <c r="G4378" s="11">
        <v>8147035795</v>
      </c>
      <c r="H4378" s="10" t="s">
        <v>9557</v>
      </c>
      <c r="I4378" s="10" t="s">
        <v>27</v>
      </c>
      <c r="J4378" s="10" t="s">
        <v>6081</v>
      </c>
      <c r="K4378" s="12">
        <v>46022</v>
      </c>
      <c r="L4378" s="28" t="s">
        <v>11</v>
      </c>
      <c r="M4378" s="14"/>
      <c r="N4378" s="10" t="s">
        <v>1028</v>
      </c>
    </row>
    <row r="4379" spans="1:14" ht="22.5" customHeight="1">
      <c r="A4379" s="8">
        <v>46022.687304942127</v>
      </c>
      <c r="B4379" s="9" t="s">
        <v>14</v>
      </c>
      <c r="C4379" s="9" t="s">
        <v>15</v>
      </c>
      <c r="D4379" s="10" t="s">
        <v>9558</v>
      </c>
      <c r="E4379" s="9" t="s">
        <v>22</v>
      </c>
      <c r="F4379" s="10">
        <v>30</v>
      </c>
      <c r="G4379" s="11">
        <v>7045361486</v>
      </c>
      <c r="H4379" s="10" t="s">
        <v>9559</v>
      </c>
      <c r="I4379" s="10" t="s">
        <v>27</v>
      </c>
      <c r="J4379" s="10" t="s">
        <v>67</v>
      </c>
      <c r="K4379" s="12">
        <v>46022</v>
      </c>
      <c r="L4379" s="28" t="s">
        <v>11</v>
      </c>
      <c r="M4379" s="14"/>
      <c r="N4379" s="10" t="s">
        <v>1209</v>
      </c>
    </row>
    <row r="4380" spans="1:14" ht="22.5" customHeight="1">
      <c r="A4380" s="8">
        <v>46022.68949178241</v>
      </c>
      <c r="B4380" s="9" t="s">
        <v>14</v>
      </c>
      <c r="C4380" s="9" t="s">
        <v>15</v>
      </c>
      <c r="D4380" s="10" t="s">
        <v>9560</v>
      </c>
      <c r="E4380" s="9" t="s">
        <v>17</v>
      </c>
      <c r="F4380" s="10">
        <v>23</v>
      </c>
      <c r="G4380" s="11">
        <v>7080028796</v>
      </c>
      <c r="H4380" s="10" t="s">
        <v>9561</v>
      </c>
      <c r="I4380" s="10" t="s">
        <v>27</v>
      </c>
      <c r="J4380" s="10" t="s">
        <v>3215</v>
      </c>
      <c r="K4380" s="12">
        <v>46022</v>
      </c>
      <c r="L4380" s="28" t="s">
        <v>11</v>
      </c>
      <c r="M4380" s="14"/>
      <c r="N4380" s="10" t="s">
        <v>1028</v>
      </c>
    </row>
    <row r="4381" spans="1:14" ht="22.5" customHeight="1">
      <c r="A4381" s="8">
        <v>46022.690572187501</v>
      </c>
      <c r="B4381" s="9" t="s">
        <v>14</v>
      </c>
      <c r="C4381" s="9" t="s">
        <v>15</v>
      </c>
      <c r="D4381" s="10" t="s">
        <v>9562</v>
      </c>
      <c r="E4381" s="9" t="s">
        <v>17</v>
      </c>
      <c r="F4381" s="10">
        <v>28</v>
      </c>
      <c r="G4381" s="11">
        <v>8060607026</v>
      </c>
      <c r="H4381" s="10" t="s">
        <v>9563</v>
      </c>
      <c r="I4381" s="10" t="s">
        <v>27</v>
      </c>
      <c r="J4381" s="10" t="s">
        <v>2858</v>
      </c>
      <c r="K4381" s="12">
        <v>46022</v>
      </c>
      <c r="L4381" s="28" t="s">
        <v>11</v>
      </c>
      <c r="M4381" s="14"/>
      <c r="N4381" s="10" t="s">
        <v>1028</v>
      </c>
    </row>
    <row r="4382" spans="1:14" ht="22.5" customHeight="1">
      <c r="A4382" s="8">
        <v>46022.696197534722</v>
      </c>
      <c r="B4382" s="9" t="s">
        <v>14</v>
      </c>
      <c r="C4382" s="9" t="s">
        <v>15</v>
      </c>
      <c r="D4382" s="10" t="s">
        <v>9564</v>
      </c>
      <c r="E4382" s="9" t="s">
        <v>17</v>
      </c>
      <c r="F4382" s="10">
        <v>34</v>
      </c>
      <c r="G4382" s="11">
        <v>9028105205</v>
      </c>
      <c r="H4382" s="10" t="s">
        <v>9565</v>
      </c>
      <c r="I4382" s="10" t="s">
        <v>49</v>
      </c>
      <c r="J4382" s="10" t="s">
        <v>1329</v>
      </c>
      <c r="K4382" s="12">
        <v>46022</v>
      </c>
      <c r="L4382" s="28" t="s">
        <v>11</v>
      </c>
      <c r="M4382" s="14"/>
      <c r="N4382" s="10" t="s">
        <v>1028</v>
      </c>
    </row>
    <row r="4383" spans="1:14" ht="22.5" customHeight="1">
      <c r="A4383" s="8">
        <v>46022.703954965276</v>
      </c>
      <c r="B4383" s="9" t="s">
        <v>14</v>
      </c>
      <c r="C4383" s="9" t="s">
        <v>15</v>
      </c>
      <c r="D4383" s="10" t="s">
        <v>9566</v>
      </c>
      <c r="E4383" s="9" t="s">
        <v>17</v>
      </c>
      <c r="F4383" s="10">
        <v>29</v>
      </c>
      <c r="G4383" s="11">
        <v>7063804306</v>
      </c>
      <c r="H4383" s="10" t="s">
        <v>9567</v>
      </c>
      <c r="I4383" s="10" t="s">
        <v>27</v>
      </c>
      <c r="J4383" s="10" t="s">
        <v>42</v>
      </c>
      <c r="K4383" s="12">
        <v>46022</v>
      </c>
      <c r="L4383" s="28" t="s">
        <v>11</v>
      </c>
      <c r="M4383" s="14"/>
      <c r="N4383" s="10" t="s">
        <v>1096</v>
      </c>
    </row>
    <row r="4384" spans="1:14" ht="22.5" customHeight="1">
      <c r="A4384" s="8">
        <v>46022.706387453705</v>
      </c>
      <c r="B4384" s="9" t="s">
        <v>14</v>
      </c>
      <c r="C4384" s="9" t="s">
        <v>15</v>
      </c>
      <c r="D4384" s="10" t="s">
        <v>9568</v>
      </c>
      <c r="E4384" s="9" t="s">
        <v>17</v>
      </c>
      <c r="F4384" s="10">
        <v>24</v>
      </c>
      <c r="G4384" s="11">
        <f t="shared" ref="G4384" si="117">265991159490</f>
        <v>265991159490</v>
      </c>
      <c r="H4384" s="10" t="s">
        <v>9569</v>
      </c>
      <c r="I4384" s="10" t="s">
        <v>49</v>
      </c>
      <c r="J4384" s="10" t="s">
        <v>9570</v>
      </c>
      <c r="K4384" s="12">
        <v>46022</v>
      </c>
      <c r="L4384" s="28" t="s">
        <v>11</v>
      </c>
      <c r="M4384" s="14"/>
      <c r="N4384" s="10" t="s">
        <v>7860</v>
      </c>
    </row>
    <row r="4385" spans="1:14" ht="22.5" customHeight="1">
      <c r="A4385" s="8">
        <v>46022.719180775464</v>
      </c>
      <c r="B4385" s="9" t="s">
        <v>14</v>
      </c>
      <c r="C4385" s="9" t="s">
        <v>15</v>
      </c>
      <c r="D4385" s="10" t="s">
        <v>9571</v>
      </c>
      <c r="E4385" s="9" t="s">
        <v>22</v>
      </c>
      <c r="F4385" s="10">
        <v>26</v>
      </c>
      <c r="G4385" s="11">
        <v>9066016868</v>
      </c>
      <c r="H4385" s="10" t="s">
        <v>9572</v>
      </c>
      <c r="I4385" s="10" t="s">
        <v>27</v>
      </c>
      <c r="J4385" s="10" t="s">
        <v>372</v>
      </c>
      <c r="K4385" s="12">
        <v>46022</v>
      </c>
      <c r="L4385" s="28" t="s">
        <v>11</v>
      </c>
      <c r="M4385" s="14"/>
      <c r="N4385" s="10" t="s">
        <v>1028</v>
      </c>
    </row>
    <row r="4386" spans="1:14" ht="22.5" customHeight="1">
      <c r="A4386" s="8">
        <v>46022.723580405094</v>
      </c>
      <c r="B4386" s="9" t="s">
        <v>14</v>
      </c>
      <c r="C4386" s="9" t="s">
        <v>15</v>
      </c>
      <c r="D4386" s="10" t="s">
        <v>9573</v>
      </c>
      <c r="E4386" s="9" t="s">
        <v>17</v>
      </c>
      <c r="F4386" s="10">
        <v>32</v>
      </c>
      <c r="G4386" s="11">
        <v>8038091644</v>
      </c>
      <c r="H4386" s="10" t="s">
        <v>9574</v>
      </c>
      <c r="I4386" s="10" t="s">
        <v>49</v>
      </c>
      <c r="J4386" s="10" t="s">
        <v>914</v>
      </c>
      <c r="K4386" s="12">
        <v>33970</v>
      </c>
      <c r="L4386" s="28" t="s">
        <v>11</v>
      </c>
      <c r="M4386" s="14"/>
      <c r="N4386" s="10" t="s">
        <v>1028</v>
      </c>
    </row>
    <row r="4387" spans="1:14" ht="22.5" customHeight="1">
      <c r="A4387" s="8">
        <v>46022.723795706013</v>
      </c>
      <c r="B4387" s="9" t="s">
        <v>14</v>
      </c>
      <c r="C4387" s="9" t="s">
        <v>15</v>
      </c>
      <c r="D4387" s="10" t="s">
        <v>9575</v>
      </c>
      <c r="E4387" s="9" t="s">
        <v>17</v>
      </c>
      <c r="F4387" s="10">
        <v>34</v>
      </c>
      <c r="G4387" s="11">
        <v>8130628601</v>
      </c>
      <c r="H4387" s="10" t="s">
        <v>9576</v>
      </c>
      <c r="I4387" s="10" t="s">
        <v>27</v>
      </c>
      <c r="J4387" s="10" t="s">
        <v>1559</v>
      </c>
      <c r="K4387" s="12">
        <v>46022</v>
      </c>
      <c r="L4387" s="28" t="s">
        <v>11</v>
      </c>
      <c r="M4387" s="14"/>
      <c r="N4387" s="10" t="s">
        <v>1028</v>
      </c>
    </row>
    <row r="4388" spans="1:14" ht="22.5" customHeight="1">
      <c r="A4388" s="8">
        <v>46022.723902094905</v>
      </c>
      <c r="B4388" s="9" t="s">
        <v>14</v>
      </c>
      <c r="C4388" s="9" t="s">
        <v>15</v>
      </c>
      <c r="D4388" s="10" t="s">
        <v>9577</v>
      </c>
      <c r="E4388" s="9" t="s">
        <v>17</v>
      </c>
      <c r="F4388" s="10">
        <v>31</v>
      </c>
      <c r="G4388" s="11">
        <v>8148353864</v>
      </c>
      <c r="H4388" s="10" t="s">
        <v>9578</v>
      </c>
      <c r="I4388" s="10" t="s">
        <v>45</v>
      </c>
      <c r="J4388" s="10" t="s">
        <v>2099</v>
      </c>
      <c r="K4388" s="12">
        <v>46022</v>
      </c>
      <c r="L4388" s="28" t="s">
        <v>11</v>
      </c>
      <c r="M4388" s="10"/>
      <c r="N4388" s="10" t="s">
        <v>5610</v>
      </c>
    </row>
    <row r="4389" spans="1:14" ht="22.5" customHeight="1">
      <c r="A4389" s="8">
        <v>46022.72652413194</v>
      </c>
      <c r="B4389" s="9" t="s">
        <v>14</v>
      </c>
      <c r="C4389" s="9" t="s">
        <v>15</v>
      </c>
      <c r="D4389" s="10" t="s">
        <v>9579</v>
      </c>
      <c r="E4389" s="9" t="s">
        <v>17</v>
      </c>
      <c r="F4389" s="10">
        <v>34</v>
      </c>
      <c r="G4389" s="11">
        <v>8104729590</v>
      </c>
      <c r="H4389" s="10" t="s">
        <v>9580</v>
      </c>
      <c r="I4389" s="10" t="s">
        <v>31</v>
      </c>
      <c r="J4389" s="10" t="s">
        <v>1582</v>
      </c>
      <c r="K4389" s="12">
        <v>46022</v>
      </c>
      <c r="L4389" s="28" t="s">
        <v>11</v>
      </c>
      <c r="M4389" s="14"/>
      <c r="N4389" s="10" t="s">
        <v>1028</v>
      </c>
    </row>
    <row r="4390" spans="1:14" ht="22.5" customHeight="1">
      <c r="A4390" s="8">
        <v>46022.736486724534</v>
      </c>
      <c r="B4390" s="9" t="s">
        <v>14</v>
      </c>
      <c r="C4390" s="9" t="s">
        <v>15</v>
      </c>
      <c r="D4390" s="10" t="s">
        <v>9581</v>
      </c>
      <c r="E4390" s="9" t="s">
        <v>17</v>
      </c>
      <c r="F4390" s="10">
        <v>32</v>
      </c>
      <c r="G4390" s="11">
        <v>8130158905</v>
      </c>
      <c r="H4390" s="10" t="s">
        <v>9582</v>
      </c>
      <c r="I4390" s="10" t="s">
        <v>49</v>
      </c>
      <c r="J4390" s="10" t="s">
        <v>208</v>
      </c>
      <c r="K4390" s="12">
        <v>46022</v>
      </c>
      <c r="L4390" s="28" t="s">
        <v>11</v>
      </c>
      <c r="M4390" s="14"/>
      <c r="N4390" s="10" t="s">
        <v>1028</v>
      </c>
    </row>
    <row r="4391" spans="1:14" ht="22.5" customHeight="1">
      <c r="A4391" s="8">
        <v>46022.738807488422</v>
      </c>
      <c r="B4391" s="9" t="s">
        <v>14</v>
      </c>
      <c r="C4391" s="9" t="s">
        <v>15</v>
      </c>
      <c r="D4391" s="10" t="s">
        <v>9583</v>
      </c>
      <c r="E4391" s="9" t="s">
        <v>17</v>
      </c>
      <c r="F4391" s="10">
        <v>24</v>
      </c>
      <c r="G4391" s="11">
        <v>8109162801</v>
      </c>
      <c r="H4391" s="10" t="s">
        <v>9584</v>
      </c>
      <c r="I4391" s="10" t="s">
        <v>49</v>
      </c>
      <c r="J4391" s="10" t="s">
        <v>9585</v>
      </c>
      <c r="K4391" s="12">
        <v>46022</v>
      </c>
      <c r="L4391" s="28" t="s">
        <v>11</v>
      </c>
      <c r="M4391" s="10"/>
      <c r="N4391" s="10" t="s">
        <v>1096</v>
      </c>
    </row>
    <row r="4392" spans="1:14" ht="22.5" customHeight="1">
      <c r="A4392" s="8">
        <v>46022.750054189819</v>
      </c>
      <c r="B4392" s="9" t="s">
        <v>14</v>
      </c>
      <c r="C4392" s="9" t="s">
        <v>15</v>
      </c>
      <c r="D4392" s="10" t="s">
        <v>9586</v>
      </c>
      <c r="E4392" s="9" t="s">
        <v>22</v>
      </c>
      <c r="F4392" s="10">
        <v>30</v>
      </c>
      <c r="G4392" s="11">
        <v>9064137482</v>
      </c>
      <c r="H4392" s="10" t="s">
        <v>9587</v>
      </c>
      <c r="I4392" s="10" t="s">
        <v>49</v>
      </c>
      <c r="J4392" s="10" t="s">
        <v>606</v>
      </c>
      <c r="K4392" s="12">
        <v>46022</v>
      </c>
      <c r="L4392" s="28" t="s">
        <v>11</v>
      </c>
      <c r="M4392" s="14"/>
      <c r="N4392" s="10" t="s">
        <v>1028</v>
      </c>
    </row>
    <row r="4393" spans="1:14" ht="22.5" customHeight="1">
      <c r="A4393" s="8">
        <v>46022.753293576388</v>
      </c>
      <c r="B4393" s="9" t="s">
        <v>14</v>
      </c>
      <c r="C4393" s="9" t="s">
        <v>15</v>
      </c>
      <c r="D4393" s="10" t="s">
        <v>9588</v>
      </c>
      <c r="E4393" s="9" t="s">
        <v>17</v>
      </c>
      <c r="F4393" s="10">
        <v>27</v>
      </c>
      <c r="G4393" s="11">
        <v>9078589540</v>
      </c>
      <c r="H4393" s="10" t="s">
        <v>9589</v>
      </c>
      <c r="I4393" s="10" t="s">
        <v>49</v>
      </c>
      <c r="J4393" s="10" t="s">
        <v>8987</v>
      </c>
      <c r="K4393" s="12">
        <v>46022</v>
      </c>
      <c r="L4393" s="28" t="s">
        <v>11</v>
      </c>
      <c r="M4393" s="14"/>
      <c r="N4393" s="10" t="s">
        <v>1028</v>
      </c>
    </row>
    <row r="4394" spans="1:14" ht="22.5" customHeight="1">
      <c r="A4394" s="8">
        <v>46022.767785821758</v>
      </c>
      <c r="B4394" s="9" t="s">
        <v>14</v>
      </c>
      <c r="C4394" s="9" t="s">
        <v>15</v>
      </c>
      <c r="D4394" s="10" t="s">
        <v>9590</v>
      </c>
      <c r="E4394" s="9" t="s">
        <v>22</v>
      </c>
      <c r="F4394" s="10">
        <v>24</v>
      </c>
      <c r="G4394" s="11">
        <v>8034902681</v>
      </c>
      <c r="H4394" s="10" t="s">
        <v>9591</v>
      </c>
      <c r="I4394" s="10" t="s">
        <v>49</v>
      </c>
      <c r="J4394" s="10" t="s">
        <v>73</v>
      </c>
      <c r="K4394" s="12">
        <v>46022</v>
      </c>
      <c r="L4394" s="28" t="s">
        <v>11</v>
      </c>
      <c r="M4394" s="14"/>
      <c r="N4394" s="10" t="s">
        <v>1028</v>
      </c>
    </row>
    <row r="4395" spans="1:14" ht="22.5" customHeight="1">
      <c r="A4395" s="8">
        <v>46022.772975810185</v>
      </c>
      <c r="B4395" s="9" t="s">
        <v>14</v>
      </c>
      <c r="C4395" s="9" t="s">
        <v>15</v>
      </c>
      <c r="D4395" s="10" t="s">
        <v>9592</v>
      </c>
      <c r="E4395" s="9" t="s">
        <v>17</v>
      </c>
      <c r="F4395" s="10">
        <v>26</v>
      </c>
      <c r="G4395" s="11">
        <v>9035150347</v>
      </c>
      <c r="H4395" s="10" t="s">
        <v>9593</v>
      </c>
      <c r="I4395" s="10" t="s">
        <v>45</v>
      </c>
      <c r="J4395" s="10" t="s">
        <v>9594</v>
      </c>
      <c r="K4395" s="12">
        <v>46022</v>
      </c>
      <c r="L4395" s="28" t="s">
        <v>11</v>
      </c>
      <c r="M4395" s="14"/>
      <c r="N4395" s="10" t="s">
        <v>1028</v>
      </c>
    </row>
    <row r="4396" spans="1:14" ht="22.5" customHeight="1">
      <c r="A4396" s="8">
        <v>46022.77755859954</v>
      </c>
      <c r="B4396" s="9" t="s">
        <v>14</v>
      </c>
      <c r="C4396" s="9" t="s">
        <v>15</v>
      </c>
      <c r="D4396" s="10" t="s">
        <v>9595</v>
      </c>
      <c r="E4396" s="9" t="s">
        <v>17</v>
      </c>
      <c r="F4396" s="10">
        <v>32</v>
      </c>
      <c r="G4396" s="11">
        <v>9050600377</v>
      </c>
      <c r="H4396" s="10" t="s">
        <v>9596</v>
      </c>
      <c r="I4396" s="10" t="s">
        <v>49</v>
      </c>
      <c r="J4396" s="10" t="s">
        <v>73</v>
      </c>
      <c r="K4396" s="12">
        <v>46022</v>
      </c>
      <c r="L4396" s="28" t="s">
        <v>11</v>
      </c>
      <c r="M4396" s="14"/>
      <c r="N4396" s="10" t="s">
        <v>1028</v>
      </c>
    </row>
    <row r="4397" spans="1:14" ht="22.5" customHeight="1">
      <c r="A4397" s="8">
        <v>46022.781064537034</v>
      </c>
      <c r="B4397" s="9" t="s">
        <v>14</v>
      </c>
      <c r="C4397" s="9" t="s">
        <v>15</v>
      </c>
      <c r="D4397" s="10" t="s">
        <v>9597</v>
      </c>
      <c r="E4397" s="9" t="s">
        <v>17</v>
      </c>
      <c r="F4397" s="10">
        <v>24</v>
      </c>
      <c r="G4397" s="11">
        <v>8149000149</v>
      </c>
      <c r="H4397" s="10" t="s">
        <v>9598</v>
      </c>
      <c r="I4397" s="10" t="s">
        <v>27</v>
      </c>
      <c r="J4397" s="10" t="s">
        <v>1415</v>
      </c>
      <c r="K4397" s="12">
        <v>46022</v>
      </c>
      <c r="L4397" s="28" t="s">
        <v>11</v>
      </c>
      <c r="M4397" s="14"/>
      <c r="N4397" s="10" t="s">
        <v>1028</v>
      </c>
    </row>
    <row r="4398" spans="1:14" ht="22.5" customHeight="1">
      <c r="A4398" s="8">
        <v>46022.784425324076</v>
      </c>
      <c r="B4398" s="9" t="s">
        <v>14</v>
      </c>
      <c r="C4398" s="9" t="s">
        <v>15</v>
      </c>
      <c r="D4398" s="10" t="s">
        <v>9599</v>
      </c>
      <c r="E4398" s="9" t="s">
        <v>22</v>
      </c>
      <c r="F4398" s="10">
        <v>35</v>
      </c>
      <c r="G4398" s="11">
        <v>8136515779</v>
      </c>
      <c r="H4398" s="10" t="s">
        <v>9600</v>
      </c>
      <c r="I4398" s="10" t="s">
        <v>27</v>
      </c>
      <c r="J4398" s="10" t="s">
        <v>2069</v>
      </c>
      <c r="K4398" s="12">
        <v>46022</v>
      </c>
      <c r="L4398" s="28" t="s">
        <v>11</v>
      </c>
      <c r="M4398" s="10"/>
      <c r="N4398" s="10" t="s">
        <v>1096</v>
      </c>
    </row>
    <row r="4399" spans="1:14" ht="22.5" customHeight="1">
      <c r="A4399" s="8">
        <v>46022.787265937499</v>
      </c>
      <c r="B4399" s="9" t="s">
        <v>14</v>
      </c>
      <c r="C4399" s="9" t="s">
        <v>15</v>
      </c>
      <c r="D4399" s="10" t="s">
        <v>9601</v>
      </c>
      <c r="E4399" s="9" t="s">
        <v>17</v>
      </c>
      <c r="F4399" s="10">
        <v>25</v>
      </c>
      <c r="G4399" s="11">
        <v>8149919778</v>
      </c>
      <c r="H4399" s="10" t="s">
        <v>9602</v>
      </c>
      <c r="I4399" s="10" t="s">
        <v>27</v>
      </c>
      <c r="J4399" s="10" t="s">
        <v>1907</v>
      </c>
      <c r="K4399" s="12">
        <v>46022</v>
      </c>
      <c r="L4399" s="28" t="s">
        <v>11</v>
      </c>
      <c r="M4399" s="14"/>
      <c r="N4399" s="10" t="s">
        <v>1028</v>
      </c>
    </row>
    <row r="4400" spans="1:14" ht="22.5" customHeight="1">
      <c r="A4400" s="8">
        <v>46022.788505555553</v>
      </c>
      <c r="B4400" s="9" t="s">
        <v>14</v>
      </c>
      <c r="C4400" s="9" t="s">
        <v>15</v>
      </c>
      <c r="D4400" s="10" t="s">
        <v>9603</v>
      </c>
      <c r="E4400" s="9" t="s">
        <v>17</v>
      </c>
      <c r="F4400" s="10">
        <v>24</v>
      </c>
      <c r="G4400" s="11">
        <v>8069778225</v>
      </c>
      <c r="H4400" s="10" t="s">
        <v>9604</v>
      </c>
      <c r="I4400" s="10" t="s">
        <v>45</v>
      </c>
      <c r="J4400" s="10" t="s">
        <v>932</v>
      </c>
      <c r="K4400" s="12">
        <v>46022</v>
      </c>
      <c r="L4400" s="28" t="s">
        <v>11</v>
      </c>
      <c r="M4400" s="14"/>
      <c r="N4400" s="10" t="s">
        <v>1028</v>
      </c>
    </row>
    <row r="4401" spans="1:14" ht="22.5" customHeight="1">
      <c r="A4401" s="8">
        <v>46022.794799872689</v>
      </c>
      <c r="B4401" s="9" t="s">
        <v>14</v>
      </c>
      <c r="C4401" s="9" t="s">
        <v>15</v>
      </c>
      <c r="D4401" s="10" t="s">
        <v>9605</v>
      </c>
      <c r="E4401" s="9" t="s">
        <v>17</v>
      </c>
      <c r="F4401" s="10">
        <v>31</v>
      </c>
      <c r="G4401" s="11">
        <v>8069680273</v>
      </c>
      <c r="H4401" s="10" t="s">
        <v>9606</v>
      </c>
      <c r="I4401" s="10" t="s">
        <v>45</v>
      </c>
      <c r="J4401" s="10" t="s">
        <v>339</v>
      </c>
      <c r="K4401" s="12">
        <v>46022</v>
      </c>
      <c r="L4401" s="28" t="s">
        <v>11</v>
      </c>
      <c r="M4401" s="14"/>
      <c r="N4401" s="10" t="s">
        <v>1096</v>
      </c>
    </row>
    <row r="4402" spans="1:14" ht="22.5" customHeight="1">
      <c r="A4402" s="8">
        <v>46022.796526342594</v>
      </c>
      <c r="B4402" s="9" t="s">
        <v>14</v>
      </c>
      <c r="C4402" s="9" t="s">
        <v>15</v>
      </c>
      <c r="D4402" s="10" t="s">
        <v>9607</v>
      </c>
      <c r="E4402" s="9" t="s">
        <v>17</v>
      </c>
      <c r="F4402" s="10">
        <v>26</v>
      </c>
      <c r="G4402" s="11">
        <v>8130621010</v>
      </c>
      <c r="H4402" s="10" t="s">
        <v>9608</v>
      </c>
      <c r="I4402" s="10" t="s">
        <v>49</v>
      </c>
      <c r="J4402" s="10" t="s">
        <v>282</v>
      </c>
      <c r="K4402" s="12">
        <v>46022</v>
      </c>
      <c r="L4402" s="28" t="s">
        <v>11</v>
      </c>
      <c r="M4402" s="14"/>
      <c r="N4402" s="10" t="s">
        <v>1035</v>
      </c>
    </row>
    <row r="4403" spans="1:14" ht="22.5" customHeight="1">
      <c r="A4403" s="8">
        <v>46022.802317349538</v>
      </c>
      <c r="B4403" s="9" t="s">
        <v>14</v>
      </c>
      <c r="C4403" s="9" t="s">
        <v>15</v>
      </c>
      <c r="D4403" s="10" t="s">
        <v>9609</v>
      </c>
      <c r="E4403" s="9" t="s">
        <v>17</v>
      </c>
      <c r="F4403" s="10">
        <v>43</v>
      </c>
      <c r="G4403" s="11">
        <v>7012966443</v>
      </c>
      <c r="H4403" s="10" t="s">
        <v>9610</v>
      </c>
      <c r="I4403" s="10" t="s">
        <v>49</v>
      </c>
      <c r="J4403" s="10" t="s">
        <v>606</v>
      </c>
      <c r="K4403" s="12">
        <v>46022</v>
      </c>
      <c r="L4403" s="28" t="s">
        <v>11</v>
      </c>
      <c r="M4403" s="14"/>
      <c r="N4403" s="10" t="s">
        <v>1028</v>
      </c>
    </row>
    <row r="4404" spans="1:14" ht="22.5" customHeight="1">
      <c r="A4404" s="8">
        <v>46022.810638437499</v>
      </c>
      <c r="B4404" s="9" t="s">
        <v>14</v>
      </c>
      <c r="C4404" s="9" t="s">
        <v>15</v>
      </c>
      <c r="D4404" s="10" t="s">
        <v>1636</v>
      </c>
      <c r="E4404" s="9" t="s">
        <v>22</v>
      </c>
      <c r="F4404" s="10">
        <v>23</v>
      </c>
      <c r="G4404" s="11">
        <v>9037178317</v>
      </c>
      <c r="H4404" s="10" t="s">
        <v>9611</v>
      </c>
      <c r="I4404" s="10" t="s">
        <v>45</v>
      </c>
      <c r="J4404" s="10" t="s">
        <v>6439</v>
      </c>
      <c r="K4404" s="12">
        <v>46022</v>
      </c>
      <c r="L4404" s="28" t="s">
        <v>11</v>
      </c>
      <c r="M4404" s="14"/>
      <c r="N4404" s="10" t="s">
        <v>1028</v>
      </c>
    </row>
    <row r="4405" spans="1:14" ht="22.5" customHeight="1">
      <c r="A4405" s="8">
        <v>46022.826467418985</v>
      </c>
      <c r="B4405" s="9" t="s">
        <v>14</v>
      </c>
      <c r="C4405" s="9" t="s">
        <v>15</v>
      </c>
      <c r="D4405" s="10" t="s">
        <v>9612</v>
      </c>
      <c r="E4405" s="9" t="s">
        <v>17</v>
      </c>
      <c r="F4405" s="10">
        <v>30</v>
      </c>
      <c r="G4405" s="11">
        <v>9036388738</v>
      </c>
      <c r="H4405" s="10" t="s">
        <v>9613</v>
      </c>
      <c r="I4405" s="10" t="s">
        <v>45</v>
      </c>
      <c r="J4405" s="10" t="s">
        <v>688</v>
      </c>
      <c r="K4405" s="12">
        <v>46022</v>
      </c>
      <c r="L4405" s="28" t="s">
        <v>11</v>
      </c>
      <c r="M4405" s="14"/>
      <c r="N4405" s="10" t="s">
        <v>1096</v>
      </c>
    </row>
    <row r="4406" spans="1:14" ht="22.5" customHeight="1">
      <c r="A4406" s="8">
        <v>46022.82835221065</v>
      </c>
      <c r="B4406" s="9" t="s">
        <v>14</v>
      </c>
      <c r="C4406" s="9" t="s">
        <v>15</v>
      </c>
      <c r="D4406" s="10" t="s">
        <v>9614</v>
      </c>
      <c r="E4406" s="9" t="s">
        <v>22</v>
      </c>
      <c r="F4406" s="10">
        <v>26</v>
      </c>
      <c r="G4406" s="11">
        <v>8126147053</v>
      </c>
      <c r="H4406" s="10" t="s">
        <v>9615</v>
      </c>
      <c r="I4406" s="10" t="s">
        <v>49</v>
      </c>
      <c r="J4406" s="10" t="s">
        <v>1329</v>
      </c>
      <c r="K4406" s="12">
        <v>46022</v>
      </c>
      <c r="L4406" s="28" t="s">
        <v>11</v>
      </c>
      <c r="M4406" s="14"/>
      <c r="N4406" s="10" t="s">
        <v>1028</v>
      </c>
    </row>
    <row r="4407" spans="1:14" ht="22.5" customHeight="1">
      <c r="A4407" s="8">
        <v>46022.83254231482</v>
      </c>
      <c r="B4407" s="9" t="s">
        <v>14</v>
      </c>
      <c r="C4407" s="9" t="s">
        <v>15</v>
      </c>
      <c r="D4407" s="10" t="s">
        <v>9616</v>
      </c>
      <c r="E4407" s="9" t="s">
        <v>22</v>
      </c>
      <c r="F4407" s="10">
        <v>26</v>
      </c>
      <c r="G4407" s="11">
        <v>8039764676</v>
      </c>
      <c r="H4407" s="10" t="s">
        <v>9617</v>
      </c>
      <c r="I4407" s="10" t="s">
        <v>45</v>
      </c>
      <c r="J4407" s="10" t="s">
        <v>9618</v>
      </c>
      <c r="K4407" s="12">
        <v>46022</v>
      </c>
      <c r="L4407" s="28" t="s">
        <v>11</v>
      </c>
      <c r="M4407" s="14"/>
      <c r="N4407" s="10" t="s">
        <v>1096</v>
      </c>
    </row>
    <row r="4408" spans="1:14" ht="22.5" hidden="1" customHeight="1">
      <c r="A4408" s="8">
        <v>46022.832574004628</v>
      </c>
      <c r="B4408" s="9" t="s">
        <v>14</v>
      </c>
      <c r="C4408" s="9" t="s">
        <v>15</v>
      </c>
      <c r="D4408" s="10" t="s">
        <v>9619</v>
      </c>
      <c r="E4408" s="9" t="s">
        <v>17</v>
      </c>
      <c r="F4408" s="10">
        <v>29</v>
      </c>
      <c r="G4408" s="11">
        <v>9034320684</v>
      </c>
      <c r="H4408" s="10" t="s">
        <v>9620</v>
      </c>
      <c r="I4408" s="10" t="s">
        <v>45</v>
      </c>
      <c r="J4408" s="10" t="s">
        <v>3999</v>
      </c>
      <c r="K4408" s="12">
        <v>46022</v>
      </c>
      <c r="L4408" s="10" t="s">
        <v>441</v>
      </c>
      <c r="M4408" s="10" t="s">
        <v>1827</v>
      </c>
      <c r="N4408" s="10" t="s">
        <v>1028</v>
      </c>
    </row>
    <row r="4409" spans="1:14" ht="22.5" customHeight="1">
      <c r="A4409" s="8">
        <v>46022.836337696761</v>
      </c>
      <c r="B4409" s="9" t="s">
        <v>14</v>
      </c>
      <c r="C4409" s="9" t="s">
        <v>15</v>
      </c>
      <c r="D4409" s="10" t="s">
        <v>9621</v>
      </c>
      <c r="E4409" s="9" t="s">
        <v>17</v>
      </c>
      <c r="F4409" s="10">
        <v>29</v>
      </c>
      <c r="G4409" s="11">
        <v>8142527903</v>
      </c>
      <c r="H4409" s="10" t="s">
        <v>9622</v>
      </c>
      <c r="I4409" s="10" t="s">
        <v>27</v>
      </c>
      <c r="J4409" s="10" t="s">
        <v>9623</v>
      </c>
      <c r="K4409" s="12">
        <v>46022</v>
      </c>
      <c r="L4409" s="28" t="s">
        <v>11</v>
      </c>
      <c r="M4409" s="14"/>
      <c r="N4409" s="10" t="s">
        <v>1096</v>
      </c>
    </row>
    <row r="4410" spans="1:14" ht="22.5" customHeight="1">
      <c r="A4410" s="8">
        <v>46022.838976053245</v>
      </c>
      <c r="B4410" s="9" t="s">
        <v>14</v>
      </c>
      <c r="C4410" s="9" t="s">
        <v>15</v>
      </c>
      <c r="D4410" s="10" t="s">
        <v>9624</v>
      </c>
      <c r="E4410" s="9" t="s">
        <v>17</v>
      </c>
      <c r="F4410" s="10">
        <v>27</v>
      </c>
      <c r="G4410" s="11">
        <v>8030999905</v>
      </c>
      <c r="H4410" s="10" t="s">
        <v>9625</v>
      </c>
      <c r="I4410" s="10" t="s">
        <v>27</v>
      </c>
      <c r="J4410" s="10" t="s">
        <v>703</v>
      </c>
      <c r="K4410" s="12">
        <v>46022</v>
      </c>
      <c r="L4410" s="28" t="s">
        <v>11</v>
      </c>
      <c r="M4410" s="14"/>
      <c r="N4410" s="10" t="s">
        <v>1028</v>
      </c>
    </row>
    <row r="4411" spans="1:14" ht="22.5" customHeight="1">
      <c r="A4411" s="8">
        <v>46022.839021736116</v>
      </c>
      <c r="B4411" s="9" t="s">
        <v>14</v>
      </c>
      <c r="C4411" s="9" t="s">
        <v>15</v>
      </c>
      <c r="D4411" s="10" t="s">
        <v>9626</v>
      </c>
      <c r="E4411" s="9" t="s">
        <v>22</v>
      </c>
      <c r="F4411" s="10">
        <v>30</v>
      </c>
      <c r="G4411" s="11">
        <v>8036716711</v>
      </c>
      <c r="H4411" s="10" t="s">
        <v>9627</v>
      </c>
      <c r="I4411" s="10" t="s">
        <v>49</v>
      </c>
      <c r="J4411" s="10" t="s">
        <v>599</v>
      </c>
      <c r="K4411" s="12">
        <v>46022</v>
      </c>
      <c r="L4411" s="28" t="s">
        <v>11</v>
      </c>
      <c r="M4411" s="14"/>
      <c r="N4411" s="10" t="s">
        <v>1028</v>
      </c>
    </row>
    <row r="4412" spans="1:14" ht="22.5" customHeight="1">
      <c r="A4412" s="8">
        <v>46022.843909965275</v>
      </c>
      <c r="B4412" s="9" t="s">
        <v>14</v>
      </c>
      <c r="C4412" s="9" t="s">
        <v>15</v>
      </c>
      <c r="D4412" s="10" t="s">
        <v>9628</v>
      </c>
      <c r="E4412" s="9" t="s">
        <v>17</v>
      </c>
      <c r="F4412" s="10">
        <v>23</v>
      </c>
      <c r="G4412" s="11">
        <v>8140027543</v>
      </c>
      <c r="H4412" s="10" t="s">
        <v>9629</v>
      </c>
      <c r="I4412" s="10" t="s">
        <v>19</v>
      </c>
      <c r="J4412" s="10" t="s">
        <v>166</v>
      </c>
      <c r="K4412" s="12">
        <v>46022</v>
      </c>
      <c r="L4412" s="28" t="s">
        <v>11</v>
      </c>
      <c r="M4412" s="14"/>
      <c r="N4412" s="10" t="s">
        <v>1028</v>
      </c>
    </row>
    <row r="4413" spans="1:14" ht="22.5" customHeight="1">
      <c r="A4413" s="8">
        <v>46022.844216122685</v>
      </c>
      <c r="B4413" s="9" t="s">
        <v>14</v>
      </c>
      <c r="C4413" s="9" t="s">
        <v>15</v>
      </c>
      <c r="D4413" s="10" t="s">
        <v>9630</v>
      </c>
      <c r="E4413" s="9" t="s">
        <v>17</v>
      </c>
      <c r="F4413" s="10">
        <v>33</v>
      </c>
      <c r="G4413" s="11">
        <v>7062776679</v>
      </c>
      <c r="H4413" s="10" t="s">
        <v>9631</v>
      </c>
      <c r="I4413" s="10" t="s">
        <v>31</v>
      </c>
      <c r="J4413" s="10" t="s">
        <v>7025</v>
      </c>
      <c r="K4413" s="12">
        <v>46022</v>
      </c>
      <c r="L4413" s="28" t="s">
        <v>11</v>
      </c>
      <c r="M4413" s="14"/>
      <c r="N4413" s="10" t="s">
        <v>1028</v>
      </c>
    </row>
    <row r="4414" spans="1:14" ht="22.5" customHeight="1">
      <c r="A4414" s="8">
        <v>46022.849459363424</v>
      </c>
      <c r="B4414" s="9" t="s">
        <v>14</v>
      </c>
      <c r="C4414" s="9" t="s">
        <v>15</v>
      </c>
      <c r="D4414" s="10" t="s">
        <v>9632</v>
      </c>
      <c r="E4414" s="9" t="s">
        <v>17</v>
      </c>
      <c r="F4414" s="10">
        <v>31</v>
      </c>
      <c r="G4414" s="11">
        <v>8148597052</v>
      </c>
      <c r="H4414" s="10" t="s">
        <v>9633</v>
      </c>
      <c r="I4414" s="10" t="s">
        <v>31</v>
      </c>
      <c r="J4414" s="10" t="s">
        <v>2358</v>
      </c>
      <c r="K4414" s="12">
        <v>34425</v>
      </c>
      <c r="L4414" s="28" t="s">
        <v>11</v>
      </c>
      <c r="M4414" s="14"/>
      <c r="N4414" s="10" t="s">
        <v>1028</v>
      </c>
    </row>
    <row r="4415" spans="1:14" ht="22.5" customHeight="1">
      <c r="A4415" s="8">
        <v>46022.851598831017</v>
      </c>
      <c r="B4415" s="9" t="s">
        <v>14</v>
      </c>
      <c r="C4415" s="9" t="s">
        <v>15</v>
      </c>
      <c r="D4415" s="10" t="s">
        <v>9634</v>
      </c>
      <c r="E4415" s="9" t="s">
        <v>17</v>
      </c>
      <c r="F4415" s="10">
        <v>26</v>
      </c>
      <c r="G4415" s="11">
        <v>9025050860</v>
      </c>
      <c r="H4415" s="10" t="s">
        <v>9635</v>
      </c>
      <c r="I4415" s="10" t="s">
        <v>45</v>
      </c>
      <c r="J4415" s="10" t="s">
        <v>46</v>
      </c>
      <c r="K4415" s="12">
        <v>46022</v>
      </c>
      <c r="L4415" s="28" t="s">
        <v>11</v>
      </c>
      <c r="M4415" s="14"/>
      <c r="N4415" s="10" t="s">
        <v>1096</v>
      </c>
    </row>
    <row r="4416" spans="1:14" ht="22.5" customHeight="1">
      <c r="A4416" s="8">
        <v>46022.85933324074</v>
      </c>
      <c r="B4416" s="9" t="s">
        <v>14</v>
      </c>
      <c r="C4416" s="9" t="s">
        <v>15</v>
      </c>
      <c r="D4416" s="10" t="s">
        <v>9636</v>
      </c>
      <c r="E4416" s="9" t="s">
        <v>17</v>
      </c>
      <c r="F4416" s="10">
        <v>45</v>
      </c>
      <c r="G4416" s="11">
        <v>8088200484</v>
      </c>
      <c r="H4416" s="10" t="s">
        <v>9637</v>
      </c>
      <c r="I4416" s="10" t="s">
        <v>49</v>
      </c>
      <c r="J4416" s="10" t="s">
        <v>606</v>
      </c>
      <c r="K4416" s="12">
        <v>46022</v>
      </c>
      <c r="L4416" s="28" t="s">
        <v>11</v>
      </c>
      <c r="M4416" s="10"/>
      <c r="N4416" s="10" t="s">
        <v>1028</v>
      </c>
    </row>
    <row r="4417" spans="1:14" ht="22.5" customHeight="1">
      <c r="A4417" s="8">
        <v>46022.873200914357</v>
      </c>
      <c r="B4417" s="9" t="s">
        <v>14</v>
      </c>
      <c r="C4417" s="9" t="s">
        <v>15</v>
      </c>
      <c r="D4417" s="10" t="s">
        <v>9638</v>
      </c>
      <c r="E4417" s="9" t="s">
        <v>17</v>
      </c>
      <c r="F4417" s="10">
        <v>24</v>
      </c>
      <c r="G4417" s="11">
        <v>9075445853</v>
      </c>
      <c r="H4417" s="10" t="s">
        <v>9639</v>
      </c>
      <c r="I4417" s="10" t="s">
        <v>19</v>
      </c>
      <c r="J4417" s="10" t="s">
        <v>9640</v>
      </c>
      <c r="K4417" s="12">
        <v>46022</v>
      </c>
      <c r="L4417" s="28" t="s">
        <v>11</v>
      </c>
      <c r="M4417" s="14"/>
      <c r="N4417" s="10" t="s">
        <v>1096</v>
      </c>
    </row>
    <row r="4418" spans="1:14" ht="22.5" customHeight="1">
      <c r="A4418" s="8">
        <v>46022.88219984954</v>
      </c>
      <c r="B4418" s="9" t="s">
        <v>14</v>
      </c>
      <c r="C4418" s="9" t="s">
        <v>15</v>
      </c>
      <c r="D4418" s="10" t="s">
        <v>9641</v>
      </c>
      <c r="E4418" s="9" t="s">
        <v>17</v>
      </c>
      <c r="F4418" s="10">
        <v>26</v>
      </c>
      <c r="G4418" s="11">
        <v>9030682260</v>
      </c>
      <c r="H4418" s="10" t="s">
        <v>9642</v>
      </c>
      <c r="I4418" s="10" t="s">
        <v>31</v>
      </c>
      <c r="J4418" s="10" t="s">
        <v>32</v>
      </c>
      <c r="K4418" s="12">
        <v>46022</v>
      </c>
      <c r="L4418" s="28" t="s">
        <v>11</v>
      </c>
      <c r="M4418" s="14"/>
      <c r="N4418" s="10" t="s">
        <v>1028</v>
      </c>
    </row>
    <row r="4419" spans="1:14" ht="22.5" customHeight="1">
      <c r="A4419" s="8">
        <v>46022.883276134264</v>
      </c>
      <c r="B4419" s="9" t="s">
        <v>14</v>
      </c>
      <c r="C4419" s="9" t="s">
        <v>15</v>
      </c>
      <c r="D4419" s="10" t="s">
        <v>9643</v>
      </c>
      <c r="E4419" s="9" t="s">
        <v>22</v>
      </c>
      <c r="F4419" s="10">
        <v>26</v>
      </c>
      <c r="G4419" s="11">
        <v>8138144392</v>
      </c>
      <c r="H4419" s="10" t="s">
        <v>9644</v>
      </c>
      <c r="I4419" s="10" t="s">
        <v>49</v>
      </c>
      <c r="J4419" s="10" t="s">
        <v>606</v>
      </c>
      <c r="K4419" s="12">
        <v>46022</v>
      </c>
      <c r="L4419" s="28" t="s">
        <v>11</v>
      </c>
      <c r="M4419" s="14"/>
      <c r="N4419" s="10" t="s">
        <v>1028</v>
      </c>
    </row>
    <row r="4420" spans="1:14" ht="22.5" customHeight="1">
      <c r="A4420" s="8">
        <v>46022.891724050925</v>
      </c>
      <c r="B4420" s="9" t="s">
        <v>14</v>
      </c>
      <c r="C4420" s="9" t="s">
        <v>15</v>
      </c>
      <c r="D4420" s="10" t="s">
        <v>963</v>
      </c>
      <c r="E4420" s="9" t="s">
        <v>17</v>
      </c>
      <c r="F4420" s="10">
        <v>44</v>
      </c>
      <c r="G4420" s="11">
        <v>8032812708</v>
      </c>
      <c r="H4420" s="10" t="s">
        <v>964</v>
      </c>
      <c r="I4420" s="10" t="s">
        <v>45</v>
      </c>
      <c r="J4420" s="10" t="s">
        <v>84</v>
      </c>
      <c r="K4420" s="12">
        <v>46022</v>
      </c>
      <c r="L4420" s="28" t="s">
        <v>11</v>
      </c>
      <c r="M4420" s="14"/>
      <c r="N4420" s="10" t="s">
        <v>1028</v>
      </c>
    </row>
    <row r="4421" spans="1:14" ht="22.5" customHeight="1">
      <c r="A4421" s="8">
        <v>46022.891877222224</v>
      </c>
      <c r="B4421" s="9" t="s">
        <v>14</v>
      </c>
      <c r="C4421" s="9" t="s">
        <v>15</v>
      </c>
      <c r="D4421" s="10" t="s">
        <v>9645</v>
      </c>
      <c r="E4421" s="9" t="s">
        <v>17</v>
      </c>
      <c r="F4421" s="10">
        <v>23</v>
      </c>
      <c r="G4421" s="11">
        <v>7048241381</v>
      </c>
      <c r="H4421" s="10" t="s">
        <v>9646</v>
      </c>
      <c r="I4421" s="10" t="s">
        <v>27</v>
      </c>
      <c r="J4421" s="10" t="s">
        <v>9647</v>
      </c>
      <c r="K4421" s="12">
        <v>46022</v>
      </c>
      <c r="L4421" s="28" t="s">
        <v>11</v>
      </c>
      <c r="M4421" s="14"/>
      <c r="N4421" s="10" t="s">
        <v>1096</v>
      </c>
    </row>
    <row r="4422" spans="1:14" ht="22.5" customHeight="1">
      <c r="A4422" s="8">
        <v>46022.891973043981</v>
      </c>
      <c r="B4422" s="9" t="s">
        <v>14</v>
      </c>
      <c r="C4422" s="9" t="s">
        <v>15</v>
      </c>
      <c r="D4422" s="10" t="s">
        <v>9648</v>
      </c>
      <c r="E4422" s="9" t="s">
        <v>22</v>
      </c>
      <c r="F4422" s="10">
        <v>34</v>
      </c>
      <c r="G4422" s="11">
        <v>8105824046</v>
      </c>
      <c r="H4422" s="10" t="s">
        <v>9649</v>
      </c>
      <c r="I4422" s="10" t="s">
        <v>19</v>
      </c>
      <c r="J4422" s="10" t="s">
        <v>9650</v>
      </c>
      <c r="K4422" s="12">
        <v>46022</v>
      </c>
      <c r="L4422" s="28" t="s">
        <v>11</v>
      </c>
      <c r="M4422" s="10"/>
      <c r="N4422" s="10" t="s">
        <v>1028</v>
      </c>
    </row>
    <row r="4423" spans="1:14" ht="22.5" customHeight="1">
      <c r="A4423" s="8">
        <v>46022.898826724537</v>
      </c>
      <c r="B4423" s="9" t="s">
        <v>14</v>
      </c>
      <c r="C4423" s="9" t="s">
        <v>15</v>
      </c>
      <c r="D4423" s="10" t="s">
        <v>9651</v>
      </c>
      <c r="E4423" s="9" t="s">
        <v>22</v>
      </c>
      <c r="F4423" s="10">
        <v>25</v>
      </c>
      <c r="G4423" s="11">
        <v>7066952616</v>
      </c>
      <c r="H4423" s="10" t="s">
        <v>9652</v>
      </c>
      <c r="I4423" s="10" t="s">
        <v>27</v>
      </c>
      <c r="J4423" s="10" t="s">
        <v>94</v>
      </c>
      <c r="K4423" s="12">
        <v>46022</v>
      </c>
      <c r="L4423" s="28" t="s">
        <v>11</v>
      </c>
      <c r="M4423" s="14"/>
      <c r="N4423" s="10" t="s">
        <v>1028</v>
      </c>
    </row>
    <row r="4424" spans="1:14" ht="22.5" customHeight="1">
      <c r="A4424" s="8">
        <v>46022.907993981484</v>
      </c>
      <c r="B4424" s="9" t="s">
        <v>14</v>
      </c>
      <c r="C4424" s="9" t="s">
        <v>15</v>
      </c>
      <c r="D4424" s="10" t="s">
        <v>9653</v>
      </c>
      <c r="E4424" s="9" t="s">
        <v>17</v>
      </c>
      <c r="F4424" s="10">
        <v>30</v>
      </c>
      <c r="G4424" s="11">
        <v>7067122493</v>
      </c>
      <c r="H4424" s="10" t="s">
        <v>9654</v>
      </c>
      <c r="I4424" s="10" t="s">
        <v>27</v>
      </c>
      <c r="J4424" s="10" t="s">
        <v>9655</v>
      </c>
      <c r="K4424" s="12">
        <v>46022</v>
      </c>
      <c r="L4424" s="28" t="s">
        <v>11</v>
      </c>
      <c r="M4424" s="14"/>
      <c r="N4424" s="10" t="s">
        <v>1028</v>
      </c>
    </row>
    <row r="4425" spans="1:14" ht="22.5" customHeight="1">
      <c r="A4425" s="8">
        <v>46022.910167870374</v>
      </c>
      <c r="B4425" s="9" t="s">
        <v>14</v>
      </c>
      <c r="C4425" s="9" t="s">
        <v>15</v>
      </c>
      <c r="D4425" s="10" t="s">
        <v>9656</v>
      </c>
      <c r="E4425" s="9" t="s">
        <v>22</v>
      </c>
      <c r="F4425" s="10">
        <v>22</v>
      </c>
      <c r="G4425" s="11">
        <v>8137470811</v>
      </c>
      <c r="H4425" s="10" t="s">
        <v>9657</v>
      </c>
      <c r="I4425" s="10" t="s">
        <v>45</v>
      </c>
      <c r="J4425" s="10" t="s">
        <v>9658</v>
      </c>
      <c r="K4425" s="12">
        <v>46022</v>
      </c>
      <c r="L4425" s="28" t="s">
        <v>11</v>
      </c>
      <c r="M4425" s="14"/>
      <c r="N4425" s="10" t="s">
        <v>1096</v>
      </c>
    </row>
    <row r="4426" spans="1:14" ht="22.5" customHeight="1">
      <c r="A4426" s="8">
        <v>46022.912261967591</v>
      </c>
      <c r="B4426" s="9" t="s">
        <v>14</v>
      </c>
      <c r="C4426" s="9" t="s">
        <v>15</v>
      </c>
      <c r="D4426" s="10" t="s">
        <v>9659</v>
      </c>
      <c r="E4426" s="9" t="s">
        <v>17</v>
      </c>
      <c r="F4426" s="10">
        <v>27</v>
      </c>
      <c r="G4426" s="11">
        <v>7063522709</v>
      </c>
      <c r="H4426" s="10" t="s">
        <v>9660</v>
      </c>
      <c r="I4426" s="10" t="s">
        <v>27</v>
      </c>
      <c r="J4426" s="10" t="s">
        <v>94</v>
      </c>
      <c r="K4426" s="12">
        <v>46022</v>
      </c>
      <c r="L4426" s="28" t="s">
        <v>11</v>
      </c>
      <c r="M4426" s="14"/>
      <c r="N4426" s="10" t="s">
        <v>1028</v>
      </c>
    </row>
    <row r="4427" spans="1:14" ht="22.5" customHeight="1">
      <c r="A4427" s="8">
        <v>46022.913585416667</v>
      </c>
      <c r="B4427" s="9" t="s">
        <v>14</v>
      </c>
      <c r="C4427" s="9" t="s">
        <v>15</v>
      </c>
      <c r="D4427" s="10" t="s">
        <v>9661</v>
      </c>
      <c r="E4427" s="9" t="s">
        <v>17</v>
      </c>
      <c r="F4427" s="10">
        <v>28</v>
      </c>
      <c r="G4427" s="11">
        <v>7032733011</v>
      </c>
      <c r="H4427" s="10" t="s">
        <v>9662</v>
      </c>
      <c r="I4427" s="10" t="s">
        <v>145</v>
      </c>
      <c r="J4427" s="10" t="s">
        <v>4289</v>
      </c>
      <c r="K4427" s="12">
        <v>46022</v>
      </c>
      <c r="L4427" s="28" t="s">
        <v>11</v>
      </c>
      <c r="M4427" s="14"/>
      <c r="N4427" s="10" t="s">
        <v>1028</v>
      </c>
    </row>
    <row r="4428" spans="1:14" ht="22.5" customHeight="1">
      <c r="A4428" s="8">
        <v>46022.915138518518</v>
      </c>
      <c r="B4428" s="9" t="s">
        <v>14</v>
      </c>
      <c r="C4428" s="9" t="s">
        <v>15</v>
      </c>
      <c r="D4428" s="10" t="s">
        <v>9663</v>
      </c>
      <c r="E4428" s="9" t="s">
        <v>17</v>
      </c>
      <c r="F4428" s="10">
        <v>28</v>
      </c>
      <c r="G4428" s="11">
        <v>8167411406</v>
      </c>
      <c r="H4428" s="10" t="s">
        <v>9664</v>
      </c>
      <c r="I4428" s="10" t="s">
        <v>27</v>
      </c>
      <c r="J4428" s="10" t="s">
        <v>172</v>
      </c>
      <c r="K4428" s="12">
        <v>46022</v>
      </c>
      <c r="L4428" s="28" t="s">
        <v>11</v>
      </c>
      <c r="M4428" s="14"/>
      <c r="N4428" s="10" t="s">
        <v>1140</v>
      </c>
    </row>
    <row r="4429" spans="1:14" ht="22.5" customHeight="1">
      <c r="A4429" s="8">
        <v>46022.915755358801</v>
      </c>
      <c r="B4429" s="9" t="s">
        <v>14</v>
      </c>
      <c r="C4429" s="9" t="s">
        <v>15</v>
      </c>
      <c r="D4429" s="10" t="s">
        <v>9665</v>
      </c>
      <c r="E4429" s="9" t="s">
        <v>22</v>
      </c>
      <c r="F4429" s="10">
        <v>21</v>
      </c>
      <c r="G4429" s="11">
        <v>8081307160</v>
      </c>
      <c r="H4429" s="10" t="s">
        <v>9666</v>
      </c>
      <c r="I4429" s="10" t="s">
        <v>45</v>
      </c>
      <c r="J4429" s="10" t="s">
        <v>46</v>
      </c>
      <c r="K4429" s="12">
        <v>46022</v>
      </c>
      <c r="L4429" s="28" t="s">
        <v>11</v>
      </c>
      <c r="M4429" s="14"/>
      <c r="N4429" s="10" t="s">
        <v>1028</v>
      </c>
    </row>
    <row r="4430" spans="1:14" ht="22.5" customHeight="1">
      <c r="A4430" s="8">
        <v>46022.915911689815</v>
      </c>
      <c r="B4430" s="9" t="s">
        <v>14</v>
      </c>
      <c r="C4430" s="9" t="s">
        <v>15</v>
      </c>
      <c r="D4430" s="10" t="s">
        <v>9667</v>
      </c>
      <c r="E4430" s="9" t="s">
        <v>22</v>
      </c>
      <c r="F4430" s="10">
        <v>27</v>
      </c>
      <c r="G4430" s="11">
        <v>8165565571</v>
      </c>
      <c r="H4430" s="10" t="s">
        <v>9668</v>
      </c>
      <c r="I4430" s="10" t="s">
        <v>202</v>
      </c>
      <c r="J4430" s="10" t="s">
        <v>3396</v>
      </c>
      <c r="K4430" s="12">
        <v>46022</v>
      </c>
      <c r="L4430" s="28" t="s">
        <v>11</v>
      </c>
      <c r="M4430" s="14"/>
      <c r="N4430" s="10" t="s">
        <v>1028</v>
      </c>
    </row>
    <row r="4431" spans="1:14" ht="22.5" customHeight="1">
      <c r="A4431" s="8">
        <v>46022.918131099534</v>
      </c>
      <c r="B4431" s="9" t="s">
        <v>14</v>
      </c>
      <c r="C4431" s="9" t="s">
        <v>15</v>
      </c>
      <c r="D4431" s="10" t="s">
        <v>9669</v>
      </c>
      <c r="E4431" s="9" t="s">
        <v>17</v>
      </c>
      <c r="F4431" s="10">
        <v>34</v>
      </c>
      <c r="G4431" s="11">
        <v>9063992247</v>
      </c>
      <c r="H4431" s="10" t="s">
        <v>9670</v>
      </c>
      <c r="I4431" s="10" t="s">
        <v>31</v>
      </c>
      <c r="J4431" s="10" t="s">
        <v>32</v>
      </c>
      <c r="K4431" s="12">
        <v>46022</v>
      </c>
      <c r="L4431" s="28" t="s">
        <v>11</v>
      </c>
      <c r="M4431" s="14"/>
      <c r="N4431" s="10" t="s">
        <v>1028</v>
      </c>
    </row>
    <row r="4432" spans="1:14" ht="22.5" customHeight="1">
      <c r="A4432" s="8">
        <v>46022.920412650463</v>
      </c>
      <c r="B4432" s="9" t="s">
        <v>14</v>
      </c>
      <c r="C4432" s="9" t="s">
        <v>15</v>
      </c>
      <c r="D4432" s="10" t="s">
        <v>9671</v>
      </c>
      <c r="E4432" s="9" t="s">
        <v>17</v>
      </c>
      <c r="F4432" s="10">
        <v>35</v>
      </c>
      <c r="G4432" s="11">
        <v>8100017000</v>
      </c>
      <c r="H4432" s="10" t="s">
        <v>9672</v>
      </c>
      <c r="I4432" s="10" t="s">
        <v>49</v>
      </c>
      <c r="J4432" s="10" t="s">
        <v>229</v>
      </c>
      <c r="K4432" s="12">
        <v>46022</v>
      </c>
      <c r="L4432" s="28" t="s">
        <v>11</v>
      </c>
      <c r="M4432" s="14"/>
      <c r="N4432" s="10" t="s">
        <v>1028</v>
      </c>
    </row>
    <row r="4433" spans="1:14" ht="22.5" customHeight="1">
      <c r="A4433" s="8">
        <v>46022.931169722222</v>
      </c>
      <c r="B4433" s="9" t="s">
        <v>14</v>
      </c>
      <c r="C4433" s="9" t="s">
        <v>15</v>
      </c>
      <c r="D4433" s="10" t="s">
        <v>9673</v>
      </c>
      <c r="E4433" s="9" t="s">
        <v>17</v>
      </c>
      <c r="F4433" s="10">
        <v>23</v>
      </c>
      <c r="G4433" s="11">
        <v>7085821002</v>
      </c>
      <c r="H4433" s="10" t="s">
        <v>9674</v>
      </c>
      <c r="I4433" s="10" t="s">
        <v>27</v>
      </c>
      <c r="J4433" s="10" t="s">
        <v>9675</v>
      </c>
      <c r="K4433" s="12">
        <v>46022</v>
      </c>
      <c r="L4433" s="28" t="s">
        <v>11</v>
      </c>
      <c r="M4433" s="14"/>
      <c r="N4433" s="10" t="s">
        <v>1028</v>
      </c>
    </row>
    <row r="4434" spans="1:14" ht="22.5" customHeight="1">
      <c r="A4434" s="8">
        <v>46022.933311886576</v>
      </c>
      <c r="B4434" s="9" t="s">
        <v>14</v>
      </c>
      <c r="C4434" s="9" t="s">
        <v>15</v>
      </c>
      <c r="D4434" s="10" t="s">
        <v>9676</v>
      </c>
      <c r="E4434" s="9" t="s">
        <v>17</v>
      </c>
      <c r="F4434" s="10">
        <v>26</v>
      </c>
      <c r="G4434" s="11">
        <v>8132260255</v>
      </c>
      <c r="H4434" s="10" t="s">
        <v>9677</v>
      </c>
      <c r="I4434" s="10" t="s">
        <v>45</v>
      </c>
      <c r="J4434" s="10" t="s">
        <v>125</v>
      </c>
      <c r="K4434" s="12">
        <v>46022</v>
      </c>
      <c r="L4434" s="28" t="s">
        <v>11</v>
      </c>
      <c r="M4434" s="14"/>
      <c r="N4434" s="10" t="s">
        <v>1096</v>
      </c>
    </row>
    <row r="4435" spans="1:14" ht="22.5" customHeight="1">
      <c r="A4435" s="8">
        <v>46022.933510243056</v>
      </c>
      <c r="B4435" s="9" t="s">
        <v>14</v>
      </c>
      <c r="C4435" s="9" t="s">
        <v>15</v>
      </c>
      <c r="D4435" s="10" t="s">
        <v>9678</v>
      </c>
      <c r="E4435" s="9" t="s">
        <v>17</v>
      </c>
      <c r="F4435" s="10">
        <v>36</v>
      </c>
      <c r="G4435" s="11">
        <v>8037536872</v>
      </c>
      <c r="H4435" s="10" t="s">
        <v>9679</v>
      </c>
      <c r="I4435" s="10" t="s">
        <v>27</v>
      </c>
      <c r="J4435" s="10" t="s">
        <v>4338</v>
      </c>
      <c r="K4435" s="12">
        <v>46022</v>
      </c>
      <c r="L4435" s="28" t="s">
        <v>11</v>
      </c>
      <c r="M4435" s="14"/>
      <c r="N4435" s="10" t="s">
        <v>1028</v>
      </c>
    </row>
    <row r="4436" spans="1:14" ht="22.5" customHeight="1">
      <c r="A4436" s="8">
        <v>46022.937367546299</v>
      </c>
      <c r="B4436" s="9" t="s">
        <v>14</v>
      </c>
      <c r="C4436" s="9" t="s">
        <v>15</v>
      </c>
      <c r="D4436" s="10" t="s">
        <v>9680</v>
      </c>
      <c r="E4436" s="9" t="s">
        <v>17</v>
      </c>
      <c r="F4436" s="10">
        <v>25</v>
      </c>
      <c r="G4436" s="11">
        <v>8085075918</v>
      </c>
      <c r="H4436" s="10" t="s">
        <v>9681</v>
      </c>
      <c r="I4436" s="10" t="s">
        <v>27</v>
      </c>
      <c r="J4436" s="10" t="s">
        <v>9682</v>
      </c>
      <c r="K4436" s="12">
        <v>46022</v>
      </c>
      <c r="L4436" s="28" t="s">
        <v>11</v>
      </c>
      <c r="M4436" s="14"/>
      <c r="N4436" s="10" t="s">
        <v>1028</v>
      </c>
    </row>
    <row r="4437" spans="1:14" ht="22.5" customHeight="1">
      <c r="A4437" s="8">
        <v>46022.940946446761</v>
      </c>
      <c r="B4437" s="9" t="s">
        <v>14</v>
      </c>
      <c r="C4437" s="9" t="s">
        <v>15</v>
      </c>
      <c r="D4437" s="10" t="s">
        <v>9683</v>
      </c>
      <c r="E4437" s="9" t="s">
        <v>17</v>
      </c>
      <c r="F4437" s="10">
        <v>33</v>
      </c>
      <c r="G4437" s="11">
        <v>8131608999</v>
      </c>
      <c r="H4437" s="10" t="s">
        <v>9684</v>
      </c>
      <c r="I4437" s="10" t="s">
        <v>27</v>
      </c>
      <c r="J4437" s="10" t="s">
        <v>3542</v>
      </c>
      <c r="K4437" s="12">
        <v>46022</v>
      </c>
      <c r="L4437" s="28" t="s">
        <v>11</v>
      </c>
      <c r="M4437" s="14"/>
      <c r="N4437" s="10" t="s">
        <v>1028</v>
      </c>
    </row>
    <row r="4438" spans="1:14" ht="22.5" customHeight="1">
      <c r="A4438" s="8">
        <v>46022.942356770829</v>
      </c>
      <c r="B4438" s="9" t="s">
        <v>14</v>
      </c>
      <c r="C4438" s="9" t="s">
        <v>15</v>
      </c>
      <c r="D4438" s="10" t="s">
        <v>9685</v>
      </c>
      <c r="E4438" s="9" t="s">
        <v>22</v>
      </c>
      <c r="F4438" s="10">
        <v>21</v>
      </c>
      <c r="G4438" s="11">
        <v>9123581020</v>
      </c>
      <c r="H4438" s="10" t="s">
        <v>9686</v>
      </c>
      <c r="I4438" s="10" t="s">
        <v>27</v>
      </c>
      <c r="J4438" s="10" t="s">
        <v>2734</v>
      </c>
      <c r="K4438" s="12">
        <v>46022</v>
      </c>
      <c r="L4438" s="28" t="s">
        <v>11</v>
      </c>
      <c r="M4438" s="14"/>
      <c r="N4438" s="10" t="s">
        <v>1028</v>
      </c>
    </row>
    <row r="4439" spans="1:14" ht="22.5" customHeight="1">
      <c r="A4439" s="8">
        <v>46022.944934826388</v>
      </c>
      <c r="B4439" s="9" t="s">
        <v>14</v>
      </c>
      <c r="C4439" s="9" t="s">
        <v>15</v>
      </c>
      <c r="D4439" s="10" t="s">
        <v>9687</v>
      </c>
      <c r="E4439" s="9" t="s">
        <v>17</v>
      </c>
      <c r="F4439" s="10">
        <v>28</v>
      </c>
      <c r="G4439" s="11">
        <v>8032161282</v>
      </c>
      <c r="H4439" s="10" t="s">
        <v>9688</v>
      </c>
      <c r="I4439" s="10" t="s">
        <v>27</v>
      </c>
      <c r="J4439" s="10" t="s">
        <v>1949</v>
      </c>
      <c r="K4439" s="12">
        <v>46022</v>
      </c>
      <c r="L4439" s="28" t="s">
        <v>11</v>
      </c>
      <c r="M4439" s="14"/>
      <c r="N4439" s="10" t="s">
        <v>1028</v>
      </c>
    </row>
    <row r="4440" spans="1:14" ht="22.5" customHeight="1">
      <c r="A4440" s="8">
        <v>46022.945623715277</v>
      </c>
      <c r="B4440" s="9" t="s">
        <v>14</v>
      </c>
      <c r="C4440" s="9" t="s">
        <v>15</v>
      </c>
      <c r="D4440" s="10" t="s">
        <v>9689</v>
      </c>
      <c r="E4440" s="9" t="s">
        <v>17</v>
      </c>
      <c r="F4440" s="10">
        <v>29</v>
      </c>
      <c r="G4440" s="11">
        <v>7062528322</v>
      </c>
      <c r="H4440" s="10" t="s">
        <v>9690</v>
      </c>
      <c r="I4440" s="10" t="s">
        <v>27</v>
      </c>
      <c r="J4440" s="10" t="s">
        <v>94</v>
      </c>
      <c r="K4440" s="12">
        <v>46022</v>
      </c>
      <c r="L4440" s="28" t="s">
        <v>11</v>
      </c>
      <c r="M4440" s="14"/>
      <c r="N4440" s="10" t="s">
        <v>1028</v>
      </c>
    </row>
    <row r="4441" spans="1:14" ht="22.5" customHeight="1">
      <c r="A4441" s="8">
        <v>46022.953299050925</v>
      </c>
      <c r="B4441" s="9" t="s">
        <v>14</v>
      </c>
      <c r="C4441" s="9" t="s">
        <v>15</v>
      </c>
      <c r="D4441" s="10" t="s">
        <v>9691</v>
      </c>
      <c r="E4441" s="9" t="s">
        <v>17</v>
      </c>
      <c r="F4441" s="10">
        <v>26</v>
      </c>
      <c r="G4441" s="11">
        <v>8104482895</v>
      </c>
      <c r="H4441" s="10" t="s">
        <v>9692</v>
      </c>
      <c r="I4441" s="10" t="s">
        <v>49</v>
      </c>
      <c r="J4441" s="10" t="s">
        <v>229</v>
      </c>
      <c r="K4441" s="12">
        <v>46022</v>
      </c>
      <c r="L4441" s="28" t="s">
        <v>11</v>
      </c>
      <c r="M4441" s="14"/>
      <c r="N4441" s="10" t="s">
        <v>1028</v>
      </c>
    </row>
    <row r="4442" spans="1:14" ht="22.5" customHeight="1">
      <c r="A4442" s="8">
        <v>46022.955411770832</v>
      </c>
      <c r="B4442" s="9" t="s">
        <v>14</v>
      </c>
      <c r="C4442" s="9" t="s">
        <v>15</v>
      </c>
      <c r="D4442" s="10" t="s">
        <v>9693</v>
      </c>
      <c r="E4442" s="9" t="s">
        <v>17</v>
      </c>
      <c r="F4442" s="10">
        <v>36</v>
      </c>
      <c r="G4442" s="11">
        <v>7060727563</v>
      </c>
      <c r="H4442" s="10" t="s">
        <v>9694</v>
      </c>
      <c r="I4442" s="10" t="s">
        <v>27</v>
      </c>
      <c r="J4442" s="10" t="s">
        <v>67</v>
      </c>
      <c r="K4442" s="12">
        <v>46022</v>
      </c>
      <c r="L4442" s="28" t="s">
        <v>11</v>
      </c>
      <c r="M4442" s="14"/>
      <c r="N4442" s="10" t="s">
        <v>1028</v>
      </c>
    </row>
    <row r="4443" spans="1:14" ht="22.5" customHeight="1">
      <c r="A4443" s="8">
        <v>46022.958461018519</v>
      </c>
      <c r="B4443" s="9" t="s">
        <v>14</v>
      </c>
      <c r="C4443" s="9" t="s">
        <v>15</v>
      </c>
      <c r="D4443" s="10" t="s">
        <v>9695</v>
      </c>
      <c r="E4443" s="9" t="s">
        <v>22</v>
      </c>
      <c r="F4443" s="10">
        <v>21</v>
      </c>
      <c r="G4443" s="11">
        <v>8083825488</v>
      </c>
      <c r="H4443" s="10" t="s">
        <v>3639</v>
      </c>
      <c r="I4443" s="10" t="s">
        <v>45</v>
      </c>
      <c r="J4443" s="10" t="s">
        <v>3640</v>
      </c>
      <c r="K4443" s="12">
        <v>46022</v>
      </c>
      <c r="L4443" s="28" t="s">
        <v>11</v>
      </c>
      <c r="M4443" s="14"/>
      <c r="N4443" s="10" t="s">
        <v>1028</v>
      </c>
    </row>
    <row r="4444" spans="1:14" ht="22.5" customHeight="1">
      <c r="A4444" s="8">
        <v>46022.968832500002</v>
      </c>
      <c r="B4444" s="9" t="s">
        <v>14</v>
      </c>
      <c r="C4444" s="9" t="s">
        <v>15</v>
      </c>
      <c r="D4444" s="10" t="s">
        <v>9696</v>
      </c>
      <c r="E4444" s="9" t="s">
        <v>22</v>
      </c>
      <c r="F4444" s="10">
        <v>26</v>
      </c>
      <c r="G4444" s="11">
        <v>9068504838</v>
      </c>
      <c r="H4444" s="10" t="s">
        <v>9697</v>
      </c>
      <c r="I4444" s="10" t="s">
        <v>27</v>
      </c>
      <c r="J4444" s="10" t="s">
        <v>9698</v>
      </c>
      <c r="K4444" s="12">
        <v>36443</v>
      </c>
      <c r="L4444" s="28" t="s">
        <v>11</v>
      </c>
      <c r="M4444" s="14"/>
      <c r="N4444" s="10" t="s">
        <v>1028</v>
      </c>
    </row>
    <row r="4445" spans="1:14" ht="22.5" customHeight="1">
      <c r="A4445" s="8">
        <v>46022.970763622681</v>
      </c>
      <c r="B4445" s="9" t="s">
        <v>14</v>
      </c>
      <c r="C4445" s="9" t="s">
        <v>15</v>
      </c>
      <c r="D4445" s="10" t="s">
        <v>9699</v>
      </c>
      <c r="E4445" s="9" t="s">
        <v>17</v>
      </c>
      <c r="F4445" s="10">
        <v>32</v>
      </c>
      <c r="G4445" s="11">
        <v>8141929268</v>
      </c>
      <c r="H4445" s="10" t="s">
        <v>9700</v>
      </c>
      <c r="I4445" s="10" t="s">
        <v>27</v>
      </c>
      <c r="J4445" s="10" t="s">
        <v>3186</v>
      </c>
      <c r="K4445" s="12">
        <v>46022</v>
      </c>
      <c r="L4445" s="28" t="s">
        <v>11</v>
      </c>
      <c r="M4445" s="14"/>
      <c r="N4445" s="10" t="s">
        <v>1028</v>
      </c>
    </row>
    <row r="4446" spans="1:14" ht="22.5" customHeight="1">
      <c r="A4446" s="8">
        <v>46022.975986111109</v>
      </c>
      <c r="B4446" s="9" t="s">
        <v>14</v>
      </c>
      <c r="C4446" s="9" t="s">
        <v>15</v>
      </c>
      <c r="D4446" s="10" t="s">
        <v>9701</v>
      </c>
      <c r="E4446" s="9" t="s">
        <v>17</v>
      </c>
      <c r="F4446" s="10">
        <v>25</v>
      </c>
      <c r="G4446" s="11">
        <v>8166076188</v>
      </c>
      <c r="H4446" s="10" t="s">
        <v>9702</v>
      </c>
      <c r="I4446" s="10" t="s">
        <v>145</v>
      </c>
      <c r="J4446" s="10" t="s">
        <v>530</v>
      </c>
      <c r="K4446" s="12">
        <v>46022</v>
      </c>
      <c r="L4446" s="28" t="s">
        <v>11</v>
      </c>
      <c r="M4446" s="14"/>
      <c r="N4446" s="10" t="s">
        <v>1028</v>
      </c>
    </row>
    <row r="4447" spans="1:14" ht="22.5" customHeight="1">
      <c r="A4447" s="8">
        <v>46022.98062988426</v>
      </c>
      <c r="B4447" s="9" t="s">
        <v>14</v>
      </c>
      <c r="C4447" s="9" t="s">
        <v>15</v>
      </c>
      <c r="D4447" s="10" t="s">
        <v>9703</v>
      </c>
      <c r="E4447" s="9" t="s">
        <v>17</v>
      </c>
      <c r="F4447" s="10">
        <v>25</v>
      </c>
      <c r="G4447" s="11">
        <v>70266087</v>
      </c>
      <c r="H4447" s="10" t="s">
        <v>9704</v>
      </c>
      <c r="I4447" s="10" t="s">
        <v>49</v>
      </c>
      <c r="J4447" s="10" t="s">
        <v>606</v>
      </c>
      <c r="K4447" s="12">
        <v>46022</v>
      </c>
      <c r="L4447" s="28" t="s">
        <v>11</v>
      </c>
      <c r="M4447" s="14"/>
      <c r="N4447" s="10" t="s">
        <v>1028</v>
      </c>
    </row>
    <row r="4448" spans="1:14" ht="22.5" customHeight="1">
      <c r="A4448" s="8">
        <v>46022.982409050921</v>
      </c>
      <c r="B4448" s="9" t="s">
        <v>14</v>
      </c>
      <c r="C4448" s="9" t="s">
        <v>15</v>
      </c>
      <c r="D4448" s="10" t="s">
        <v>9705</v>
      </c>
      <c r="E4448" s="9" t="s">
        <v>17</v>
      </c>
      <c r="F4448" s="10">
        <v>24</v>
      </c>
      <c r="G4448" s="11">
        <v>9116716613</v>
      </c>
      <c r="H4448" s="10" t="s">
        <v>9706</v>
      </c>
      <c r="I4448" s="10" t="s">
        <v>145</v>
      </c>
      <c r="J4448" s="10" t="s">
        <v>3366</v>
      </c>
      <c r="K4448" s="12">
        <v>46022</v>
      </c>
      <c r="L4448" s="28" t="s">
        <v>11</v>
      </c>
      <c r="M4448" s="14"/>
      <c r="N4448" s="10" t="s">
        <v>1028</v>
      </c>
    </row>
    <row r="4449" spans="1:14" ht="22.5" customHeight="1">
      <c r="A4449" s="8">
        <v>46022.989359722225</v>
      </c>
      <c r="B4449" s="9" t="s">
        <v>14</v>
      </c>
      <c r="C4449" s="9" t="s">
        <v>15</v>
      </c>
      <c r="D4449" s="10" t="s">
        <v>9707</v>
      </c>
      <c r="E4449" s="9" t="s">
        <v>17</v>
      </c>
      <c r="F4449" s="10">
        <v>23</v>
      </c>
      <c r="G4449" s="11">
        <v>7064403443</v>
      </c>
      <c r="H4449" s="10" t="s">
        <v>9708</v>
      </c>
      <c r="I4449" s="10" t="s">
        <v>27</v>
      </c>
      <c r="J4449" s="10" t="s">
        <v>9354</v>
      </c>
      <c r="K4449" s="12">
        <v>46022</v>
      </c>
      <c r="L4449" s="28" t="s">
        <v>11</v>
      </c>
      <c r="M4449" s="14"/>
      <c r="N4449" s="10" t="s">
        <v>1028</v>
      </c>
    </row>
    <row r="4450" spans="1:14" ht="22.5" customHeight="1">
      <c r="A4450" s="8">
        <v>46022.995587708334</v>
      </c>
      <c r="B4450" s="9" t="s">
        <v>14</v>
      </c>
      <c r="C4450" s="9" t="s">
        <v>15</v>
      </c>
      <c r="D4450" s="10" t="s">
        <v>9143</v>
      </c>
      <c r="E4450" s="9" t="s">
        <v>17</v>
      </c>
      <c r="F4450" s="10">
        <v>31</v>
      </c>
      <c r="G4450" s="11">
        <v>8160866556</v>
      </c>
      <c r="H4450" s="10" t="s">
        <v>9709</v>
      </c>
      <c r="I4450" s="10" t="s">
        <v>27</v>
      </c>
      <c r="J4450" s="10" t="s">
        <v>94</v>
      </c>
      <c r="K4450" s="12">
        <v>46022</v>
      </c>
      <c r="L4450" s="28" t="s">
        <v>11</v>
      </c>
      <c r="M4450" s="14"/>
      <c r="N4450" s="10" t="s">
        <v>1140</v>
      </c>
    </row>
    <row r="4451" spans="1:14" ht="22.5" customHeight="1">
      <c r="A4451" s="8">
        <v>46023.001290868051</v>
      </c>
      <c r="B4451" s="9" t="s">
        <v>14</v>
      </c>
      <c r="C4451" s="9" t="s">
        <v>15</v>
      </c>
      <c r="D4451" s="10" t="s">
        <v>9710</v>
      </c>
      <c r="E4451" s="9" t="s">
        <v>22</v>
      </c>
      <c r="F4451" s="10">
        <v>25</v>
      </c>
      <c r="G4451" s="11">
        <v>8067720207</v>
      </c>
      <c r="H4451" s="10" t="s">
        <v>9711</v>
      </c>
      <c r="I4451" s="10" t="s">
        <v>45</v>
      </c>
      <c r="J4451" s="10" t="s">
        <v>901</v>
      </c>
      <c r="K4451" s="12">
        <v>46022</v>
      </c>
      <c r="L4451" s="28" t="s">
        <v>11</v>
      </c>
      <c r="M4451" s="14"/>
      <c r="N4451" s="10" t="s">
        <v>1096</v>
      </c>
    </row>
    <row r="4452" spans="1:14" ht="22.5" customHeight="1">
      <c r="A4452" s="8">
        <v>46023.002699178236</v>
      </c>
      <c r="B4452" s="9" t="s">
        <v>14</v>
      </c>
      <c r="C4452" s="9" t="s">
        <v>15</v>
      </c>
      <c r="D4452" s="10" t="s">
        <v>9712</v>
      </c>
      <c r="E4452" s="9" t="s">
        <v>17</v>
      </c>
      <c r="F4452" s="10">
        <v>30</v>
      </c>
      <c r="G4452" s="11">
        <v>8030911932</v>
      </c>
      <c r="H4452" s="10" t="s">
        <v>9713</v>
      </c>
      <c r="I4452" s="10" t="s">
        <v>27</v>
      </c>
      <c r="J4452" s="10" t="s">
        <v>70</v>
      </c>
      <c r="K4452" s="12">
        <v>46023</v>
      </c>
      <c r="L4452" s="28" t="s">
        <v>11</v>
      </c>
      <c r="M4452" s="14"/>
      <c r="N4452" s="10" t="s">
        <v>1028</v>
      </c>
    </row>
    <row r="4453" spans="1:14" ht="22.5" customHeight="1">
      <c r="A4453" s="8">
        <v>46023.014519548611</v>
      </c>
      <c r="B4453" s="9" t="s">
        <v>14</v>
      </c>
      <c r="C4453" s="9" t="s">
        <v>15</v>
      </c>
      <c r="D4453" s="10" t="s">
        <v>9714</v>
      </c>
      <c r="E4453" s="9" t="s">
        <v>17</v>
      </c>
      <c r="F4453" s="10">
        <v>23</v>
      </c>
      <c r="G4453" s="11">
        <v>9038804463</v>
      </c>
      <c r="H4453" s="10" t="s">
        <v>9715</v>
      </c>
      <c r="I4453" s="10" t="s">
        <v>27</v>
      </c>
      <c r="J4453" s="10" t="s">
        <v>94</v>
      </c>
      <c r="K4453" s="12">
        <v>46023</v>
      </c>
      <c r="L4453" s="28" t="s">
        <v>11</v>
      </c>
      <c r="M4453" s="14"/>
      <c r="N4453" s="10" t="s">
        <v>1028</v>
      </c>
    </row>
    <row r="4454" spans="1:14" ht="22.5" customHeight="1">
      <c r="A4454" s="8">
        <v>46023.02335768519</v>
      </c>
      <c r="B4454" s="9" t="s">
        <v>14</v>
      </c>
      <c r="C4454" s="9" t="s">
        <v>15</v>
      </c>
      <c r="D4454" s="10" t="s">
        <v>9716</v>
      </c>
      <c r="E4454" s="9" t="s">
        <v>17</v>
      </c>
      <c r="F4454" s="10">
        <v>21</v>
      </c>
      <c r="G4454" s="11">
        <v>9031319471</v>
      </c>
      <c r="H4454" s="10" t="s">
        <v>9717</v>
      </c>
      <c r="I4454" s="10" t="s">
        <v>27</v>
      </c>
      <c r="J4454" s="10" t="s">
        <v>2417</v>
      </c>
      <c r="K4454" s="12">
        <v>46023</v>
      </c>
      <c r="L4454" s="28" t="s">
        <v>11</v>
      </c>
      <c r="M4454" s="14"/>
      <c r="N4454" s="10" t="s">
        <v>1028</v>
      </c>
    </row>
    <row r="4455" spans="1:14" ht="22.5" hidden="1" customHeight="1">
      <c r="A4455" s="8">
        <v>46023.026920729171</v>
      </c>
      <c r="B4455" s="9" t="s">
        <v>14</v>
      </c>
      <c r="C4455" s="9" t="s">
        <v>15</v>
      </c>
      <c r="D4455" s="10" t="s">
        <v>9718</v>
      </c>
      <c r="E4455" s="9" t="s">
        <v>17</v>
      </c>
      <c r="F4455" s="10">
        <v>26</v>
      </c>
      <c r="G4455" s="11">
        <v>8143454204</v>
      </c>
      <c r="H4455" s="10" t="s">
        <v>9719</v>
      </c>
      <c r="I4455" s="10" t="s">
        <v>27</v>
      </c>
      <c r="J4455" s="10" t="s">
        <v>9720</v>
      </c>
      <c r="K4455" s="12">
        <v>46023</v>
      </c>
      <c r="L4455" s="10" t="s">
        <v>441</v>
      </c>
      <c r="M4455" s="10" t="s">
        <v>1361</v>
      </c>
      <c r="N4455" s="10" t="s">
        <v>1096</v>
      </c>
    </row>
    <row r="4456" spans="1:14" ht="22.5" customHeight="1">
      <c r="A4456" s="8">
        <v>46023.032471400467</v>
      </c>
      <c r="B4456" s="9" t="s">
        <v>14</v>
      </c>
      <c r="C4456" s="9" t="s">
        <v>15</v>
      </c>
      <c r="D4456" s="10" t="s">
        <v>9721</v>
      </c>
      <c r="E4456" s="9" t="s">
        <v>17</v>
      </c>
      <c r="F4456" s="10">
        <v>34</v>
      </c>
      <c r="G4456" s="11">
        <v>8020307817</v>
      </c>
      <c r="H4456" s="10" t="s">
        <v>9722</v>
      </c>
      <c r="I4456" s="10" t="s">
        <v>45</v>
      </c>
      <c r="J4456" s="10" t="s">
        <v>9723</v>
      </c>
      <c r="K4456" s="12">
        <v>46023</v>
      </c>
      <c r="L4456" s="28" t="s">
        <v>11</v>
      </c>
      <c r="M4456" s="14"/>
      <c r="N4456" s="10" t="s">
        <v>1028</v>
      </c>
    </row>
    <row r="4457" spans="1:14" ht="22.5" customHeight="1">
      <c r="A4457" s="8">
        <v>46023.038557905093</v>
      </c>
      <c r="B4457" s="9" t="s">
        <v>14</v>
      </c>
      <c r="C4457" s="9" t="s">
        <v>15</v>
      </c>
      <c r="D4457" s="10" t="s">
        <v>9724</v>
      </c>
      <c r="E4457" s="9" t="s">
        <v>17</v>
      </c>
      <c r="F4457" s="10">
        <v>37</v>
      </c>
      <c r="G4457" s="11">
        <v>8134683400</v>
      </c>
      <c r="H4457" s="10" t="s">
        <v>9725</v>
      </c>
      <c r="I4457" s="10" t="s">
        <v>49</v>
      </c>
      <c r="J4457" s="10" t="s">
        <v>9726</v>
      </c>
      <c r="K4457" s="12">
        <v>46022</v>
      </c>
      <c r="L4457" s="28" t="s">
        <v>11</v>
      </c>
      <c r="M4457" s="14"/>
      <c r="N4457" s="10" t="s">
        <v>1028</v>
      </c>
    </row>
    <row r="4458" spans="1:14" ht="22.5" customHeight="1">
      <c r="A4458" s="8">
        <v>46023.041265451393</v>
      </c>
      <c r="B4458" s="9" t="s">
        <v>14</v>
      </c>
      <c r="C4458" s="9" t="s">
        <v>15</v>
      </c>
      <c r="D4458" s="10" t="s">
        <v>9727</v>
      </c>
      <c r="E4458" s="9" t="s">
        <v>17</v>
      </c>
      <c r="F4458" s="10">
        <v>46</v>
      </c>
      <c r="G4458" s="11">
        <v>8020884000</v>
      </c>
      <c r="H4458" s="10" t="s">
        <v>9728</v>
      </c>
      <c r="I4458" s="10" t="s">
        <v>45</v>
      </c>
      <c r="J4458" s="10" t="s">
        <v>688</v>
      </c>
      <c r="K4458" s="12">
        <v>46023</v>
      </c>
      <c r="L4458" s="28" t="s">
        <v>11</v>
      </c>
      <c r="M4458" s="14"/>
      <c r="N4458" s="10" t="s">
        <v>1489</v>
      </c>
    </row>
    <row r="4459" spans="1:14" ht="22.5" customHeight="1">
      <c r="A4459" s="8">
        <v>46023.04295221065</v>
      </c>
      <c r="B4459" s="9" t="s">
        <v>14</v>
      </c>
      <c r="C4459" s="9" t="s">
        <v>15</v>
      </c>
      <c r="D4459" s="10" t="s">
        <v>9729</v>
      </c>
      <c r="E4459" s="9" t="s">
        <v>17</v>
      </c>
      <c r="F4459" s="10">
        <v>24</v>
      </c>
      <c r="G4459" s="11">
        <f t="shared" ref="G4459" si="118">251945801659</f>
        <v>251945801659</v>
      </c>
      <c r="H4459" s="10" t="s">
        <v>9730</v>
      </c>
      <c r="I4459" s="10" t="s">
        <v>19</v>
      </c>
      <c r="J4459" s="10" t="s">
        <v>9731</v>
      </c>
      <c r="K4459" s="12">
        <v>46023</v>
      </c>
      <c r="L4459" s="28" t="s">
        <v>11</v>
      </c>
      <c r="M4459" s="14"/>
      <c r="N4459" s="10" t="s">
        <v>9732</v>
      </c>
    </row>
    <row r="4460" spans="1:14" ht="22.5" customHeight="1">
      <c r="A4460" s="8">
        <v>46023.045407233796</v>
      </c>
      <c r="B4460" s="9" t="s">
        <v>14</v>
      </c>
      <c r="C4460" s="9" t="s">
        <v>15</v>
      </c>
      <c r="D4460" s="10" t="s">
        <v>9733</v>
      </c>
      <c r="E4460" s="9" t="s">
        <v>17</v>
      </c>
      <c r="F4460" s="10">
        <v>25</v>
      </c>
      <c r="G4460" s="11">
        <v>9023937033</v>
      </c>
      <c r="H4460" s="10" t="s">
        <v>9734</v>
      </c>
      <c r="I4460" s="10" t="s">
        <v>27</v>
      </c>
      <c r="J4460" s="10" t="s">
        <v>9735</v>
      </c>
      <c r="K4460" s="12">
        <v>46023</v>
      </c>
      <c r="L4460" s="28" t="s">
        <v>11</v>
      </c>
      <c r="M4460" s="10"/>
      <c r="N4460" s="10" t="s">
        <v>1028</v>
      </c>
    </row>
    <row r="4461" spans="1:14" ht="22.5" customHeight="1">
      <c r="A4461" s="8">
        <v>46023.050009398146</v>
      </c>
      <c r="B4461" s="9" t="s">
        <v>14</v>
      </c>
      <c r="C4461" s="9" t="s">
        <v>15</v>
      </c>
      <c r="D4461" s="10" t="s">
        <v>9736</v>
      </c>
      <c r="E4461" s="9" t="s">
        <v>17</v>
      </c>
      <c r="F4461" s="10">
        <v>33</v>
      </c>
      <c r="G4461" s="11">
        <v>9039926674</v>
      </c>
      <c r="H4461" s="10" t="s">
        <v>9737</v>
      </c>
      <c r="I4461" s="10" t="s">
        <v>49</v>
      </c>
      <c r="J4461" s="10" t="s">
        <v>50</v>
      </c>
      <c r="K4461" s="12">
        <v>46023</v>
      </c>
      <c r="L4461" s="28" t="s">
        <v>11</v>
      </c>
      <c r="M4461" s="14"/>
      <c r="N4461" s="10" t="s">
        <v>1028</v>
      </c>
    </row>
    <row r="4462" spans="1:14" ht="22.5" customHeight="1">
      <c r="A4462" s="8">
        <v>46023.059011446763</v>
      </c>
      <c r="B4462" s="9" t="s">
        <v>14</v>
      </c>
      <c r="C4462" s="9" t="s">
        <v>15</v>
      </c>
      <c r="D4462" s="10" t="s">
        <v>9738</v>
      </c>
      <c r="E4462" s="9" t="s">
        <v>17</v>
      </c>
      <c r="F4462" s="10">
        <v>31</v>
      </c>
      <c r="G4462" s="11">
        <v>9018625252</v>
      </c>
      <c r="H4462" s="10" t="s">
        <v>9739</v>
      </c>
      <c r="I4462" s="10" t="s">
        <v>45</v>
      </c>
      <c r="J4462" s="10" t="s">
        <v>7631</v>
      </c>
      <c r="K4462" s="12">
        <v>46023</v>
      </c>
      <c r="L4462" s="28" t="s">
        <v>11</v>
      </c>
      <c r="M4462" s="14"/>
      <c r="N4462" s="10" t="s">
        <v>1096</v>
      </c>
    </row>
    <row r="4463" spans="1:14" ht="22.5" customHeight="1">
      <c r="A4463" s="8">
        <v>46023.059158761578</v>
      </c>
      <c r="B4463" s="9" t="s">
        <v>14</v>
      </c>
      <c r="C4463" s="9" t="s">
        <v>15</v>
      </c>
      <c r="D4463" s="10" t="s">
        <v>9740</v>
      </c>
      <c r="E4463" s="9" t="s">
        <v>17</v>
      </c>
      <c r="F4463" s="10">
        <v>35</v>
      </c>
      <c r="G4463" s="11">
        <v>8027362943</v>
      </c>
      <c r="H4463" s="10" t="s">
        <v>9741</v>
      </c>
      <c r="I4463" s="10" t="s">
        <v>45</v>
      </c>
      <c r="J4463" s="10" t="s">
        <v>9723</v>
      </c>
      <c r="K4463" s="12">
        <v>46023</v>
      </c>
      <c r="L4463" s="28" t="s">
        <v>11</v>
      </c>
      <c r="M4463" s="14"/>
      <c r="N4463" s="10" t="s">
        <v>1028</v>
      </c>
    </row>
    <row r="4464" spans="1:14" ht="22.5" customHeight="1">
      <c r="A4464" s="8">
        <v>46023.059504421297</v>
      </c>
      <c r="B4464" s="9" t="s">
        <v>14</v>
      </c>
      <c r="C4464" s="9" t="s">
        <v>15</v>
      </c>
      <c r="D4464" s="10" t="s">
        <v>9742</v>
      </c>
      <c r="E4464" s="9" t="s">
        <v>17</v>
      </c>
      <c r="F4464" s="10">
        <v>34</v>
      </c>
      <c r="G4464" s="11">
        <v>8036753773</v>
      </c>
      <c r="H4464" s="10" t="s">
        <v>9743</v>
      </c>
      <c r="I4464" s="10" t="s">
        <v>27</v>
      </c>
      <c r="J4464" s="10" t="s">
        <v>703</v>
      </c>
      <c r="K4464" s="12">
        <v>46023</v>
      </c>
      <c r="L4464" s="28" t="s">
        <v>11</v>
      </c>
      <c r="M4464" s="14"/>
      <c r="N4464" s="10" t="s">
        <v>1028</v>
      </c>
    </row>
    <row r="4465" spans="1:14" ht="22.5" customHeight="1">
      <c r="A4465" s="8">
        <v>46023.062050868059</v>
      </c>
      <c r="B4465" s="9" t="s">
        <v>14</v>
      </c>
      <c r="C4465" s="9" t="s">
        <v>15</v>
      </c>
      <c r="D4465" s="10" t="s">
        <v>9744</v>
      </c>
      <c r="E4465" s="9" t="s">
        <v>17</v>
      </c>
      <c r="F4465" s="10">
        <v>32</v>
      </c>
      <c r="G4465" s="11">
        <v>7030049028</v>
      </c>
      <c r="H4465" s="10" t="s">
        <v>9745</v>
      </c>
      <c r="I4465" s="10" t="s">
        <v>45</v>
      </c>
      <c r="J4465" s="10" t="s">
        <v>46</v>
      </c>
      <c r="K4465" s="12">
        <v>46023</v>
      </c>
      <c r="L4465" s="28" t="s">
        <v>11</v>
      </c>
      <c r="M4465" s="14"/>
      <c r="N4465" s="10" t="s">
        <v>1096</v>
      </c>
    </row>
    <row r="4466" spans="1:14" ht="22.5" customHeight="1">
      <c r="A4466" s="8">
        <v>46023.086798217591</v>
      </c>
      <c r="B4466" s="9" t="s">
        <v>14</v>
      </c>
      <c r="C4466" s="9" t="s">
        <v>15</v>
      </c>
      <c r="D4466" s="10" t="s">
        <v>3993</v>
      </c>
      <c r="E4466" s="9" t="s">
        <v>22</v>
      </c>
      <c r="F4466" s="10">
        <v>28</v>
      </c>
      <c r="G4466" s="11">
        <v>7068255796</v>
      </c>
      <c r="H4466" s="10" t="s">
        <v>3994</v>
      </c>
      <c r="I4466" s="10" t="s">
        <v>49</v>
      </c>
      <c r="J4466" s="10" t="s">
        <v>109</v>
      </c>
      <c r="K4466" s="12">
        <v>46023</v>
      </c>
      <c r="L4466" s="28" t="s">
        <v>11</v>
      </c>
      <c r="M4466" s="14"/>
      <c r="N4466" s="10" t="s">
        <v>1028</v>
      </c>
    </row>
    <row r="4467" spans="1:14" ht="22.5" customHeight="1">
      <c r="A4467" s="8">
        <v>46023.102324074076</v>
      </c>
      <c r="B4467" s="9" t="s">
        <v>14</v>
      </c>
      <c r="C4467" s="9" t="s">
        <v>15</v>
      </c>
      <c r="D4467" s="10" t="s">
        <v>9746</v>
      </c>
      <c r="E4467" s="9" t="s">
        <v>22</v>
      </c>
      <c r="F4467" s="10">
        <v>28</v>
      </c>
      <c r="G4467" s="11">
        <v>9015902171</v>
      </c>
      <c r="H4467" s="10" t="s">
        <v>9747</v>
      </c>
      <c r="I4467" s="10" t="s">
        <v>31</v>
      </c>
      <c r="J4467" s="10" t="s">
        <v>2410</v>
      </c>
      <c r="K4467" s="12">
        <v>46023</v>
      </c>
      <c r="L4467" s="28" t="s">
        <v>11</v>
      </c>
      <c r="M4467" s="14"/>
      <c r="N4467" s="10" t="s">
        <v>1028</v>
      </c>
    </row>
    <row r="4468" spans="1:14" ht="22.5" customHeight="1">
      <c r="A4468" s="8">
        <v>46023.110603182868</v>
      </c>
      <c r="B4468" s="9" t="s">
        <v>14</v>
      </c>
      <c r="C4468" s="9" t="s">
        <v>15</v>
      </c>
      <c r="D4468" s="10" t="s">
        <v>9748</v>
      </c>
      <c r="E4468" s="9" t="s">
        <v>22</v>
      </c>
      <c r="F4468" s="10">
        <v>31</v>
      </c>
      <c r="G4468" s="11">
        <v>8039703374</v>
      </c>
      <c r="H4468" s="10" t="s">
        <v>9749</v>
      </c>
      <c r="I4468" s="10" t="s">
        <v>145</v>
      </c>
      <c r="J4468" s="10" t="s">
        <v>9750</v>
      </c>
      <c r="K4468" s="12">
        <v>46023</v>
      </c>
      <c r="L4468" s="28" t="s">
        <v>11</v>
      </c>
      <c r="M4468" s="14"/>
      <c r="N4468" s="10" t="s">
        <v>1028</v>
      </c>
    </row>
    <row r="4469" spans="1:14" ht="22.5" customHeight="1">
      <c r="A4469" s="8">
        <v>46023.113349178238</v>
      </c>
      <c r="B4469" s="9" t="s">
        <v>14</v>
      </c>
      <c r="C4469" s="9" t="s">
        <v>15</v>
      </c>
      <c r="D4469" s="10" t="s">
        <v>9751</v>
      </c>
      <c r="E4469" s="9" t="s">
        <v>17</v>
      </c>
      <c r="F4469" s="10">
        <v>30</v>
      </c>
      <c r="G4469" s="11">
        <f>2348149095452</f>
        <v>2348149095452</v>
      </c>
      <c r="H4469" s="10" t="s">
        <v>9752</v>
      </c>
      <c r="I4469" s="10" t="s">
        <v>31</v>
      </c>
      <c r="J4469" s="10" t="s">
        <v>32</v>
      </c>
      <c r="K4469" s="12">
        <v>46023</v>
      </c>
      <c r="L4469" s="28" t="s">
        <v>11</v>
      </c>
      <c r="M4469" s="14"/>
      <c r="N4469" s="10" t="s">
        <v>1096</v>
      </c>
    </row>
    <row r="4470" spans="1:14" ht="22.5" customHeight="1">
      <c r="A4470" s="8">
        <v>46023.122042268515</v>
      </c>
      <c r="B4470" s="9" t="s">
        <v>14</v>
      </c>
      <c r="C4470" s="9" t="s">
        <v>15</v>
      </c>
      <c r="D4470" s="10" t="s">
        <v>9753</v>
      </c>
      <c r="E4470" s="9" t="s">
        <v>22</v>
      </c>
      <c r="F4470" s="10">
        <v>24</v>
      </c>
      <c r="G4470" s="11">
        <v>9032867108</v>
      </c>
      <c r="H4470" s="10" t="s">
        <v>9754</v>
      </c>
      <c r="I4470" s="10" t="s">
        <v>145</v>
      </c>
      <c r="J4470" s="10" t="s">
        <v>3366</v>
      </c>
      <c r="K4470" s="12">
        <v>46023</v>
      </c>
      <c r="L4470" s="28" t="s">
        <v>11</v>
      </c>
      <c r="M4470" s="14"/>
      <c r="N4470" s="10" t="s">
        <v>1028</v>
      </c>
    </row>
    <row r="4471" spans="1:14" ht="22.5" customHeight="1">
      <c r="A4471" s="8">
        <v>46023.124351932871</v>
      </c>
      <c r="B4471" s="9" t="s">
        <v>14</v>
      </c>
      <c r="C4471" s="9" t="s">
        <v>15</v>
      </c>
      <c r="D4471" s="10" t="s">
        <v>9755</v>
      </c>
      <c r="E4471" s="9" t="s">
        <v>17</v>
      </c>
      <c r="F4471" s="10">
        <v>28</v>
      </c>
      <c r="G4471" s="11">
        <v>7035419838</v>
      </c>
      <c r="H4471" s="10" t="s">
        <v>9756</v>
      </c>
      <c r="I4471" s="10" t="s">
        <v>19</v>
      </c>
      <c r="J4471" s="10" t="s">
        <v>5064</v>
      </c>
      <c r="K4471" s="12">
        <v>46023</v>
      </c>
      <c r="L4471" s="28" t="s">
        <v>11</v>
      </c>
      <c r="M4471" s="14"/>
      <c r="N4471" s="10" t="s">
        <v>1028</v>
      </c>
    </row>
    <row r="4472" spans="1:14" ht="22.5" customHeight="1">
      <c r="A4472" s="8">
        <v>46023.124863680554</v>
      </c>
      <c r="B4472" s="9" t="s">
        <v>14</v>
      </c>
      <c r="C4472" s="9" t="s">
        <v>15</v>
      </c>
      <c r="D4472" s="10" t="s">
        <v>9757</v>
      </c>
      <c r="E4472" s="9" t="s">
        <v>17</v>
      </c>
      <c r="F4472" s="10">
        <v>29</v>
      </c>
      <c r="G4472" s="11">
        <v>7036201286</v>
      </c>
      <c r="H4472" s="10" t="s">
        <v>9758</v>
      </c>
      <c r="I4472" s="10" t="s">
        <v>19</v>
      </c>
      <c r="J4472" s="10" t="s">
        <v>8877</v>
      </c>
      <c r="K4472" s="12">
        <v>46027</v>
      </c>
      <c r="L4472" s="28" t="s">
        <v>11</v>
      </c>
      <c r="M4472" s="14"/>
      <c r="N4472" s="10" t="s">
        <v>1209</v>
      </c>
    </row>
    <row r="4473" spans="1:14" ht="22.5" customHeight="1">
      <c r="A4473" s="8">
        <v>46023.141044050921</v>
      </c>
      <c r="B4473" s="9" t="s">
        <v>14</v>
      </c>
      <c r="C4473" s="9" t="s">
        <v>15</v>
      </c>
      <c r="D4473" s="10" t="s">
        <v>9759</v>
      </c>
      <c r="E4473" s="9" t="s">
        <v>17</v>
      </c>
      <c r="F4473" s="10">
        <v>25</v>
      </c>
      <c r="G4473" s="11">
        <v>8141126611</v>
      </c>
      <c r="H4473" s="10" t="s">
        <v>9760</v>
      </c>
      <c r="I4473" s="10" t="s">
        <v>27</v>
      </c>
      <c r="J4473" s="10" t="s">
        <v>1456</v>
      </c>
      <c r="K4473" s="12">
        <v>46023</v>
      </c>
      <c r="L4473" s="28" t="s">
        <v>11</v>
      </c>
      <c r="M4473" s="14"/>
      <c r="N4473" s="10" t="s">
        <v>1028</v>
      </c>
    </row>
    <row r="4474" spans="1:14" ht="22.5" customHeight="1">
      <c r="A4474" s="8">
        <v>46023.154952500001</v>
      </c>
      <c r="B4474" s="9" t="s">
        <v>14</v>
      </c>
      <c r="C4474" s="9" t="s">
        <v>15</v>
      </c>
      <c r="D4474" s="10" t="s">
        <v>9761</v>
      </c>
      <c r="E4474" s="9" t="s">
        <v>17</v>
      </c>
      <c r="F4474" s="10">
        <v>25</v>
      </c>
      <c r="G4474" s="11">
        <v>8131542720</v>
      </c>
      <c r="H4474" s="10" t="s">
        <v>9762</v>
      </c>
      <c r="I4474" s="10" t="s">
        <v>145</v>
      </c>
      <c r="J4474" s="10" t="s">
        <v>3559</v>
      </c>
      <c r="K4474" s="12">
        <v>46023</v>
      </c>
      <c r="L4474" s="28" t="s">
        <v>11</v>
      </c>
      <c r="M4474" s="14"/>
      <c r="N4474" s="10" t="s">
        <v>1028</v>
      </c>
    </row>
    <row r="4475" spans="1:14" ht="22.5" customHeight="1">
      <c r="A4475" s="8">
        <v>46023.185217268518</v>
      </c>
      <c r="B4475" s="9" t="s">
        <v>14</v>
      </c>
      <c r="C4475" s="9" t="s">
        <v>15</v>
      </c>
      <c r="D4475" s="10" t="s">
        <v>9763</v>
      </c>
      <c r="E4475" s="9" t="s">
        <v>17</v>
      </c>
      <c r="F4475" s="10">
        <v>33</v>
      </c>
      <c r="G4475" s="11">
        <v>8143229067</v>
      </c>
      <c r="H4475" s="10" t="s">
        <v>9764</v>
      </c>
      <c r="I4475" s="10" t="s">
        <v>27</v>
      </c>
      <c r="J4475" s="10" t="s">
        <v>1949</v>
      </c>
      <c r="K4475" s="12">
        <v>46023</v>
      </c>
      <c r="L4475" s="28" t="s">
        <v>11</v>
      </c>
      <c r="M4475" s="14"/>
      <c r="N4475" s="10" t="s">
        <v>1028</v>
      </c>
    </row>
    <row r="4476" spans="1:14" ht="22.5" customHeight="1">
      <c r="A4476" s="8">
        <v>46023.246279386571</v>
      </c>
      <c r="B4476" s="9" t="s">
        <v>14</v>
      </c>
      <c r="C4476" s="9" t="s">
        <v>15</v>
      </c>
      <c r="D4476" s="10" t="s">
        <v>9765</v>
      </c>
      <c r="E4476" s="9" t="s">
        <v>17</v>
      </c>
      <c r="F4476" s="10">
        <v>25</v>
      </c>
      <c r="G4476" s="11">
        <v>7033340601</v>
      </c>
      <c r="H4476" s="10" t="s">
        <v>9766</v>
      </c>
      <c r="I4476" s="10" t="s">
        <v>27</v>
      </c>
      <c r="J4476" s="10" t="s">
        <v>353</v>
      </c>
      <c r="K4476" s="12">
        <v>46023</v>
      </c>
      <c r="L4476" s="28" t="s">
        <v>11</v>
      </c>
      <c r="M4476" s="14"/>
      <c r="N4476" s="10" t="s">
        <v>1028</v>
      </c>
    </row>
    <row r="4477" spans="1:14" ht="22.5" customHeight="1">
      <c r="A4477" s="8">
        <v>46023.250800694441</v>
      </c>
      <c r="B4477" s="9" t="s">
        <v>14</v>
      </c>
      <c r="C4477" s="9" t="s">
        <v>15</v>
      </c>
      <c r="D4477" s="10" t="s">
        <v>9767</v>
      </c>
      <c r="E4477" s="9" t="s">
        <v>22</v>
      </c>
      <c r="F4477" s="10">
        <v>28</v>
      </c>
      <c r="G4477" s="11">
        <v>7054800682</v>
      </c>
      <c r="H4477" s="10" t="s">
        <v>9768</v>
      </c>
      <c r="I4477" s="10" t="s">
        <v>49</v>
      </c>
      <c r="J4477" s="10" t="s">
        <v>292</v>
      </c>
      <c r="K4477" s="12">
        <v>46023</v>
      </c>
      <c r="L4477" s="28" t="s">
        <v>11</v>
      </c>
      <c r="M4477" s="14"/>
      <c r="N4477" s="10" t="s">
        <v>1028</v>
      </c>
    </row>
    <row r="4478" spans="1:14" ht="22.5" customHeight="1">
      <c r="A4478" s="8">
        <v>46023.254047164352</v>
      </c>
      <c r="B4478" s="9" t="s">
        <v>14</v>
      </c>
      <c r="C4478" s="9" t="s">
        <v>15</v>
      </c>
      <c r="D4478" s="10" t="s">
        <v>9769</v>
      </c>
      <c r="E4478" s="9" t="s">
        <v>22</v>
      </c>
      <c r="F4478" s="10">
        <v>44</v>
      </c>
      <c r="G4478" s="11">
        <v>8021296743</v>
      </c>
      <c r="H4478" s="10" t="s">
        <v>9770</v>
      </c>
      <c r="I4478" s="10" t="s">
        <v>45</v>
      </c>
      <c r="J4478" s="10" t="s">
        <v>100</v>
      </c>
      <c r="K4478" s="12">
        <v>46023</v>
      </c>
      <c r="L4478" s="28" t="s">
        <v>11</v>
      </c>
      <c r="M4478" s="14"/>
      <c r="N4478" s="10" t="s">
        <v>1028</v>
      </c>
    </row>
    <row r="4479" spans="1:14" ht="22.5" customHeight="1">
      <c r="A4479" s="8">
        <v>46023.259098912036</v>
      </c>
      <c r="B4479" s="9" t="s">
        <v>14</v>
      </c>
      <c r="C4479" s="9" t="s">
        <v>15</v>
      </c>
      <c r="D4479" s="10" t="s">
        <v>9771</v>
      </c>
      <c r="E4479" s="9" t="s">
        <v>17</v>
      </c>
      <c r="F4479" s="10">
        <v>30</v>
      </c>
      <c r="G4479" s="11">
        <v>8106671383</v>
      </c>
      <c r="H4479" s="10" t="s">
        <v>9772</v>
      </c>
      <c r="I4479" s="10" t="s">
        <v>49</v>
      </c>
      <c r="J4479" s="10" t="s">
        <v>208</v>
      </c>
      <c r="K4479" s="12">
        <v>46023</v>
      </c>
      <c r="L4479" s="28" t="s">
        <v>11</v>
      </c>
      <c r="M4479" s="14"/>
      <c r="N4479" s="10" t="s">
        <v>1096</v>
      </c>
    </row>
    <row r="4480" spans="1:14" ht="22.5" customHeight="1">
      <c r="A4480" s="8">
        <v>46023.259358043986</v>
      </c>
      <c r="B4480" s="9" t="s">
        <v>14</v>
      </c>
      <c r="C4480" s="9" t="s">
        <v>15</v>
      </c>
      <c r="D4480" s="10" t="s">
        <v>9773</v>
      </c>
      <c r="E4480" s="9" t="s">
        <v>17</v>
      </c>
      <c r="F4480" s="10">
        <v>33</v>
      </c>
      <c r="G4480" s="11">
        <v>8065928842</v>
      </c>
      <c r="H4480" s="10" t="s">
        <v>9774</v>
      </c>
      <c r="I4480" s="10" t="s">
        <v>27</v>
      </c>
      <c r="J4480" s="10" t="s">
        <v>3101</v>
      </c>
      <c r="K4480" s="12">
        <v>46023</v>
      </c>
      <c r="L4480" s="28" t="s">
        <v>11</v>
      </c>
      <c r="M4480" s="14"/>
      <c r="N4480" s="10" t="s">
        <v>1028</v>
      </c>
    </row>
    <row r="4481" spans="1:14" ht="22.5" customHeight="1">
      <c r="A4481" s="8">
        <v>46023.261897418983</v>
      </c>
      <c r="B4481" s="9" t="s">
        <v>14</v>
      </c>
      <c r="C4481" s="9" t="s">
        <v>15</v>
      </c>
      <c r="D4481" s="10" t="s">
        <v>9775</v>
      </c>
      <c r="E4481" s="9" t="s">
        <v>17</v>
      </c>
      <c r="F4481" s="10">
        <v>27</v>
      </c>
      <c r="G4481" s="11">
        <v>8139753748</v>
      </c>
      <c r="H4481" s="10" t="s">
        <v>9776</v>
      </c>
      <c r="I4481" s="10" t="s">
        <v>27</v>
      </c>
      <c r="J4481" s="10" t="s">
        <v>2426</v>
      </c>
      <c r="K4481" s="12">
        <v>46023</v>
      </c>
      <c r="L4481" s="28" t="s">
        <v>11</v>
      </c>
      <c r="M4481" s="14"/>
      <c r="N4481" s="10" t="s">
        <v>1028</v>
      </c>
    </row>
    <row r="4482" spans="1:14" ht="22.5" customHeight="1">
      <c r="A4482" s="8">
        <v>46023.280398368057</v>
      </c>
      <c r="B4482" s="9" t="s">
        <v>14</v>
      </c>
      <c r="C4482" s="9" t="s">
        <v>15</v>
      </c>
      <c r="D4482" s="10" t="s">
        <v>9777</v>
      </c>
      <c r="E4482" s="9" t="s">
        <v>17</v>
      </c>
      <c r="F4482" s="10">
        <v>28</v>
      </c>
      <c r="G4482" s="11">
        <v>8064643452</v>
      </c>
      <c r="H4482" s="10" t="s">
        <v>9778</v>
      </c>
      <c r="I4482" s="10" t="s">
        <v>27</v>
      </c>
      <c r="J4482" s="10" t="s">
        <v>70</v>
      </c>
      <c r="K4482" s="12">
        <v>46023</v>
      </c>
      <c r="L4482" s="28" t="s">
        <v>11</v>
      </c>
      <c r="M4482" s="14"/>
      <c r="N4482" s="10" t="s">
        <v>1028</v>
      </c>
    </row>
    <row r="4483" spans="1:14" ht="22.5" customHeight="1">
      <c r="A4483" s="8">
        <v>46023.283066249998</v>
      </c>
      <c r="B4483" s="9" t="s">
        <v>14</v>
      </c>
      <c r="C4483" s="9" t="s">
        <v>15</v>
      </c>
      <c r="D4483" s="10" t="s">
        <v>9779</v>
      </c>
      <c r="E4483" s="9" t="s">
        <v>17</v>
      </c>
      <c r="F4483" s="10">
        <v>25</v>
      </c>
      <c r="G4483" s="11">
        <v>8142645314</v>
      </c>
      <c r="H4483" s="10" t="s">
        <v>9780</v>
      </c>
      <c r="I4483" s="10" t="s">
        <v>27</v>
      </c>
      <c r="J4483" s="10" t="s">
        <v>1890</v>
      </c>
      <c r="K4483" s="12">
        <v>46023</v>
      </c>
      <c r="L4483" s="28" t="s">
        <v>11</v>
      </c>
      <c r="M4483" s="14"/>
      <c r="N4483" s="10" t="s">
        <v>1028</v>
      </c>
    </row>
    <row r="4484" spans="1:14" ht="22.5" customHeight="1">
      <c r="A4484" s="8">
        <v>46023.287071400468</v>
      </c>
      <c r="B4484" s="9" t="s">
        <v>14</v>
      </c>
      <c r="C4484" s="9" t="s">
        <v>15</v>
      </c>
      <c r="D4484" s="10" t="s">
        <v>9781</v>
      </c>
      <c r="E4484" s="9" t="s">
        <v>17</v>
      </c>
      <c r="F4484" s="10">
        <v>26</v>
      </c>
      <c r="G4484" s="11">
        <v>8069303733</v>
      </c>
      <c r="H4484" s="10" t="s">
        <v>9782</v>
      </c>
      <c r="I4484" s="10" t="s">
        <v>27</v>
      </c>
      <c r="J4484" s="10" t="s">
        <v>94</v>
      </c>
      <c r="K4484" s="12">
        <v>46023</v>
      </c>
      <c r="L4484" s="28" t="s">
        <v>11</v>
      </c>
      <c r="M4484" s="14"/>
      <c r="N4484" s="10" t="s">
        <v>1028</v>
      </c>
    </row>
    <row r="4485" spans="1:14" ht="22.5" customHeight="1">
      <c r="A4485" s="8">
        <v>46023.288494872686</v>
      </c>
      <c r="B4485" s="9" t="s">
        <v>14</v>
      </c>
      <c r="C4485" s="9" t="s">
        <v>15</v>
      </c>
      <c r="D4485" s="10" t="s">
        <v>9783</v>
      </c>
      <c r="E4485" s="9" t="s">
        <v>17</v>
      </c>
      <c r="F4485" s="10">
        <v>44</v>
      </c>
      <c r="G4485" s="11">
        <v>8039520118</v>
      </c>
      <c r="H4485" s="10" t="s">
        <v>9784</v>
      </c>
      <c r="I4485" s="10" t="s">
        <v>145</v>
      </c>
      <c r="J4485" s="10" t="s">
        <v>530</v>
      </c>
      <c r="K4485" s="12">
        <v>46023</v>
      </c>
      <c r="L4485" s="28" t="s">
        <v>11</v>
      </c>
      <c r="M4485" s="14"/>
      <c r="N4485" s="10" t="s">
        <v>1028</v>
      </c>
    </row>
    <row r="4486" spans="1:14" ht="22.5" customHeight="1">
      <c r="A4486" s="8">
        <v>46023.294873576393</v>
      </c>
      <c r="B4486" s="9" t="s">
        <v>14</v>
      </c>
      <c r="C4486" s="9" t="s">
        <v>15</v>
      </c>
      <c r="D4486" s="10" t="s">
        <v>9785</v>
      </c>
      <c r="E4486" s="9" t="s">
        <v>17</v>
      </c>
      <c r="F4486" s="10">
        <v>22</v>
      </c>
      <c r="G4486" s="11">
        <v>8130859452</v>
      </c>
      <c r="H4486" s="10" t="s">
        <v>9786</v>
      </c>
      <c r="I4486" s="10" t="s">
        <v>27</v>
      </c>
      <c r="J4486" s="10" t="s">
        <v>94</v>
      </c>
      <c r="K4486" s="12">
        <v>46023</v>
      </c>
      <c r="L4486" s="28" t="s">
        <v>11</v>
      </c>
      <c r="M4486" s="14"/>
      <c r="N4486" s="10" t="s">
        <v>1028</v>
      </c>
    </row>
    <row r="4487" spans="1:14" ht="22.5" customHeight="1">
      <c r="A4487" s="8">
        <v>46023.298479594909</v>
      </c>
      <c r="B4487" s="9" t="s">
        <v>14</v>
      </c>
      <c r="C4487" s="9" t="s">
        <v>15</v>
      </c>
      <c r="D4487" s="10" t="s">
        <v>9787</v>
      </c>
      <c r="E4487" s="9" t="s">
        <v>17</v>
      </c>
      <c r="F4487" s="10">
        <v>27</v>
      </c>
      <c r="G4487" s="11">
        <v>9049327632</v>
      </c>
      <c r="H4487" s="10" t="s">
        <v>9788</v>
      </c>
      <c r="I4487" s="10" t="s">
        <v>27</v>
      </c>
      <c r="J4487" s="10" t="s">
        <v>2102</v>
      </c>
      <c r="K4487" s="12">
        <v>46023</v>
      </c>
      <c r="L4487" s="28" t="s">
        <v>11</v>
      </c>
      <c r="M4487" s="14"/>
      <c r="N4487" s="10" t="s">
        <v>1028</v>
      </c>
    </row>
    <row r="4488" spans="1:14" ht="22.5" customHeight="1">
      <c r="A4488" s="8">
        <v>46023.300800486111</v>
      </c>
      <c r="B4488" s="9" t="s">
        <v>14</v>
      </c>
      <c r="C4488" s="9" t="s">
        <v>15</v>
      </c>
      <c r="D4488" s="10" t="s">
        <v>9789</v>
      </c>
      <c r="E4488" s="9" t="s">
        <v>17</v>
      </c>
      <c r="F4488" s="10">
        <v>25</v>
      </c>
      <c r="G4488" s="11">
        <v>7062502902</v>
      </c>
      <c r="H4488" s="10" t="s">
        <v>9790</v>
      </c>
      <c r="I4488" s="10" t="s">
        <v>27</v>
      </c>
      <c r="J4488" s="10" t="s">
        <v>70</v>
      </c>
      <c r="K4488" s="12">
        <v>46023</v>
      </c>
      <c r="L4488" s="28" t="s">
        <v>11</v>
      </c>
      <c r="M4488" s="14"/>
      <c r="N4488" s="10" t="s">
        <v>1028</v>
      </c>
    </row>
    <row r="4489" spans="1:14" ht="22.5" customHeight="1">
      <c r="A4489" s="8">
        <v>46023.302435219906</v>
      </c>
      <c r="B4489" s="9" t="s">
        <v>14</v>
      </c>
      <c r="C4489" s="9" t="s">
        <v>15</v>
      </c>
      <c r="D4489" s="10" t="s">
        <v>9791</v>
      </c>
      <c r="E4489" s="9" t="s">
        <v>17</v>
      </c>
      <c r="F4489" s="10">
        <v>35</v>
      </c>
      <c r="G4489" s="11">
        <v>7037691596</v>
      </c>
      <c r="H4489" s="10" t="s">
        <v>9792</v>
      </c>
      <c r="I4489" s="10" t="s">
        <v>27</v>
      </c>
      <c r="J4489" s="10" t="s">
        <v>2006</v>
      </c>
      <c r="K4489" s="12">
        <v>46023</v>
      </c>
      <c r="L4489" s="28" t="s">
        <v>11</v>
      </c>
      <c r="M4489" s="14"/>
      <c r="N4489" s="10" t="s">
        <v>1028</v>
      </c>
    </row>
    <row r="4490" spans="1:14" ht="22.5" customHeight="1">
      <c r="A4490" s="8">
        <v>46023.303344351851</v>
      </c>
      <c r="B4490" s="9" t="s">
        <v>14</v>
      </c>
      <c r="C4490" s="9" t="s">
        <v>15</v>
      </c>
      <c r="D4490" s="10" t="s">
        <v>9793</v>
      </c>
      <c r="E4490" s="9" t="s">
        <v>17</v>
      </c>
      <c r="F4490" s="10">
        <v>18</v>
      </c>
      <c r="G4490" s="11">
        <v>8039926833</v>
      </c>
      <c r="H4490" s="10" t="s">
        <v>9794</v>
      </c>
      <c r="I4490" s="10" t="s">
        <v>49</v>
      </c>
      <c r="J4490" s="10" t="s">
        <v>50</v>
      </c>
      <c r="K4490" s="12">
        <v>46023</v>
      </c>
      <c r="L4490" s="28" t="s">
        <v>11</v>
      </c>
      <c r="M4490" s="14"/>
      <c r="N4490" s="10" t="s">
        <v>1028</v>
      </c>
    </row>
    <row r="4491" spans="1:14" ht="22.5" customHeight="1">
      <c r="A4491" s="8">
        <v>46023.303636087963</v>
      </c>
      <c r="B4491" s="9" t="s">
        <v>14</v>
      </c>
      <c r="C4491" s="9" t="s">
        <v>15</v>
      </c>
      <c r="D4491" s="10" t="s">
        <v>9795</v>
      </c>
      <c r="E4491" s="9" t="s">
        <v>22</v>
      </c>
      <c r="F4491" s="10">
        <v>38</v>
      </c>
      <c r="G4491" s="11">
        <v>8021416292</v>
      </c>
      <c r="H4491" s="10" t="s">
        <v>9796</v>
      </c>
      <c r="I4491" s="10" t="s">
        <v>202</v>
      </c>
      <c r="J4491" s="10" t="s">
        <v>9797</v>
      </c>
      <c r="K4491" s="12">
        <v>46023</v>
      </c>
      <c r="L4491" s="28" t="s">
        <v>11</v>
      </c>
      <c r="M4491" s="14"/>
      <c r="N4491" s="10" t="s">
        <v>1028</v>
      </c>
    </row>
    <row r="4492" spans="1:14" ht="22.5" customHeight="1">
      <c r="A4492" s="8">
        <v>46023.307301701388</v>
      </c>
      <c r="B4492" s="9" t="s">
        <v>14</v>
      </c>
      <c r="C4492" s="9" t="s">
        <v>15</v>
      </c>
      <c r="D4492" s="10" t="s">
        <v>9798</v>
      </c>
      <c r="E4492" s="9" t="s">
        <v>17</v>
      </c>
      <c r="F4492" s="10">
        <v>26</v>
      </c>
      <c r="G4492" s="11">
        <v>7013474940</v>
      </c>
      <c r="H4492" s="10" t="s">
        <v>9799</v>
      </c>
      <c r="I4492" s="10" t="s">
        <v>45</v>
      </c>
      <c r="J4492" s="10" t="s">
        <v>509</v>
      </c>
      <c r="K4492" s="12">
        <v>46023</v>
      </c>
      <c r="L4492" s="28" t="s">
        <v>11</v>
      </c>
      <c r="M4492" s="14"/>
      <c r="N4492" s="10" t="s">
        <v>1028</v>
      </c>
    </row>
    <row r="4493" spans="1:14" ht="22.5" customHeight="1">
      <c r="A4493" s="8">
        <v>46023.307476678237</v>
      </c>
      <c r="B4493" s="9" t="s">
        <v>14</v>
      </c>
      <c r="C4493" s="9" t="s">
        <v>15</v>
      </c>
      <c r="D4493" s="10" t="s">
        <v>9800</v>
      </c>
      <c r="E4493" s="9" t="s">
        <v>17</v>
      </c>
      <c r="F4493" s="10">
        <v>27</v>
      </c>
      <c r="G4493" s="11">
        <f>2348135948968</f>
        <v>2348135948968</v>
      </c>
      <c r="H4493" s="10" t="s">
        <v>9801</v>
      </c>
      <c r="I4493" s="10" t="s">
        <v>27</v>
      </c>
      <c r="J4493" s="10" t="s">
        <v>1907</v>
      </c>
      <c r="K4493" s="12">
        <v>46023</v>
      </c>
      <c r="L4493" s="28" t="s">
        <v>11</v>
      </c>
      <c r="M4493" s="14"/>
      <c r="N4493" s="10" t="s">
        <v>1028</v>
      </c>
    </row>
    <row r="4494" spans="1:14" ht="22.5" customHeight="1">
      <c r="A4494" s="8">
        <v>46023.310520810184</v>
      </c>
      <c r="B4494" s="9" t="s">
        <v>14</v>
      </c>
      <c r="C4494" s="9" t="s">
        <v>15</v>
      </c>
      <c r="D4494" s="10" t="s">
        <v>9802</v>
      </c>
      <c r="E4494" s="9" t="s">
        <v>22</v>
      </c>
      <c r="F4494" s="10">
        <v>24</v>
      </c>
      <c r="G4494" s="11">
        <v>8130921275</v>
      </c>
      <c r="H4494" s="10" t="s">
        <v>9803</v>
      </c>
      <c r="I4494" s="10" t="s">
        <v>145</v>
      </c>
      <c r="J4494" s="10" t="s">
        <v>4100</v>
      </c>
      <c r="K4494" s="12">
        <v>46023</v>
      </c>
      <c r="L4494" s="28" t="s">
        <v>11</v>
      </c>
      <c r="M4494" s="14"/>
      <c r="N4494" s="10" t="s">
        <v>1028</v>
      </c>
    </row>
    <row r="4495" spans="1:14" ht="22.5" customHeight="1">
      <c r="A4495" s="8">
        <v>46023.310567384258</v>
      </c>
      <c r="B4495" s="9" t="s">
        <v>14</v>
      </c>
      <c r="C4495" s="9" t="s">
        <v>15</v>
      </c>
      <c r="D4495" s="10" t="s">
        <v>9804</v>
      </c>
      <c r="E4495" s="9" t="s">
        <v>17</v>
      </c>
      <c r="F4495" s="10">
        <v>28</v>
      </c>
      <c r="G4495" s="11">
        <v>8032837585</v>
      </c>
      <c r="H4495" s="10" t="s">
        <v>9805</v>
      </c>
      <c r="I4495" s="10" t="s">
        <v>49</v>
      </c>
      <c r="J4495" s="10" t="s">
        <v>50</v>
      </c>
      <c r="K4495" s="12">
        <v>46023</v>
      </c>
      <c r="L4495" s="28" t="s">
        <v>11</v>
      </c>
      <c r="M4495" s="14"/>
      <c r="N4495" s="10" t="s">
        <v>1028</v>
      </c>
    </row>
    <row r="4496" spans="1:14" ht="22.5" customHeight="1">
      <c r="A4496" s="8">
        <v>46023.319009039347</v>
      </c>
      <c r="B4496" s="9" t="s">
        <v>14</v>
      </c>
      <c r="C4496" s="9" t="s">
        <v>15</v>
      </c>
      <c r="D4496" s="10" t="s">
        <v>9806</v>
      </c>
      <c r="E4496" s="9" t="s">
        <v>17</v>
      </c>
      <c r="F4496" s="10">
        <v>35</v>
      </c>
      <c r="G4496" s="11">
        <v>753076164</v>
      </c>
      <c r="H4496" s="10" t="s">
        <v>9807</v>
      </c>
      <c r="I4496" s="10" t="s">
        <v>202</v>
      </c>
      <c r="J4496" s="10" t="s">
        <v>9808</v>
      </c>
      <c r="K4496" s="12">
        <v>46023</v>
      </c>
      <c r="L4496" s="28" t="s">
        <v>11</v>
      </c>
      <c r="M4496" s="14"/>
      <c r="N4496" s="10" t="s">
        <v>1028</v>
      </c>
    </row>
    <row r="4497" spans="1:14" ht="22.5" customHeight="1">
      <c r="A4497" s="8">
        <v>46023.319941388894</v>
      </c>
      <c r="B4497" s="9" t="s">
        <v>14</v>
      </c>
      <c r="C4497" s="9" t="s">
        <v>15</v>
      </c>
      <c r="D4497" s="10" t="s">
        <v>9809</v>
      </c>
      <c r="E4497" s="9" t="s">
        <v>17</v>
      </c>
      <c r="F4497" s="10">
        <v>35</v>
      </c>
      <c r="G4497" s="11">
        <v>8035426594</v>
      </c>
      <c r="H4497" s="10" t="s">
        <v>9810</v>
      </c>
      <c r="I4497" s="10" t="s">
        <v>27</v>
      </c>
      <c r="J4497" s="10" t="s">
        <v>94</v>
      </c>
      <c r="K4497" s="12">
        <v>46023</v>
      </c>
      <c r="L4497" s="28" t="s">
        <v>11</v>
      </c>
      <c r="M4497" s="14"/>
      <c r="N4497" s="10" t="s">
        <v>1028</v>
      </c>
    </row>
    <row r="4498" spans="1:14" ht="22.5" customHeight="1">
      <c r="A4498" s="8">
        <v>46023.320449189814</v>
      </c>
      <c r="B4498" s="9" t="s">
        <v>14</v>
      </c>
      <c r="C4498" s="9" t="s">
        <v>15</v>
      </c>
      <c r="D4498" s="10" t="s">
        <v>9811</v>
      </c>
      <c r="E4498" s="9" t="s">
        <v>22</v>
      </c>
      <c r="F4498" s="10">
        <v>35</v>
      </c>
      <c r="G4498" s="11">
        <v>8067889832</v>
      </c>
      <c r="H4498" s="10" t="s">
        <v>9812</v>
      </c>
      <c r="I4498" s="10" t="s">
        <v>145</v>
      </c>
      <c r="J4498" s="10" t="s">
        <v>4352</v>
      </c>
      <c r="K4498" s="12">
        <v>46023</v>
      </c>
      <c r="L4498" s="28" t="s">
        <v>11</v>
      </c>
      <c r="M4498" s="14"/>
      <c r="N4498" s="10" t="s">
        <v>1028</v>
      </c>
    </row>
    <row r="4499" spans="1:14" ht="22.5" hidden="1" customHeight="1">
      <c r="A4499" s="8">
        <v>46023.322815162042</v>
      </c>
      <c r="B4499" s="9" t="s">
        <v>14</v>
      </c>
      <c r="C4499" s="9" t="s">
        <v>15</v>
      </c>
      <c r="D4499" s="10" t="s">
        <v>9813</v>
      </c>
      <c r="E4499" s="9" t="s">
        <v>17</v>
      </c>
      <c r="F4499" s="10">
        <v>20</v>
      </c>
      <c r="G4499" s="11">
        <v>7046323262</v>
      </c>
      <c r="H4499" s="10" t="s">
        <v>9814</v>
      </c>
      <c r="I4499" s="10" t="s">
        <v>49</v>
      </c>
      <c r="J4499" s="10" t="s">
        <v>9815</v>
      </c>
      <c r="K4499" s="12">
        <v>46023</v>
      </c>
      <c r="L4499" s="10" t="s">
        <v>441</v>
      </c>
      <c r="M4499" s="10" t="s">
        <v>1361</v>
      </c>
      <c r="N4499" s="10" t="s">
        <v>1096</v>
      </c>
    </row>
    <row r="4500" spans="1:14" ht="22.5" customHeight="1">
      <c r="A4500" s="8">
        <v>46023.331219270833</v>
      </c>
      <c r="B4500" s="9" t="s">
        <v>14</v>
      </c>
      <c r="C4500" s="9" t="s">
        <v>15</v>
      </c>
      <c r="D4500" s="10" t="s">
        <v>9816</v>
      </c>
      <c r="E4500" s="9" t="s">
        <v>17</v>
      </c>
      <c r="F4500" s="10">
        <v>31</v>
      </c>
      <c r="G4500" s="11">
        <v>8142856574</v>
      </c>
      <c r="H4500" s="10" t="s">
        <v>9817</v>
      </c>
      <c r="I4500" s="10" t="s">
        <v>49</v>
      </c>
      <c r="J4500" s="10" t="s">
        <v>106</v>
      </c>
      <c r="K4500" s="12">
        <v>46023</v>
      </c>
      <c r="L4500" s="28" t="s">
        <v>11</v>
      </c>
      <c r="M4500" s="10"/>
      <c r="N4500" s="10" t="s">
        <v>1028</v>
      </c>
    </row>
    <row r="4501" spans="1:14" ht="22.5" customHeight="1">
      <c r="A4501" s="8">
        <v>46023.333659641205</v>
      </c>
      <c r="B4501" s="9" t="s">
        <v>14</v>
      </c>
      <c r="C4501" s="9" t="s">
        <v>15</v>
      </c>
      <c r="D4501" s="10" t="s">
        <v>9818</v>
      </c>
      <c r="E4501" s="9" t="s">
        <v>17</v>
      </c>
      <c r="F4501" s="10">
        <v>34</v>
      </c>
      <c r="G4501" s="11">
        <v>9062191459</v>
      </c>
      <c r="H4501" s="10" t="s">
        <v>9819</v>
      </c>
      <c r="I4501" s="10" t="s">
        <v>202</v>
      </c>
      <c r="J4501" s="10" t="s">
        <v>4632</v>
      </c>
      <c r="K4501" s="12">
        <v>46023</v>
      </c>
      <c r="L4501" s="28" t="s">
        <v>11</v>
      </c>
      <c r="M4501" s="14"/>
      <c r="N4501" s="10" t="s">
        <v>1028</v>
      </c>
    </row>
    <row r="4502" spans="1:14" ht="22.5" customHeight="1">
      <c r="A4502" s="8">
        <v>46023.335781111113</v>
      </c>
      <c r="B4502" s="9" t="s">
        <v>14</v>
      </c>
      <c r="C4502" s="9" t="s">
        <v>15</v>
      </c>
      <c r="D4502" s="10" t="s">
        <v>9820</v>
      </c>
      <c r="E4502" s="9" t="s">
        <v>22</v>
      </c>
      <c r="F4502" s="10">
        <v>27</v>
      </c>
      <c r="G4502" s="11">
        <v>8137680000</v>
      </c>
      <c r="H4502" s="10" t="s">
        <v>9821</v>
      </c>
      <c r="I4502" s="10" t="s">
        <v>27</v>
      </c>
      <c r="J4502" s="10" t="s">
        <v>94</v>
      </c>
      <c r="K4502" s="12">
        <v>46023</v>
      </c>
      <c r="L4502" s="28" t="s">
        <v>11</v>
      </c>
      <c r="M4502" s="14"/>
      <c r="N4502" s="10" t="s">
        <v>1028</v>
      </c>
    </row>
    <row r="4503" spans="1:14" ht="22.5" customHeight="1">
      <c r="A4503" s="8">
        <v>46023.337456157409</v>
      </c>
      <c r="B4503" s="9" t="s">
        <v>14</v>
      </c>
      <c r="C4503" s="9" t="s">
        <v>15</v>
      </c>
      <c r="D4503" s="10" t="s">
        <v>9822</v>
      </c>
      <c r="E4503" s="9" t="s">
        <v>17</v>
      </c>
      <c r="F4503" s="10">
        <v>21</v>
      </c>
      <c r="G4503" s="11">
        <v>685626137</v>
      </c>
      <c r="H4503" s="10" t="s">
        <v>9823</v>
      </c>
      <c r="I4503" s="10" t="s">
        <v>202</v>
      </c>
      <c r="J4503" s="10" t="s">
        <v>9824</v>
      </c>
      <c r="K4503" s="12">
        <v>46023</v>
      </c>
      <c r="L4503" s="28" t="s">
        <v>11</v>
      </c>
      <c r="M4503" s="14"/>
      <c r="N4503" s="10" t="s">
        <v>1028</v>
      </c>
    </row>
    <row r="4504" spans="1:14" ht="22.5" customHeight="1">
      <c r="A4504" s="8">
        <v>46023.338369305551</v>
      </c>
      <c r="B4504" s="9" t="s">
        <v>14</v>
      </c>
      <c r="C4504" s="9" t="s">
        <v>15</v>
      </c>
      <c r="D4504" s="10" t="s">
        <v>9825</v>
      </c>
      <c r="E4504" s="9" t="s">
        <v>22</v>
      </c>
      <c r="F4504" s="10">
        <v>32</v>
      </c>
      <c r="G4504" s="11">
        <v>8139905422</v>
      </c>
      <c r="H4504" s="10" t="s">
        <v>9826</v>
      </c>
      <c r="I4504" s="10" t="s">
        <v>45</v>
      </c>
      <c r="J4504" s="10" t="s">
        <v>1339</v>
      </c>
      <c r="K4504" s="12">
        <v>46023</v>
      </c>
      <c r="L4504" s="28" t="s">
        <v>11</v>
      </c>
      <c r="M4504" s="14"/>
      <c r="N4504" s="10" t="s">
        <v>1028</v>
      </c>
    </row>
    <row r="4505" spans="1:14" ht="22.5" customHeight="1">
      <c r="A4505" s="8">
        <v>46023.357986759263</v>
      </c>
      <c r="B4505" s="9" t="s">
        <v>14</v>
      </c>
      <c r="C4505" s="9" t="s">
        <v>15</v>
      </c>
      <c r="D4505" s="10" t="s">
        <v>9827</v>
      </c>
      <c r="E4505" s="9" t="s">
        <v>17</v>
      </c>
      <c r="F4505" s="10">
        <v>27</v>
      </c>
      <c r="G4505" s="11">
        <v>8067559682</v>
      </c>
      <c r="H4505" s="10" t="s">
        <v>9828</v>
      </c>
      <c r="I4505" s="10" t="s">
        <v>27</v>
      </c>
      <c r="J4505" s="10" t="s">
        <v>9829</v>
      </c>
      <c r="K4505" s="12">
        <v>35859</v>
      </c>
      <c r="L4505" s="28" t="s">
        <v>11</v>
      </c>
      <c r="M4505" s="14"/>
      <c r="N4505" s="10" t="s">
        <v>1028</v>
      </c>
    </row>
    <row r="4506" spans="1:14" ht="22.5" customHeight="1">
      <c r="A4506" s="8">
        <v>46023.362756273149</v>
      </c>
      <c r="B4506" s="9" t="s">
        <v>14</v>
      </c>
      <c r="C4506" s="9" t="s">
        <v>15</v>
      </c>
      <c r="D4506" s="10" t="s">
        <v>9830</v>
      </c>
      <c r="E4506" s="9" t="s">
        <v>22</v>
      </c>
      <c r="F4506" s="10">
        <v>20</v>
      </c>
      <c r="G4506" s="11">
        <v>9162802660</v>
      </c>
      <c r="H4506" s="10" t="s">
        <v>9831</v>
      </c>
      <c r="I4506" s="10" t="s">
        <v>27</v>
      </c>
      <c r="J4506" s="10" t="s">
        <v>703</v>
      </c>
      <c r="K4506" s="12">
        <v>46023</v>
      </c>
      <c r="L4506" s="28" t="s">
        <v>11</v>
      </c>
      <c r="M4506" s="14"/>
      <c r="N4506" s="10" t="s">
        <v>1028</v>
      </c>
    </row>
    <row r="4507" spans="1:14" ht="22.5" customHeight="1">
      <c r="A4507" s="8">
        <v>46023.364069317133</v>
      </c>
      <c r="B4507" s="9" t="s">
        <v>14</v>
      </c>
      <c r="C4507" s="9" t="s">
        <v>15</v>
      </c>
      <c r="D4507" s="10" t="s">
        <v>9832</v>
      </c>
      <c r="E4507" s="9" t="s">
        <v>17</v>
      </c>
      <c r="F4507" s="10">
        <v>46</v>
      </c>
      <c r="G4507" s="11">
        <v>8069305830</v>
      </c>
      <c r="H4507" s="10" t="s">
        <v>9833</v>
      </c>
      <c r="I4507" s="10" t="s">
        <v>202</v>
      </c>
      <c r="J4507" s="10" t="s">
        <v>3062</v>
      </c>
      <c r="K4507" s="12">
        <v>46023</v>
      </c>
      <c r="L4507" s="28" t="s">
        <v>11</v>
      </c>
      <c r="M4507" s="14"/>
      <c r="N4507" s="10" t="s">
        <v>1028</v>
      </c>
    </row>
    <row r="4508" spans="1:14" ht="22.5" customHeight="1">
      <c r="A4508" s="8">
        <v>46023.36469268518</v>
      </c>
      <c r="B4508" s="9" t="s">
        <v>14</v>
      </c>
      <c r="C4508" s="9" t="s">
        <v>15</v>
      </c>
      <c r="D4508" s="10" t="s">
        <v>9834</v>
      </c>
      <c r="E4508" s="9" t="s">
        <v>22</v>
      </c>
      <c r="F4508" s="10">
        <v>21</v>
      </c>
      <c r="G4508" s="11">
        <v>8157646461</v>
      </c>
      <c r="H4508" s="10" t="s">
        <v>9835</v>
      </c>
      <c r="I4508" s="10" t="s">
        <v>45</v>
      </c>
      <c r="J4508" s="10" t="s">
        <v>901</v>
      </c>
      <c r="K4508" s="12">
        <v>46023</v>
      </c>
      <c r="L4508" s="28" t="s">
        <v>11</v>
      </c>
      <c r="M4508" s="14"/>
      <c r="N4508" s="10" t="s">
        <v>1028</v>
      </c>
    </row>
    <row r="4509" spans="1:14" ht="22.5" customHeight="1">
      <c r="A4509" s="8">
        <v>46023.37242965278</v>
      </c>
      <c r="B4509" s="9" t="s">
        <v>14</v>
      </c>
      <c r="C4509" s="9" t="s">
        <v>15</v>
      </c>
      <c r="D4509" s="10" t="s">
        <v>9836</v>
      </c>
      <c r="E4509" s="9" t="s">
        <v>17</v>
      </c>
      <c r="F4509" s="10">
        <v>38</v>
      </c>
      <c r="G4509" s="11">
        <v>8100650062</v>
      </c>
      <c r="H4509" s="10" t="s">
        <v>9837</v>
      </c>
      <c r="I4509" s="10" t="s">
        <v>19</v>
      </c>
      <c r="J4509" s="10" t="s">
        <v>24</v>
      </c>
      <c r="K4509" s="12">
        <v>46023</v>
      </c>
      <c r="L4509" s="28" t="s">
        <v>11</v>
      </c>
      <c r="M4509" s="14"/>
      <c r="N4509" s="10" t="s">
        <v>9838</v>
      </c>
    </row>
    <row r="4510" spans="1:14" ht="22.5" customHeight="1">
      <c r="A4510" s="8">
        <v>46023.374199953701</v>
      </c>
      <c r="B4510" s="9" t="s">
        <v>14</v>
      </c>
      <c r="C4510" s="9" t="s">
        <v>15</v>
      </c>
      <c r="D4510" s="10" t="s">
        <v>9839</v>
      </c>
      <c r="E4510" s="9" t="s">
        <v>17</v>
      </c>
      <c r="F4510" s="10">
        <v>35</v>
      </c>
      <c r="G4510" s="11">
        <v>8064503339</v>
      </c>
      <c r="H4510" s="10" t="s">
        <v>9840</v>
      </c>
      <c r="I4510" s="10" t="s">
        <v>27</v>
      </c>
      <c r="J4510" s="10" t="s">
        <v>2105</v>
      </c>
      <c r="K4510" s="12">
        <v>46023</v>
      </c>
      <c r="L4510" s="28" t="s">
        <v>11</v>
      </c>
      <c r="M4510" s="14"/>
      <c r="N4510" s="10" t="s">
        <v>1028</v>
      </c>
    </row>
    <row r="4511" spans="1:14" ht="22.5" customHeight="1">
      <c r="A4511" s="8">
        <v>46023.377951423608</v>
      </c>
      <c r="B4511" s="9" t="s">
        <v>14</v>
      </c>
      <c r="C4511" s="9" t="s">
        <v>15</v>
      </c>
      <c r="D4511" s="10" t="s">
        <v>9841</v>
      </c>
      <c r="E4511" s="9" t="s">
        <v>17</v>
      </c>
      <c r="F4511" s="10">
        <v>28</v>
      </c>
      <c r="G4511" s="11">
        <v>7067744161</v>
      </c>
      <c r="H4511" s="10" t="s">
        <v>9842</v>
      </c>
      <c r="I4511" s="10" t="s">
        <v>31</v>
      </c>
      <c r="J4511" s="10" t="s">
        <v>2410</v>
      </c>
      <c r="K4511" s="12">
        <v>46023</v>
      </c>
      <c r="L4511" s="28" t="s">
        <v>11</v>
      </c>
      <c r="M4511" s="14"/>
      <c r="N4511" s="10" t="s">
        <v>1096</v>
      </c>
    </row>
    <row r="4512" spans="1:14" ht="22.5" customHeight="1">
      <c r="A4512" s="8">
        <v>46023.385951863427</v>
      </c>
      <c r="B4512" s="9" t="s">
        <v>14</v>
      </c>
      <c r="C4512" s="9" t="s">
        <v>15</v>
      </c>
      <c r="D4512" s="10" t="s">
        <v>9843</v>
      </c>
      <c r="E4512" s="9" t="s">
        <v>17</v>
      </c>
      <c r="F4512" s="10">
        <v>31</v>
      </c>
      <c r="G4512" s="11">
        <v>8105732623</v>
      </c>
      <c r="H4512" s="10" t="s">
        <v>9844</v>
      </c>
      <c r="I4512" s="10" t="s">
        <v>27</v>
      </c>
      <c r="J4512" s="10" t="s">
        <v>4025</v>
      </c>
      <c r="K4512" s="12">
        <v>46023</v>
      </c>
      <c r="L4512" s="28" t="s">
        <v>11</v>
      </c>
      <c r="M4512" s="14"/>
      <c r="N4512" s="10" t="s">
        <v>1028</v>
      </c>
    </row>
    <row r="4513" spans="1:14" ht="22.5" customHeight="1">
      <c r="A4513" s="8">
        <v>46023.390648946763</v>
      </c>
      <c r="B4513" s="9" t="s">
        <v>14</v>
      </c>
      <c r="C4513" s="9" t="s">
        <v>15</v>
      </c>
      <c r="D4513" s="10" t="s">
        <v>9845</v>
      </c>
      <c r="E4513" s="9" t="s">
        <v>17</v>
      </c>
      <c r="F4513" s="10">
        <v>23</v>
      </c>
      <c r="G4513" s="11">
        <v>783717157</v>
      </c>
      <c r="H4513" s="10" t="s">
        <v>9846</v>
      </c>
      <c r="I4513" s="10" t="s">
        <v>202</v>
      </c>
      <c r="J4513" s="10" t="s">
        <v>9847</v>
      </c>
      <c r="K4513" s="12">
        <v>46023</v>
      </c>
      <c r="L4513" s="28" t="s">
        <v>11</v>
      </c>
      <c r="M4513" s="14"/>
      <c r="N4513" s="10" t="s">
        <v>1563</v>
      </c>
    </row>
    <row r="4514" spans="1:14" ht="22.5" customHeight="1">
      <c r="A4514" s="8">
        <v>46023.39728315972</v>
      </c>
      <c r="B4514" s="9" t="s">
        <v>14</v>
      </c>
      <c r="C4514" s="9" t="s">
        <v>15</v>
      </c>
      <c r="D4514" s="10" t="s">
        <v>9848</v>
      </c>
      <c r="E4514" s="9" t="s">
        <v>17</v>
      </c>
      <c r="F4514" s="10">
        <v>24</v>
      </c>
      <c r="G4514" s="11">
        <v>9014501509</v>
      </c>
      <c r="H4514" s="10" t="s">
        <v>9849</v>
      </c>
      <c r="I4514" s="10" t="s">
        <v>27</v>
      </c>
      <c r="J4514" s="10" t="s">
        <v>9647</v>
      </c>
      <c r="K4514" s="12">
        <v>46023</v>
      </c>
      <c r="L4514" s="28" t="s">
        <v>11</v>
      </c>
      <c r="M4514" s="14"/>
      <c r="N4514" s="10" t="s">
        <v>1096</v>
      </c>
    </row>
    <row r="4515" spans="1:14" ht="22.5" customHeight="1">
      <c r="A4515" s="8">
        <v>46023.398599942127</v>
      </c>
      <c r="B4515" s="9" t="s">
        <v>14</v>
      </c>
      <c r="C4515" s="9" t="s">
        <v>15</v>
      </c>
      <c r="D4515" s="10" t="s">
        <v>9850</v>
      </c>
      <c r="E4515" s="9" t="s">
        <v>17</v>
      </c>
      <c r="F4515" s="10">
        <v>31</v>
      </c>
      <c r="G4515" s="11">
        <f t="shared" ref="G4515" si="119">250798653274</f>
        <v>250798653274</v>
      </c>
      <c r="H4515" s="10" t="s">
        <v>9851</v>
      </c>
      <c r="I4515" s="10" t="s">
        <v>202</v>
      </c>
      <c r="J4515" s="10" t="s">
        <v>9852</v>
      </c>
      <c r="K4515" s="12">
        <v>46023</v>
      </c>
      <c r="L4515" s="28" t="s">
        <v>11</v>
      </c>
      <c r="M4515" s="14"/>
      <c r="N4515" s="10" t="s">
        <v>1028</v>
      </c>
    </row>
    <row r="4516" spans="1:14" ht="22.5" customHeight="1">
      <c r="A4516" s="8">
        <v>46023.403772199075</v>
      </c>
      <c r="B4516" s="9" t="s">
        <v>14</v>
      </c>
      <c r="C4516" s="9" t="s">
        <v>15</v>
      </c>
      <c r="D4516" s="10" t="s">
        <v>9853</v>
      </c>
      <c r="E4516" s="9" t="s">
        <v>17</v>
      </c>
      <c r="F4516" s="10">
        <v>30</v>
      </c>
      <c r="G4516" s="11">
        <f t="shared" ref="G4516" si="120">265888901293</f>
        <v>265888901293</v>
      </c>
      <c r="H4516" s="10" t="s">
        <v>9854</v>
      </c>
      <c r="I4516" s="10" t="s">
        <v>19</v>
      </c>
      <c r="J4516" s="10" t="s">
        <v>4789</v>
      </c>
      <c r="K4516" s="12">
        <v>46023</v>
      </c>
      <c r="L4516" s="28" t="s">
        <v>11</v>
      </c>
      <c r="M4516" s="14"/>
      <c r="N4516" s="10" t="s">
        <v>1028</v>
      </c>
    </row>
    <row r="4517" spans="1:14" ht="22.5" hidden="1" customHeight="1">
      <c r="A4517" s="8">
        <v>46023.40508546296</v>
      </c>
      <c r="B4517" s="9" t="s">
        <v>14</v>
      </c>
      <c r="C4517" s="9" t="s">
        <v>15</v>
      </c>
      <c r="D4517" s="10" t="s">
        <v>9855</v>
      </c>
      <c r="E4517" s="9" t="s">
        <v>22</v>
      </c>
      <c r="F4517" s="10">
        <v>26</v>
      </c>
      <c r="G4517" s="11">
        <f t="shared" ref="G4517" si="121">2348100776717</f>
        <v>2348100776717</v>
      </c>
      <c r="H4517" s="10" t="s">
        <v>9856</v>
      </c>
      <c r="I4517" s="10" t="s">
        <v>19</v>
      </c>
      <c r="J4517" s="10" t="s">
        <v>8560</v>
      </c>
      <c r="K4517" s="12">
        <v>46023</v>
      </c>
      <c r="L4517" s="10" t="s">
        <v>441</v>
      </c>
      <c r="M4517" s="10" t="s">
        <v>9857</v>
      </c>
      <c r="N4517" s="10" t="s">
        <v>9858</v>
      </c>
    </row>
    <row r="4518" spans="1:14" ht="22.5" customHeight="1">
      <c r="A4518" s="8">
        <v>46023.405295532408</v>
      </c>
      <c r="B4518" s="9" t="s">
        <v>14</v>
      </c>
      <c r="C4518" s="9" t="s">
        <v>15</v>
      </c>
      <c r="D4518" s="10" t="s">
        <v>9859</v>
      </c>
      <c r="E4518" s="9" t="s">
        <v>17</v>
      </c>
      <c r="F4518" s="10">
        <v>33</v>
      </c>
      <c r="G4518" s="11">
        <v>8133741340</v>
      </c>
      <c r="H4518" s="10" t="s">
        <v>9860</v>
      </c>
      <c r="I4518" s="10" t="s">
        <v>49</v>
      </c>
      <c r="J4518" s="10" t="s">
        <v>445</v>
      </c>
      <c r="K4518" s="12">
        <v>46023</v>
      </c>
      <c r="L4518" s="28" t="s">
        <v>11</v>
      </c>
      <c r="M4518" s="14"/>
      <c r="N4518" s="10" t="s">
        <v>1028</v>
      </c>
    </row>
    <row r="4519" spans="1:14" ht="22.5" customHeight="1">
      <c r="A4519" s="8">
        <v>46023.407076087962</v>
      </c>
      <c r="B4519" s="9" t="s">
        <v>14</v>
      </c>
      <c r="C4519" s="9" t="s">
        <v>15</v>
      </c>
      <c r="D4519" s="10" t="s">
        <v>9861</v>
      </c>
      <c r="E4519" s="9" t="s">
        <v>22</v>
      </c>
      <c r="F4519" s="10">
        <v>30</v>
      </c>
      <c r="G4519" s="11">
        <v>8105808006</v>
      </c>
      <c r="H4519" s="10" t="s">
        <v>9862</v>
      </c>
      <c r="I4519" s="10" t="s">
        <v>202</v>
      </c>
      <c r="J4519" s="10" t="s">
        <v>2105</v>
      </c>
      <c r="K4519" s="12">
        <v>46023</v>
      </c>
      <c r="L4519" s="28" t="s">
        <v>11</v>
      </c>
      <c r="M4519" s="14"/>
      <c r="N4519" s="10" t="s">
        <v>1209</v>
      </c>
    </row>
    <row r="4520" spans="1:14" ht="22.5" customHeight="1">
      <c r="A4520" s="8">
        <v>46023.408311215273</v>
      </c>
      <c r="B4520" s="9" t="s">
        <v>14</v>
      </c>
      <c r="C4520" s="9" t="s">
        <v>15</v>
      </c>
      <c r="D4520" s="10" t="s">
        <v>9863</v>
      </c>
      <c r="E4520" s="9" t="s">
        <v>17</v>
      </c>
      <c r="F4520" s="10">
        <v>27</v>
      </c>
      <c r="G4520" s="11">
        <v>8164954939</v>
      </c>
      <c r="H4520" s="10" t="s">
        <v>9864</v>
      </c>
      <c r="I4520" s="10" t="s">
        <v>27</v>
      </c>
      <c r="J4520" s="10" t="s">
        <v>2639</v>
      </c>
      <c r="K4520" s="12">
        <v>46023</v>
      </c>
      <c r="L4520" s="28" t="s">
        <v>11</v>
      </c>
      <c r="M4520" s="14"/>
      <c r="N4520" s="10" t="s">
        <v>1028</v>
      </c>
    </row>
    <row r="4521" spans="1:14" ht="22.5" customHeight="1">
      <c r="A4521" s="8">
        <v>46023.411787743054</v>
      </c>
      <c r="B4521" s="9" t="s">
        <v>14</v>
      </c>
      <c r="C4521" s="9" t="s">
        <v>15</v>
      </c>
      <c r="D4521" s="10" t="s">
        <v>9865</v>
      </c>
      <c r="E4521" s="9" t="s">
        <v>17</v>
      </c>
      <c r="F4521" s="10">
        <v>31</v>
      </c>
      <c r="G4521" s="11">
        <v>8036550185</v>
      </c>
      <c r="H4521" s="10" t="s">
        <v>9866</v>
      </c>
      <c r="I4521" s="10" t="s">
        <v>27</v>
      </c>
      <c r="J4521" s="10" t="s">
        <v>1456</v>
      </c>
      <c r="K4521" s="12">
        <v>46023</v>
      </c>
      <c r="L4521" s="28" t="s">
        <v>11</v>
      </c>
      <c r="M4521" s="14"/>
      <c r="N4521" s="10" t="s">
        <v>1028</v>
      </c>
    </row>
    <row r="4522" spans="1:14" ht="22.5" customHeight="1">
      <c r="A4522" s="8">
        <v>46023.412153969912</v>
      </c>
      <c r="B4522" s="9" t="s">
        <v>14</v>
      </c>
      <c r="C4522" s="9" t="s">
        <v>15</v>
      </c>
      <c r="D4522" s="10" t="s">
        <v>9867</v>
      </c>
      <c r="E4522" s="9" t="s">
        <v>17</v>
      </c>
      <c r="F4522" s="10">
        <v>25</v>
      </c>
      <c r="G4522" s="11">
        <v>7065227065</v>
      </c>
      <c r="H4522" s="10" t="s">
        <v>9868</v>
      </c>
      <c r="I4522" s="10" t="s">
        <v>27</v>
      </c>
      <c r="J4522" s="10" t="s">
        <v>9869</v>
      </c>
      <c r="K4522" s="12">
        <v>46023</v>
      </c>
      <c r="L4522" s="28" t="s">
        <v>11</v>
      </c>
      <c r="M4522" s="10"/>
      <c r="N4522" s="10" t="s">
        <v>1028</v>
      </c>
    </row>
    <row r="4523" spans="1:14" ht="22.5" customHeight="1">
      <c r="A4523" s="8">
        <v>46023.413533402781</v>
      </c>
      <c r="B4523" s="9" t="s">
        <v>14</v>
      </c>
      <c r="C4523" s="9" t="s">
        <v>15</v>
      </c>
      <c r="D4523" s="10" t="s">
        <v>9870</v>
      </c>
      <c r="E4523" s="9" t="s">
        <v>17</v>
      </c>
      <c r="F4523" s="10">
        <v>25</v>
      </c>
      <c r="G4523" s="11">
        <v>8101858049</v>
      </c>
      <c r="H4523" s="10" t="s">
        <v>9871</v>
      </c>
      <c r="I4523" s="10" t="s">
        <v>19</v>
      </c>
      <c r="J4523" s="10" t="s">
        <v>9872</v>
      </c>
      <c r="K4523" s="12">
        <v>46023</v>
      </c>
      <c r="L4523" s="28" t="s">
        <v>11</v>
      </c>
      <c r="M4523" s="14"/>
      <c r="N4523" s="10" t="s">
        <v>1096</v>
      </c>
    </row>
    <row r="4524" spans="1:14" ht="22.5" customHeight="1">
      <c r="A4524" s="8">
        <v>46023.422691192129</v>
      </c>
      <c r="B4524" s="9" t="s">
        <v>14</v>
      </c>
      <c r="C4524" s="9" t="s">
        <v>15</v>
      </c>
      <c r="D4524" s="10" t="s">
        <v>9873</v>
      </c>
      <c r="E4524" s="9" t="s">
        <v>17</v>
      </c>
      <c r="F4524" s="10">
        <v>28</v>
      </c>
      <c r="G4524" s="11">
        <v>7038539972</v>
      </c>
      <c r="H4524" s="10" t="s">
        <v>9874</v>
      </c>
      <c r="I4524" s="10" t="s">
        <v>27</v>
      </c>
      <c r="J4524" s="10" t="s">
        <v>1456</v>
      </c>
      <c r="K4524" s="12">
        <v>46023</v>
      </c>
      <c r="L4524" s="28" t="s">
        <v>11</v>
      </c>
      <c r="M4524" s="14"/>
      <c r="N4524" s="10" t="s">
        <v>1028</v>
      </c>
    </row>
    <row r="4525" spans="1:14" ht="22.5" customHeight="1">
      <c r="A4525" s="8">
        <v>46023.424825972223</v>
      </c>
      <c r="B4525" s="9" t="s">
        <v>14</v>
      </c>
      <c r="C4525" s="9" t="s">
        <v>15</v>
      </c>
      <c r="D4525" s="10" t="s">
        <v>9875</v>
      </c>
      <c r="E4525" s="9" t="s">
        <v>17</v>
      </c>
      <c r="F4525" s="10">
        <v>34</v>
      </c>
      <c r="G4525" s="11">
        <f t="shared" ref="G4525" si="122">2347062940641</f>
        <v>2347062940641</v>
      </c>
      <c r="H4525" s="10" t="s">
        <v>9876</v>
      </c>
      <c r="I4525" s="10" t="s">
        <v>45</v>
      </c>
      <c r="J4525" s="10" t="s">
        <v>7631</v>
      </c>
      <c r="K4525" s="12">
        <v>46023</v>
      </c>
      <c r="L4525" s="28" t="s">
        <v>11</v>
      </c>
      <c r="M4525" s="14"/>
      <c r="N4525" s="10" t="s">
        <v>1028</v>
      </c>
    </row>
    <row r="4526" spans="1:14" ht="22.5" customHeight="1">
      <c r="A4526" s="8">
        <v>46023.428290358795</v>
      </c>
      <c r="B4526" s="9" t="s">
        <v>14</v>
      </c>
      <c r="C4526" s="9" t="s">
        <v>15</v>
      </c>
      <c r="D4526" s="10" t="s">
        <v>9877</v>
      </c>
      <c r="E4526" s="9" t="s">
        <v>22</v>
      </c>
      <c r="F4526" s="10">
        <v>34</v>
      </c>
      <c r="G4526" s="11">
        <v>9066549117</v>
      </c>
      <c r="H4526" s="10" t="s">
        <v>9878</v>
      </c>
      <c r="I4526" s="10" t="s">
        <v>19</v>
      </c>
      <c r="J4526" s="10" t="s">
        <v>1845</v>
      </c>
      <c r="K4526" s="12">
        <v>46023</v>
      </c>
      <c r="L4526" s="28" t="s">
        <v>11</v>
      </c>
      <c r="M4526" s="14"/>
      <c r="N4526" s="10" t="s">
        <v>1096</v>
      </c>
    </row>
    <row r="4527" spans="1:14" ht="22.5" customHeight="1">
      <c r="A4527" s="8">
        <v>46023.435508657407</v>
      </c>
      <c r="B4527" s="9" t="s">
        <v>14</v>
      </c>
      <c r="C4527" s="9" t="s">
        <v>15</v>
      </c>
      <c r="D4527" s="10" t="s">
        <v>9879</v>
      </c>
      <c r="E4527" s="9" t="s">
        <v>17</v>
      </c>
      <c r="F4527" s="10">
        <v>34</v>
      </c>
      <c r="G4527" s="11">
        <v>8138161087</v>
      </c>
      <c r="H4527" s="10" t="s">
        <v>9880</v>
      </c>
      <c r="I4527" s="10" t="s">
        <v>31</v>
      </c>
      <c r="J4527" s="10" t="s">
        <v>32</v>
      </c>
      <c r="K4527" s="12">
        <v>46023</v>
      </c>
      <c r="L4527" s="28" t="s">
        <v>11</v>
      </c>
      <c r="M4527" s="14"/>
      <c r="N4527" s="10" t="s">
        <v>1028</v>
      </c>
    </row>
    <row r="4528" spans="1:14" ht="22.5" customHeight="1">
      <c r="A4528" s="8">
        <v>46023.446810914349</v>
      </c>
      <c r="B4528" s="9" t="s">
        <v>14</v>
      </c>
      <c r="C4528" s="9" t="s">
        <v>15</v>
      </c>
      <c r="D4528" s="10" t="s">
        <v>9881</v>
      </c>
      <c r="E4528" s="9" t="s">
        <v>22</v>
      </c>
      <c r="F4528" s="10">
        <v>22</v>
      </c>
      <c r="G4528" s="11">
        <v>9063413904</v>
      </c>
      <c r="H4528" s="10" t="s">
        <v>9882</v>
      </c>
      <c r="I4528" s="10" t="s">
        <v>45</v>
      </c>
      <c r="J4528" s="10" t="s">
        <v>932</v>
      </c>
      <c r="K4528" s="12">
        <v>46023</v>
      </c>
      <c r="L4528" s="28" t="s">
        <v>11</v>
      </c>
      <c r="M4528" s="14"/>
      <c r="N4528" s="10" t="s">
        <v>1096</v>
      </c>
    </row>
    <row r="4529" spans="1:14" ht="22.5" customHeight="1">
      <c r="A4529" s="8">
        <v>46023.464775972221</v>
      </c>
      <c r="B4529" s="9" t="s">
        <v>14</v>
      </c>
      <c r="C4529" s="9" t="s">
        <v>15</v>
      </c>
      <c r="D4529" s="10" t="s">
        <v>9883</v>
      </c>
      <c r="E4529" s="9" t="s">
        <v>17</v>
      </c>
      <c r="F4529" s="10">
        <v>25</v>
      </c>
      <c r="G4529" s="11">
        <v>8101282441</v>
      </c>
      <c r="H4529" s="10" t="s">
        <v>9884</v>
      </c>
      <c r="I4529" s="10" t="s">
        <v>49</v>
      </c>
      <c r="J4529" s="10" t="s">
        <v>106</v>
      </c>
      <c r="K4529" s="12">
        <v>46023</v>
      </c>
      <c r="L4529" s="28" t="s">
        <v>11</v>
      </c>
      <c r="M4529" s="10"/>
      <c r="N4529" s="10" t="s">
        <v>1028</v>
      </c>
    </row>
    <row r="4530" spans="1:14" ht="22.5" customHeight="1">
      <c r="A4530" s="8">
        <v>46023.480486134256</v>
      </c>
      <c r="B4530" s="9" t="s">
        <v>14</v>
      </c>
      <c r="C4530" s="9" t="s">
        <v>15</v>
      </c>
      <c r="D4530" s="10" t="s">
        <v>9885</v>
      </c>
      <c r="E4530" s="9" t="s">
        <v>17</v>
      </c>
      <c r="F4530" s="10">
        <v>26</v>
      </c>
      <c r="G4530" s="11">
        <v>8169399515</v>
      </c>
      <c r="H4530" s="10" t="s">
        <v>9886</v>
      </c>
      <c r="I4530" s="10" t="s">
        <v>27</v>
      </c>
      <c r="J4530" s="10" t="s">
        <v>372</v>
      </c>
      <c r="K4530" s="12">
        <v>46023</v>
      </c>
      <c r="L4530" s="28" t="s">
        <v>11</v>
      </c>
      <c r="M4530" s="14"/>
      <c r="N4530" s="10" t="s">
        <v>1028</v>
      </c>
    </row>
    <row r="4531" spans="1:14" ht="22.5" customHeight="1">
      <c r="A4531" s="8">
        <v>46023.481007881943</v>
      </c>
      <c r="B4531" s="9" t="s">
        <v>14</v>
      </c>
      <c r="C4531" s="9" t="s">
        <v>15</v>
      </c>
      <c r="D4531" s="10" t="s">
        <v>9887</v>
      </c>
      <c r="E4531" s="9" t="s">
        <v>17</v>
      </c>
      <c r="F4531" s="10">
        <v>28</v>
      </c>
      <c r="G4531" s="11">
        <v>8100104857</v>
      </c>
      <c r="H4531" s="10" t="s">
        <v>9888</v>
      </c>
      <c r="I4531" s="10" t="s">
        <v>19</v>
      </c>
      <c r="J4531" s="10" t="s">
        <v>1664</v>
      </c>
      <c r="K4531" s="12">
        <v>46023</v>
      </c>
      <c r="L4531" s="28" t="s">
        <v>11</v>
      </c>
      <c r="M4531" s="14"/>
      <c r="N4531" s="10" t="s">
        <v>1096</v>
      </c>
    </row>
    <row r="4532" spans="1:14" ht="22.5" customHeight="1">
      <c r="A4532" s="8">
        <v>46023.481223009258</v>
      </c>
      <c r="B4532" s="9" t="s">
        <v>14</v>
      </c>
      <c r="C4532" s="9" t="s">
        <v>15</v>
      </c>
      <c r="D4532" s="10" t="s">
        <v>9889</v>
      </c>
      <c r="E4532" s="9" t="s">
        <v>17</v>
      </c>
      <c r="F4532" s="10">
        <v>32</v>
      </c>
      <c r="G4532" s="11">
        <v>9074044833</v>
      </c>
      <c r="H4532" s="10" t="s">
        <v>9890</v>
      </c>
      <c r="I4532" s="10" t="s">
        <v>202</v>
      </c>
      <c r="J4532" s="10" t="s">
        <v>4177</v>
      </c>
      <c r="K4532" s="12">
        <v>35466</v>
      </c>
      <c r="L4532" s="28" t="s">
        <v>11</v>
      </c>
      <c r="M4532" s="14"/>
      <c r="N4532" s="10" t="s">
        <v>1028</v>
      </c>
    </row>
    <row r="4533" spans="1:14" ht="22.5" customHeight="1">
      <c r="A4533" s="8">
        <v>46023.483804618052</v>
      </c>
      <c r="B4533" s="9" t="s">
        <v>14</v>
      </c>
      <c r="C4533" s="9" t="s">
        <v>15</v>
      </c>
      <c r="D4533" s="10" t="s">
        <v>9891</v>
      </c>
      <c r="E4533" s="9" t="s">
        <v>17</v>
      </c>
      <c r="F4533" s="10">
        <v>41</v>
      </c>
      <c r="G4533" s="11">
        <v>8166196004</v>
      </c>
      <c r="H4533" s="10" t="s">
        <v>9892</v>
      </c>
      <c r="I4533" s="10" t="s">
        <v>27</v>
      </c>
      <c r="J4533" s="10" t="s">
        <v>1456</v>
      </c>
      <c r="K4533" s="12">
        <v>46023</v>
      </c>
      <c r="L4533" s="28" t="s">
        <v>11</v>
      </c>
      <c r="M4533" s="14"/>
      <c r="N4533" s="10" t="s">
        <v>1028</v>
      </c>
    </row>
    <row r="4534" spans="1:14" ht="22.5" customHeight="1">
      <c r="A4534" s="8">
        <v>46023.484955821754</v>
      </c>
      <c r="B4534" s="9" t="s">
        <v>14</v>
      </c>
      <c r="C4534" s="9" t="s">
        <v>15</v>
      </c>
      <c r="D4534" s="10" t="s">
        <v>9893</v>
      </c>
      <c r="E4534" s="9" t="s">
        <v>17</v>
      </c>
      <c r="F4534" s="10">
        <v>49</v>
      </c>
      <c r="G4534" s="11">
        <v>8038277863</v>
      </c>
      <c r="H4534" s="10" t="s">
        <v>9894</v>
      </c>
      <c r="I4534" s="10" t="s">
        <v>27</v>
      </c>
      <c r="J4534" s="10" t="s">
        <v>9895</v>
      </c>
      <c r="K4534" s="12">
        <v>46023</v>
      </c>
      <c r="L4534" s="28" t="s">
        <v>11</v>
      </c>
      <c r="M4534" s="14"/>
      <c r="N4534" s="10" t="s">
        <v>1028</v>
      </c>
    </row>
    <row r="4535" spans="1:14" ht="22.5" customHeight="1">
      <c r="A4535" s="8">
        <v>46023.485779710652</v>
      </c>
      <c r="B4535" s="9" t="s">
        <v>14</v>
      </c>
      <c r="C4535" s="9" t="s">
        <v>15</v>
      </c>
      <c r="D4535" s="10" t="s">
        <v>9896</v>
      </c>
      <c r="E4535" s="9" t="s">
        <v>22</v>
      </c>
      <c r="F4535" s="10">
        <v>19</v>
      </c>
      <c r="G4535" s="11">
        <v>9013429608</v>
      </c>
      <c r="H4535" s="10" t="s">
        <v>9897</v>
      </c>
      <c r="I4535" s="10" t="s">
        <v>19</v>
      </c>
      <c r="J4535" s="10" t="s">
        <v>166</v>
      </c>
      <c r="K4535" s="12">
        <v>46023</v>
      </c>
      <c r="L4535" s="28" t="s">
        <v>11</v>
      </c>
      <c r="M4535" s="14"/>
      <c r="N4535" s="10" t="s">
        <v>1028</v>
      </c>
    </row>
    <row r="4536" spans="1:14" ht="22.5" customHeight="1">
      <c r="A4536" s="8">
        <v>46023.489747025465</v>
      </c>
      <c r="B4536" s="9" t="s">
        <v>14</v>
      </c>
      <c r="C4536" s="9" t="s">
        <v>15</v>
      </c>
      <c r="D4536" s="10" t="s">
        <v>9898</v>
      </c>
      <c r="E4536" s="9" t="s">
        <v>17</v>
      </c>
      <c r="F4536" s="10">
        <v>25</v>
      </c>
      <c r="G4536" s="11">
        <v>9038983787</v>
      </c>
      <c r="H4536" s="10" t="s">
        <v>9899</v>
      </c>
      <c r="I4536" s="10" t="s">
        <v>31</v>
      </c>
      <c r="J4536" s="10" t="s">
        <v>32</v>
      </c>
      <c r="K4536" s="12">
        <v>46023</v>
      </c>
      <c r="L4536" s="28" t="s">
        <v>11</v>
      </c>
      <c r="M4536" s="14"/>
      <c r="N4536" s="10" t="s">
        <v>1096</v>
      </c>
    </row>
    <row r="4537" spans="1:14" ht="22.5" customHeight="1">
      <c r="A4537" s="8">
        <v>46023.493870127313</v>
      </c>
      <c r="B4537" s="9" t="s">
        <v>14</v>
      </c>
      <c r="C4537" s="9" t="s">
        <v>15</v>
      </c>
      <c r="D4537" s="10" t="s">
        <v>9900</v>
      </c>
      <c r="E4537" s="9" t="s">
        <v>17</v>
      </c>
      <c r="F4537" s="10">
        <v>34</v>
      </c>
      <c r="G4537" s="11">
        <v>8036782715</v>
      </c>
      <c r="H4537" s="10" t="s">
        <v>9901</v>
      </c>
      <c r="I4537" s="10" t="s">
        <v>27</v>
      </c>
      <c r="J4537" s="10" t="s">
        <v>1456</v>
      </c>
      <c r="K4537" s="12">
        <v>46023</v>
      </c>
      <c r="L4537" s="28" t="s">
        <v>11</v>
      </c>
      <c r="M4537" s="14"/>
      <c r="N4537" s="10" t="s">
        <v>1096</v>
      </c>
    </row>
    <row r="4538" spans="1:14" ht="22.5" customHeight="1">
      <c r="A4538" s="8">
        <v>46023.502411238427</v>
      </c>
      <c r="B4538" s="9" t="s">
        <v>14</v>
      </c>
      <c r="C4538" s="9" t="s">
        <v>15</v>
      </c>
      <c r="D4538" s="10" t="s">
        <v>9902</v>
      </c>
      <c r="E4538" s="9" t="s">
        <v>17</v>
      </c>
      <c r="F4538" s="10">
        <v>26</v>
      </c>
      <c r="G4538" s="11">
        <v>8065512009</v>
      </c>
      <c r="H4538" s="10" t="s">
        <v>9903</v>
      </c>
      <c r="I4538" s="10" t="s">
        <v>27</v>
      </c>
      <c r="J4538" s="10" t="s">
        <v>9904</v>
      </c>
      <c r="K4538" s="12">
        <v>46023</v>
      </c>
      <c r="L4538" s="28" t="s">
        <v>11</v>
      </c>
      <c r="M4538" s="14"/>
      <c r="N4538" s="10" t="s">
        <v>1028</v>
      </c>
    </row>
    <row r="4539" spans="1:14" ht="22.5" customHeight="1">
      <c r="A4539" s="8">
        <v>46023.512832094908</v>
      </c>
      <c r="B4539" s="9" t="s">
        <v>14</v>
      </c>
      <c r="C4539" s="9" t="s">
        <v>15</v>
      </c>
      <c r="D4539" s="10" t="s">
        <v>8288</v>
      </c>
      <c r="E4539" s="9" t="s">
        <v>22</v>
      </c>
      <c r="F4539" s="10">
        <v>27</v>
      </c>
      <c r="G4539" s="11">
        <v>8138296280</v>
      </c>
      <c r="H4539" s="10" t="s">
        <v>9905</v>
      </c>
      <c r="I4539" s="10" t="s">
        <v>45</v>
      </c>
      <c r="J4539" s="10" t="s">
        <v>9906</v>
      </c>
      <c r="K4539" s="12">
        <v>46023</v>
      </c>
      <c r="L4539" s="28" t="s">
        <v>11</v>
      </c>
      <c r="M4539" s="14"/>
      <c r="N4539" s="10" t="s">
        <v>1096</v>
      </c>
    </row>
    <row r="4540" spans="1:14" ht="22.5" customHeight="1">
      <c r="A4540" s="8">
        <v>46023.514207245375</v>
      </c>
      <c r="B4540" s="9" t="s">
        <v>14</v>
      </c>
      <c r="C4540" s="9" t="s">
        <v>15</v>
      </c>
      <c r="D4540" s="10" t="s">
        <v>9907</v>
      </c>
      <c r="E4540" s="9" t="s">
        <v>17</v>
      </c>
      <c r="F4540" s="10">
        <v>30</v>
      </c>
      <c r="G4540" s="11">
        <v>8167624026</v>
      </c>
      <c r="H4540" s="10" t="s">
        <v>9908</v>
      </c>
      <c r="I4540" s="10" t="s">
        <v>202</v>
      </c>
      <c r="J4540" s="10" t="s">
        <v>4005</v>
      </c>
      <c r="K4540" s="12">
        <v>46023</v>
      </c>
      <c r="L4540" s="28" t="s">
        <v>11</v>
      </c>
      <c r="M4540" s="14"/>
      <c r="N4540" s="10" t="s">
        <v>1028</v>
      </c>
    </row>
    <row r="4541" spans="1:14" ht="22.5" customHeight="1">
      <c r="A4541" s="8">
        <v>46023.515447523147</v>
      </c>
      <c r="B4541" s="9" t="s">
        <v>14</v>
      </c>
      <c r="C4541" s="9" t="s">
        <v>15</v>
      </c>
      <c r="D4541" s="10" t="s">
        <v>9909</v>
      </c>
      <c r="E4541" s="9" t="s">
        <v>17</v>
      </c>
      <c r="F4541" s="10">
        <v>39</v>
      </c>
      <c r="G4541" s="11">
        <v>9023896439</v>
      </c>
      <c r="H4541" s="10" t="s">
        <v>9910</v>
      </c>
      <c r="I4541" s="10" t="s">
        <v>49</v>
      </c>
      <c r="J4541" s="10" t="s">
        <v>181</v>
      </c>
      <c r="K4541" s="12">
        <v>46023</v>
      </c>
      <c r="L4541" s="28" t="s">
        <v>11</v>
      </c>
      <c r="M4541" s="14"/>
      <c r="N4541" s="10" t="s">
        <v>1096</v>
      </c>
    </row>
    <row r="4542" spans="1:14" ht="22.5" customHeight="1">
      <c r="A4542" s="8">
        <v>46023.515858888888</v>
      </c>
      <c r="B4542" s="9" t="s">
        <v>14</v>
      </c>
      <c r="C4542" s="9" t="s">
        <v>15</v>
      </c>
      <c r="D4542" s="10" t="s">
        <v>9911</v>
      </c>
      <c r="E4542" s="9" t="s">
        <v>17</v>
      </c>
      <c r="F4542" s="10">
        <v>22</v>
      </c>
      <c r="G4542" s="11">
        <f t="shared" ref="G4542" si="123">212631743021</f>
        <v>212631743021</v>
      </c>
      <c r="H4542" s="10" t="s">
        <v>9912</v>
      </c>
      <c r="I4542" s="10" t="s">
        <v>49</v>
      </c>
      <c r="J4542" s="10" t="s">
        <v>9913</v>
      </c>
      <c r="K4542" s="12">
        <v>46023</v>
      </c>
      <c r="L4542" s="28" t="s">
        <v>11</v>
      </c>
      <c r="M4542" s="14"/>
      <c r="N4542" s="10" t="s">
        <v>9914</v>
      </c>
    </row>
    <row r="4543" spans="1:14" ht="22.5" customHeight="1">
      <c r="A4543" s="8">
        <v>46023.521758055555</v>
      </c>
      <c r="B4543" s="9" t="s">
        <v>14</v>
      </c>
      <c r="C4543" s="9" t="s">
        <v>15</v>
      </c>
      <c r="D4543" s="10" t="s">
        <v>9915</v>
      </c>
      <c r="E4543" s="9" t="s">
        <v>17</v>
      </c>
      <c r="F4543" s="10">
        <v>31</v>
      </c>
      <c r="G4543" s="11">
        <v>8064685343</v>
      </c>
      <c r="H4543" s="10" t="s">
        <v>9916</v>
      </c>
      <c r="I4543" s="10" t="s">
        <v>27</v>
      </c>
      <c r="J4543" s="10" t="s">
        <v>70</v>
      </c>
      <c r="K4543" s="12">
        <v>46023</v>
      </c>
      <c r="L4543" s="28" t="s">
        <v>11</v>
      </c>
      <c r="M4543" s="14"/>
      <c r="N4543" s="10" t="s">
        <v>9917</v>
      </c>
    </row>
    <row r="4544" spans="1:14" ht="22.5" customHeight="1">
      <c r="A4544" s="8">
        <v>46023.529112268516</v>
      </c>
      <c r="B4544" s="9" t="s">
        <v>14</v>
      </c>
      <c r="C4544" s="9" t="s">
        <v>15</v>
      </c>
      <c r="D4544" s="10" t="s">
        <v>9918</v>
      </c>
      <c r="E4544" s="9" t="s">
        <v>17</v>
      </c>
      <c r="F4544" s="10">
        <v>25</v>
      </c>
      <c r="G4544" s="11">
        <v>9032624534</v>
      </c>
      <c r="H4544" s="10" t="s">
        <v>9919</v>
      </c>
      <c r="I4544" s="10" t="s">
        <v>45</v>
      </c>
      <c r="J4544" s="10" t="s">
        <v>1919</v>
      </c>
      <c r="K4544" s="12">
        <v>46023</v>
      </c>
      <c r="L4544" s="28" t="s">
        <v>11</v>
      </c>
      <c r="M4544" s="14"/>
      <c r="N4544" s="10" t="s">
        <v>1096</v>
      </c>
    </row>
    <row r="4545" spans="1:14" ht="22.5" customHeight="1">
      <c r="A4545" s="8">
        <v>46023.543429305559</v>
      </c>
      <c r="B4545" s="9" t="s">
        <v>14</v>
      </c>
      <c r="C4545" s="9" t="s">
        <v>15</v>
      </c>
      <c r="D4545" s="10" t="s">
        <v>9920</v>
      </c>
      <c r="E4545" s="9" t="s">
        <v>17</v>
      </c>
      <c r="F4545" s="10">
        <v>24</v>
      </c>
      <c r="G4545" s="11">
        <v>9135671815</v>
      </c>
      <c r="H4545" s="10" t="s">
        <v>9921</v>
      </c>
      <c r="I4545" s="10" t="s">
        <v>31</v>
      </c>
      <c r="J4545" s="10" t="s">
        <v>9922</v>
      </c>
      <c r="K4545" s="12">
        <v>46023</v>
      </c>
      <c r="L4545" s="28" t="s">
        <v>11</v>
      </c>
      <c r="M4545" s="14"/>
      <c r="N4545" s="10" t="s">
        <v>1028</v>
      </c>
    </row>
    <row r="4546" spans="1:14" ht="22.5" customHeight="1">
      <c r="A4546" s="8">
        <v>46023.555054895834</v>
      </c>
      <c r="B4546" s="9" t="s">
        <v>14</v>
      </c>
      <c r="C4546" s="9" t="s">
        <v>15</v>
      </c>
      <c r="D4546" s="10" t="s">
        <v>9923</v>
      </c>
      <c r="E4546" s="9" t="s">
        <v>22</v>
      </c>
      <c r="F4546" s="10">
        <v>28</v>
      </c>
      <c r="G4546" s="11">
        <v>9029000909</v>
      </c>
      <c r="H4546" s="10" t="s">
        <v>9924</v>
      </c>
      <c r="I4546" s="10" t="s">
        <v>19</v>
      </c>
      <c r="J4546" s="10" t="s">
        <v>9925</v>
      </c>
      <c r="K4546" s="12">
        <v>46023</v>
      </c>
      <c r="L4546" s="28" t="s">
        <v>11</v>
      </c>
      <c r="M4546" s="14"/>
      <c r="N4546" s="10" t="s">
        <v>1028</v>
      </c>
    </row>
    <row r="4547" spans="1:14" ht="22.5" customHeight="1">
      <c r="A4547" s="8">
        <v>46023.558331597218</v>
      </c>
      <c r="B4547" s="9" t="s">
        <v>14</v>
      </c>
      <c r="C4547" s="9" t="s">
        <v>15</v>
      </c>
      <c r="D4547" s="10" t="s">
        <v>9926</v>
      </c>
      <c r="E4547" s="9" t="s">
        <v>17</v>
      </c>
      <c r="F4547" s="10">
        <v>35</v>
      </c>
      <c r="G4547" s="11">
        <v>8060144327</v>
      </c>
      <c r="H4547" s="10" t="s">
        <v>9927</v>
      </c>
      <c r="I4547" s="10" t="s">
        <v>27</v>
      </c>
      <c r="J4547" s="10" t="s">
        <v>172</v>
      </c>
      <c r="K4547" s="12">
        <v>46023</v>
      </c>
      <c r="L4547" s="28" t="s">
        <v>11</v>
      </c>
      <c r="M4547" s="14"/>
      <c r="N4547" s="10" t="s">
        <v>1096</v>
      </c>
    </row>
    <row r="4548" spans="1:14" ht="22.5" customHeight="1">
      <c r="A4548" s="8">
        <v>46023.564975949077</v>
      </c>
      <c r="B4548" s="9" t="s">
        <v>14</v>
      </c>
      <c r="C4548" s="9" t="s">
        <v>15</v>
      </c>
      <c r="D4548" s="10" t="s">
        <v>9928</v>
      </c>
      <c r="E4548" s="9" t="s">
        <v>17</v>
      </c>
      <c r="F4548" s="10">
        <v>36</v>
      </c>
      <c r="G4548" s="11">
        <v>8148319218</v>
      </c>
      <c r="H4548" s="10" t="s">
        <v>9929</v>
      </c>
      <c r="I4548" s="10" t="s">
        <v>45</v>
      </c>
      <c r="J4548" s="10" t="s">
        <v>46</v>
      </c>
      <c r="K4548" s="12">
        <v>46023</v>
      </c>
      <c r="L4548" s="28" t="s">
        <v>11</v>
      </c>
      <c r="M4548" s="14"/>
      <c r="N4548" s="10" t="s">
        <v>1028</v>
      </c>
    </row>
    <row r="4549" spans="1:14" ht="22.5" customHeight="1">
      <c r="A4549" s="8">
        <v>46023.566815659724</v>
      </c>
      <c r="B4549" s="9" t="s">
        <v>14</v>
      </c>
      <c r="C4549" s="9" t="s">
        <v>15</v>
      </c>
      <c r="D4549" s="10" t="s">
        <v>9930</v>
      </c>
      <c r="E4549" s="9" t="s">
        <v>22</v>
      </c>
      <c r="F4549" s="10">
        <v>30</v>
      </c>
      <c r="G4549" s="11">
        <f t="shared" ref="G4549" si="124">2349165772271</f>
        <v>2349165772271</v>
      </c>
      <c r="H4549" s="10" t="s">
        <v>9931</v>
      </c>
      <c r="I4549" s="10" t="s">
        <v>202</v>
      </c>
      <c r="J4549" s="10" t="s">
        <v>9932</v>
      </c>
      <c r="K4549" s="12">
        <v>46023</v>
      </c>
      <c r="L4549" s="28" t="s">
        <v>11</v>
      </c>
      <c r="M4549" s="14"/>
      <c r="N4549" s="10" t="s">
        <v>1028</v>
      </c>
    </row>
    <row r="4550" spans="1:14" ht="22.5" customHeight="1">
      <c r="A4550" s="8">
        <v>46023.56698826389</v>
      </c>
      <c r="B4550" s="9" t="s">
        <v>14</v>
      </c>
      <c r="C4550" s="9" t="s">
        <v>15</v>
      </c>
      <c r="D4550" s="10" t="s">
        <v>9933</v>
      </c>
      <c r="E4550" s="9" t="s">
        <v>17</v>
      </c>
      <c r="F4550" s="10">
        <v>25</v>
      </c>
      <c r="G4550" s="11">
        <v>8032580232</v>
      </c>
      <c r="H4550" s="10" t="s">
        <v>9934</v>
      </c>
      <c r="I4550" s="10" t="s">
        <v>27</v>
      </c>
      <c r="J4550" s="10" t="s">
        <v>172</v>
      </c>
      <c r="K4550" s="12">
        <v>46023</v>
      </c>
      <c r="L4550" s="28" t="s">
        <v>11</v>
      </c>
      <c r="M4550" s="14"/>
      <c r="N4550" s="10" t="s">
        <v>1028</v>
      </c>
    </row>
    <row r="4551" spans="1:14" ht="22.5" customHeight="1">
      <c r="A4551" s="8">
        <v>46023.579090081017</v>
      </c>
      <c r="B4551" s="9" t="s">
        <v>14</v>
      </c>
      <c r="C4551" s="9" t="s">
        <v>15</v>
      </c>
      <c r="D4551" s="10" t="s">
        <v>9935</v>
      </c>
      <c r="E4551" s="9" t="s">
        <v>17</v>
      </c>
      <c r="F4551" s="10">
        <v>18</v>
      </c>
      <c r="G4551" s="11">
        <v>880379321</v>
      </c>
      <c r="H4551" s="10" t="s">
        <v>9936</v>
      </c>
      <c r="I4551" s="10" t="s">
        <v>202</v>
      </c>
      <c r="J4551" s="10" t="s">
        <v>9937</v>
      </c>
      <c r="K4551" s="12">
        <v>46023</v>
      </c>
      <c r="L4551" s="28" t="s">
        <v>11</v>
      </c>
      <c r="M4551" s="14"/>
      <c r="N4551" s="10" t="s">
        <v>9938</v>
      </c>
    </row>
    <row r="4552" spans="1:14" ht="22.5" customHeight="1">
      <c r="A4552" s="8">
        <v>46023.590722048611</v>
      </c>
      <c r="B4552" s="9" t="s">
        <v>14</v>
      </c>
      <c r="C4552" s="9" t="s">
        <v>15</v>
      </c>
      <c r="D4552" s="10" t="s">
        <v>9939</v>
      </c>
      <c r="E4552" s="9" t="s">
        <v>22</v>
      </c>
      <c r="F4552" s="10">
        <v>42</v>
      </c>
      <c r="G4552" s="11">
        <v>7035994477</v>
      </c>
      <c r="H4552" s="10" t="s">
        <v>9940</v>
      </c>
      <c r="I4552" s="10" t="s">
        <v>27</v>
      </c>
      <c r="J4552" s="10" t="s">
        <v>703</v>
      </c>
      <c r="K4552" s="12">
        <v>46023</v>
      </c>
      <c r="L4552" s="28" t="s">
        <v>11</v>
      </c>
      <c r="M4552" s="14"/>
      <c r="N4552" s="10" t="s">
        <v>1028</v>
      </c>
    </row>
    <row r="4553" spans="1:14" ht="22.5" customHeight="1">
      <c r="A4553" s="8">
        <v>46023.605882291668</v>
      </c>
      <c r="B4553" s="9" t="s">
        <v>14</v>
      </c>
      <c r="C4553" s="9" t="s">
        <v>15</v>
      </c>
      <c r="D4553" s="10" t="s">
        <v>9941</v>
      </c>
      <c r="E4553" s="9" t="s">
        <v>17</v>
      </c>
      <c r="F4553" s="10">
        <v>31</v>
      </c>
      <c r="G4553" s="11">
        <v>7051100103</v>
      </c>
      <c r="H4553" s="10" t="s">
        <v>9942</v>
      </c>
      <c r="I4553" s="10" t="s">
        <v>49</v>
      </c>
      <c r="J4553" s="10" t="s">
        <v>606</v>
      </c>
      <c r="K4553" s="12">
        <v>46023</v>
      </c>
      <c r="L4553" s="28" t="s">
        <v>11</v>
      </c>
      <c r="M4553" s="14"/>
      <c r="N4553" s="10" t="s">
        <v>1028</v>
      </c>
    </row>
    <row r="4554" spans="1:14" ht="22.5" customHeight="1">
      <c r="A4554" s="8">
        <v>46023.609787557871</v>
      </c>
      <c r="B4554" s="9" t="s">
        <v>14</v>
      </c>
      <c r="C4554" s="9" t="s">
        <v>15</v>
      </c>
      <c r="D4554" s="10" t="s">
        <v>9943</v>
      </c>
      <c r="E4554" s="9" t="s">
        <v>17</v>
      </c>
      <c r="F4554" s="10">
        <v>31</v>
      </c>
      <c r="G4554" s="11">
        <v>8062576275</v>
      </c>
      <c r="H4554" s="10" t="s">
        <v>9944</v>
      </c>
      <c r="I4554" s="10" t="s">
        <v>27</v>
      </c>
      <c r="J4554" s="10" t="s">
        <v>1415</v>
      </c>
      <c r="K4554" s="12">
        <v>46023</v>
      </c>
      <c r="L4554" s="28" t="s">
        <v>11</v>
      </c>
      <c r="M4554" s="14"/>
      <c r="N4554" s="10" t="s">
        <v>1028</v>
      </c>
    </row>
    <row r="4555" spans="1:14" ht="22.5" customHeight="1">
      <c r="A4555" s="8">
        <v>46023.61022318287</v>
      </c>
      <c r="B4555" s="9" t="s">
        <v>14</v>
      </c>
      <c r="C4555" s="9" t="s">
        <v>15</v>
      </c>
      <c r="D4555" s="10" t="s">
        <v>9945</v>
      </c>
      <c r="E4555" s="9" t="s">
        <v>17</v>
      </c>
      <c r="F4555" s="10">
        <v>31</v>
      </c>
      <c r="G4555" s="11">
        <v>7013641482</v>
      </c>
      <c r="H4555" s="10" t="s">
        <v>9946</v>
      </c>
      <c r="I4555" s="10" t="s">
        <v>27</v>
      </c>
      <c r="J4555" s="10" t="s">
        <v>2348</v>
      </c>
      <c r="K4555" s="12">
        <v>46023</v>
      </c>
      <c r="L4555" s="28" t="s">
        <v>11</v>
      </c>
      <c r="M4555" s="14"/>
      <c r="N4555" s="10" t="s">
        <v>1035</v>
      </c>
    </row>
    <row r="4556" spans="1:14" ht="22.5" customHeight="1">
      <c r="A4556" s="8">
        <v>46023.619674120375</v>
      </c>
      <c r="B4556" s="9" t="s">
        <v>14</v>
      </c>
      <c r="C4556" s="9" t="s">
        <v>15</v>
      </c>
      <c r="D4556" s="10" t="s">
        <v>9947</v>
      </c>
      <c r="E4556" s="9" t="s">
        <v>17</v>
      </c>
      <c r="F4556" s="10">
        <v>32</v>
      </c>
      <c r="G4556" s="11">
        <v>8136715692</v>
      </c>
      <c r="H4556" s="10" t="s">
        <v>9948</v>
      </c>
      <c r="I4556" s="10" t="s">
        <v>19</v>
      </c>
      <c r="J4556" s="10" t="s">
        <v>166</v>
      </c>
      <c r="K4556" s="12">
        <v>46023</v>
      </c>
      <c r="L4556" s="28" t="s">
        <v>11</v>
      </c>
      <c r="M4556" s="14"/>
      <c r="N4556" s="10" t="s">
        <v>1028</v>
      </c>
    </row>
    <row r="4557" spans="1:14" ht="22.5" customHeight="1">
      <c r="A4557" s="8">
        <v>46023.622671261575</v>
      </c>
      <c r="B4557" s="9" t="s">
        <v>14</v>
      </c>
      <c r="C4557" s="9" t="s">
        <v>15</v>
      </c>
      <c r="D4557" s="10" t="s">
        <v>9949</v>
      </c>
      <c r="E4557" s="9" t="s">
        <v>17</v>
      </c>
      <c r="F4557" s="10">
        <v>26</v>
      </c>
      <c r="G4557" s="11">
        <v>8030907487</v>
      </c>
      <c r="H4557" s="10" t="s">
        <v>9950</v>
      </c>
      <c r="I4557" s="10" t="s">
        <v>145</v>
      </c>
      <c r="J4557" s="10" t="s">
        <v>145</v>
      </c>
      <c r="K4557" s="12">
        <v>46023</v>
      </c>
      <c r="L4557" s="28" t="s">
        <v>11</v>
      </c>
      <c r="M4557" s="14"/>
      <c r="N4557" s="10" t="s">
        <v>1028</v>
      </c>
    </row>
    <row r="4558" spans="1:14" ht="22.5" customHeight="1">
      <c r="A4558" s="8">
        <v>46023.625436921298</v>
      </c>
      <c r="B4558" s="9" t="s">
        <v>14</v>
      </c>
      <c r="C4558" s="9" t="s">
        <v>15</v>
      </c>
      <c r="D4558" s="10" t="s">
        <v>9951</v>
      </c>
      <c r="E4558" s="9" t="s">
        <v>22</v>
      </c>
      <c r="F4558" s="10">
        <v>23</v>
      </c>
      <c r="G4558" s="11">
        <v>9033281536</v>
      </c>
      <c r="H4558" s="10" t="s">
        <v>9952</v>
      </c>
      <c r="I4558" s="10" t="s">
        <v>49</v>
      </c>
      <c r="J4558" s="10" t="s">
        <v>73</v>
      </c>
      <c r="K4558" s="12">
        <v>46023</v>
      </c>
      <c r="L4558" s="28" t="s">
        <v>11</v>
      </c>
      <c r="M4558" s="14"/>
      <c r="N4558" s="10" t="s">
        <v>1096</v>
      </c>
    </row>
    <row r="4559" spans="1:14" ht="22.5" customHeight="1">
      <c r="A4559" s="8">
        <v>46023.630431620375</v>
      </c>
      <c r="B4559" s="9" t="s">
        <v>14</v>
      </c>
      <c r="C4559" s="9" t="s">
        <v>15</v>
      </c>
      <c r="D4559" s="10" t="s">
        <v>9953</v>
      </c>
      <c r="E4559" s="9" t="s">
        <v>17</v>
      </c>
      <c r="F4559" s="10">
        <v>39</v>
      </c>
      <c r="G4559" s="11">
        <v>7064914818</v>
      </c>
      <c r="H4559" s="10" t="s">
        <v>9954</v>
      </c>
      <c r="I4559" s="10" t="s">
        <v>31</v>
      </c>
      <c r="J4559" s="10" t="s">
        <v>32</v>
      </c>
      <c r="K4559" s="12">
        <v>46023</v>
      </c>
      <c r="L4559" s="28" t="s">
        <v>11</v>
      </c>
      <c r="M4559" s="14"/>
      <c r="N4559" s="10" t="s">
        <v>1096</v>
      </c>
    </row>
    <row r="4560" spans="1:14" ht="22.5" customHeight="1">
      <c r="A4560" s="8">
        <v>46023.630706863427</v>
      </c>
      <c r="B4560" s="9" t="s">
        <v>14</v>
      </c>
      <c r="C4560" s="9" t="s">
        <v>15</v>
      </c>
      <c r="D4560" s="10" t="s">
        <v>9955</v>
      </c>
      <c r="E4560" s="9" t="s">
        <v>17</v>
      </c>
      <c r="F4560" s="10">
        <v>30</v>
      </c>
      <c r="G4560" s="11">
        <v>7017799220</v>
      </c>
      <c r="H4560" s="10" t="s">
        <v>9956</v>
      </c>
      <c r="I4560" s="10" t="s">
        <v>45</v>
      </c>
      <c r="J4560" s="10" t="s">
        <v>9957</v>
      </c>
      <c r="K4560" s="12">
        <v>46023</v>
      </c>
      <c r="L4560" s="28" t="s">
        <v>11</v>
      </c>
      <c r="M4560" s="14"/>
      <c r="N4560" s="10" t="s">
        <v>1028</v>
      </c>
    </row>
    <row r="4561" spans="1:14" ht="22.5" customHeight="1">
      <c r="A4561" s="8">
        <v>46023.636773993057</v>
      </c>
      <c r="B4561" s="9" t="s">
        <v>14</v>
      </c>
      <c r="C4561" s="9" t="s">
        <v>15</v>
      </c>
      <c r="D4561" s="10" t="s">
        <v>9958</v>
      </c>
      <c r="E4561" s="9" t="s">
        <v>17</v>
      </c>
      <c r="F4561" s="10">
        <v>26</v>
      </c>
      <c r="G4561" s="11">
        <f t="shared" ref="G4561" si="125">2348167903034</f>
        <v>2348167903034</v>
      </c>
      <c r="H4561" s="10" t="s">
        <v>9959</v>
      </c>
      <c r="I4561" s="10" t="s">
        <v>19</v>
      </c>
      <c r="J4561" s="10" t="s">
        <v>5434</v>
      </c>
      <c r="K4561" s="12">
        <v>46023</v>
      </c>
      <c r="L4561" s="28" t="s">
        <v>11</v>
      </c>
      <c r="M4561" s="14"/>
      <c r="N4561" s="10" t="s">
        <v>1028</v>
      </c>
    </row>
    <row r="4562" spans="1:14" ht="22.5" customHeight="1">
      <c r="A4562" s="8">
        <v>46023.653292893519</v>
      </c>
      <c r="B4562" s="9" t="s">
        <v>14</v>
      </c>
      <c r="C4562" s="9" t="s">
        <v>15</v>
      </c>
      <c r="D4562" s="10" t="s">
        <v>9960</v>
      </c>
      <c r="E4562" s="9" t="s">
        <v>17</v>
      </c>
      <c r="F4562" s="10">
        <v>37</v>
      </c>
      <c r="G4562" s="11">
        <v>8020565881</v>
      </c>
      <c r="H4562" s="10" t="s">
        <v>9961</v>
      </c>
      <c r="I4562" s="10" t="s">
        <v>45</v>
      </c>
      <c r="J4562" s="10" t="s">
        <v>46</v>
      </c>
      <c r="K4562" s="12">
        <v>46023</v>
      </c>
      <c r="L4562" s="28" t="s">
        <v>11</v>
      </c>
      <c r="M4562" s="14"/>
      <c r="N4562" s="10" t="s">
        <v>1028</v>
      </c>
    </row>
    <row r="4563" spans="1:14" ht="22.5" customHeight="1">
      <c r="A4563" s="8">
        <v>46023.653827499998</v>
      </c>
      <c r="B4563" s="9" t="s">
        <v>14</v>
      </c>
      <c r="C4563" s="9" t="s">
        <v>15</v>
      </c>
      <c r="D4563" s="10" t="s">
        <v>9962</v>
      </c>
      <c r="E4563" s="9" t="s">
        <v>22</v>
      </c>
      <c r="F4563" s="18">
        <v>25</v>
      </c>
      <c r="G4563" s="11">
        <v>7046452687</v>
      </c>
      <c r="H4563" s="10" t="s">
        <v>9963</v>
      </c>
      <c r="I4563" s="10" t="s">
        <v>27</v>
      </c>
      <c r="J4563" s="10" t="s">
        <v>2031</v>
      </c>
      <c r="K4563" s="12">
        <v>46023</v>
      </c>
      <c r="L4563" s="28" t="s">
        <v>11</v>
      </c>
      <c r="M4563" s="14"/>
      <c r="N4563" s="10" t="s">
        <v>1028</v>
      </c>
    </row>
    <row r="4564" spans="1:14" ht="22.5" customHeight="1">
      <c r="A4564" s="8">
        <v>46023.657707210645</v>
      </c>
      <c r="B4564" s="9" t="s">
        <v>14</v>
      </c>
      <c r="C4564" s="9" t="s">
        <v>15</v>
      </c>
      <c r="D4564" s="10" t="s">
        <v>9964</v>
      </c>
      <c r="E4564" s="9" t="s">
        <v>17</v>
      </c>
      <c r="F4564" s="10">
        <v>30</v>
      </c>
      <c r="G4564" s="11">
        <v>7066290072</v>
      </c>
      <c r="H4564" s="10" t="s">
        <v>9965</v>
      </c>
      <c r="I4564" s="10" t="s">
        <v>27</v>
      </c>
      <c r="J4564" s="10" t="s">
        <v>1559</v>
      </c>
      <c r="K4564" s="12">
        <v>46023</v>
      </c>
      <c r="L4564" s="28" t="s">
        <v>11</v>
      </c>
      <c r="M4564" s="14"/>
      <c r="N4564" s="10" t="s">
        <v>1028</v>
      </c>
    </row>
    <row r="4565" spans="1:14" ht="22.5" customHeight="1">
      <c r="A4565" s="8">
        <v>46023.661221180555</v>
      </c>
      <c r="B4565" s="9" t="s">
        <v>14</v>
      </c>
      <c r="C4565" s="9" t="s">
        <v>15</v>
      </c>
      <c r="D4565" s="10" t="s">
        <v>9966</v>
      </c>
      <c r="E4565" s="9" t="s">
        <v>17</v>
      </c>
      <c r="F4565" s="10">
        <v>31</v>
      </c>
      <c r="G4565" s="11">
        <v>7018845992</v>
      </c>
      <c r="H4565" s="10" t="s">
        <v>9967</v>
      </c>
      <c r="I4565" s="10" t="s">
        <v>145</v>
      </c>
      <c r="J4565" s="10" t="s">
        <v>9968</v>
      </c>
      <c r="K4565" s="12">
        <v>46023</v>
      </c>
      <c r="L4565" s="28" t="s">
        <v>11</v>
      </c>
      <c r="M4565" s="14"/>
      <c r="N4565" s="10" t="s">
        <v>9969</v>
      </c>
    </row>
    <row r="4566" spans="1:14" ht="22.5" customHeight="1">
      <c r="A4566" s="8">
        <v>46023.663333923614</v>
      </c>
      <c r="B4566" s="9" t="s">
        <v>14</v>
      </c>
      <c r="C4566" s="9" t="s">
        <v>15</v>
      </c>
      <c r="D4566" s="10" t="s">
        <v>9970</v>
      </c>
      <c r="E4566" s="9" t="s">
        <v>17</v>
      </c>
      <c r="F4566" s="10">
        <v>29</v>
      </c>
      <c r="G4566" s="11">
        <v>8023120082</v>
      </c>
      <c r="H4566" s="10" t="s">
        <v>9971</v>
      </c>
      <c r="I4566" s="10" t="s">
        <v>27</v>
      </c>
      <c r="J4566" s="10" t="s">
        <v>1559</v>
      </c>
      <c r="K4566" s="12">
        <v>46023</v>
      </c>
      <c r="L4566" s="28" t="s">
        <v>11</v>
      </c>
      <c r="M4566" s="14"/>
      <c r="N4566" s="10" t="s">
        <v>1028</v>
      </c>
    </row>
    <row r="4567" spans="1:14" ht="22.5" customHeight="1">
      <c r="A4567" s="8">
        <v>46023.665262986113</v>
      </c>
      <c r="B4567" s="9" t="s">
        <v>14</v>
      </c>
      <c r="C4567" s="9" t="s">
        <v>15</v>
      </c>
      <c r="D4567" s="10" t="s">
        <v>9972</v>
      </c>
      <c r="E4567" s="9" t="s">
        <v>22</v>
      </c>
      <c r="F4567" s="10">
        <v>29</v>
      </c>
      <c r="G4567" s="11">
        <v>9019561382</v>
      </c>
      <c r="H4567" s="10" t="s">
        <v>9973</v>
      </c>
      <c r="I4567" s="10" t="s">
        <v>49</v>
      </c>
      <c r="J4567" s="10" t="s">
        <v>109</v>
      </c>
      <c r="K4567" s="12">
        <v>46023</v>
      </c>
      <c r="L4567" s="28" t="s">
        <v>11</v>
      </c>
      <c r="M4567" s="14"/>
      <c r="N4567" s="10" t="s">
        <v>1028</v>
      </c>
    </row>
    <row r="4568" spans="1:14" ht="22.5" customHeight="1">
      <c r="A4568" s="8">
        <v>46023.666792187505</v>
      </c>
      <c r="B4568" s="9" t="s">
        <v>14</v>
      </c>
      <c r="C4568" s="9" t="s">
        <v>15</v>
      </c>
      <c r="D4568" s="10" t="s">
        <v>9974</v>
      </c>
      <c r="E4568" s="9" t="s">
        <v>17</v>
      </c>
      <c r="F4568" s="10">
        <v>32</v>
      </c>
      <c r="G4568" s="11">
        <v>8138654251</v>
      </c>
      <c r="H4568" s="10" t="s">
        <v>9975</v>
      </c>
      <c r="I4568" s="10" t="s">
        <v>27</v>
      </c>
      <c r="J4568" s="10" t="s">
        <v>2611</v>
      </c>
      <c r="K4568" s="12">
        <v>46023</v>
      </c>
      <c r="L4568" s="28" t="s">
        <v>11</v>
      </c>
      <c r="M4568" s="14"/>
      <c r="N4568" s="10" t="s">
        <v>1028</v>
      </c>
    </row>
    <row r="4569" spans="1:14" ht="22.5" customHeight="1">
      <c r="A4569" s="8">
        <v>46023.668559837963</v>
      </c>
      <c r="B4569" s="9" t="s">
        <v>14</v>
      </c>
      <c r="C4569" s="9" t="s">
        <v>15</v>
      </c>
      <c r="D4569" s="10" t="s">
        <v>9976</v>
      </c>
      <c r="E4569" s="9" t="s">
        <v>17</v>
      </c>
      <c r="F4569" s="10">
        <v>35</v>
      </c>
      <c r="G4569" s="11">
        <v>9015230007</v>
      </c>
      <c r="H4569" s="10" t="s">
        <v>9977</v>
      </c>
      <c r="I4569" s="10" t="s">
        <v>49</v>
      </c>
      <c r="J4569" s="10" t="s">
        <v>106</v>
      </c>
      <c r="K4569" s="12">
        <v>46023</v>
      </c>
      <c r="L4569" s="28" t="s">
        <v>11</v>
      </c>
      <c r="M4569" s="14"/>
      <c r="N4569" s="10" t="s">
        <v>1096</v>
      </c>
    </row>
    <row r="4570" spans="1:14" ht="22.5" customHeight="1">
      <c r="A4570" s="8">
        <v>46023.677141574073</v>
      </c>
      <c r="B4570" s="9" t="s">
        <v>14</v>
      </c>
      <c r="C4570" s="9" t="s">
        <v>15</v>
      </c>
      <c r="D4570" s="10" t="s">
        <v>9978</v>
      </c>
      <c r="E4570" s="9" t="s">
        <v>22</v>
      </c>
      <c r="F4570" s="10">
        <v>35</v>
      </c>
      <c r="G4570" s="11">
        <v>8069787786</v>
      </c>
      <c r="H4570" s="10" t="s">
        <v>9979</v>
      </c>
      <c r="I4570" s="10" t="s">
        <v>145</v>
      </c>
      <c r="J4570" s="10" t="s">
        <v>530</v>
      </c>
      <c r="K4570" s="12">
        <v>46023</v>
      </c>
      <c r="L4570" s="28" t="s">
        <v>11</v>
      </c>
      <c r="M4570" s="14"/>
      <c r="N4570" s="10" t="s">
        <v>1028</v>
      </c>
    </row>
    <row r="4571" spans="1:14" ht="22.5" customHeight="1">
      <c r="A4571" s="8">
        <v>46023.677995497681</v>
      </c>
      <c r="B4571" s="9" t="s">
        <v>14</v>
      </c>
      <c r="C4571" s="9" t="s">
        <v>15</v>
      </c>
      <c r="D4571" s="10" t="s">
        <v>9980</v>
      </c>
      <c r="E4571" s="9" t="s">
        <v>17</v>
      </c>
      <c r="F4571" s="19">
        <v>33</v>
      </c>
      <c r="G4571" s="11">
        <v>8135292757</v>
      </c>
      <c r="H4571" s="10" t="s">
        <v>9981</v>
      </c>
      <c r="I4571" s="10" t="s">
        <v>145</v>
      </c>
      <c r="J4571" s="10" t="s">
        <v>530</v>
      </c>
      <c r="K4571" s="12">
        <v>46023</v>
      </c>
      <c r="L4571" s="28" t="s">
        <v>11</v>
      </c>
      <c r="M4571" s="14"/>
      <c r="N4571" s="10" t="s">
        <v>1028</v>
      </c>
    </row>
    <row r="4572" spans="1:14" ht="22.5" customHeight="1">
      <c r="A4572" s="8">
        <v>46023.68217615741</v>
      </c>
      <c r="B4572" s="9" t="s">
        <v>14</v>
      </c>
      <c r="C4572" s="9" t="s">
        <v>15</v>
      </c>
      <c r="D4572" s="10" t="s">
        <v>9982</v>
      </c>
      <c r="E4572" s="9" t="s">
        <v>17</v>
      </c>
      <c r="F4572" s="10">
        <v>27</v>
      </c>
      <c r="G4572" s="11">
        <v>7018483819</v>
      </c>
      <c r="H4572" s="10" t="s">
        <v>9983</v>
      </c>
      <c r="I4572" s="10" t="s">
        <v>49</v>
      </c>
      <c r="J4572" s="10" t="s">
        <v>9984</v>
      </c>
      <c r="K4572" s="12">
        <v>35960</v>
      </c>
      <c r="L4572" s="28" t="s">
        <v>11</v>
      </c>
      <c r="M4572" s="14"/>
      <c r="N4572" s="10" t="s">
        <v>1028</v>
      </c>
    </row>
    <row r="4573" spans="1:14" ht="22.5" customHeight="1">
      <c r="A4573" s="8">
        <v>46023.684656805555</v>
      </c>
      <c r="B4573" s="9" t="s">
        <v>14</v>
      </c>
      <c r="C4573" s="9" t="s">
        <v>15</v>
      </c>
      <c r="D4573" s="10" t="s">
        <v>9985</v>
      </c>
      <c r="E4573" s="9" t="s">
        <v>17</v>
      </c>
      <c r="F4573" s="18">
        <v>32</v>
      </c>
      <c r="G4573" s="11">
        <v>7067203112</v>
      </c>
      <c r="H4573" s="10" t="s">
        <v>9986</v>
      </c>
      <c r="I4573" s="10" t="s">
        <v>49</v>
      </c>
      <c r="J4573" s="10" t="s">
        <v>246</v>
      </c>
      <c r="K4573" s="12">
        <v>46023</v>
      </c>
      <c r="L4573" s="28" t="s">
        <v>11</v>
      </c>
      <c r="M4573" s="14"/>
      <c r="N4573" s="10" t="s">
        <v>1028</v>
      </c>
    </row>
    <row r="4574" spans="1:14" ht="22.5" hidden="1" customHeight="1">
      <c r="A4574" s="8">
        <v>46023.695244918985</v>
      </c>
      <c r="B4574" s="9" t="s">
        <v>14</v>
      </c>
      <c r="C4574" s="9" t="s">
        <v>15</v>
      </c>
      <c r="D4574" s="10" t="s">
        <v>9987</v>
      </c>
      <c r="E4574" s="9" t="s">
        <v>17</v>
      </c>
      <c r="F4574" s="10">
        <v>23</v>
      </c>
      <c r="G4574" s="11">
        <v>9067372013</v>
      </c>
      <c r="H4574" s="10" t="s">
        <v>9988</v>
      </c>
      <c r="I4574" s="10" t="s">
        <v>27</v>
      </c>
      <c r="J4574" s="10" t="s">
        <v>27</v>
      </c>
      <c r="K4574" s="12">
        <v>46023</v>
      </c>
      <c r="L4574" s="10" t="s">
        <v>441</v>
      </c>
      <c r="M4574" s="10" t="s">
        <v>1361</v>
      </c>
      <c r="N4574" s="10" t="s">
        <v>1028</v>
      </c>
    </row>
    <row r="4575" spans="1:14" ht="22.5" customHeight="1">
      <c r="A4575" s="8">
        <v>46023.697028263894</v>
      </c>
      <c r="B4575" s="9" t="s">
        <v>14</v>
      </c>
      <c r="C4575" s="9" t="s">
        <v>15</v>
      </c>
      <c r="D4575" s="10" t="s">
        <v>9989</v>
      </c>
      <c r="E4575" s="9" t="s">
        <v>17</v>
      </c>
      <c r="F4575" s="10">
        <v>35</v>
      </c>
      <c r="G4575" s="11">
        <v>9065097405</v>
      </c>
      <c r="H4575" s="10" t="s">
        <v>9990</v>
      </c>
      <c r="I4575" s="10" t="s">
        <v>27</v>
      </c>
      <c r="J4575" s="10" t="s">
        <v>94</v>
      </c>
      <c r="K4575" s="12">
        <v>46023</v>
      </c>
      <c r="L4575" s="28" t="s">
        <v>11</v>
      </c>
      <c r="M4575" s="10"/>
      <c r="N4575" s="10" t="s">
        <v>1028</v>
      </c>
    </row>
    <row r="4576" spans="1:14" ht="22.5" customHeight="1">
      <c r="A4576" s="8">
        <v>46023.699230949074</v>
      </c>
      <c r="B4576" s="9" t="s">
        <v>14</v>
      </c>
      <c r="C4576" s="9" t="s">
        <v>15</v>
      </c>
      <c r="D4576" s="10" t="s">
        <v>9991</v>
      </c>
      <c r="E4576" s="9" t="s">
        <v>17</v>
      </c>
      <c r="F4576" s="10">
        <v>27</v>
      </c>
      <c r="G4576" s="11">
        <v>9165813048</v>
      </c>
      <c r="H4576" s="10" t="s">
        <v>9992</v>
      </c>
      <c r="I4576" s="10" t="s">
        <v>49</v>
      </c>
      <c r="J4576" s="10" t="s">
        <v>606</v>
      </c>
      <c r="K4576" s="12">
        <v>46023</v>
      </c>
      <c r="L4576" s="28" t="s">
        <v>11</v>
      </c>
      <c r="M4576" s="14"/>
      <c r="N4576" s="10" t="s">
        <v>1028</v>
      </c>
    </row>
    <row r="4577" spans="1:14" ht="22.5" customHeight="1">
      <c r="A4577" s="8">
        <v>46023.703319293985</v>
      </c>
      <c r="B4577" s="9" t="s">
        <v>14</v>
      </c>
      <c r="C4577" s="9" t="s">
        <v>15</v>
      </c>
      <c r="D4577" s="10" t="s">
        <v>9993</v>
      </c>
      <c r="E4577" s="9" t="s">
        <v>17</v>
      </c>
      <c r="F4577" s="10">
        <v>29</v>
      </c>
      <c r="G4577" s="11">
        <v>8131664464</v>
      </c>
      <c r="H4577" s="10" t="s">
        <v>9994</v>
      </c>
      <c r="I4577" s="10" t="s">
        <v>27</v>
      </c>
      <c r="J4577" s="10" t="s">
        <v>1194</v>
      </c>
      <c r="K4577" s="12">
        <v>46023</v>
      </c>
      <c r="L4577" s="28" t="s">
        <v>11</v>
      </c>
      <c r="M4577" s="14"/>
      <c r="N4577" s="10" t="s">
        <v>1028</v>
      </c>
    </row>
    <row r="4578" spans="1:14" ht="22.5" customHeight="1">
      <c r="A4578" s="8">
        <v>46023.736475833335</v>
      </c>
      <c r="B4578" s="9" t="s">
        <v>14</v>
      </c>
      <c r="C4578" s="9" t="s">
        <v>15</v>
      </c>
      <c r="D4578" s="10" t="s">
        <v>9995</v>
      </c>
      <c r="E4578" s="9" t="s">
        <v>17</v>
      </c>
      <c r="F4578" s="10">
        <v>29</v>
      </c>
      <c r="G4578" s="11">
        <v>8033214962</v>
      </c>
      <c r="H4578" s="10" t="s">
        <v>9996</v>
      </c>
      <c r="I4578" s="10" t="s">
        <v>27</v>
      </c>
      <c r="J4578" s="10" t="s">
        <v>1895</v>
      </c>
      <c r="K4578" s="12">
        <v>46023</v>
      </c>
      <c r="L4578" s="28" t="s">
        <v>11</v>
      </c>
      <c r="M4578" s="14"/>
      <c r="N4578" s="10" t="s">
        <v>1028</v>
      </c>
    </row>
    <row r="4579" spans="1:14" ht="22.5" customHeight="1">
      <c r="A4579" s="8">
        <v>46023.748137511575</v>
      </c>
      <c r="B4579" s="9" t="s">
        <v>14</v>
      </c>
      <c r="C4579" s="9" t="s">
        <v>15</v>
      </c>
      <c r="D4579" s="10" t="s">
        <v>9997</v>
      </c>
      <c r="E4579" s="9" t="s">
        <v>22</v>
      </c>
      <c r="F4579" s="10">
        <v>25</v>
      </c>
      <c r="G4579" s="11">
        <v>9030291236</v>
      </c>
      <c r="H4579" s="10" t="s">
        <v>9998</v>
      </c>
      <c r="I4579" s="10" t="s">
        <v>45</v>
      </c>
      <c r="J4579" s="10" t="s">
        <v>2072</v>
      </c>
      <c r="K4579" s="12">
        <v>46023</v>
      </c>
      <c r="L4579" s="28" t="s">
        <v>11</v>
      </c>
      <c r="M4579" s="14"/>
      <c r="N4579" s="10" t="s">
        <v>1028</v>
      </c>
    </row>
    <row r="4580" spans="1:14" ht="22.5" customHeight="1">
      <c r="A4580" s="8">
        <v>46023.749285555554</v>
      </c>
      <c r="B4580" s="9" t="s">
        <v>14</v>
      </c>
      <c r="C4580" s="9" t="s">
        <v>15</v>
      </c>
      <c r="D4580" s="10" t="s">
        <v>9999</v>
      </c>
      <c r="E4580" s="9" t="s">
        <v>17</v>
      </c>
      <c r="F4580" s="10">
        <v>31</v>
      </c>
      <c r="G4580" s="11">
        <f t="shared" ref="G4580" si="126">2348069648006</f>
        <v>2348069648006</v>
      </c>
      <c r="H4580" s="10" t="s">
        <v>10000</v>
      </c>
      <c r="I4580" s="10" t="s">
        <v>27</v>
      </c>
      <c r="J4580" s="10" t="s">
        <v>42</v>
      </c>
      <c r="K4580" s="12">
        <v>46023</v>
      </c>
      <c r="L4580" s="28" t="s">
        <v>11</v>
      </c>
      <c r="M4580" s="14"/>
      <c r="N4580" s="10" t="s">
        <v>1096</v>
      </c>
    </row>
    <row r="4581" spans="1:14" ht="22.5" customHeight="1">
      <c r="A4581" s="8">
        <v>46023.750752083331</v>
      </c>
      <c r="B4581" s="9" t="s">
        <v>14</v>
      </c>
      <c r="C4581" s="9" t="s">
        <v>15</v>
      </c>
      <c r="D4581" s="10" t="s">
        <v>10001</v>
      </c>
      <c r="E4581" s="9" t="s">
        <v>22</v>
      </c>
      <c r="F4581" s="10">
        <v>24</v>
      </c>
      <c r="G4581" s="11">
        <v>8114578115</v>
      </c>
      <c r="H4581" s="10" t="s">
        <v>10002</v>
      </c>
      <c r="I4581" s="10" t="s">
        <v>49</v>
      </c>
      <c r="J4581" s="10" t="s">
        <v>10003</v>
      </c>
      <c r="K4581" s="12">
        <v>46023</v>
      </c>
      <c r="L4581" s="28" t="s">
        <v>11</v>
      </c>
      <c r="M4581" s="14"/>
      <c r="N4581" s="10" t="s">
        <v>1028</v>
      </c>
    </row>
    <row r="4582" spans="1:14" ht="22.5" customHeight="1">
      <c r="A4582" s="8">
        <v>46023.752331122683</v>
      </c>
      <c r="B4582" s="9" t="s">
        <v>14</v>
      </c>
      <c r="C4582" s="9" t="s">
        <v>15</v>
      </c>
      <c r="D4582" s="10" t="s">
        <v>10004</v>
      </c>
      <c r="E4582" s="9" t="s">
        <v>17</v>
      </c>
      <c r="F4582" s="10">
        <v>31</v>
      </c>
      <c r="G4582" s="11">
        <v>9032070065</v>
      </c>
      <c r="H4582" s="10" t="s">
        <v>10005</v>
      </c>
      <c r="I4582" s="10" t="s">
        <v>49</v>
      </c>
      <c r="J4582" s="10" t="s">
        <v>73</v>
      </c>
      <c r="K4582" s="12">
        <v>46023</v>
      </c>
      <c r="L4582" s="28" t="s">
        <v>11</v>
      </c>
      <c r="M4582" s="14"/>
      <c r="N4582" s="10" t="s">
        <v>1028</v>
      </c>
    </row>
    <row r="4583" spans="1:14" ht="22.5" customHeight="1">
      <c r="A4583" s="8">
        <v>46023.758329201388</v>
      </c>
      <c r="B4583" s="9" t="s">
        <v>14</v>
      </c>
      <c r="C4583" s="9" t="s">
        <v>15</v>
      </c>
      <c r="D4583" s="10" t="s">
        <v>10006</v>
      </c>
      <c r="E4583" s="9" t="s">
        <v>17</v>
      </c>
      <c r="F4583" s="10">
        <v>25</v>
      </c>
      <c r="G4583" s="11">
        <f>2349018450881</f>
        <v>2349018450881</v>
      </c>
      <c r="H4583" s="10" t="s">
        <v>10007</v>
      </c>
      <c r="I4583" s="10" t="s">
        <v>27</v>
      </c>
      <c r="J4583" s="10" t="s">
        <v>372</v>
      </c>
      <c r="K4583" s="12">
        <v>46023</v>
      </c>
      <c r="L4583" s="28" t="s">
        <v>11</v>
      </c>
      <c r="M4583" s="14"/>
      <c r="N4583" s="10" t="s">
        <v>1028</v>
      </c>
    </row>
    <row r="4584" spans="1:14" ht="22.5" customHeight="1">
      <c r="A4584" s="8">
        <v>46023.759198912041</v>
      </c>
      <c r="B4584" s="9" t="s">
        <v>14</v>
      </c>
      <c r="C4584" s="9" t="s">
        <v>15</v>
      </c>
      <c r="D4584" s="10" t="s">
        <v>10008</v>
      </c>
      <c r="E4584" s="9" t="s">
        <v>17</v>
      </c>
      <c r="F4584" s="10">
        <v>30</v>
      </c>
      <c r="G4584" s="11">
        <v>7069401575</v>
      </c>
      <c r="H4584" s="10" t="s">
        <v>10009</v>
      </c>
      <c r="I4584" s="10" t="s">
        <v>27</v>
      </c>
      <c r="J4584" s="10" t="s">
        <v>703</v>
      </c>
      <c r="K4584" s="12">
        <v>46023</v>
      </c>
      <c r="L4584" s="28" t="s">
        <v>11</v>
      </c>
      <c r="M4584" s="14"/>
      <c r="N4584" s="10" t="s">
        <v>1028</v>
      </c>
    </row>
    <row r="4585" spans="1:14" ht="22.5" customHeight="1">
      <c r="A4585" s="8">
        <v>46023.762025856486</v>
      </c>
      <c r="B4585" s="9" t="s">
        <v>14</v>
      </c>
      <c r="C4585" s="9" t="s">
        <v>15</v>
      </c>
      <c r="D4585" s="10" t="s">
        <v>10010</v>
      </c>
      <c r="E4585" s="9" t="s">
        <v>22</v>
      </c>
      <c r="F4585" s="10">
        <v>26</v>
      </c>
      <c r="G4585" s="11">
        <v>8168364121</v>
      </c>
      <c r="H4585" s="10" t="s">
        <v>10011</v>
      </c>
      <c r="I4585" s="10" t="s">
        <v>27</v>
      </c>
      <c r="J4585" s="10" t="s">
        <v>172</v>
      </c>
      <c r="K4585" s="12">
        <v>46023</v>
      </c>
      <c r="L4585" s="28" t="s">
        <v>11</v>
      </c>
      <c r="M4585" s="14"/>
      <c r="N4585" s="10" t="s">
        <v>1028</v>
      </c>
    </row>
    <row r="4586" spans="1:14" ht="22.5" customHeight="1">
      <c r="A4586" s="8">
        <v>46023.766157685182</v>
      </c>
      <c r="B4586" s="9" t="s">
        <v>14</v>
      </c>
      <c r="C4586" s="9" t="s">
        <v>15</v>
      </c>
      <c r="D4586" s="10" t="s">
        <v>10012</v>
      </c>
      <c r="E4586" s="9" t="s">
        <v>17</v>
      </c>
      <c r="F4586" s="10">
        <v>21</v>
      </c>
      <c r="G4586" s="11">
        <v>8039805432</v>
      </c>
      <c r="H4586" s="10" t="s">
        <v>10013</v>
      </c>
      <c r="I4586" s="10" t="s">
        <v>19</v>
      </c>
      <c r="J4586" s="10" t="s">
        <v>1664</v>
      </c>
      <c r="K4586" s="12">
        <v>46023</v>
      </c>
      <c r="L4586" s="28" t="s">
        <v>11</v>
      </c>
      <c r="M4586" s="14"/>
      <c r="N4586" s="10" t="s">
        <v>1028</v>
      </c>
    </row>
    <row r="4587" spans="1:14" ht="22.5" customHeight="1">
      <c r="A4587" s="8">
        <v>46023.770180567131</v>
      </c>
      <c r="B4587" s="9" t="s">
        <v>14</v>
      </c>
      <c r="C4587" s="9" t="s">
        <v>15</v>
      </c>
      <c r="D4587" s="10" t="s">
        <v>10014</v>
      </c>
      <c r="E4587" s="9" t="s">
        <v>17</v>
      </c>
      <c r="F4587" s="10">
        <v>28</v>
      </c>
      <c r="G4587" s="11">
        <v>9037968473</v>
      </c>
      <c r="H4587" s="10" t="s">
        <v>10015</v>
      </c>
      <c r="I4587" s="10" t="s">
        <v>45</v>
      </c>
      <c r="J4587" s="10" t="s">
        <v>10016</v>
      </c>
      <c r="K4587" s="12">
        <v>46023</v>
      </c>
      <c r="L4587" s="28" t="s">
        <v>11</v>
      </c>
      <c r="M4587" s="14"/>
      <c r="N4587" s="10" t="s">
        <v>1028</v>
      </c>
    </row>
    <row r="4588" spans="1:14" ht="22.5" customHeight="1">
      <c r="A4588" s="8">
        <v>46023.783273854162</v>
      </c>
      <c r="B4588" s="9" t="s">
        <v>14</v>
      </c>
      <c r="C4588" s="9" t="s">
        <v>15</v>
      </c>
      <c r="D4588" s="10" t="s">
        <v>10017</v>
      </c>
      <c r="E4588" s="9" t="s">
        <v>17</v>
      </c>
      <c r="F4588" s="10">
        <v>40</v>
      </c>
      <c r="G4588" s="11">
        <v>7034316099</v>
      </c>
      <c r="H4588" s="10" t="s">
        <v>10018</v>
      </c>
      <c r="I4588" s="10" t="s">
        <v>45</v>
      </c>
      <c r="J4588" s="10" t="s">
        <v>2136</v>
      </c>
      <c r="K4588" s="12">
        <v>46023</v>
      </c>
      <c r="L4588" s="28" t="s">
        <v>11</v>
      </c>
      <c r="M4588" s="14"/>
      <c r="N4588" s="10" t="s">
        <v>1028</v>
      </c>
    </row>
    <row r="4589" spans="1:14" ht="22.5" customHeight="1">
      <c r="A4589" s="8">
        <v>46023.787398692133</v>
      </c>
      <c r="B4589" s="9" t="s">
        <v>14</v>
      </c>
      <c r="C4589" s="9" t="s">
        <v>15</v>
      </c>
      <c r="D4589" s="10" t="s">
        <v>10019</v>
      </c>
      <c r="E4589" s="9" t="s">
        <v>17</v>
      </c>
      <c r="F4589" s="10">
        <v>42</v>
      </c>
      <c r="G4589" s="11">
        <v>8038735717</v>
      </c>
      <c r="H4589" s="10" t="s">
        <v>10020</v>
      </c>
      <c r="I4589" s="10" t="s">
        <v>19</v>
      </c>
      <c r="J4589" s="10" t="s">
        <v>10021</v>
      </c>
      <c r="K4589" s="12">
        <v>46023</v>
      </c>
      <c r="L4589" s="28" t="s">
        <v>11</v>
      </c>
      <c r="M4589" s="14"/>
      <c r="N4589" s="10" t="s">
        <v>1096</v>
      </c>
    </row>
    <row r="4590" spans="1:14" ht="22.5" customHeight="1">
      <c r="A4590" s="8">
        <v>46023.792592314814</v>
      </c>
      <c r="B4590" s="9" t="s">
        <v>14</v>
      </c>
      <c r="C4590" s="9" t="s">
        <v>15</v>
      </c>
      <c r="D4590" s="10" t="s">
        <v>10022</v>
      </c>
      <c r="E4590" s="9" t="s">
        <v>17</v>
      </c>
      <c r="F4590" s="10">
        <v>31</v>
      </c>
      <c r="G4590" s="11">
        <v>8131301639</v>
      </c>
      <c r="H4590" s="10" t="s">
        <v>10023</v>
      </c>
      <c r="I4590" s="10" t="s">
        <v>27</v>
      </c>
      <c r="J4590" s="10" t="s">
        <v>2006</v>
      </c>
      <c r="K4590" s="12">
        <v>46023</v>
      </c>
      <c r="L4590" s="28" t="s">
        <v>11</v>
      </c>
      <c r="M4590" s="14"/>
      <c r="N4590" s="10" t="s">
        <v>1096</v>
      </c>
    </row>
    <row r="4591" spans="1:14" ht="22.5" customHeight="1">
      <c r="A4591" s="8">
        <v>46023.79335850694</v>
      </c>
      <c r="B4591" s="9" t="s">
        <v>14</v>
      </c>
      <c r="C4591" s="9" t="s">
        <v>15</v>
      </c>
      <c r="D4591" s="10" t="s">
        <v>10024</v>
      </c>
      <c r="E4591" s="9" t="s">
        <v>22</v>
      </c>
      <c r="F4591" s="10">
        <v>28</v>
      </c>
      <c r="G4591" s="11">
        <v>7030813810</v>
      </c>
      <c r="H4591" s="10" t="s">
        <v>10025</v>
      </c>
      <c r="I4591" s="10" t="s">
        <v>27</v>
      </c>
      <c r="J4591" s="10" t="s">
        <v>1902</v>
      </c>
      <c r="K4591" s="12">
        <v>46023</v>
      </c>
      <c r="L4591" s="28" t="s">
        <v>11</v>
      </c>
      <c r="M4591" s="14"/>
      <c r="N4591" s="10" t="s">
        <v>1028</v>
      </c>
    </row>
    <row r="4592" spans="1:14" ht="22.5" customHeight="1">
      <c r="A4592" s="8">
        <v>46023.795111539352</v>
      </c>
      <c r="B4592" s="9" t="s">
        <v>14</v>
      </c>
      <c r="C4592" s="9" t="s">
        <v>15</v>
      </c>
      <c r="D4592" s="10" t="s">
        <v>10026</v>
      </c>
      <c r="E4592" s="9" t="s">
        <v>17</v>
      </c>
      <c r="F4592" s="10">
        <v>29</v>
      </c>
      <c r="G4592" s="11">
        <v>8037895962</v>
      </c>
      <c r="H4592" s="10" t="s">
        <v>10027</v>
      </c>
      <c r="I4592" s="10" t="s">
        <v>145</v>
      </c>
      <c r="J4592" s="10" t="s">
        <v>6325</v>
      </c>
      <c r="K4592" s="12">
        <v>46023</v>
      </c>
      <c r="L4592" s="28" t="s">
        <v>11</v>
      </c>
      <c r="M4592" s="14"/>
      <c r="N4592" s="10" t="s">
        <v>1028</v>
      </c>
    </row>
    <row r="4593" spans="1:14" ht="22.5" customHeight="1">
      <c r="A4593" s="8">
        <v>46023.802381817135</v>
      </c>
      <c r="B4593" s="9" t="s">
        <v>14</v>
      </c>
      <c r="C4593" s="9" t="s">
        <v>15</v>
      </c>
      <c r="D4593" s="10" t="s">
        <v>10028</v>
      </c>
      <c r="E4593" s="9" t="s">
        <v>22</v>
      </c>
      <c r="F4593" s="10">
        <v>29</v>
      </c>
      <c r="G4593" s="11">
        <v>9065366476</v>
      </c>
      <c r="H4593" s="10" t="s">
        <v>10029</v>
      </c>
      <c r="I4593" s="10" t="s">
        <v>27</v>
      </c>
      <c r="J4593" s="10" t="s">
        <v>27</v>
      </c>
      <c r="K4593" s="12">
        <v>46023</v>
      </c>
      <c r="L4593" s="28" t="s">
        <v>11</v>
      </c>
      <c r="M4593" s="14"/>
      <c r="N4593" s="10" t="s">
        <v>2482</v>
      </c>
    </row>
    <row r="4594" spans="1:14" ht="22.5" customHeight="1">
      <c r="A4594" s="8">
        <v>46023.810091620369</v>
      </c>
      <c r="B4594" s="9" t="s">
        <v>14</v>
      </c>
      <c r="C4594" s="9" t="s">
        <v>15</v>
      </c>
      <c r="D4594" s="10" t="s">
        <v>10030</v>
      </c>
      <c r="E4594" s="9" t="s">
        <v>17</v>
      </c>
      <c r="F4594" s="10">
        <v>35</v>
      </c>
      <c r="G4594" s="11">
        <v>7066494922</v>
      </c>
      <c r="H4594" s="10" t="s">
        <v>10031</v>
      </c>
      <c r="I4594" s="10" t="s">
        <v>27</v>
      </c>
      <c r="J4594" s="10" t="s">
        <v>10032</v>
      </c>
      <c r="K4594" s="12">
        <v>46023</v>
      </c>
      <c r="L4594" s="28" t="s">
        <v>11</v>
      </c>
      <c r="M4594" s="14"/>
      <c r="N4594" s="10" t="s">
        <v>1028</v>
      </c>
    </row>
    <row r="4595" spans="1:14" ht="22.5" customHeight="1">
      <c r="A4595" s="8">
        <v>46023.810657592592</v>
      </c>
      <c r="B4595" s="9" t="s">
        <v>14</v>
      </c>
      <c r="C4595" s="9" t="s">
        <v>15</v>
      </c>
      <c r="D4595" s="10" t="s">
        <v>10033</v>
      </c>
      <c r="E4595" s="9" t="s">
        <v>17</v>
      </c>
      <c r="F4595" s="10">
        <v>28</v>
      </c>
      <c r="G4595" s="11">
        <v>8068638989</v>
      </c>
      <c r="H4595" s="10" t="s">
        <v>10034</v>
      </c>
      <c r="I4595" s="10" t="s">
        <v>27</v>
      </c>
      <c r="J4595" s="10" t="s">
        <v>10035</v>
      </c>
      <c r="K4595" s="12">
        <v>46023</v>
      </c>
      <c r="L4595" s="28" t="s">
        <v>11</v>
      </c>
      <c r="M4595" s="14"/>
      <c r="N4595" s="10" t="s">
        <v>1028</v>
      </c>
    </row>
    <row r="4596" spans="1:14" ht="22.5" customHeight="1">
      <c r="A4596" s="8">
        <v>46023.817265219906</v>
      </c>
      <c r="B4596" s="9" t="s">
        <v>14</v>
      </c>
      <c r="C4596" s="9" t="s">
        <v>15</v>
      </c>
      <c r="D4596" s="10" t="s">
        <v>10036</v>
      </c>
      <c r="E4596" s="9" t="s">
        <v>22</v>
      </c>
      <c r="F4596" s="10">
        <v>30</v>
      </c>
      <c r="G4596" s="11">
        <v>8039545490</v>
      </c>
      <c r="H4596" s="10" t="s">
        <v>10037</v>
      </c>
      <c r="I4596" s="10" t="s">
        <v>27</v>
      </c>
      <c r="J4596" s="10" t="s">
        <v>1559</v>
      </c>
      <c r="K4596" s="12">
        <v>46023</v>
      </c>
      <c r="L4596" s="28" t="s">
        <v>11</v>
      </c>
      <c r="M4596" s="14"/>
      <c r="N4596" s="10" t="s">
        <v>1028</v>
      </c>
    </row>
    <row r="4597" spans="1:14" ht="22.5" customHeight="1">
      <c r="A4597" s="8">
        <v>46023.81954384259</v>
      </c>
      <c r="B4597" s="9" t="s">
        <v>14</v>
      </c>
      <c r="C4597" s="9" t="s">
        <v>15</v>
      </c>
      <c r="D4597" s="10" t="s">
        <v>10038</v>
      </c>
      <c r="E4597" s="9" t="s">
        <v>17</v>
      </c>
      <c r="F4597" s="10">
        <v>27</v>
      </c>
      <c r="G4597" s="11">
        <v>9161334411</v>
      </c>
      <c r="H4597" s="10" t="s">
        <v>10039</v>
      </c>
      <c r="I4597" s="10" t="s">
        <v>27</v>
      </c>
      <c r="J4597" s="10" t="s">
        <v>10040</v>
      </c>
      <c r="K4597" s="12">
        <v>46023</v>
      </c>
      <c r="L4597" s="28" t="s">
        <v>11</v>
      </c>
      <c r="M4597" s="14"/>
      <c r="N4597" s="10" t="s">
        <v>1028</v>
      </c>
    </row>
    <row r="4598" spans="1:14" ht="22.5" customHeight="1">
      <c r="A4598" s="8">
        <v>46023.835538599538</v>
      </c>
      <c r="B4598" s="9" t="s">
        <v>14</v>
      </c>
      <c r="C4598" s="9" t="s">
        <v>15</v>
      </c>
      <c r="D4598" s="10" t="s">
        <v>10041</v>
      </c>
      <c r="E4598" s="9" t="s">
        <v>17</v>
      </c>
      <c r="F4598" s="10">
        <v>23</v>
      </c>
      <c r="G4598" s="11">
        <v>7069454826</v>
      </c>
      <c r="H4598" s="10" t="s">
        <v>10042</v>
      </c>
      <c r="I4598" s="10" t="s">
        <v>27</v>
      </c>
      <c r="J4598" s="10" t="s">
        <v>10043</v>
      </c>
      <c r="K4598" s="12">
        <v>46023</v>
      </c>
      <c r="L4598" s="28" t="s">
        <v>11</v>
      </c>
      <c r="M4598" s="14"/>
      <c r="N4598" s="10" t="s">
        <v>1028</v>
      </c>
    </row>
    <row r="4599" spans="1:14" ht="22.5" customHeight="1">
      <c r="A4599" s="8">
        <v>46023.84038306713</v>
      </c>
      <c r="B4599" s="9" t="s">
        <v>14</v>
      </c>
      <c r="C4599" s="9" t="s">
        <v>15</v>
      </c>
      <c r="D4599" s="10" t="s">
        <v>10044</v>
      </c>
      <c r="E4599" s="9" t="s">
        <v>17</v>
      </c>
      <c r="F4599" s="10">
        <v>33</v>
      </c>
      <c r="G4599" s="11">
        <v>8069396397</v>
      </c>
      <c r="H4599" s="10" t="s">
        <v>10045</v>
      </c>
      <c r="I4599" s="10" t="s">
        <v>145</v>
      </c>
      <c r="J4599" s="10" t="s">
        <v>10046</v>
      </c>
      <c r="K4599" s="12">
        <v>46023</v>
      </c>
      <c r="L4599" s="28" t="s">
        <v>11</v>
      </c>
      <c r="M4599" s="14"/>
      <c r="N4599" s="10" t="s">
        <v>1028</v>
      </c>
    </row>
    <row r="4600" spans="1:14" ht="22.5" customHeight="1">
      <c r="A4600" s="8">
        <v>46023.841148368054</v>
      </c>
      <c r="B4600" s="9" t="s">
        <v>14</v>
      </c>
      <c r="C4600" s="9" t="s">
        <v>15</v>
      </c>
      <c r="D4600" s="10" t="s">
        <v>10047</v>
      </c>
      <c r="E4600" s="9" t="s">
        <v>17</v>
      </c>
      <c r="F4600" s="10">
        <v>27</v>
      </c>
      <c r="G4600" s="11">
        <v>9060680083</v>
      </c>
      <c r="H4600" s="10" t="s">
        <v>10048</v>
      </c>
      <c r="I4600" s="10" t="s">
        <v>45</v>
      </c>
      <c r="J4600" s="10" t="s">
        <v>10049</v>
      </c>
      <c r="K4600" s="12">
        <v>46023</v>
      </c>
      <c r="L4600" s="28" t="s">
        <v>11</v>
      </c>
      <c r="M4600" s="14"/>
      <c r="N4600" s="10" t="s">
        <v>1096</v>
      </c>
    </row>
    <row r="4601" spans="1:14" ht="22.5" customHeight="1">
      <c r="A4601" s="8">
        <v>46023.842582210651</v>
      </c>
      <c r="B4601" s="9" t="s">
        <v>14</v>
      </c>
      <c r="C4601" s="9" t="s">
        <v>15</v>
      </c>
      <c r="D4601" s="10" t="s">
        <v>10050</v>
      </c>
      <c r="E4601" s="9" t="s">
        <v>17</v>
      </c>
      <c r="F4601" s="10">
        <v>35</v>
      </c>
      <c r="G4601" s="11">
        <v>8033210126</v>
      </c>
      <c r="H4601" s="10" t="s">
        <v>10051</v>
      </c>
      <c r="I4601" s="10" t="s">
        <v>145</v>
      </c>
      <c r="J4601" s="10" t="s">
        <v>4352</v>
      </c>
      <c r="K4601" s="12">
        <v>46023</v>
      </c>
      <c r="L4601" s="28" t="s">
        <v>11</v>
      </c>
      <c r="M4601" s="14"/>
      <c r="N4601" s="10" t="s">
        <v>1028</v>
      </c>
    </row>
    <row r="4602" spans="1:14" ht="22.5" customHeight="1">
      <c r="A4602" s="8">
        <v>46023.849745856482</v>
      </c>
      <c r="B4602" s="9" t="s">
        <v>14</v>
      </c>
      <c r="C4602" s="9" t="s">
        <v>15</v>
      </c>
      <c r="D4602" s="10" t="s">
        <v>10052</v>
      </c>
      <c r="E4602" s="9" t="s">
        <v>17</v>
      </c>
      <c r="F4602" s="10">
        <v>26</v>
      </c>
      <c r="G4602" s="11">
        <v>8160742874</v>
      </c>
      <c r="H4602" s="10" t="s">
        <v>10053</v>
      </c>
      <c r="I4602" s="10" t="s">
        <v>45</v>
      </c>
      <c r="J4602" s="10" t="s">
        <v>10054</v>
      </c>
      <c r="K4602" s="12">
        <v>46023</v>
      </c>
      <c r="L4602" s="28" t="s">
        <v>11</v>
      </c>
      <c r="M4602" s="14"/>
      <c r="N4602" s="10" t="s">
        <v>1028</v>
      </c>
    </row>
    <row r="4603" spans="1:14" ht="22.5" customHeight="1">
      <c r="A4603" s="8">
        <v>46023.850680497686</v>
      </c>
      <c r="B4603" s="9" t="s">
        <v>14</v>
      </c>
      <c r="C4603" s="9" t="s">
        <v>15</v>
      </c>
      <c r="D4603" s="10" t="s">
        <v>10055</v>
      </c>
      <c r="E4603" s="9" t="s">
        <v>17</v>
      </c>
      <c r="F4603" s="10">
        <v>31</v>
      </c>
      <c r="G4603" s="11">
        <v>7038292593</v>
      </c>
      <c r="H4603" s="10" t="s">
        <v>10056</v>
      </c>
      <c r="I4603" s="10" t="s">
        <v>27</v>
      </c>
      <c r="J4603" s="10" t="s">
        <v>94</v>
      </c>
      <c r="K4603" s="12">
        <v>46023</v>
      </c>
      <c r="L4603" s="28" t="s">
        <v>11</v>
      </c>
      <c r="M4603" s="14"/>
      <c r="N4603" s="10" t="s">
        <v>1028</v>
      </c>
    </row>
    <row r="4604" spans="1:14" ht="22.5" customHeight="1">
      <c r="A4604" s="8">
        <v>46023.859363634256</v>
      </c>
      <c r="B4604" s="9" t="s">
        <v>14</v>
      </c>
      <c r="C4604" s="9" t="s">
        <v>15</v>
      </c>
      <c r="D4604" s="10" t="s">
        <v>10057</v>
      </c>
      <c r="E4604" s="9" t="s">
        <v>17</v>
      </c>
      <c r="F4604" s="10">
        <v>45</v>
      </c>
      <c r="G4604" s="11">
        <v>8036448072</v>
      </c>
      <c r="H4604" s="10" t="s">
        <v>10058</v>
      </c>
      <c r="I4604" s="10" t="s">
        <v>27</v>
      </c>
      <c r="J4604" s="10" t="s">
        <v>172</v>
      </c>
      <c r="K4604" s="12">
        <v>46023</v>
      </c>
      <c r="L4604" s="28" t="s">
        <v>11</v>
      </c>
      <c r="M4604" s="14"/>
      <c r="N4604" s="10" t="s">
        <v>1028</v>
      </c>
    </row>
    <row r="4605" spans="1:14" ht="22.5" customHeight="1">
      <c r="A4605" s="8">
        <v>46023.861807766203</v>
      </c>
      <c r="B4605" s="9" t="s">
        <v>14</v>
      </c>
      <c r="C4605" s="9" t="s">
        <v>15</v>
      </c>
      <c r="D4605" s="10" t="s">
        <v>10059</v>
      </c>
      <c r="E4605" s="9" t="s">
        <v>17</v>
      </c>
      <c r="F4605" s="10">
        <v>25</v>
      </c>
      <c r="G4605" s="11">
        <v>8120672271</v>
      </c>
      <c r="H4605" s="10" t="s">
        <v>10060</v>
      </c>
      <c r="I4605" s="10" t="s">
        <v>45</v>
      </c>
      <c r="J4605" s="10" t="s">
        <v>10061</v>
      </c>
      <c r="K4605" s="12">
        <v>46023</v>
      </c>
      <c r="L4605" s="28" t="s">
        <v>11</v>
      </c>
      <c r="M4605" s="14"/>
      <c r="N4605" s="10" t="s">
        <v>1028</v>
      </c>
    </row>
    <row r="4606" spans="1:14" ht="22.5" customHeight="1">
      <c r="A4606" s="8">
        <v>46023.862421851853</v>
      </c>
      <c r="B4606" s="9" t="s">
        <v>14</v>
      </c>
      <c r="C4606" s="9" t="s">
        <v>15</v>
      </c>
      <c r="D4606" s="10" t="s">
        <v>10062</v>
      </c>
      <c r="E4606" s="9" t="s">
        <v>17</v>
      </c>
      <c r="F4606" s="10">
        <v>27</v>
      </c>
      <c r="G4606" s="11">
        <v>7039047705</v>
      </c>
      <c r="H4606" s="10" t="s">
        <v>10063</v>
      </c>
      <c r="I4606" s="10" t="s">
        <v>45</v>
      </c>
      <c r="J4606" s="10" t="s">
        <v>1946</v>
      </c>
      <c r="K4606" s="12">
        <v>46023</v>
      </c>
      <c r="L4606" s="28" t="s">
        <v>11</v>
      </c>
      <c r="M4606" s="14"/>
      <c r="N4606" s="10" t="s">
        <v>1028</v>
      </c>
    </row>
    <row r="4607" spans="1:14" ht="22.5" customHeight="1">
      <c r="A4607" s="8">
        <v>46023.868635381943</v>
      </c>
      <c r="B4607" s="9" t="s">
        <v>14</v>
      </c>
      <c r="C4607" s="9" t="s">
        <v>15</v>
      </c>
      <c r="D4607" s="10" t="s">
        <v>5057</v>
      </c>
      <c r="E4607" s="9" t="s">
        <v>17</v>
      </c>
      <c r="F4607" s="10">
        <v>36</v>
      </c>
      <c r="G4607" s="11">
        <v>7034223695</v>
      </c>
      <c r="H4607" s="10" t="s">
        <v>5058</v>
      </c>
      <c r="I4607" s="10" t="s">
        <v>27</v>
      </c>
      <c r="J4607" s="10" t="s">
        <v>94</v>
      </c>
      <c r="K4607" s="12">
        <v>46023</v>
      </c>
      <c r="L4607" s="28" t="s">
        <v>11</v>
      </c>
      <c r="M4607" s="14"/>
      <c r="N4607" s="10" t="s">
        <v>1028</v>
      </c>
    </row>
    <row r="4608" spans="1:14" ht="22.5" customHeight="1">
      <c r="A4608" s="8">
        <v>46023.884660983793</v>
      </c>
      <c r="B4608" s="9" t="s">
        <v>14</v>
      </c>
      <c r="C4608" s="9" t="s">
        <v>15</v>
      </c>
      <c r="D4608" s="10" t="s">
        <v>10064</v>
      </c>
      <c r="E4608" s="9" t="s">
        <v>22</v>
      </c>
      <c r="F4608" s="10">
        <v>35</v>
      </c>
      <c r="G4608" s="11">
        <v>8067250820</v>
      </c>
      <c r="H4608" s="10" t="s">
        <v>10065</v>
      </c>
      <c r="I4608" s="10" t="s">
        <v>145</v>
      </c>
      <c r="J4608" s="10" t="s">
        <v>1607</v>
      </c>
      <c r="K4608" s="12">
        <v>46023</v>
      </c>
      <c r="L4608" s="28" t="s">
        <v>11</v>
      </c>
      <c r="M4608" s="14"/>
      <c r="N4608" s="10" t="s">
        <v>1028</v>
      </c>
    </row>
    <row r="4609" spans="1:14" ht="22.5" customHeight="1">
      <c r="A4609" s="8">
        <v>46023.885985949077</v>
      </c>
      <c r="B4609" s="9" t="s">
        <v>14</v>
      </c>
      <c r="C4609" s="9" t="s">
        <v>15</v>
      </c>
      <c r="D4609" s="10" t="s">
        <v>10066</v>
      </c>
      <c r="E4609" s="9" t="s">
        <v>17</v>
      </c>
      <c r="F4609" s="10">
        <v>30</v>
      </c>
      <c r="G4609" s="11">
        <v>8163652425</v>
      </c>
      <c r="H4609" s="10" t="s">
        <v>10067</v>
      </c>
      <c r="I4609" s="10" t="s">
        <v>49</v>
      </c>
      <c r="J4609" s="10" t="s">
        <v>73</v>
      </c>
      <c r="K4609" s="12">
        <v>46023</v>
      </c>
      <c r="L4609" s="28" t="s">
        <v>11</v>
      </c>
      <c r="M4609" s="14"/>
      <c r="N4609" s="10" t="s">
        <v>1028</v>
      </c>
    </row>
    <row r="4610" spans="1:14" ht="22.5" customHeight="1">
      <c r="A4610" s="8">
        <v>46023.894579085652</v>
      </c>
      <c r="B4610" s="9" t="s">
        <v>14</v>
      </c>
      <c r="C4610" s="9" t="s">
        <v>15</v>
      </c>
      <c r="D4610" s="10" t="s">
        <v>10068</v>
      </c>
      <c r="E4610" s="9" t="s">
        <v>17</v>
      </c>
      <c r="F4610" s="10">
        <v>29</v>
      </c>
      <c r="G4610" s="11">
        <v>70624666635</v>
      </c>
      <c r="H4610" s="10" t="s">
        <v>10069</v>
      </c>
      <c r="I4610" s="10" t="s">
        <v>49</v>
      </c>
      <c r="J4610" s="10" t="s">
        <v>303</v>
      </c>
      <c r="K4610" s="12">
        <v>46023</v>
      </c>
      <c r="L4610" s="28" t="s">
        <v>11</v>
      </c>
      <c r="M4610" s="14"/>
      <c r="N4610" s="10" t="s">
        <v>1028</v>
      </c>
    </row>
    <row r="4611" spans="1:14" ht="22.5" customHeight="1">
      <c r="A4611" s="8">
        <v>46023.895690636578</v>
      </c>
      <c r="B4611" s="9" t="s">
        <v>14</v>
      </c>
      <c r="C4611" s="9" t="s">
        <v>15</v>
      </c>
      <c r="D4611" s="10" t="s">
        <v>10070</v>
      </c>
      <c r="E4611" s="9" t="s">
        <v>17</v>
      </c>
      <c r="F4611" s="10">
        <v>29</v>
      </c>
      <c r="G4611" s="11">
        <v>8148268958</v>
      </c>
      <c r="H4611" s="10" t="s">
        <v>10071</v>
      </c>
      <c r="I4611" s="10" t="s">
        <v>27</v>
      </c>
      <c r="J4611" s="10" t="s">
        <v>42</v>
      </c>
      <c r="K4611" s="12">
        <v>46023</v>
      </c>
      <c r="L4611" s="28" t="s">
        <v>11</v>
      </c>
      <c r="M4611" s="14"/>
      <c r="N4611" s="10" t="s">
        <v>1028</v>
      </c>
    </row>
    <row r="4612" spans="1:14" ht="22.5" customHeight="1">
      <c r="A4612" s="8">
        <v>46023.900428680558</v>
      </c>
      <c r="B4612" s="9" t="s">
        <v>14</v>
      </c>
      <c r="C4612" s="9" t="s">
        <v>15</v>
      </c>
      <c r="D4612" s="10" t="s">
        <v>3480</v>
      </c>
      <c r="E4612" s="9" t="s">
        <v>17</v>
      </c>
      <c r="F4612" s="10">
        <v>31</v>
      </c>
      <c r="G4612" s="11">
        <v>8167357078</v>
      </c>
      <c r="H4612" s="10" t="s">
        <v>10072</v>
      </c>
      <c r="I4612" s="10" t="s">
        <v>145</v>
      </c>
      <c r="J4612" s="10" t="s">
        <v>530</v>
      </c>
      <c r="K4612" s="12">
        <v>46023</v>
      </c>
      <c r="L4612" s="28" t="s">
        <v>11</v>
      </c>
      <c r="M4612" s="10"/>
      <c r="N4612" s="10" t="s">
        <v>1028</v>
      </c>
    </row>
    <row r="4613" spans="1:14" ht="22.5" customHeight="1">
      <c r="A4613" s="8">
        <v>46023.902955625003</v>
      </c>
      <c r="B4613" s="9" t="s">
        <v>14</v>
      </c>
      <c r="C4613" s="9" t="s">
        <v>15</v>
      </c>
      <c r="D4613" s="10" t="s">
        <v>10073</v>
      </c>
      <c r="E4613" s="9" t="s">
        <v>17</v>
      </c>
      <c r="F4613" s="10">
        <v>27</v>
      </c>
      <c r="G4613" s="11">
        <v>8140193761</v>
      </c>
      <c r="H4613" s="10" t="s">
        <v>10074</v>
      </c>
      <c r="I4613" s="10" t="s">
        <v>49</v>
      </c>
      <c r="J4613" s="10" t="s">
        <v>109</v>
      </c>
      <c r="K4613" s="12">
        <v>46023</v>
      </c>
      <c r="L4613" s="28" t="s">
        <v>11</v>
      </c>
      <c r="M4613" s="14"/>
      <c r="N4613" s="10" t="s">
        <v>1096</v>
      </c>
    </row>
    <row r="4614" spans="1:14" ht="22.5" customHeight="1">
      <c r="A4614" s="8">
        <v>46023.920566354165</v>
      </c>
      <c r="B4614" s="9" t="s">
        <v>14</v>
      </c>
      <c r="C4614" s="9" t="s">
        <v>15</v>
      </c>
      <c r="D4614" s="10" t="s">
        <v>10075</v>
      </c>
      <c r="E4614" s="9" t="s">
        <v>22</v>
      </c>
      <c r="F4614" s="10">
        <v>26</v>
      </c>
      <c r="G4614" s="11">
        <v>8138869861</v>
      </c>
      <c r="H4614" s="10" t="s">
        <v>10076</v>
      </c>
      <c r="I4614" s="10" t="s">
        <v>45</v>
      </c>
      <c r="J4614" s="10" t="s">
        <v>901</v>
      </c>
      <c r="K4614" s="12">
        <v>46023</v>
      </c>
      <c r="L4614" s="28" t="s">
        <v>11</v>
      </c>
      <c r="M4614" s="14"/>
      <c r="N4614" s="10" t="s">
        <v>1028</v>
      </c>
    </row>
    <row r="4615" spans="1:14" ht="22.5" customHeight="1">
      <c r="A4615" s="8">
        <v>46023.924036377313</v>
      </c>
      <c r="B4615" s="9" t="s">
        <v>14</v>
      </c>
      <c r="C4615" s="9" t="s">
        <v>15</v>
      </c>
      <c r="D4615" s="10" t="s">
        <v>10077</v>
      </c>
      <c r="E4615" s="9" t="s">
        <v>17</v>
      </c>
      <c r="F4615" s="10">
        <v>24</v>
      </c>
      <c r="G4615" s="11">
        <v>8101858891</v>
      </c>
      <c r="H4615" s="10" t="s">
        <v>10078</v>
      </c>
      <c r="I4615" s="10" t="s">
        <v>27</v>
      </c>
      <c r="J4615" s="10" t="s">
        <v>10079</v>
      </c>
      <c r="K4615" s="12">
        <v>46023</v>
      </c>
      <c r="L4615" s="28" t="s">
        <v>11</v>
      </c>
      <c r="M4615" s="14"/>
      <c r="N4615" s="10" t="s">
        <v>1096</v>
      </c>
    </row>
    <row r="4616" spans="1:14" ht="22.5" customHeight="1">
      <c r="A4616" s="8">
        <v>46023.930453136578</v>
      </c>
      <c r="B4616" s="9" t="s">
        <v>14</v>
      </c>
      <c r="C4616" s="9" t="s">
        <v>15</v>
      </c>
      <c r="D4616" s="10" t="s">
        <v>10080</v>
      </c>
      <c r="E4616" s="9" t="s">
        <v>22</v>
      </c>
      <c r="F4616" s="10">
        <v>24</v>
      </c>
      <c r="G4616" s="11">
        <v>8071427659</v>
      </c>
      <c r="H4616" s="10" t="s">
        <v>10081</v>
      </c>
      <c r="I4616" s="10" t="s">
        <v>19</v>
      </c>
      <c r="J4616" s="10" t="s">
        <v>10082</v>
      </c>
      <c r="K4616" s="12">
        <v>46023</v>
      </c>
      <c r="L4616" s="28" t="s">
        <v>11</v>
      </c>
      <c r="M4616" s="14"/>
      <c r="N4616" s="10" t="s">
        <v>1028</v>
      </c>
    </row>
    <row r="4617" spans="1:14" ht="22.5" customHeight="1">
      <c r="A4617" s="8">
        <v>46023.937215532409</v>
      </c>
      <c r="B4617" s="9" t="s">
        <v>14</v>
      </c>
      <c r="C4617" s="9" t="s">
        <v>15</v>
      </c>
      <c r="D4617" s="10" t="s">
        <v>10083</v>
      </c>
      <c r="E4617" s="9" t="s">
        <v>17</v>
      </c>
      <c r="F4617" s="10">
        <v>35</v>
      </c>
      <c r="G4617" s="11">
        <v>7015250373</v>
      </c>
      <c r="H4617" s="10" t="s">
        <v>10084</v>
      </c>
      <c r="I4617" s="10" t="s">
        <v>202</v>
      </c>
      <c r="J4617" s="10" t="s">
        <v>2059</v>
      </c>
      <c r="K4617" s="12">
        <v>46023</v>
      </c>
      <c r="L4617" s="28" t="s">
        <v>11</v>
      </c>
      <c r="M4617" s="14"/>
      <c r="N4617" s="10" t="s">
        <v>1028</v>
      </c>
    </row>
    <row r="4618" spans="1:14" ht="22.5" customHeight="1">
      <c r="A4618" s="8">
        <v>46023.943491296297</v>
      </c>
      <c r="B4618" s="9" t="s">
        <v>14</v>
      </c>
      <c r="C4618" s="9" t="s">
        <v>15</v>
      </c>
      <c r="D4618" s="10" t="s">
        <v>10085</v>
      </c>
      <c r="E4618" s="9" t="s">
        <v>17</v>
      </c>
      <c r="F4618" s="10">
        <v>30</v>
      </c>
      <c r="G4618" s="11">
        <v>8060322661</v>
      </c>
      <c r="H4618" s="10" t="s">
        <v>10086</v>
      </c>
      <c r="I4618" s="10" t="s">
        <v>49</v>
      </c>
      <c r="J4618" s="10" t="s">
        <v>827</v>
      </c>
      <c r="K4618" s="12">
        <v>46023</v>
      </c>
      <c r="L4618" s="28" t="s">
        <v>11</v>
      </c>
      <c r="M4618" s="14"/>
      <c r="N4618" s="10" t="s">
        <v>1028</v>
      </c>
    </row>
    <row r="4619" spans="1:14" ht="22.5" customHeight="1">
      <c r="A4619" s="8">
        <v>46023.946537187498</v>
      </c>
      <c r="B4619" s="9" t="s">
        <v>14</v>
      </c>
      <c r="C4619" s="9" t="s">
        <v>15</v>
      </c>
      <c r="D4619" s="10" t="s">
        <v>10087</v>
      </c>
      <c r="E4619" s="9" t="s">
        <v>17</v>
      </c>
      <c r="F4619" s="10">
        <v>28</v>
      </c>
      <c r="G4619" s="11">
        <v>7083957433</v>
      </c>
      <c r="H4619" s="10" t="s">
        <v>10088</v>
      </c>
      <c r="I4619" s="10" t="s">
        <v>27</v>
      </c>
      <c r="J4619" s="10" t="s">
        <v>42</v>
      </c>
      <c r="K4619" s="12">
        <v>46023</v>
      </c>
      <c r="L4619" s="28" t="s">
        <v>11</v>
      </c>
      <c r="M4619" s="14"/>
      <c r="N4619" s="10" t="s">
        <v>1028</v>
      </c>
    </row>
    <row r="4620" spans="1:14" ht="22.5" customHeight="1">
      <c r="A4620" s="8">
        <v>46023.95191851852</v>
      </c>
      <c r="B4620" s="9" t="s">
        <v>14</v>
      </c>
      <c r="C4620" s="9" t="s">
        <v>15</v>
      </c>
      <c r="D4620" s="10" t="s">
        <v>10089</v>
      </c>
      <c r="E4620" s="9" t="s">
        <v>17</v>
      </c>
      <c r="F4620" s="10">
        <v>31</v>
      </c>
      <c r="G4620" s="11">
        <v>7038156805</v>
      </c>
      <c r="H4620" s="10" t="s">
        <v>10090</v>
      </c>
      <c r="I4620" s="10" t="s">
        <v>19</v>
      </c>
      <c r="J4620" s="10" t="s">
        <v>24</v>
      </c>
      <c r="K4620" s="12">
        <v>46023</v>
      </c>
      <c r="L4620" s="28" t="s">
        <v>11</v>
      </c>
      <c r="M4620" s="14"/>
      <c r="N4620" s="10" t="s">
        <v>1028</v>
      </c>
    </row>
    <row r="4621" spans="1:14" ht="22.5" customHeight="1">
      <c r="A4621" s="8">
        <v>46023.956215509257</v>
      </c>
      <c r="B4621" s="9" t="s">
        <v>14</v>
      </c>
      <c r="C4621" s="9" t="s">
        <v>15</v>
      </c>
      <c r="D4621" s="10" t="s">
        <v>10091</v>
      </c>
      <c r="E4621" s="9" t="s">
        <v>17</v>
      </c>
      <c r="F4621" s="10">
        <v>24</v>
      </c>
      <c r="G4621" s="11">
        <v>8133827429</v>
      </c>
      <c r="H4621" s="10" t="s">
        <v>10092</v>
      </c>
      <c r="I4621" s="10" t="s">
        <v>49</v>
      </c>
      <c r="J4621" s="10" t="s">
        <v>208</v>
      </c>
      <c r="K4621" s="12">
        <v>46023</v>
      </c>
      <c r="L4621" s="28" t="s">
        <v>11</v>
      </c>
      <c r="M4621" s="14"/>
      <c r="N4621" s="10" t="s">
        <v>1028</v>
      </c>
    </row>
    <row r="4622" spans="1:14" ht="22.5" customHeight="1">
      <c r="A4622" s="8">
        <v>46023.961178182872</v>
      </c>
      <c r="B4622" s="9" t="s">
        <v>14</v>
      </c>
      <c r="C4622" s="9" t="s">
        <v>15</v>
      </c>
      <c r="D4622" s="10" t="s">
        <v>10093</v>
      </c>
      <c r="E4622" s="9" t="s">
        <v>22</v>
      </c>
      <c r="F4622" s="10">
        <v>21</v>
      </c>
      <c r="G4622" s="11">
        <v>7019577804</v>
      </c>
      <c r="H4622" s="10" t="s">
        <v>10094</v>
      </c>
      <c r="I4622" s="10" t="s">
        <v>202</v>
      </c>
      <c r="J4622" s="10" t="s">
        <v>2059</v>
      </c>
      <c r="K4622" s="12">
        <v>46023</v>
      </c>
      <c r="L4622" s="28" t="s">
        <v>11</v>
      </c>
      <c r="M4622" s="14"/>
      <c r="N4622" s="10" t="s">
        <v>1028</v>
      </c>
    </row>
    <row r="4623" spans="1:14" ht="22.5" hidden="1" customHeight="1">
      <c r="A4623" s="8">
        <v>46023.964604780092</v>
      </c>
      <c r="B4623" s="9" t="s">
        <v>14</v>
      </c>
      <c r="C4623" s="9" t="s">
        <v>15</v>
      </c>
      <c r="D4623" s="10" t="s">
        <v>10095</v>
      </c>
      <c r="E4623" s="9" t="s">
        <v>17</v>
      </c>
      <c r="F4623" s="10">
        <v>35</v>
      </c>
      <c r="G4623" s="11">
        <v>8135522395</v>
      </c>
      <c r="H4623" s="10" t="s">
        <v>10096</v>
      </c>
      <c r="I4623" s="10" t="s">
        <v>49</v>
      </c>
      <c r="J4623" s="10" t="s">
        <v>50</v>
      </c>
      <c r="K4623" s="12">
        <v>46023</v>
      </c>
      <c r="L4623" s="10" t="s">
        <v>441</v>
      </c>
      <c r="M4623" s="10" t="s">
        <v>10097</v>
      </c>
      <c r="N4623" s="10" t="s">
        <v>1096</v>
      </c>
    </row>
    <row r="4624" spans="1:14" ht="22.5" customHeight="1">
      <c r="A4624" s="8">
        <v>46023.983203124997</v>
      </c>
      <c r="B4624" s="9" t="s">
        <v>14</v>
      </c>
      <c r="C4624" s="9" t="s">
        <v>15</v>
      </c>
      <c r="D4624" s="10" t="s">
        <v>10098</v>
      </c>
      <c r="E4624" s="9" t="s">
        <v>22</v>
      </c>
      <c r="F4624" s="10">
        <v>25</v>
      </c>
      <c r="G4624" s="11">
        <v>7046018891</v>
      </c>
      <c r="H4624" s="10" t="s">
        <v>10099</v>
      </c>
      <c r="I4624" s="10" t="s">
        <v>145</v>
      </c>
      <c r="J4624" s="10" t="s">
        <v>7976</v>
      </c>
      <c r="K4624" s="12">
        <v>46023</v>
      </c>
      <c r="L4624" s="28" t="s">
        <v>11</v>
      </c>
      <c r="M4624" s="14"/>
      <c r="N4624" s="10" t="s">
        <v>1028</v>
      </c>
    </row>
    <row r="4625" spans="1:14" ht="22.5" customHeight="1">
      <c r="A4625" s="8">
        <v>46023.992211238423</v>
      </c>
      <c r="B4625" s="9" t="s">
        <v>14</v>
      </c>
      <c r="C4625" s="9" t="s">
        <v>15</v>
      </c>
      <c r="D4625" s="10" t="s">
        <v>10100</v>
      </c>
      <c r="E4625" s="9" t="s">
        <v>17</v>
      </c>
      <c r="F4625" s="10">
        <v>26</v>
      </c>
      <c r="G4625" s="11">
        <v>9028191616</v>
      </c>
      <c r="H4625" s="10" t="s">
        <v>10101</v>
      </c>
      <c r="I4625" s="10" t="s">
        <v>27</v>
      </c>
      <c r="J4625" s="10" t="s">
        <v>94</v>
      </c>
      <c r="K4625" s="12">
        <v>46023</v>
      </c>
      <c r="L4625" s="28" t="s">
        <v>11</v>
      </c>
      <c r="M4625" s="14"/>
      <c r="N4625" s="10" t="s">
        <v>1028</v>
      </c>
    </row>
    <row r="4626" spans="1:14" ht="22.5" customHeight="1">
      <c r="A4626" s="8">
        <v>46024.010499756943</v>
      </c>
      <c r="B4626" s="9" t="s">
        <v>14</v>
      </c>
      <c r="C4626" s="9" t="s">
        <v>15</v>
      </c>
      <c r="D4626" s="10" t="s">
        <v>10102</v>
      </c>
      <c r="E4626" s="9" t="s">
        <v>17</v>
      </c>
      <c r="F4626" s="10">
        <v>29</v>
      </c>
      <c r="G4626" s="11">
        <v>8145505456</v>
      </c>
      <c r="H4626" s="10" t="s">
        <v>10103</v>
      </c>
      <c r="I4626" s="10" t="s">
        <v>45</v>
      </c>
      <c r="J4626" s="10" t="s">
        <v>6766</v>
      </c>
      <c r="K4626" s="12">
        <v>46024</v>
      </c>
      <c r="L4626" s="28" t="s">
        <v>11</v>
      </c>
      <c r="M4626" s="14"/>
      <c r="N4626" s="10" t="s">
        <v>1028</v>
      </c>
    </row>
    <row r="4627" spans="1:14" ht="22.5" customHeight="1">
      <c r="A4627" s="8">
        <v>46024.042904490736</v>
      </c>
      <c r="B4627" s="9" t="s">
        <v>14</v>
      </c>
      <c r="C4627" s="9" t="s">
        <v>15</v>
      </c>
      <c r="D4627" s="10" t="s">
        <v>10104</v>
      </c>
      <c r="E4627" s="9" t="s">
        <v>17</v>
      </c>
      <c r="F4627" s="10">
        <v>31</v>
      </c>
      <c r="G4627" s="11">
        <v>8144304719</v>
      </c>
      <c r="H4627" s="10" t="s">
        <v>10105</v>
      </c>
      <c r="I4627" s="10" t="s">
        <v>27</v>
      </c>
      <c r="J4627" s="10" t="s">
        <v>2069</v>
      </c>
      <c r="K4627" s="12">
        <v>46024</v>
      </c>
      <c r="L4627" s="28" t="s">
        <v>11</v>
      </c>
      <c r="M4627" s="14"/>
      <c r="N4627" s="10" t="s">
        <v>1028</v>
      </c>
    </row>
    <row r="4628" spans="1:14" ht="22.5" customHeight="1">
      <c r="A4628" s="8">
        <v>46024.068022395833</v>
      </c>
      <c r="B4628" s="9" t="s">
        <v>14</v>
      </c>
      <c r="C4628" s="9" t="s">
        <v>15</v>
      </c>
      <c r="D4628" s="10" t="s">
        <v>10106</v>
      </c>
      <c r="E4628" s="9" t="s">
        <v>17</v>
      </c>
      <c r="F4628" s="10">
        <v>33</v>
      </c>
      <c r="G4628" s="11">
        <v>8061508223</v>
      </c>
      <c r="H4628" s="10" t="s">
        <v>10107</v>
      </c>
      <c r="I4628" s="10" t="s">
        <v>27</v>
      </c>
      <c r="J4628" s="10" t="s">
        <v>67</v>
      </c>
      <c r="K4628" s="12">
        <v>46024</v>
      </c>
      <c r="L4628" s="28" t="s">
        <v>11</v>
      </c>
      <c r="M4628" s="14"/>
      <c r="N4628" s="10" t="s">
        <v>1028</v>
      </c>
    </row>
    <row r="4629" spans="1:14" ht="22.5" customHeight="1">
      <c r="A4629" s="8">
        <v>46024.145859189812</v>
      </c>
      <c r="B4629" s="9" t="s">
        <v>14</v>
      </c>
      <c r="C4629" s="9" t="s">
        <v>15</v>
      </c>
      <c r="D4629" s="10" t="s">
        <v>10108</v>
      </c>
      <c r="E4629" s="9" t="s">
        <v>17</v>
      </c>
      <c r="F4629" s="10">
        <v>33</v>
      </c>
      <c r="G4629" s="11">
        <v>9134855095</v>
      </c>
      <c r="H4629" s="10" t="s">
        <v>10109</v>
      </c>
      <c r="I4629" s="10" t="s">
        <v>49</v>
      </c>
      <c r="J4629" s="10" t="s">
        <v>109</v>
      </c>
      <c r="K4629" s="12">
        <v>46024</v>
      </c>
      <c r="L4629" s="28" t="s">
        <v>11</v>
      </c>
      <c r="M4629" s="14"/>
      <c r="N4629" s="10" t="s">
        <v>1096</v>
      </c>
    </row>
    <row r="4630" spans="1:14" ht="22.5" customHeight="1">
      <c r="A4630" s="8">
        <v>46024.167077824073</v>
      </c>
      <c r="B4630" s="9" t="s">
        <v>14</v>
      </c>
      <c r="C4630" s="9" t="s">
        <v>15</v>
      </c>
      <c r="D4630" s="10" t="s">
        <v>10110</v>
      </c>
      <c r="E4630" s="9" t="s">
        <v>17</v>
      </c>
      <c r="F4630" s="10">
        <v>35</v>
      </c>
      <c r="G4630" s="11">
        <v>8138927338</v>
      </c>
      <c r="H4630" s="10" t="s">
        <v>10111</v>
      </c>
      <c r="I4630" s="10" t="s">
        <v>19</v>
      </c>
      <c r="J4630" s="10" t="s">
        <v>24</v>
      </c>
      <c r="K4630" s="12">
        <v>46024</v>
      </c>
      <c r="L4630" s="28" t="s">
        <v>11</v>
      </c>
      <c r="M4630" s="14"/>
      <c r="N4630" s="10" t="s">
        <v>1028</v>
      </c>
    </row>
    <row r="4631" spans="1:14" ht="22.5" customHeight="1">
      <c r="A4631" s="8">
        <v>46024.196459814819</v>
      </c>
      <c r="B4631" s="9" t="s">
        <v>14</v>
      </c>
      <c r="C4631" s="9" t="s">
        <v>15</v>
      </c>
      <c r="D4631" s="10" t="s">
        <v>10112</v>
      </c>
      <c r="E4631" s="9" t="s">
        <v>17</v>
      </c>
      <c r="F4631" s="10">
        <v>37</v>
      </c>
      <c r="G4631" s="11">
        <v>7031355307</v>
      </c>
      <c r="H4631" s="10" t="s">
        <v>10113</v>
      </c>
      <c r="I4631" s="10" t="s">
        <v>202</v>
      </c>
      <c r="J4631" s="10" t="s">
        <v>2059</v>
      </c>
      <c r="K4631" s="12">
        <v>46024</v>
      </c>
      <c r="L4631" s="28" t="s">
        <v>11</v>
      </c>
      <c r="M4631" s="14"/>
      <c r="N4631" s="10" t="s">
        <v>1096</v>
      </c>
    </row>
    <row r="4632" spans="1:14" ht="22.5" customHeight="1">
      <c r="A4632" s="8">
        <v>46024.219257002318</v>
      </c>
      <c r="B4632" s="9" t="s">
        <v>14</v>
      </c>
      <c r="C4632" s="9" t="s">
        <v>15</v>
      </c>
      <c r="D4632" s="10" t="s">
        <v>10114</v>
      </c>
      <c r="E4632" s="9" t="s">
        <v>17</v>
      </c>
      <c r="F4632" s="10">
        <v>28</v>
      </c>
      <c r="G4632" s="11">
        <v>8164018571</v>
      </c>
      <c r="H4632" s="10" t="s">
        <v>10115</v>
      </c>
      <c r="I4632" s="10" t="s">
        <v>45</v>
      </c>
      <c r="J4632" s="10" t="s">
        <v>287</v>
      </c>
      <c r="K4632" s="12">
        <v>46024</v>
      </c>
      <c r="L4632" s="28" t="s">
        <v>11</v>
      </c>
      <c r="M4632" s="14"/>
      <c r="N4632" s="10" t="s">
        <v>1028</v>
      </c>
    </row>
    <row r="4633" spans="1:14" ht="22.5" customHeight="1">
      <c r="A4633" s="8">
        <v>46024.220342858796</v>
      </c>
      <c r="B4633" s="9" t="s">
        <v>14</v>
      </c>
      <c r="C4633" s="9" t="s">
        <v>15</v>
      </c>
      <c r="D4633" s="10" t="s">
        <v>10116</v>
      </c>
      <c r="E4633" s="9" t="s">
        <v>17</v>
      </c>
      <c r="F4633" s="10">
        <v>31</v>
      </c>
      <c r="G4633" s="11">
        <v>8094156585</v>
      </c>
      <c r="H4633" s="10" t="s">
        <v>10117</v>
      </c>
      <c r="I4633" s="10" t="s">
        <v>49</v>
      </c>
      <c r="J4633" s="10" t="s">
        <v>103</v>
      </c>
      <c r="K4633" s="12">
        <v>46024</v>
      </c>
      <c r="L4633" s="28" t="s">
        <v>11</v>
      </c>
      <c r="M4633" s="14"/>
      <c r="N4633" s="10" t="s">
        <v>1096</v>
      </c>
    </row>
    <row r="4634" spans="1:14" ht="22.5" customHeight="1">
      <c r="A4634" s="8">
        <v>46024.256052546298</v>
      </c>
      <c r="B4634" s="9" t="s">
        <v>14</v>
      </c>
      <c r="C4634" s="9" t="s">
        <v>15</v>
      </c>
      <c r="D4634" s="10" t="s">
        <v>10118</v>
      </c>
      <c r="E4634" s="9" t="s">
        <v>17</v>
      </c>
      <c r="F4634" s="10">
        <v>34</v>
      </c>
      <c r="G4634" s="11">
        <f t="shared" ref="G4634" si="127">251918069736</f>
        <v>251918069736</v>
      </c>
      <c r="H4634" s="10" t="s">
        <v>10119</v>
      </c>
      <c r="I4634" s="10" t="s">
        <v>19</v>
      </c>
      <c r="J4634" s="10" t="s">
        <v>10120</v>
      </c>
      <c r="K4634" s="12">
        <v>46024</v>
      </c>
      <c r="L4634" s="28" t="s">
        <v>11</v>
      </c>
      <c r="M4634" s="14"/>
      <c r="N4634" s="10" t="s">
        <v>1028</v>
      </c>
    </row>
    <row r="4635" spans="1:14" ht="22.5" customHeight="1">
      <c r="A4635" s="8">
        <v>46024.288142638892</v>
      </c>
      <c r="B4635" s="9" t="s">
        <v>14</v>
      </c>
      <c r="C4635" s="9" t="s">
        <v>15</v>
      </c>
      <c r="D4635" s="10" t="s">
        <v>10121</v>
      </c>
      <c r="E4635" s="9" t="s">
        <v>17</v>
      </c>
      <c r="F4635" s="10">
        <v>24</v>
      </c>
      <c r="G4635" s="11">
        <v>8131525201</v>
      </c>
      <c r="H4635" s="10" t="s">
        <v>10121</v>
      </c>
      <c r="I4635" s="10" t="s">
        <v>27</v>
      </c>
      <c r="J4635" s="10" t="s">
        <v>172</v>
      </c>
      <c r="K4635" s="12">
        <v>46024</v>
      </c>
      <c r="L4635" s="28" t="s">
        <v>11</v>
      </c>
      <c r="M4635" s="14"/>
      <c r="N4635" s="10" t="s">
        <v>1028</v>
      </c>
    </row>
    <row r="4636" spans="1:14" ht="22.5" customHeight="1">
      <c r="A4636" s="8">
        <v>46024.296576724533</v>
      </c>
      <c r="B4636" s="9" t="s">
        <v>14</v>
      </c>
      <c r="C4636" s="9" t="s">
        <v>15</v>
      </c>
      <c r="D4636" s="10" t="s">
        <v>10122</v>
      </c>
      <c r="E4636" s="9" t="s">
        <v>17</v>
      </c>
      <c r="F4636" s="10">
        <v>30</v>
      </c>
      <c r="G4636" s="11">
        <v>8030511769</v>
      </c>
      <c r="H4636" s="10" t="s">
        <v>10123</v>
      </c>
      <c r="I4636" s="10" t="s">
        <v>27</v>
      </c>
      <c r="J4636" s="10" t="s">
        <v>1514</v>
      </c>
      <c r="K4636" s="12">
        <v>46024</v>
      </c>
      <c r="L4636" s="28" t="s">
        <v>11</v>
      </c>
      <c r="M4636" s="14"/>
      <c r="N4636" s="10" t="s">
        <v>1028</v>
      </c>
    </row>
    <row r="4637" spans="1:14" ht="22.5" customHeight="1">
      <c r="A4637" s="8">
        <v>46024.301771342594</v>
      </c>
      <c r="B4637" s="9" t="s">
        <v>14</v>
      </c>
      <c r="C4637" s="9" t="s">
        <v>15</v>
      </c>
      <c r="D4637" s="10" t="s">
        <v>10124</v>
      </c>
      <c r="E4637" s="9" t="s">
        <v>17</v>
      </c>
      <c r="F4637" s="10">
        <v>32</v>
      </c>
      <c r="G4637" s="11">
        <v>8034730140</v>
      </c>
      <c r="H4637" s="10" t="s">
        <v>10125</v>
      </c>
      <c r="I4637" s="10" t="s">
        <v>145</v>
      </c>
      <c r="J4637" s="10" t="s">
        <v>10126</v>
      </c>
      <c r="K4637" s="12">
        <v>46024</v>
      </c>
      <c r="L4637" s="28" t="s">
        <v>11</v>
      </c>
      <c r="M4637" s="14"/>
      <c r="N4637" s="10" t="s">
        <v>1028</v>
      </c>
    </row>
    <row r="4638" spans="1:14" ht="22.5" customHeight="1">
      <c r="A4638" s="8">
        <v>46024.303993530091</v>
      </c>
      <c r="B4638" s="9" t="s">
        <v>14</v>
      </c>
      <c r="C4638" s="9" t="s">
        <v>15</v>
      </c>
      <c r="D4638" s="10" t="s">
        <v>10127</v>
      </c>
      <c r="E4638" s="9" t="s">
        <v>17</v>
      </c>
      <c r="F4638" s="10">
        <v>33</v>
      </c>
      <c r="G4638" s="11">
        <v>9016632319</v>
      </c>
      <c r="H4638" s="10" t="s">
        <v>10128</v>
      </c>
      <c r="I4638" s="10" t="s">
        <v>27</v>
      </c>
      <c r="J4638" s="10" t="s">
        <v>1514</v>
      </c>
      <c r="K4638" s="12">
        <v>46024</v>
      </c>
      <c r="L4638" s="28" t="s">
        <v>11</v>
      </c>
      <c r="M4638" s="14"/>
      <c r="N4638" s="10" t="s">
        <v>1028</v>
      </c>
    </row>
    <row r="4639" spans="1:14" ht="22.5" customHeight="1">
      <c r="A4639" s="8">
        <v>46024.307170428241</v>
      </c>
      <c r="B4639" s="9" t="s">
        <v>14</v>
      </c>
      <c r="C4639" s="9" t="s">
        <v>15</v>
      </c>
      <c r="D4639" s="10" t="s">
        <v>10129</v>
      </c>
      <c r="E4639" s="9" t="s">
        <v>22</v>
      </c>
      <c r="F4639" s="10">
        <v>32</v>
      </c>
      <c r="G4639" s="11">
        <v>7035224907</v>
      </c>
      <c r="H4639" s="10" t="s">
        <v>10130</v>
      </c>
      <c r="I4639" s="10" t="s">
        <v>27</v>
      </c>
      <c r="J4639" s="10" t="s">
        <v>1456</v>
      </c>
      <c r="K4639" s="12">
        <v>46024</v>
      </c>
      <c r="L4639" s="28" t="s">
        <v>11</v>
      </c>
      <c r="M4639" s="14"/>
      <c r="N4639" s="10" t="s">
        <v>1028</v>
      </c>
    </row>
    <row r="4640" spans="1:14" ht="22.5" customHeight="1">
      <c r="A4640" s="8">
        <v>46024.31026017361</v>
      </c>
      <c r="B4640" s="9" t="s">
        <v>14</v>
      </c>
      <c r="C4640" s="9" t="s">
        <v>15</v>
      </c>
      <c r="D4640" s="10" t="s">
        <v>3180</v>
      </c>
      <c r="E4640" s="9" t="s">
        <v>17</v>
      </c>
      <c r="F4640" s="10">
        <v>25</v>
      </c>
      <c r="G4640" s="11">
        <v>8130873858</v>
      </c>
      <c r="H4640" s="10" t="s">
        <v>3181</v>
      </c>
      <c r="I4640" s="10" t="s">
        <v>27</v>
      </c>
      <c r="J4640" s="10" t="s">
        <v>372</v>
      </c>
      <c r="K4640" s="12">
        <v>46024</v>
      </c>
      <c r="L4640" s="28" t="s">
        <v>11</v>
      </c>
      <c r="M4640" s="14"/>
      <c r="N4640" s="10" t="s">
        <v>1028</v>
      </c>
    </row>
    <row r="4641" spans="1:14" ht="22.5" customHeight="1">
      <c r="A4641" s="8">
        <v>46024.311175613431</v>
      </c>
      <c r="B4641" s="9" t="s">
        <v>14</v>
      </c>
      <c r="C4641" s="9" t="s">
        <v>15</v>
      </c>
      <c r="D4641" s="10" t="s">
        <v>10131</v>
      </c>
      <c r="E4641" s="9" t="s">
        <v>17</v>
      </c>
      <c r="F4641" s="10">
        <v>28</v>
      </c>
      <c r="G4641" s="11">
        <v>8081100128</v>
      </c>
      <c r="H4641" s="10" t="s">
        <v>10132</v>
      </c>
      <c r="I4641" s="10" t="s">
        <v>145</v>
      </c>
      <c r="J4641" s="10" t="s">
        <v>10133</v>
      </c>
      <c r="K4641" s="12">
        <v>46024</v>
      </c>
      <c r="L4641" s="28" t="s">
        <v>11</v>
      </c>
      <c r="M4641" s="14"/>
      <c r="N4641" s="10" t="s">
        <v>1028</v>
      </c>
    </row>
    <row r="4642" spans="1:14" ht="22.5" customHeight="1">
      <c r="A4642" s="8">
        <v>46024.312318414348</v>
      </c>
      <c r="B4642" s="9" t="s">
        <v>14</v>
      </c>
      <c r="C4642" s="9" t="s">
        <v>15</v>
      </c>
      <c r="D4642" s="10" t="s">
        <v>10134</v>
      </c>
      <c r="E4642" s="9" t="s">
        <v>17</v>
      </c>
      <c r="F4642" s="10">
        <v>28</v>
      </c>
      <c r="G4642" s="11">
        <v>8104605412</v>
      </c>
      <c r="H4642" s="10" t="s">
        <v>10135</v>
      </c>
      <c r="I4642" s="10" t="s">
        <v>27</v>
      </c>
      <c r="J4642" s="10" t="s">
        <v>10136</v>
      </c>
      <c r="K4642" s="12">
        <v>46024</v>
      </c>
      <c r="L4642" s="28" t="s">
        <v>11</v>
      </c>
      <c r="M4642" s="14"/>
      <c r="N4642" s="10" t="s">
        <v>1028</v>
      </c>
    </row>
    <row r="4643" spans="1:14" ht="22.5" customHeight="1">
      <c r="A4643" s="8">
        <v>46024.313500034725</v>
      </c>
      <c r="B4643" s="9" t="s">
        <v>14</v>
      </c>
      <c r="C4643" s="9" t="s">
        <v>15</v>
      </c>
      <c r="D4643" s="10" t="s">
        <v>10137</v>
      </c>
      <c r="E4643" s="9" t="s">
        <v>17</v>
      </c>
      <c r="F4643" s="10">
        <v>28</v>
      </c>
      <c r="G4643" s="11">
        <v>7039867312</v>
      </c>
      <c r="H4643" s="10" t="s">
        <v>10138</v>
      </c>
      <c r="I4643" s="10" t="s">
        <v>27</v>
      </c>
      <c r="J4643" s="10" t="s">
        <v>172</v>
      </c>
      <c r="K4643" s="12">
        <v>46024</v>
      </c>
      <c r="L4643" s="28" t="s">
        <v>11</v>
      </c>
      <c r="M4643" s="14"/>
      <c r="N4643" s="10" t="s">
        <v>1028</v>
      </c>
    </row>
    <row r="4644" spans="1:14" ht="22.5" customHeight="1">
      <c r="A4644" s="8">
        <v>46024.318793611106</v>
      </c>
      <c r="B4644" s="9" t="s">
        <v>14</v>
      </c>
      <c r="C4644" s="9" t="s">
        <v>15</v>
      </c>
      <c r="D4644" s="10" t="s">
        <v>10139</v>
      </c>
      <c r="E4644" s="9" t="s">
        <v>17</v>
      </c>
      <c r="F4644" s="10">
        <v>22</v>
      </c>
      <c r="G4644" s="11">
        <v>9035577092</v>
      </c>
      <c r="H4644" s="10" t="s">
        <v>10140</v>
      </c>
      <c r="I4644" s="10" t="s">
        <v>27</v>
      </c>
      <c r="J4644" s="10" t="s">
        <v>28</v>
      </c>
      <c r="K4644" s="12">
        <v>46024</v>
      </c>
      <c r="L4644" s="28" t="s">
        <v>11</v>
      </c>
      <c r="M4644" s="14"/>
      <c r="N4644" s="10" t="s">
        <v>10141</v>
      </c>
    </row>
    <row r="4645" spans="1:14" ht="22.5" customHeight="1">
      <c r="A4645" s="8">
        <v>46024.319968877317</v>
      </c>
      <c r="B4645" s="9" t="s">
        <v>14</v>
      </c>
      <c r="C4645" s="9" t="s">
        <v>15</v>
      </c>
      <c r="D4645" s="10" t="s">
        <v>10142</v>
      </c>
      <c r="E4645" s="9" t="s">
        <v>17</v>
      </c>
      <c r="F4645" s="10">
        <v>31</v>
      </c>
      <c r="G4645" s="11">
        <v>8114821295</v>
      </c>
      <c r="H4645" s="10" t="s">
        <v>10143</v>
      </c>
      <c r="I4645" s="10" t="s">
        <v>27</v>
      </c>
      <c r="J4645" s="10" t="s">
        <v>2105</v>
      </c>
      <c r="K4645" s="12">
        <v>46024</v>
      </c>
      <c r="L4645" s="28" t="s">
        <v>11</v>
      </c>
      <c r="M4645" s="14"/>
      <c r="N4645" s="10" t="s">
        <v>1028</v>
      </c>
    </row>
    <row r="4646" spans="1:14" ht="22.5" customHeight="1">
      <c r="A4646" s="8">
        <v>46024.320451550928</v>
      </c>
      <c r="B4646" s="9" t="s">
        <v>14</v>
      </c>
      <c r="C4646" s="9" t="s">
        <v>15</v>
      </c>
      <c r="D4646" s="10" t="s">
        <v>3810</v>
      </c>
      <c r="E4646" s="9" t="s">
        <v>22</v>
      </c>
      <c r="F4646" s="10">
        <v>26</v>
      </c>
      <c r="G4646" s="11">
        <v>9022006235</v>
      </c>
      <c r="H4646" s="10" t="s">
        <v>3811</v>
      </c>
      <c r="I4646" s="10" t="s">
        <v>27</v>
      </c>
      <c r="J4646" s="10" t="s">
        <v>172</v>
      </c>
      <c r="K4646" s="12">
        <v>46024</v>
      </c>
      <c r="L4646" s="28" t="s">
        <v>11</v>
      </c>
      <c r="M4646" s="14"/>
      <c r="N4646" s="10" t="s">
        <v>1028</v>
      </c>
    </row>
    <row r="4647" spans="1:14" ht="22.5" customHeight="1">
      <c r="A4647" s="8">
        <v>46024.321181967593</v>
      </c>
      <c r="B4647" s="9" t="s">
        <v>14</v>
      </c>
      <c r="C4647" s="9" t="s">
        <v>15</v>
      </c>
      <c r="D4647" s="10" t="s">
        <v>10144</v>
      </c>
      <c r="E4647" s="9" t="s">
        <v>22</v>
      </c>
      <c r="F4647" s="10">
        <v>30</v>
      </c>
      <c r="G4647" s="11">
        <v>8148660368</v>
      </c>
      <c r="H4647" s="10" t="s">
        <v>10145</v>
      </c>
      <c r="I4647" s="10" t="s">
        <v>31</v>
      </c>
      <c r="J4647" s="10" t="s">
        <v>1786</v>
      </c>
      <c r="K4647" s="12">
        <v>46024</v>
      </c>
      <c r="L4647" s="28" t="s">
        <v>11</v>
      </c>
      <c r="M4647" s="14"/>
      <c r="N4647" s="10" t="s">
        <v>1028</v>
      </c>
    </row>
    <row r="4648" spans="1:14" ht="22.5" hidden="1" customHeight="1">
      <c r="A4648" s="8">
        <v>46024.327435104162</v>
      </c>
      <c r="B4648" s="9" t="s">
        <v>14</v>
      </c>
      <c r="C4648" s="9" t="s">
        <v>15</v>
      </c>
      <c r="D4648" s="10" t="s">
        <v>10146</v>
      </c>
      <c r="E4648" s="9" t="s">
        <v>17</v>
      </c>
      <c r="F4648" s="10">
        <v>31</v>
      </c>
      <c r="G4648" s="11">
        <f t="shared" ref="G4648" si="128">2348030727496</f>
        <v>2348030727496</v>
      </c>
      <c r="H4648" s="10" t="s">
        <v>10147</v>
      </c>
      <c r="I4648" s="10" t="s">
        <v>27</v>
      </c>
      <c r="J4648" s="10" t="s">
        <v>10148</v>
      </c>
      <c r="K4648" s="12">
        <v>46024</v>
      </c>
      <c r="L4648" s="10" t="s">
        <v>441</v>
      </c>
      <c r="M4648" s="10" t="s">
        <v>1356</v>
      </c>
      <c r="N4648" s="10" t="s">
        <v>1028</v>
      </c>
    </row>
    <row r="4649" spans="1:14" ht="22.5" customHeight="1">
      <c r="A4649" s="8">
        <v>46024.32924042824</v>
      </c>
      <c r="B4649" s="9" t="s">
        <v>14</v>
      </c>
      <c r="C4649" s="9" t="s">
        <v>15</v>
      </c>
      <c r="D4649" s="10" t="s">
        <v>10149</v>
      </c>
      <c r="E4649" s="9" t="s">
        <v>17</v>
      </c>
      <c r="F4649" s="10">
        <v>35</v>
      </c>
      <c r="G4649" s="11">
        <v>8067189529</v>
      </c>
      <c r="H4649" s="10" t="s">
        <v>10150</v>
      </c>
      <c r="I4649" s="10" t="s">
        <v>202</v>
      </c>
      <c r="J4649" s="10" t="s">
        <v>4632</v>
      </c>
      <c r="K4649" s="12">
        <v>46024</v>
      </c>
      <c r="L4649" s="28" t="s">
        <v>11</v>
      </c>
      <c r="M4649" s="14"/>
      <c r="N4649" s="10" t="s">
        <v>1096</v>
      </c>
    </row>
    <row r="4650" spans="1:14" ht="22.5" customHeight="1">
      <c r="A4650" s="8">
        <v>46024.349443900464</v>
      </c>
      <c r="B4650" s="9" t="s">
        <v>14</v>
      </c>
      <c r="C4650" s="9" t="s">
        <v>15</v>
      </c>
      <c r="D4650" s="10" t="s">
        <v>10151</v>
      </c>
      <c r="E4650" s="9" t="s">
        <v>17</v>
      </c>
      <c r="F4650" s="10">
        <v>32</v>
      </c>
      <c r="G4650" s="11">
        <v>8069502164</v>
      </c>
      <c r="H4650" s="10" t="s">
        <v>10152</v>
      </c>
      <c r="I4650" s="10" t="s">
        <v>49</v>
      </c>
      <c r="J4650" s="10" t="s">
        <v>1853</v>
      </c>
      <c r="K4650" s="12">
        <v>46024</v>
      </c>
      <c r="L4650" s="28" t="s">
        <v>11</v>
      </c>
      <c r="M4650" s="14"/>
      <c r="N4650" s="10" t="s">
        <v>1028</v>
      </c>
    </row>
    <row r="4651" spans="1:14" ht="22.5" customHeight="1">
      <c r="A4651" s="8">
        <v>46024.350185324074</v>
      </c>
      <c r="B4651" s="9" t="s">
        <v>14</v>
      </c>
      <c r="C4651" s="9" t="s">
        <v>15</v>
      </c>
      <c r="D4651" s="10" t="s">
        <v>10153</v>
      </c>
      <c r="E4651" s="9" t="s">
        <v>17</v>
      </c>
      <c r="F4651" s="10">
        <v>32</v>
      </c>
      <c r="G4651" s="11">
        <v>8133797229</v>
      </c>
      <c r="H4651" s="10" t="s">
        <v>10154</v>
      </c>
      <c r="I4651" s="10" t="s">
        <v>31</v>
      </c>
      <c r="J4651" s="10" t="s">
        <v>32</v>
      </c>
      <c r="K4651" s="12">
        <v>46024</v>
      </c>
      <c r="L4651" s="28" t="s">
        <v>11</v>
      </c>
      <c r="M4651" s="14"/>
      <c r="N4651" s="10" t="s">
        <v>1028</v>
      </c>
    </row>
    <row r="4652" spans="1:14" ht="22.5" customHeight="1">
      <c r="A4652" s="8">
        <v>46024.353526284722</v>
      </c>
      <c r="B4652" s="9" t="s">
        <v>14</v>
      </c>
      <c r="C4652" s="9" t="s">
        <v>15</v>
      </c>
      <c r="D4652" s="10" t="s">
        <v>10155</v>
      </c>
      <c r="E4652" s="9" t="s">
        <v>22</v>
      </c>
      <c r="F4652" s="10">
        <v>30</v>
      </c>
      <c r="G4652" s="11">
        <v>8064948648</v>
      </c>
      <c r="H4652" s="10" t="s">
        <v>10156</v>
      </c>
      <c r="I4652" s="10" t="s">
        <v>49</v>
      </c>
      <c r="J4652" s="10" t="s">
        <v>160</v>
      </c>
      <c r="K4652" s="12">
        <v>46024</v>
      </c>
      <c r="L4652" s="28" t="s">
        <v>11</v>
      </c>
      <c r="M4652" s="14"/>
      <c r="N4652" s="10" t="s">
        <v>1028</v>
      </c>
    </row>
    <row r="4653" spans="1:14" ht="22.5" customHeight="1">
      <c r="A4653" s="8">
        <v>46024.354485127318</v>
      </c>
      <c r="B4653" s="9" t="s">
        <v>14</v>
      </c>
      <c r="C4653" s="9" t="s">
        <v>15</v>
      </c>
      <c r="D4653" s="10" t="s">
        <v>10157</v>
      </c>
      <c r="E4653" s="9" t="s">
        <v>22</v>
      </c>
      <c r="F4653" s="19">
        <v>21</v>
      </c>
      <c r="G4653" s="11">
        <v>9138333675</v>
      </c>
      <c r="H4653" s="10" t="s">
        <v>10158</v>
      </c>
      <c r="I4653" s="10" t="s">
        <v>19</v>
      </c>
      <c r="J4653" s="10" t="s">
        <v>3369</v>
      </c>
      <c r="K4653" s="12">
        <v>46024</v>
      </c>
      <c r="L4653" s="28" t="s">
        <v>11</v>
      </c>
      <c r="M4653" s="14"/>
      <c r="N4653" s="10" t="s">
        <v>10159</v>
      </c>
    </row>
    <row r="4654" spans="1:14" ht="22.5" customHeight="1">
      <c r="A4654" s="8">
        <v>46024.359215671298</v>
      </c>
      <c r="B4654" s="9" t="s">
        <v>14</v>
      </c>
      <c r="C4654" s="9" t="s">
        <v>15</v>
      </c>
      <c r="D4654" s="10" t="s">
        <v>10160</v>
      </c>
      <c r="E4654" s="9" t="s">
        <v>17</v>
      </c>
      <c r="F4654" s="10">
        <v>23</v>
      </c>
      <c r="G4654" s="11">
        <v>8138981216</v>
      </c>
      <c r="H4654" s="10" t="s">
        <v>10161</v>
      </c>
      <c r="I4654" s="10" t="s">
        <v>27</v>
      </c>
      <c r="J4654" s="10" t="s">
        <v>172</v>
      </c>
      <c r="K4654" s="12">
        <v>46024</v>
      </c>
      <c r="L4654" s="28" t="s">
        <v>11</v>
      </c>
      <c r="M4654" s="14"/>
      <c r="N4654" s="10" t="s">
        <v>1028</v>
      </c>
    </row>
    <row r="4655" spans="1:14" ht="22.5" customHeight="1">
      <c r="A4655" s="8">
        <v>46024.360102013889</v>
      </c>
      <c r="B4655" s="9" t="s">
        <v>14</v>
      </c>
      <c r="C4655" s="9" t="s">
        <v>15</v>
      </c>
      <c r="D4655" s="10" t="s">
        <v>10162</v>
      </c>
      <c r="E4655" s="9" t="s">
        <v>17</v>
      </c>
      <c r="F4655" s="10">
        <v>26</v>
      </c>
      <c r="G4655" s="11">
        <v>8122493955</v>
      </c>
      <c r="H4655" s="10" t="s">
        <v>10163</v>
      </c>
      <c r="I4655" s="10" t="s">
        <v>27</v>
      </c>
      <c r="J4655" s="10" t="s">
        <v>372</v>
      </c>
      <c r="K4655" s="12">
        <v>46024</v>
      </c>
      <c r="L4655" s="28" t="s">
        <v>11</v>
      </c>
      <c r="M4655" s="14"/>
      <c r="N4655" s="10" t="s">
        <v>1028</v>
      </c>
    </row>
    <row r="4656" spans="1:14" ht="22.5" customHeight="1">
      <c r="A4656" s="8">
        <v>46024.366139062498</v>
      </c>
      <c r="B4656" s="9" t="s">
        <v>14</v>
      </c>
      <c r="C4656" s="9" t="s">
        <v>15</v>
      </c>
      <c r="D4656" s="10" t="s">
        <v>10164</v>
      </c>
      <c r="E4656" s="9" t="s">
        <v>17</v>
      </c>
      <c r="F4656" s="10">
        <v>27</v>
      </c>
      <c r="G4656" s="11">
        <v>7063210455</v>
      </c>
      <c r="H4656" s="10" t="s">
        <v>10165</v>
      </c>
      <c r="I4656" s="10" t="s">
        <v>49</v>
      </c>
      <c r="J4656" s="10" t="s">
        <v>606</v>
      </c>
      <c r="K4656" s="12">
        <v>46024</v>
      </c>
      <c r="L4656" s="28" t="s">
        <v>11</v>
      </c>
      <c r="M4656" s="14"/>
      <c r="N4656" s="10" t="s">
        <v>1028</v>
      </c>
    </row>
    <row r="4657" spans="1:14" ht="22.5" hidden="1" customHeight="1">
      <c r="A4657" s="8">
        <v>46024.367748472221</v>
      </c>
      <c r="B4657" s="9" t="s">
        <v>14</v>
      </c>
      <c r="C4657" s="9" t="s">
        <v>15</v>
      </c>
      <c r="D4657" s="10" t="s">
        <v>10166</v>
      </c>
      <c r="E4657" s="9" t="s">
        <v>22</v>
      </c>
      <c r="F4657" s="10">
        <v>34</v>
      </c>
      <c r="G4657" s="11">
        <v>9060108604</v>
      </c>
      <c r="H4657" s="10" t="s">
        <v>10167</v>
      </c>
      <c r="I4657" s="10" t="s">
        <v>27</v>
      </c>
      <c r="J4657" s="10" t="s">
        <v>606</v>
      </c>
      <c r="K4657" s="12">
        <v>46024</v>
      </c>
      <c r="L4657" s="10" t="s">
        <v>441</v>
      </c>
      <c r="M4657" s="10" t="s">
        <v>1361</v>
      </c>
      <c r="N4657" s="10" t="s">
        <v>1563</v>
      </c>
    </row>
    <row r="4658" spans="1:14" ht="22.5" customHeight="1">
      <c r="A4658" s="8">
        <v>46024.371175046297</v>
      </c>
      <c r="B4658" s="9" t="s">
        <v>14</v>
      </c>
      <c r="C4658" s="9" t="s">
        <v>15</v>
      </c>
      <c r="D4658" s="10" t="s">
        <v>10168</v>
      </c>
      <c r="E4658" s="9" t="s">
        <v>17</v>
      </c>
      <c r="F4658" s="10">
        <v>30</v>
      </c>
      <c r="G4658" s="11">
        <v>8165165999</v>
      </c>
      <c r="H4658" s="10" t="s">
        <v>10169</v>
      </c>
      <c r="I4658" s="10" t="s">
        <v>45</v>
      </c>
      <c r="J4658" s="10" t="s">
        <v>901</v>
      </c>
      <c r="K4658" s="12">
        <v>34943</v>
      </c>
      <c r="L4658" s="28" t="s">
        <v>11</v>
      </c>
      <c r="M4658" s="14"/>
      <c r="N4658" s="10" t="s">
        <v>1028</v>
      </c>
    </row>
    <row r="4659" spans="1:14" ht="22.5" hidden="1" customHeight="1">
      <c r="A4659" s="8">
        <v>46024.376530925925</v>
      </c>
      <c r="B4659" s="9" t="s">
        <v>14</v>
      </c>
      <c r="C4659" s="9" t="s">
        <v>15</v>
      </c>
      <c r="D4659" s="10" t="s">
        <v>10170</v>
      </c>
      <c r="E4659" s="9" t="s">
        <v>22</v>
      </c>
      <c r="F4659" s="10">
        <v>30</v>
      </c>
      <c r="G4659" s="11">
        <v>9030245305</v>
      </c>
      <c r="H4659" s="10" t="s">
        <v>10171</v>
      </c>
      <c r="I4659" s="10" t="s">
        <v>27</v>
      </c>
      <c r="J4659" s="10" t="s">
        <v>1456</v>
      </c>
      <c r="K4659" s="12">
        <v>46024</v>
      </c>
      <c r="L4659" s="10" t="s">
        <v>441</v>
      </c>
      <c r="M4659" s="10" t="s">
        <v>1361</v>
      </c>
      <c r="N4659" s="10" t="s">
        <v>1028</v>
      </c>
    </row>
    <row r="4660" spans="1:14" ht="22.5" customHeight="1">
      <c r="A4660" s="8">
        <v>46024.396679027777</v>
      </c>
      <c r="B4660" s="9" t="s">
        <v>14</v>
      </c>
      <c r="C4660" s="9" t="s">
        <v>15</v>
      </c>
      <c r="D4660" s="10" t="s">
        <v>10172</v>
      </c>
      <c r="E4660" s="9" t="s">
        <v>17</v>
      </c>
      <c r="F4660" s="10">
        <v>21</v>
      </c>
      <c r="G4660" s="11">
        <v>9160169973</v>
      </c>
      <c r="H4660" s="10" t="s">
        <v>10173</v>
      </c>
      <c r="I4660" s="10" t="s">
        <v>27</v>
      </c>
      <c r="J4660" s="10" t="s">
        <v>372</v>
      </c>
      <c r="K4660" s="12">
        <v>46024</v>
      </c>
      <c r="L4660" s="28" t="s">
        <v>11</v>
      </c>
      <c r="M4660" s="14"/>
      <c r="N4660" s="10" t="s">
        <v>1096</v>
      </c>
    </row>
    <row r="4661" spans="1:14" ht="22.5" customHeight="1">
      <c r="A4661" s="8">
        <v>46024.402546967598</v>
      </c>
      <c r="B4661" s="9" t="s">
        <v>14</v>
      </c>
      <c r="C4661" s="9" t="s">
        <v>15</v>
      </c>
      <c r="D4661" s="10" t="s">
        <v>10174</v>
      </c>
      <c r="E4661" s="9" t="s">
        <v>17</v>
      </c>
      <c r="F4661" s="10">
        <v>35</v>
      </c>
      <c r="G4661" s="11">
        <v>7039802567</v>
      </c>
      <c r="H4661" s="10" t="s">
        <v>10175</v>
      </c>
      <c r="I4661" s="10" t="s">
        <v>27</v>
      </c>
      <c r="J4661" s="10" t="s">
        <v>27</v>
      </c>
      <c r="K4661" s="12">
        <v>46024</v>
      </c>
      <c r="L4661" s="28" t="s">
        <v>11</v>
      </c>
      <c r="M4661" s="14"/>
      <c r="N4661" s="10" t="s">
        <v>1028</v>
      </c>
    </row>
    <row r="4662" spans="1:14" ht="22.5" customHeight="1">
      <c r="A4662" s="8">
        <v>46024.40811315972</v>
      </c>
      <c r="B4662" s="9" t="s">
        <v>14</v>
      </c>
      <c r="C4662" s="9" t="s">
        <v>15</v>
      </c>
      <c r="D4662" s="10" t="s">
        <v>10176</v>
      </c>
      <c r="E4662" s="9" t="s">
        <v>22</v>
      </c>
      <c r="F4662" s="10">
        <v>26</v>
      </c>
      <c r="G4662" s="11">
        <v>8132232239</v>
      </c>
      <c r="H4662" s="10" t="s">
        <v>10177</v>
      </c>
      <c r="I4662" s="10" t="s">
        <v>27</v>
      </c>
      <c r="J4662" s="10" t="s">
        <v>1456</v>
      </c>
      <c r="K4662" s="12">
        <v>46024</v>
      </c>
      <c r="L4662" s="28" t="s">
        <v>11</v>
      </c>
      <c r="M4662" s="14"/>
      <c r="N4662" s="10" t="s">
        <v>1096</v>
      </c>
    </row>
    <row r="4663" spans="1:14" ht="22.5" customHeight="1">
      <c r="A4663" s="8">
        <v>46024.408891180559</v>
      </c>
      <c r="B4663" s="9" t="s">
        <v>14</v>
      </c>
      <c r="C4663" s="9" t="s">
        <v>15</v>
      </c>
      <c r="D4663" s="10" t="s">
        <v>10178</v>
      </c>
      <c r="E4663" s="9" t="s">
        <v>17</v>
      </c>
      <c r="F4663" s="10">
        <v>35</v>
      </c>
      <c r="G4663" s="11">
        <v>8137655197</v>
      </c>
      <c r="H4663" s="10" t="s">
        <v>10179</v>
      </c>
      <c r="I4663" s="10" t="s">
        <v>202</v>
      </c>
      <c r="J4663" s="10" t="s">
        <v>4632</v>
      </c>
      <c r="K4663" s="12">
        <v>46024</v>
      </c>
      <c r="L4663" s="28" t="s">
        <v>11</v>
      </c>
      <c r="M4663" s="14"/>
      <c r="N4663" s="10" t="s">
        <v>1028</v>
      </c>
    </row>
    <row r="4664" spans="1:14" ht="22.5" customHeight="1">
      <c r="A4664" s="8">
        <v>46024.411037858794</v>
      </c>
      <c r="B4664" s="9" t="s">
        <v>14</v>
      </c>
      <c r="C4664" s="9" t="s">
        <v>15</v>
      </c>
      <c r="D4664" s="10" t="s">
        <v>10180</v>
      </c>
      <c r="E4664" s="9" t="s">
        <v>17</v>
      </c>
      <c r="F4664" s="10">
        <v>41</v>
      </c>
      <c r="G4664" s="11">
        <v>8021000747</v>
      </c>
      <c r="H4664" s="10" t="s">
        <v>10181</v>
      </c>
      <c r="I4664" s="10" t="s">
        <v>49</v>
      </c>
      <c r="J4664" s="10" t="s">
        <v>606</v>
      </c>
      <c r="K4664" s="12">
        <v>46024</v>
      </c>
      <c r="L4664" s="28" t="s">
        <v>11</v>
      </c>
      <c r="M4664" s="14"/>
      <c r="N4664" s="10" t="s">
        <v>1028</v>
      </c>
    </row>
    <row r="4665" spans="1:14" ht="22.5" customHeight="1">
      <c r="A4665" s="8">
        <v>46024.414619432871</v>
      </c>
      <c r="B4665" s="9" t="s">
        <v>14</v>
      </c>
      <c r="C4665" s="9" t="s">
        <v>15</v>
      </c>
      <c r="D4665" s="10" t="s">
        <v>10182</v>
      </c>
      <c r="E4665" s="9" t="s">
        <v>17</v>
      </c>
      <c r="F4665" s="10">
        <v>28</v>
      </c>
      <c r="G4665" s="11">
        <v>7064743406</v>
      </c>
      <c r="H4665" s="10" t="s">
        <v>10183</v>
      </c>
      <c r="I4665" s="10" t="s">
        <v>27</v>
      </c>
      <c r="J4665" s="10" t="s">
        <v>1514</v>
      </c>
      <c r="K4665" s="12">
        <v>35431</v>
      </c>
      <c r="L4665" s="28" t="s">
        <v>11</v>
      </c>
      <c r="M4665" s="14"/>
      <c r="N4665" s="10" t="s">
        <v>1028</v>
      </c>
    </row>
    <row r="4666" spans="1:14" ht="22.5" customHeight="1">
      <c r="A4666" s="8">
        <v>46024.416827638888</v>
      </c>
      <c r="B4666" s="9" t="s">
        <v>14</v>
      </c>
      <c r="C4666" s="9" t="s">
        <v>15</v>
      </c>
      <c r="D4666" s="10" t="s">
        <v>10184</v>
      </c>
      <c r="E4666" s="9" t="s">
        <v>17</v>
      </c>
      <c r="F4666" s="10">
        <v>31</v>
      </c>
      <c r="G4666" s="11">
        <v>8066602961</v>
      </c>
      <c r="H4666" s="10" t="s">
        <v>10185</v>
      </c>
      <c r="I4666" s="10" t="s">
        <v>31</v>
      </c>
      <c r="J4666" s="10" t="s">
        <v>32</v>
      </c>
      <c r="K4666" s="12">
        <v>46024</v>
      </c>
      <c r="L4666" s="28" t="s">
        <v>11</v>
      </c>
      <c r="M4666" s="14"/>
      <c r="N4666" s="10" t="s">
        <v>1028</v>
      </c>
    </row>
    <row r="4667" spans="1:14" ht="22.5" customHeight="1">
      <c r="A4667" s="8">
        <v>46024.420182708331</v>
      </c>
      <c r="B4667" s="9" t="s">
        <v>14</v>
      </c>
      <c r="C4667" s="9" t="s">
        <v>15</v>
      </c>
      <c r="D4667" s="10" t="s">
        <v>10186</v>
      </c>
      <c r="E4667" s="9" t="s">
        <v>17</v>
      </c>
      <c r="F4667" s="10">
        <v>35</v>
      </c>
      <c r="G4667" s="11">
        <v>8065491615</v>
      </c>
      <c r="H4667" s="10" t="s">
        <v>10187</v>
      </c>
      <c r="I4667" s="10" t="s">
        <v>45</v>
      </c>
      <c r="J4667" s="10" t="s">
        <v>4998</v>
      </c>
      <c r="K4667" s="12">
        <v>46024</v>
      </c>
      <c r="L4667" s="28" t="s">
        <v>11</v>
      </c>
      <c r="M4667" s="14"/>
      <c r="N4667" s="10" t="s">
        <v>1096</v>
      </c>
    </row>
    <row r="4668" spans="1:14" ht="22.5" customHeight="1">
      <c r="A4668" s="8">
        <v>46024.424516412037</v>
      </c>
      <c r="B4668" s="9" t="s">
        <v>14</v>
      </c>
      <c r="C4668" s="9" t="s">
        <v>15</v>
      </c>
      <c r="D4668" s="10" t="s">
        <v>10188</v>
      </c>
      <c r="E4668" s="9" t="s">
        <v>17</v>
      </c>
      <c r="F4668" s="10">
        <v>29</v>
      </c>
      <c r="G4668" s="11">
        <v>8142133672</v>
      </c>
      <c r="H4668" s="10" t="s">
        <v>10189</v>
      </c>
      <c r="I4668" s="10" t="s">
        <v>27</v>
      </c>
      <c r="J4668" s="10" t="s">
        <v>70</v>
      </c>
      <c r="K4668" s="12">
        <v>46024</v>
      </c>
      <c r="L4668" s="28" t="s">
        <v>11</v>
      </c>
      <c r="M4668" s="14"/>
      <c r="N4668" s="10" t="s">
        <v>1028</v>
      </c>
    </row>
    <row r="4669" spans="1:14" ht="22.5" customHeight="1">
      <c r="A4669" s="8">
        <v>46024.425339606481</v>
      </c>
      <c r="B4669" s="9" t="s">
        <v>14</v>
      </c>
      <c r="C4669" s="9" t="s">
        <v>15</v>
      </c>
      <c r="D4669" s="10" t="s">
        <v>10190</v>
      </c>
      <c r="E4669" s="9" t="s">
        <v>22</v>
      </c>
      <c r="F4669" s="10">
        <v>20</v>
      </c>
      <c r="G4669" s="11">
        <v>9068305400</v>
      </c>
      <c r="H4669" s="10" t="s">
        <v>10191</v>
      </c>
      <c r="I4669" s="10" t="s">
        <v>49</v>
      </c>
      <c r="J4669" s="10" t="s">
        <v>5056</v>
      </c>
      <c r="K4669" s="12">
        <v>46024</v>
      </c>
      <c r="L4669" s="28" t="s">
        <v>11</v>
      </c>
      <c r="M4669" s="14"/>
      <c r="N4669" s="10" t="s">
        <v>1028</v>
      </c>
    </row>
    <row r="4670" spans="1:14" ht="22.5" customHeight="1">
      <c r="A4670" s="8">
        <v>46024.44482640046</v>
      </c>
      <c r="B4670" s="9" t="s">
        <v>14</v>
      </c>
      <c r="C4670" s="9" t="s">
        <v>15</v>
      </c>
      <c r="D4670" s="10" t="s">
        <v>10192</v>
      </c>
      <c r="E4670" s="9" t="s">
        <v>17</v>
      </c>
      <c r="F4670" s="10">
        <v>24</v>
      </c>
      <c r="G4670" s="11">
        <v>8131144703</v>
      </c>
      <c r="H4670" s="10" t="s">
        <v>10193</v>
      </c>
      <c r="I4670" s="10" t="s">
        <v>27</v>
      </c>
      <c r="J4670" s="10" t="s">
        <v>10194</v>
      </c>
      <c r="K4670" s="12">
        <v>46024</v>
      </c>
      <c r="L4670" s="28" t="s">
        <v>11</v>
      </c>
      <c r="M4670" s="14"/>
      <c r="N4670" s="10" t="s">
        <v>1028</v>
      </c>
    </row>
    <row r="4671" spans="1:14" ht="22.5" customHeight="1">
      <c r="A4671" s="8">
        <v>46024.449025023147</v>
      </c>
      <c r="B4671" s="9" t="s">
        <v>14</v>
      </c>
      <c r="C4671" s="9" t="s">
        <v>15</v>
      </c>
      <c r="D4671" s="10" t="s">
        <v>10195</v>
      </c>
      <c r="E4671" s="9" t="s">
        <v>22</v>
      </c>
      <c r="F4671" s="10">
        <v>32</v>
      </c>
      <c r="G4671" s="11">
        <v>8035577380</v>
      </c>
      <c r="H4671" s="10" t="s">
        <v>10196</v>
      </c>
      <c r="I4671" s="10" t="s">
        <v>27</v>
      </c>
      <c r="J4671" s="10" t="s">
        <v>70</v>
      </c>
      <c r="K4671" s="12">
        <v>46024</v>
      </c>
      <c r="L4671" s="28" t="s">
        <v>11</v>
      </c>
      <c r="M4671" s="14"/>
      <c r="N4671" s="10" t="s">
        <v>1028</v>
      </c>
    </row>
    <row r="4672" spans="1:14" ht="22.5" customHeight="1">
      <c r="A4672" s="8">
        <v>46024.452626770828</v>
      </c>
      <c r="B4672" s="9" t="s">
        <v>14</v>
      </c>
      <c r="C4672" s="9" t="s">
        <v>15</v>
      </c>
      <c r="D4672" s="10" t="s">
        <v>10197</v>
      </c>
      <c r="E4672" s="9" t="s">
        <v>22</v>
      </c>
      <c r="F4672" s="10">
        <v>34</v>
      </c>
      <c r="G4672" s="11">
        <v>7039554798</v>
      </c>
      <c r="H4672" s="10" t="s">
        <v>10198</v>
      </c>
      <c r="I4672" s="10" t="s">
        <v>19</v>
      </c>
      <c r="J4672" s="10" t="s">
        <v>10199</v>
      </c>
      <c r="K4672" s="12">
        <v>46024</v>
      </c>
      <c r="L4672" s="28" t="s">
        <v>11</v>
      </c>
      <c r="M4672" s="14"/>
      <c r="N4672" s="10" t="s">
        <v>1028</v>
      </c>
    </row>
    <row r="4673" spans="1:14" ht="22.5" customHeight="1">
      <c r="A4673" s="8">
        <v>46024.455919178239</v>
      </c>
      <c r="B4673" s="9" t="s">
        <v>14</v>
      </c>
      <c r="C4673" s="9" t="s">
        <v>15</v>
      </c>
      <c r="D4673" s="10" t="s">
        <v>10200</v>
      </c>
      <c r="E4673" s="9" t="s">
        <v>17</v>
      </c>
      <c r="F4673" s="10">
        <v>31</v>
      </c>
      <c r="G4673" s="11">
        <v>8027796360</v>
      </c>
      <c r="H4673" s="10" t="s">
        <v>10201</v>
      </c>
      <c r="I4673" s="10" t="s">
        <v>27</v>
      </c>
      <c r="J4673" s="10" t="s">
        <v>3186</v>
      </c>
      <c r="K4673" s="12">
        <v>34445</v>
      </c>
      <c r="L4673" s="28" t="s">
        <v>11</v>
      </c>
      <c r="M4673" s="14"/>
      <c r="N4673" s="10" t="s">
        <v>1028</v>
      </c>
    </row>
    <row r="4674" spans="1:14" ht="22.5" hidden="1" customHeight="1">
      <c r="A4674" s="8">
        <v>46024.468884861111</v>
      </c>
      <c r="B4674" s="9" t="s">
        <v>14</v>
      </c>
      <c r="C4674" s="9" t="s">
        <v>15</v>
      </c>
      <c r="D4674" s="10" t="s">
        <v>10202</v>
      </c>
      <c r="E4674" s="9" t="s">
        <v>17</v>
      </c>
      <c r="F4674" s="10">
        <v>30</v>
      </c>
      <c r="G4674" s="11">
        <v>7033859003</v>
      </c>
      <c r="H4674" s="10" t="s">
        <v>10203</v>
      </c>
      <c r="I4674" s="10" t="s">
        <v>27</v>
      </c>
      <c r="J4674" s="10" t="s">
        <v>2196</v>
      </c>
      <c r="K4674" s="12">
        <v>46024</v>
      </c>
      <c r="L4674" s="10" t="s">
        <v>441</v>
      </c>
      <c r="M4674" s="10" t="s">
        <v>1356</v>
      </c>
      <c r="N4674" s="10" t="s">
        <v>1563</v>
      </c>
    </row>
    <row r="4675" spans="1:14" ht="22.5" customHeight="1">
      <c r="A4675" s="8">
        <v>46024.473301724538</v>
      </c>
      <c r="B4675" s="9" t="s">
        <v>14</v>
      </c>
      <c r="C4675" s="9" t="s">
        <v>15</v>
      </c>
      <c r="D4675" s="10" t="s">
        <v>10204</v>
      </c>
      <c r="E4675" s="9" t="s">
        <v>17</v>
      </c>
      <c r="F4675" s="10">
        <v>36</v>
      </c>
      <c r="G4675" s="11">
        <v>8105613384</v>
      </c>
      <c r="H4675" s="10" t="s">
        <v>10205</v>
      </c>
      <c r="I4675" s="10" t="s">
        <v>45</v>
      </c>
      <c r="J4675" s="10" t="s">
        <v>3376</v>
      </c>
      <c r="K4675" s="12">
        <v>46024</v>
      </c>
      <c r="L4675" s="28" t="s">
        <v>11</v>
      </c>
      <c r="M4675" s="14"/>
      <c r="N4675" s="10" t="s">
        <v>1028</v>
      </c>
    </row>
    <row r="4676" spans="1:14" ht="22.5" customHeight="1">
      <c r="A4676" s="8">
        <v>46024.481479733797</v>
      </c>
      <c r="B4676" s="9" t="s">
        <v>14</v>
      </c>
      <c r="C4676" s="9" t="s">
        <v>15</v>
      </c>
      <c r="D4676" s="10" t="s">
        <v>10206</v>
      </c>
      <c r="E4676" s="9" t="s">
        <v>17</v>
      </c>
      <c r="F4676" s="10">
        <v>29</v>
      </c>
      <c r="G4676" s="11">
        <v>8162625773</v>
      </c>
      <c r="H4676" s="10" t="s">
        <v>10207</v>
      </c>
      <c r="I4676" s="10" t="s">
        <v>49</v>
      </c>
      <c r="J4676" s="10" t="s">
        <v>1559</v>
      </c>
      <c r="K4676" s="12">
        <v>46024</v>
      </c>
      <c r="L4676" s="28" t="s">
        <v>11</v>
      </c>
      <c r="M4676" s="10"/>
      <c r="N4676" s="10" t="s">
        <v>1028</v>
      </c>
    </row>
    <row r="4677" spans="1:14" ht="22.5" customHeight="1">
      <c r="A4677" s="8">
        <v>46024.485571342593</v>
      </c>
      <c r="B4677" s="9" t="s">
        <v>14</v>
      </c>
      <c r="C4677" s="9" t="s">
        <v>15</v>
      </c>
      <c r="D4677" s="10" t="s">
        <v>10208</v>
      </c>
      <c r="E4677" s="9" t="s">
        <v>17</v>
      </c>
      <c r="F4677" s="10">
        <v>25</v>
      </c>
      <c r="G4677" s="11">
        <v>8108553418</v>
      </c>
      <c r="H4677" s="10" t="s">
        <v>10209</v>
      </c>
      <c r="I4677" s="10" t="s">
        <v>45</v>
      </c>
      <c r="J4677" s="10" t="s">
        <v>5606</v>
      </c>
      <c r="K4677" s="12">
        <v>46024</v>
      </c>
      <c r="L4677" s="28" t="s">
        <v>11</v>
      </c>
      <c r="M4677" s="14"/>
      <c r="N4677" s="10" t="s">
        <v>1096</v>
      </c>
    </row>
    <row r="4678" spans="1:14" ht="22.5" customHeight="1">
      <c r="A4678" s="8">
        <v>46024.486026365739</v>
      </c>
      <c r="B4678" s="9" t="s">
        <v>14</v>
      </c>
      <c r="C4678" s="9" t="s">
        <v>15</v>
      </c>
      <c r="D4678" s="10" t="s">
        <v>10210</v>
      </c>
      <c r="E4678" s="9" t="s">
        <v>17</v>
      </c>
      <c r="F4678" s="10">
        <v>39</v>
      </c>
      <c r="G4678" s="11">
        <v>8038842452</v>
      </c>
      <c r="H4678" s="10" t="s">
        <v>10211</v>
      </c>
      <c r="I4678" s="10" t="s">
        <v>27</v>
      </c>
      <c r="J4678" s="10" t="s">
        <v>1514</v>
      </c>
      <c r="K4678" s="12">
        <v>31849</v>
      </c>
      <c r="L4678" s="28" t="s">
        <v>11</v>
      </c>
      <c r="M4678" s="14"/>
      <c r="N4678" s="10" t="s">
        <v>1028</v>
      </c>
    </row>
    <row r="4679" spans="1:14" ht="22.5" customHeight="1">
      <c r="A4679" s="8">
        <v>46024.50571297454</v>
      </c>
      <c r="B4679" s="9" t="s">
        <v>14</v>
      </c>
      <c r="C4679" s="9" t="s">
        <v>15</v>
      </c>
      <c r="D4679" s="10" t="s">
        <v>10212</v>
      </c>
      <c r="E4679" s="9" t="s">
        <v>22</v>
      </c>
      <c r="F4679" s="10">
        <v>33</v>
      </c>
      <c r="G4679" s="11">
        <v>8035729428</v>
      </c>
      <c r="H4679" s="10" t="s">
        <v>10213</v>
      </c>
      <c r="I4679" s="10" t="s">
        <v>49</v>
      </c>
      <c r="J4679" s="10" t="s">
        <v>10214</v>
      </c>
      <c r="K4679" s="12">
        <v>46024</v>
      </c>
      <c r="L4679" s="28" t="s">
        <v>11</v>
      </c>
      <c r="M4679" s="14"/>
      <c r="N4679" s="10" t="s">
        <v>1028</v>
      </c>
    </row>
    <row r="4680" spans="1:14" ht="22.5" customHeight="1">
      <c r="A4680" s="8">
        <v>46024.516580277777</v>
      </c>
      <c r="B4680" s="9" t="s">
        <v>14</v>
      </c>
      <c r="C4680" s="9" t="s">
        <v>15</v>
      </c>
      <c r="D4680" s="10" t="s">
        <v>10215</v>
      </c>
      <c r="E4680" s="9" t="s">
        <v>17</v>
      </c>
      <c r="F4680" s="10">
        <v>33</v>
      </c>
      <c r="G4680" s="11">
        <v>713379650</v>
      </c>
      <c r="H4680" s="10" t="s">
        <v>10216</v>
      </c>
      <c r="I4680" s="10" t="s">
        <v>31</v>
      </c>
      <c r="J4680" s="10" t="s">
        <v>1582</v>
      </c>
      <c r="K4680" s="12">
        <v>46024</v>
      </c>
      <c r="L4680" s="28" t="s">
        <v>11</v>
      </c>
      <c r="M4680" s="14"/>
      <c r="N4680" s="10" t="s">
        <v>10217</v>
      </c>
    </row>
    <row r="4681" spans="1:14" ht="22.5" customHeight="1">
      <c r="A4681" s="8">
        <v>46024.53230413195</v>
      </c>
      <c r="B4681" s="9" t="s">
        <v>14</v>
      </c>
      <c r="C4681" s="9" t="s">
        <v>15</v>
      </c>
      <c r="D4681" s="10" t="s">
        <v>10218</v>
      </c>
      <c r="E4681" s="9" t="s">
        <v>22</v>
      </c>
      <c r="F4681" s="18">
        <v>33</v>
      </c>
      <c r="G4681" s="11">
        <v>8039591190</v>
      </c>
      <c r="H4681" s="10" t="s">
        <v>10219</v>
      </c>
      <c r="I4681" s="10" t="s">
        <v>27</v>
      </c>
      <c r="J4681" s="10" t="s">
        <v>10220</v>
      </c>
      <c r="K4681" s="12">
        <v>46024</v>
      </c>
      <c r="L4681" s="28" t="s">
        <v>11</v>
      </c>
      <c r="M4681" s="14"/>
      <c r="N4681" s="10" t="s">
        <v>1028</v>
      </c>
    </row>
    <row r="4682" spans="1:14" ht="22.5" customHeight="1">
      <c r="A4682" s="8">
        <v>46024.532896828707</v>
      </c>
      <c r="B4682" s="9" t="s">
        <v>14</v>
      </c>
      <c r="C4682" s="9" t="s">
        <v>15</v>
      </c>
      <c r="D4682" s="10" t="s">
        <v>10221</v>
      </c>
      <c r="E4682" s="9" t="s">
        <v>17</v>
      </c>
      <c r="F4682" s="10">
        <v>30</v>
      </c>
      <c r="G4682" s="11">
        <v>7034856286</v>
      </c>
      <c r="H4682" s="10" t="s">
        <v>10222</v>
      </c>
      <c r="I4682" s="10" t="s">
        <v>27</v>
      </c>
      <c r="J4682" s="10" t="s">
        <v>27</v>
      </c>
      <c r="K4682" s="12">
        <v>46024</v>
      </c>
      <c r="L4682" s="28" t="s">
        <v>11</v>
      </c>
      <c r="M4682" s="14"/>
      <c r="N4682" s="10" t="s">
        <v>1028</v>
      </c>
    </row>
    <row r="4683" spans="1:14" ht="22.5" customHeight="1">
      <c r="A4683" s="8">
        <v>46024.545182013884</v>
      </c>
      <c r="B4683" s="9" t="s">
        <v>14</v>
      </c>
      <c r="C4683" s="9" t="s">
        <v>15</v>
      </c>
      <c r="D4683" s="10" t="s">
        <v>10223</v>
      </c>
      <c r="E4683" s="9" t="s">
        <v>17</v>
      </c>
      <c r="F4683" s="10">
        <v>28</v>
      </c>
      <c r="G4683" s="11">
        <v>8141955810</v>
      </c>
      <c r="H4683" s="10" t="s">
        <v>10224</v>
      </c>
      <c r="I4683" s="10" t="s">
        <v>27</v>
      </c>
      <c r="J4683" s="10" t="s">
        <v>27</v>
      </c>
      <c r="K4683" s="12">
        <v>46024</v>
      </c>
      <c r="L4683" s="28" t="s">
        <v>11</v>
      </c>
      <c r="M4683" s="14"/>
      <c r="N4683" s="10" t="s">
        <v>1096</v>
      </c>
    </row>
    <row r="4684" spans="1:14" ht="22.5" customHeight="1">
      <c r="A4684" s="8">
        <v>46024.556154375001</v>
      </c>
      <c r="B4684" s="9" t="s">
        <v>14</v>
      </c>
      <c r="C4684" s="9" t="s">
        <v>15</v>
      </c>
      <c r="D4684" s="10" t="s">
        <v>10225</v>
      </c>
      <c r="E4684" s="9" t="s">
        <v>17</v>
      </c>
      <c r="F4684" s="10">
        <v>32</v>
      </c>
      <c r="G4684" s="11">
        <v>8102485614</v>
      </c>
      <c r="H4684" s="10" t="s">
        <v>10226</v>
      </c>
      <c r="I4684" s="10" t="s">
        <v>31</v>
      </c>
      <c r="J4684" s="10" t="s">
        <v>32</v>
      </c>
      <c r="K4684" s="12">
        <v>46013</v>
      </c>
      <c r="L4684" s="28" t="s">
        <v>11</v>
      </c>
      <c r="M4684" s="14"/>
      <c r="N4684" s="10" t="s">
        <v>1028</v>
      </c>
    </row>
    <row r="4685" spans="1:14" ht="22.5" customHeight="1">
      <c r="A4685" s="8">
        <v>46024.565918009263</v>
      </c>
      <c r="B4685" s="9" t="s">
        <v>14</v>
      </c>
      <c r="C4685" s="9" t="s">
        <v>15</v>
      </c>
      <c r="D4685" s="10" t="s">
        <v>10227</v>
      </c>
      <c r="E4685" s="9" t="s">
        <v>22</v>
      </c>
      <c r="F4685" s="10">
        <v>23</v>
      </c>
      <c r="G4685" s="11">
        <v>9021202925</v>
      </c>
      <c r="H4685" s="10" t="s">
        <v>10228</v>
      </c>
      <c r="I4685" s="10" t="s">
        <v>45</v>
      </c>
      <c r="J4685" s="10" t="s">
        <v>279</v>
      </c>
      <c r="K4685" s="12">
        <v>46024</v>
      </c>
      <c r="L4685" s="28" t="s">
        <v>11</v>
      </c>
      <c r="M4685" s="14"/>
      <c r="N4685" s="10" t="s">
        <v>1096</v>
      </c>
    </row>
    <row r="4686" spans="1:14" ht="22.5" customHeight="1">
      <c r="A4686" s="8">
        <v>46024.569929224541</v>
      </c>
      <c r="B4686" s="9" t="s">
        <v>14</v>
      </c>
      <c r="C4686" s="9" t="s">
        <v>15</v>
      </c>
      <c r="D4686" s="10" t="s">
        <v>10229</v>
      </c>
      <c r="E4686" s="9" t="s">
        <v>17</v>
      </c>
      <c r="F4686" s="10">
        <v>38</v>
      </c>
      <c r="G4686" s="11">
        <v>7033586259</v>
      </c>
      <c r="H4686" s="10" t="s">
        <v>10230</v>
      </c>
      <c r="I4686" s="10" t="s">
        <v>202</v>
      </c>
      <c r="J4686" s="10" t="s">
        <v>10231</v>
      </c>
      <c r="K4686" s="12">
        <v>46024</v>
      </c>
      <c r="L4686" s="28" t="s">
        <v>11</v>
      </c>
      <c r="M4686" s="14"/>
      <c r="N4686" s="10" t="s">
        <v>1028</v>
      </c>
    </row>
    <row r="4687" spans="1:14" ht="22.5" customHeight="1">
      <c r="A4687" s="8">
        <v>46024.57012152778</v>
      </c>
      <c r="B4687" s="9" t="s">
        <v>14</v>
      </c>
      <c r="C4687" s="9" t="s">
        <v>15</v>
      </c>
      <c r="D4687" s="10" t="s">
        <v>10232</v>
      </c>
      <c r="E4687" s="9" t="s">
        <v>17</v>
      </c>
      <c r="F4687" s="10">
        <v>29</v>
      </c>
      <c r="G4687" s="11">
        <v>8137273803</v>
      </c>
      <c r="H4687" s="10" t="s">
        <v>10233</v>
      </c>
      <c r="I4687" s="10" t="s">
        <v>49</v>
      </c>
      <c r="J4687" s="10" t="s">
        <v>50</v>
      </c>
      <c r="K4687" s="12">
        <v>35377</v>
      </c>
      <c r="L4687" s="28" t="s">
        <v>11</v>
      </c>
      <c r="M4687" s="14"/>
      <c r="N4687" s="10" t="s">
        <v>1028</v>
      </c>
    </row>
    <row r="4688" spans="1:14" ht="22.5" customHeight="1">
      <c r="A4688" s="8">
        <v>46024.577270729162</v>
      </c>
      <c r="B4688" s="9" t="s">
        <v>14</v>
      </c>
      <c r="C4688" s="9" t="s">
        <v>15</v>
      </c>
      <c r="D4688" s="10" t="s">
        <v>10234</v>
      </c>
      <c r="E4688" s="9" t="s">
        <v>17</v>
      </c>
      <c r="F4688" s="19">
        <v>30</v>
      </c>
      <c r="G4688" s="11">
        <v>9033303088</v>
      </c>
      <c r="H4688" s="10" t="s">
        <v>10235</v>
      </c>
      <c r="I4688" s="10" t="s">
        <v>27</v>
      </c>
      <c r="J4688" s="10" t="s">
        <v>67</v>
      </c>
      <c r="K4688" s="12">
        <v>46024</v>
      </c>
      <c r="L4688" s="28" t="s">
        <v>11</v>
      </c>
      <c r="M4688" s="14"/>
      <c r="N4688" s="10" t="s">
        <v>1028</v>
      </c>
    </row>
    <row r="4689" spans="1:14" ht="22.5" customHeight="1">
      <c r="A4689" s="8">
        <v>46024.577691053244</v>
      </c>
      <c r="B4689" s="9" t="s">
        <v>14</v>
      </c>
      <c r="C4689" s="9" t="s">
        <v>15</v>
      </c>
      <c r="D4689" s="10" t="s">
        <v>10236</v>
      </c>
      <c r="E4689" s="9" t="s">
        <v>22</v>
      </c>
      <c r="F4689" s="10">
        <v>28</v>
      </c>
      <c r="G4689" s="11">
        <v>8153420491</v>
      </c>
      <c r="H4689" s="10" t="s">
        <v>10237</v>
      </c>
      <c r="I4689" s="10" t="s">
        <v>27</v>
      </c>
      <c r="J4689" s="10" t="s">
        <v>27</v>
      </c>
      <c r="K4689" s="12">
        <v>46024</v>
      </c>
      <c r="L4689" s="28" t="s">
        <v>11</v>
      </c>
      <c r="M4689" s="14"/>
      <c r="N4689" s="10" t="s">
        <v>1028</v>
      </c>
    </row>
    <row r="4690" spans="1:14" ht="22.5" customHeight="1">
      <c r="A4690" s="8">
        <v>46024.579228402778</v>
      </c>
      <c r="B4690" s="9" t="s">
        <v>14</v>
      </c>
      <c r="C4690" s="9" t="s">
        <v>15</v>
      </c>
      <c r="D4690" s="10" t="s">
        <v>10238</v>
      </c>
      <c r="E4690" s="9" t="s">
        <v>22</v>
      </c>
      <c r="F4690" s="10">
        <v>25</v>
      </c>
      <c r="G4690" s="11">
        <v>7048853367</v>
      </c>
      <c r="H4690" s="10" t="s">
        <v>10239</v>
      </c>
      <c r="I4690" s="10" t="s">
        <v>49</v>
      </c>
      <c r="J4690" s="10" t="s">
        <v>50</v>
      </c>
      <c r="K4690" s="12">
        <v>36830</v>
      </c>
      <c r="L4690" s="28" t="s">
        <v>11</v>
      </c>
      <c r="M4690" s="14"/>
      <c r="N4690" s="10" t="s">
        <v>1028</v>
      </c>
    </row>
    <row r="4691" spans="1:14" ht="22.5" customHeight="1">
      <c r="A4691" s="8">
        <v>46024.591059108796</v>
      </c>
      <c r="B4691" s="9" t="s">
        <v>14</v>
      </c>
      <c r="C4691" s="9" t="s">
        <v>15</v>
      </c>
      <c r="D4691" s="10" t="s">
        <v>10240</v>
      </c>
      <c r="E4691" s="9" t="s">
        <v>17</v>
      </c>
      <c r="F4691" s="10">
        <v>32</v>
      </c>
      <c r="G4691" s="11">
        <v>8037734844</v>
      </c>
      <c r="H4691" s="10" t="s">
        <v>10241</v>
      </c>
      <c r="I4691" s="10" t="s">
        <v>27</v>
      </c>
      <c r="J4691" s="10" t="s">
        <v>2258</v>
      </c>
      <c r="K4691" s="12">
        <v>46024</v>
      </c>
      <c r="L4691" s="28" t="s">
        <v>11</v>
      </c>
      <c r="M4691" s="14"/>
      <c r="N4691" s="10" t="s">
        <v>1028</v>
      </c>
    </row>
    <row r="4692" spans="1:14" ht="22.5" customHeight="1">
      <c r="A4692" s="8">
        <v>46024.597723946761</v>
      </c>
      <c r="B4692" s="9" t="s">
        <v>14</v>
      </c>
      <c r="C4692" s="9" t="s">
        <v>15</v>
      </c>
      <c r="D4692" s="10" t="s">
        <v>10242</v>
      </c>
      <c r="E4692" s="9" t="s">
        <v>22</v>
      </c>
      <c r="F4692" s="10">
        <v>29</v>
      </c>
      <c r="G4692" s="11">
        <v>9139185234</v>
      </c>
      <c r="H4692" s="10" t="s">
        <v>10243</v>
      </c>
      <c r="I4692" s="10" t="s">
        <v>49</v>
      </c>
      <c r="J4692" s="10" t="s">
        <v>109</v>
      </c>
      <c r="K4692" s="12">
        <v>46024</v>
      </c>
      <c r="L4692" s="28" t="s">
        <v>11</v>
      </c>
      <c r="M4692" s="14"/>
      <c r="N4692" s="10" t="s">
        <v>1096</v>
      </c>
    </row>
    <row r="4693" spans="1:14" ht="22.5" customHeight="1">
      <c r="A4693" s="8">
        <v>46024.5997369213</v>
      </c>
      <c r="B4693" s="9" t="s">
        <v>14</v>
      </c>
      <c r="C4693" s="9" t="s">
        <v>15</v>
      </c>
      <c r="D4693" s="10" t="s">
        <v>10244</v>
      </c>
      <c r="E4693" s="9" t="s">
        <v>22</v>
      </c>
      <c r="F4693" s="10">
        <v>32</v>
      </c>
      <c r="G4693" s="11">
        <v>8104848868</v>
      </c>
      <c r="H4693" s="10" t="s">
        <v>10245</v>
      </c>
      <c r="I4693" s="10" t="s">
        <v>145</v>
      </c>
      <c r="J4693" s="10" t="s">
        <v>7053</v>
      </c>
      <c r="K4693" s="12">
        <v>46024</v>
      </c>
      <c r="L4693" s="28" t="s">
        <v>11</v>
      </c>
      <c r="M4693" s="14"/>
      <c r="N4693" s="10" t="s">
        <v>1096</v>
      </c>
    </row>
    <row r="4694" spans="1:14" ht="22.5" customHeight="1">
      <c r="A4694" s="8">
        <v>46024.618532534718</v>
      </c>
      <c r="B4694" s="9" t="s">
        <v>14</v>
      </c>
      <c r="C4694" s="9" t="s">
        <v>15</v>
      </c>
      <c r="D4694" s="10" t="s">
        <v>10246</v>
      </c>
      <c r="E4694" s="9" t="s">
        <v>22</v>
      </c>
      <c r="F4694" s="10">
        <v>27</v>
      </c>
      <c r="G4694" s="11">
        <v>8105722020</v>
      </c>
      <c r="H4694" s="10" t="s">
        <v>10247</v>
      </c>
      <c r="I4694" s="10" t="s">
        <v>45</v>
      </c>
      <c r="J4694" s="10" t="s">
        <v>10248</v>
      </c>
      <c r="K4694" s="12">
        <v>46024</v>
      </c>
      <c r="L4694" s="28" t="s">
        <v>11</v>
      </c>
      <c r="M4694" s="14"/>
      <c r="N4694" s="10" t="s">
        <v>1028</v>
      </c>
    </row>
    <row r="4695" spans="1:14" ht="22.5" customHeight="1">
      <c r="A4695" s="8">
        <v>46024.627173043977</v>
      </c>
      <c r="B4695" s="9" t="s">
        <v>14</v>
      </c>
      <c r="C4695" s="9" t="s">
        <v>15</v>
      </c>
      <c r="D4695" s="10" t="s">
        <v>10249</v>
      </c>
      <c r="E4695" s="9" t="s">
        <v>17</v>
      </c>
      <c r="F4695" s="10">
        <v>35</v>
      </c>
      <c r="G4695" s="11">
        <v>7033632733</v>
      </c>
      <c r="H4695" s="10" t="s">
        <v>10250</v>
      </c>
      <c r="I4695" s="10" t="s">
        <v>27</v>
      </c>
      <c r="J4695" s="10" t="s">
        <v>1907</v>
      </c>
      <c r="K4695" s="12">
        <v>46024</v>
      </c>
      <c r="L4695" s="28" t="s">
        <v>11</v>
      </c>
      <c r="M4695" s="14"/>
      <c r="N4695" s="10" t="s">
        <v>1028</v>
      </c>
    </row>
    <row r="4696" spans="1:14" ht="22.5" customHeight="1">
      <c r="A4696" s="8">
        <v>46024.629696041666</v>
      </c>
      <c r="B4696" s="9" t="s">
        <v>14</v>
      </c>
      <c r="C4696" s="9" t="s">
        <v>15</v>
      </c>
      <c r="D4696" s="10" t="s">
        <v>10251</v>
      </c>
      <c r="E4696" s="9" t="s">
        <v>22</v>
      </c>
      <c r="F4696" s="10">
        <v>43</v>
      </c>
      <c r="G4696" s="11">
        <v>7057066605</v>
      </c>
      <c r="H4696" s="10" t="s">
        <v>10252</v>
      </c>
      <c r="I4696" s="10" t="s">
        <v>45</v>
      </c>
      <c r="J4696" s="10" t="s">
        <v>10253</v>
      </c>
      <c r="K4696" s="12">
        <v>30031</v>
      </c>
      <c r="L4696" s="28" t="s">
        <v>11</v>
      </c>
      <c r="M4696" s="14"/>
      <c r="N4696" s="10" t="s">
        <v>1096</v>
      </c>
    </row>
    <row r="4697" spans="1:14" ht="22.5" customHeight="1">
      <c r="A4697" s="8">
        <v>46024.631798483795</v>
      </c>
      <c r="B4697" s="9" t="s">
        <v>14</v>
      </c>
      <c r="C4697" s="9" t="s">
        <v>15</v>
      </c>
      <c r="D4697" s="10" t="s">
        <v>10254</v>
      </c>
      <c r="E4697" s="9" t="s">
        <v>17</v>
      </c>
      <c r="F4697" s="10">
        <v>29</v>
      </c>
      <c r="G4697" s="11">
        <v>8107562947</v>
      </c>
      <c r="H4697" s="10" t="s">
        <v>8174</v>
      </c>
      <c r="I4697" s="10" t="s">
        <v>27</v>
      </c>
      <c r="J4697" s="10" t="s">
        <v>10255</v>
      </c>
      <c r="K4697" s="12">
        <v>46024</v>
      </c>
      <c r="L4697" s="28" t="s">
        <v>11</v>
      </c>
      <c r="M4697" s="10"/>
      <c r="N4697" s="10" t="s">
        <v>1028</v>
      </c>
    </row>
    <row r="4698" spans="1:14" ht="22.5" customHeight="1">
      <c r="A4698" s="8">
        <v>46024.650274004627</v>
      </c>
      <c r="B4698" s="9" t="s">
        <v>14</v>
      </c>
      <c r="C4698" s="9" t="s">
        <v>15</v>
      </c>
      <c r="D4698" s="10" t="s">
        <v>10256</v>
      </c>
      <c r="E4698" s="9" t="s">
        <v>17</v>
      </c>
      <c r="F4698" s="10">
        <v>35</v>
      </c>
      <c r="G4698" s="11">
        <v>9018857754</v>
      </c>
      <c r="H4698" s="10" t="s">
        <v>10257</v>
      </c>
      <c r="I4698" s="10" t="s">
        <v>27</v>
      </c>
      <c r="J4698" s="10" t="s">
        <v>3992</v>
      </c>
      <c r="K4698" s="12">
        <v>46024</v>
      </c>
      <c r="L4698" s="28" t="s">
        <v>11</v>
      </c>
      <c r="M4698" s="14"/>
      <c r="N4698" s="10" t="s">
        <v>1028</v>
      </c>
    </row>
    <row r="4699" spans="1:14" ht="22.5" customHeight="1">
      <c r="A4699" s="8">
        <v>46024.651092488421</v>
      </c>
      <c r="B4699" s="9" t="s">
        <v>14</v>
      </c>
      <c r="C4699" s="9" t="s">
        <v>15</v>
      </c>
      <c r="D4699" s="10" t="s">
        <v>10258</v>
      </c>
      <c r="E4699" s="9" t="s">
        <v>17</v>
      </c>
      <c r="F4699" s="10">
        <v>27</v>
      </c>
      <c r="G4699" s="11">
        <f>254759385309</f>
        <v>254759385309</v>
      </c>
      <c r="H4699" s="10" t="s">
        <v>10259</v>
      </c>
      <c r="I4699" s="10" t="s">
        <v>202</v>
      </c>
      <c r="J4699" s="10" t="s">
        <v>10260</v>
      </c>
      <c r="K4699" s="12">
        <v>46024</v>
      </c>
      <c r="L4699" s="28" t="s">
        <v>11</v>
      </c>
      <c r="M4699" s="10"/>
      <c r="N4699" s="10" t="s">
        <v>1563</v>
      </c>
    </row>
    <row r="4700" spans="1:14" ht="22.5" customHeight="1">
      <c r="A4700" s="8">
        <v>46024.665428298613</v>
      </c>
      <c r="B4700" s="9" t="s">
        <v>14</v>
      </c>
      <c r="C4700" s="9" t="s">
        <v>15</v>
      </c>
      <c r="D4700" s="10" t="s">
        <v>10261</v>
      </c>
      <c r="E4700" s="9" t="s">
        <v>22</v>
      </c>
      <c r="F4700" s="10">
        <v>34</v>
      </c>
      <c r="G4700" s="11">
        <v>7034207692</v>
      </c>
      <c r="H4700" s="10" t="s">
        <v>10262</v>
      </c>
      <c r="I4700" s="10" t="s">
        <v>27</v>
      </c>
      <c r="J4700" s="10" t="s">
        <v>28</v>
      </c>
      <c r="K4700" s="12">
        <v>46024</v>
      </c>
      <c r="L4700" s="28" t="s">
        <v>11</v>
      </c>
      <c r="M4700" s="14"/>
      <c r="N4700" s="10" t="s">
        <v>1028</v>
      </c>
    </row>
    <row r="4701" spans="1:14" ht="22.5" customHeight="1">
      <c r="A4701" s="8">
        <v>46024.672389652776</v>
      </c>
      <c r="B4701" s="9" t="s">
        <v>14</v>
      </c>
      <c r="C4701" s="9" t="s">
        <v>15</v>
      </c>
      <c r="D4701" s="10" t="s">
        <v>6888</v>
      </c>
      <c r="E4701" s="9" t="s">
        <v>22</v>
      </c>
      <c r="F4701" s="10">
        <v>21</v>
      </c>
      <c r="G4701" s="11">
        <v>7050585136</v>
      </c>
      <c r="H4701" s="10" t="s">
        <v>10263</v>
      </c>
      <c r="I4701" s="10" t="s">
        <v>31</v>
      </c>
      <c r="J4701" s="10" t="s">
        <v>32</v>
      </c>
      <c r="K4701" s="12">
        <v>46024</v>
      </c>
      <c r="L4701" s="28" t="s">
        <v>11</v>
      </c>
      <c r="M4701" s="14"/>
      <c r="N4701" s="10" t="s">
        <v>1096</v>
      </c>
    </row>
    <row r="4702" spans="1:14" ht="22.5" customHeight="1">
      <c r="A4702" s="8">
        <v>46024.680091527778</v>
      </c>
      <c r="B4702" s="9" t="s">
        <v>14</v>
      </c>
      <c r="C4702" s="9" t="s">
        <v>15</v>
      </c>
      <c r="D4702" s="10" t="s">
        <v>10264</v>
      </c>
      <c r="E4702" s="9" t="s">
        <v>17</v>
      </c>
      <c r="F4702" s="10">
        <v>35</v>
      </c>
      <c r="G4702" s="11">
        <v>8036752109</v>
      </c>
      <c r="H4702" s="10" t="s">
        <v>10265</v>
      </c>
      <c r="I4702" s="10" t="s">
        <v>27</v>
      </c>
      <c r="J4702" s="10" t="s">
        <v>372</v>
      </c>
      <c r="K4702" s="12">
        <v>46024</v>
      </c>
      <c r="L4702" s="28" t="s">
        <v>11</v>
      </c>
      <c r="M4702" s="14"/>
      <c r="N4702" s="10" t="s">
        <v>9518</v>
      </c>
    </row>
    <row r="4703" spans="1:14" ht="22.5" customHeight="1">
      <c r="A4703" s="8">
        <v>46024.682185208338</v>
      </c>
      <c r="B4703" s="9" t="s">
        <v>14</v>
      </c>
      <c r="C4703" s="9" t="s">
        <v>15</v>
      </c>
      <c r="D4703" s="10" t="s">
        <v>10266</v>
      </c>
      <c r="E4703" s="9" t="s">
        <v>17</v>
      </c>
      <c r="F4703" s="10">
        <v>32</v>
      </c>
      <c r="G4703" s="11">
        <v>8109148054</v>
      </c>
      <c r="H4703" s="10" t="s">
        <v>10267</v>
      </c>
      <c r="I4703" s="10" t="s">
        <v>45</v>
      </c>
      <c r="J4703" s="10" t="s">
        <v>9957</v>
      </c>
      <c r="K4703" s="12">
        <v>46024</v>
      </c>
      <c r="L4703" s="28" t="s">
        <v>11</v>
      </c>
      <c r="M4703" s="14"/>
      <c r="N4703" s="10" t="s">
        <v>1028</v>
      </c>
    </row>
    <row r="4704" spans="1:14" ht="22.5" customHeight="1">
      <c r="A4704" s="8">
        <v>46024.687185787036</v>
      </c>
      <c r="B4704" s="9" t="s">
        <v>14</v>
      </c>
      <c r="C4704" s="9" t="s">
        <v>15</v>
      </c>
      <c r="D4704" s="10" t="s">
        <v>10268</v>
      </c>
      <c r="E4704" s="9" t="s">
        <v>17</v>
      </c>
      <c r="F4704" s="10">
        <v>35</v>
      </c>
      <c r="G4704" s="11">
        <v>7065578304</v>
      </c>
      <c r="H4704" s="10" t="s">
        <v>10269</v>
      </c>
      <c r="I4704" s="10" t="s">
        <v>27</v>
      </c>
      <c r="J4704" s="10" t="s">
        <v>2228</v>
      </c>
      <c r="K4704" s="12">
        <v>46024</v>
      </c>
      <c r="L4704" s="28" t="s">
        <v>11</v>
      </c>
      <c r="M4704" s="14"/>
      <c r="N4704" s="10" t="s">
        <v>1028</v>
      </c>
    </row>
    <row r="4705" spans="1:14" ht="22.5" customHeight="1">
      <c r="A4705" s="8">
        <v>46024.714591157404</v>
      </c>
      <c r="B4705" s="9" t="s">
        <v>14</v>
      </c>
      <c r="C4705" s="9" t="s">
        <v>15</v>
      </c>
      <c r="D4705" s="10" t="s">
        <v>10270</v>
      </c>
      <c r="E4705" s="9" t="s">
        <v>17</v>
      </c>
      <c r="F4705" s="10">
        <v>29</v>
      </c>
      <c r="G4705" s="11">
        <v>8030675244</v>
      </c>
      <c r="H4705" s="10" t="s">
        <v>10271</v>
      </c>
      <c r="I4705" s="10" t="s">
        <v>27</v>
      </c>
      <c r="J4705" s="10" t="s">
        <v>9082</v>
      </c>
      <c r="K4705" s="12">
        <v>46024</v>
      </c>
      <c r="L4705" s="28" t="s">
        <v>11</v>
      </c>
      <c r="M4705" s="14"/>
      <c r="N4705" s="10" t="s">
        <v>1028</v>
      </c>
    </row>
    <row r="4706" spans="1:14" ht="22.5" customHeight="1">
      <c r="A4706" s="8">
        <v>46024.754623356479</v>
      </c>
      <c r="B4706" s="9" t="s">
        <v>14</v>
      </c>
      <c r="C4706" s="9" t="s">
        <v>15</v>
      </c>
      <c r="D4706" s="10" t="s">
        <v>10272</v>
      </c>
      <c r="E4706" s="9" t="s">
        <v>17</v>
      </c>
      <c r="F4706" s="10">
        <v>21</v>
      </c>
      <c r="G4706" s="11">
        <v>9036945376</v>
      </c>
      <c r="H4706" s="10" t="s">
        <v>10273</v>
      </c>
      <c r="I4706" s="10" t="s">
        <v>145</v>
      </c>
      <c r="J4706" s="10" t="s">
        <v>530</v>
      </c>
      <c r="K4706" s="12">
        <v>46024</v>
      </c>
      <c r="L4706" s="28" t="s">
        <v>11</v>
      </c>
      <c r="M4706" s="14"/>
      <c r="N4706" s="10" t="s">
        <v>1028</v>
      </c>
    </row>
    <row r="4707" spans="1:14" ht="22.5" customHeight="1">
      <c r="A4707" s="8">
        <v>46024.811248240745</v>
      </c>
      <c r="B4707" s="9" t="s">
        <v>14</v>
      </c>
      <c r="C4707" s="9" t="s">
        <v>15</v>
      </c>
      <c r="D4707" s="10" t="s">
        <v>10274</v>
      </c>
      <c r="E4707" s="9" t="s">
        <v>17</v>
      </c>
      <c r="F4707" s="10">
        <v>25</v>
      </c>
      <c r="G4707" s="11">
        <v>8075194895</v>
      </c>
      <c r="H4707" s="10" t="s">
        <v>10275</v>
      </c>
      <c r="I4707" s="10" t="s">
        <v>145</v>
      </c>
      <c r="J4707" s="10" t="s">
        <v>10276</v>
      </c>
      <c r="K4707" s="12">
        <v>46024</v>
      </c>
      <c r="L4707" s="28" t="s">
        <v>11</v>
      </c>
      <c r="M4707" s="14"/>
      <c r="N4707" s="10" t="s">
        <v>1028</v>
      </c>
    </row>
    <row r="4708" spans="1:14" ht="22.5" customHeight="1">
      <c r="A4708" s="8">
        <v>46024.811519050927</v>
      </c>
      <c r="B4708" s="9" t="s">
        <v>14</v>
      </c>
      <c r="C4708" s="9" t="s">
        <v>15</v>
      </c>
      <c r="D4708" s="10" t="s">
        <v>9907</v>
      </c>
      <c r="E4708" s="9" t="s">
        <v>17</v>
      </c>
      <c r="F4708" s="10">
        <v>28</v>
      </c>
      <c r="G4708" s="11">
        <v>9072062120</v>
      </c>
      <c r="H4708" s="10" t="s">
        <v>9908</v>
      </c>
      <c r="I4708" s="10" t="s">
        <v>202</v>
      </c>
      <c r="J4708" s="10" t="s">
        <v>4005</v>
      </c>
      <c r="K4708" s="12">
        <v>46024</v>
      </c>
      <c r="L4708" s="28" t="s">
        <v>11</v>
      </c>
      <c r="M4708" s="14"/>
      <c r="N4708" s="10" t="s">
        <v>1028</v>
      </c>
    </row>
    <row r="4709" spans="1:14" ht="22.5" customHeight="1">
      <c r="A4709" s="8">
        <v>46024.811740092591</v>
      </c>
      <c r="B4709" s="9" t="s">
        <v>14</v>
      </c>
      <c r="C4709" s="9" t="s">
        <v>15</v>
      </c>
      <c r="D4709" s="10" t="s">
        <v>10277</v>
      </c>
      <c r="E4709" s="9" t="s">
        <v>17</v>
      </c>
      <c r="F4709" s="10">
        <v>29</v>
      </c>
      <c r="G4709" s="11">
        <v>9069045761</v>
      </c>
      <c r="H4709" s="10" t="s">
        <v>10278</v>
      </c>
      <c r="I4709" s="10" t="s">
        <v>49</v>
      </c>
      <c r="J4709" s="10" t="s">
        <v>109</v>
      </c>
      <c r="K4709" s="12">
        <v>46024</v>
      </c>
      <c r="L4709" s="28" t="s">
        <v>11</v>
      </c>
      <c r="M4709" s="14"/>
      <c r="N4709" s="10" t="s">
        <v>1096</v>
      </c>
    </row>
    <row r="4710" spans="1:14" ht="22.5" customHeight="1">
      <c r="A4710" s="8">
        <v>46024.818316400459</v>
      </c>
      <c r="B4710" s="9" t="s">
        <v>14</v>
      </c>
      <c r="C4710" s="9" t="s">
        <v>15</v>
      </c>
      <c r="D4710" s="10" t="s">
        <v>10279</v>
      </c>
      <c r="E4710" s="9" t="s">
        <v>17</v>
      </c>
      <c r="F4710" s="10">
        <v>35</v>
      </c>
      <c r="G4710" s="11">
        <v>8055255123</v>
      </c>
      <c r="H4710" s="10" t="s">
        <v>10280</v>
      </c>
      <c r="I4710" s="10" t="s">
        <v>45</v>
      </c>
      <c r="J4710" s="10" t="s">
        <v>10281</v>
      </c>
      <c r="K4710" s="12">
        <v>46024</v>
      </c>
      <c r="L4710" s="28" t="s">
        <v>11</v>
      </c>
      <c r="M4710" s="14"/>
      <c r="N4710" s="10" t="s">
        <v>1028</v>
      </c>
    </row>
    <row r="4711" spans="1:14" ht="22.5" customHeight="1">
      <c r="A4711" s="8">
        <v>46024.819205763888</v>
      </c>
      <c r="B4711" s="9" t="s">
        <v>14</v>
      </c>
      <c r="C4711" s="9" t="s">
        <v>15</v>
      </c>
      <c r="D4711" s="10" t="s">
        <v>10282</v>
      </c>
      <c r="E4711" s="9" t="s">
        <v>17</v>
      </c>
      <c r="F4711" s="10">
        <v>48</v>
      </c>
      <c r="G4711" s="11">
        <v>8062670432</v>
      </c>
      <c r="H4711" s="10" t="s">
        <v>10283</v>
      </c>
      <c r="I4711" s="10" t="s">
        <v>19</v>
      </c>
      <c r="J4711" s="10" t="s">
        <v>1664</v>
      </c>
      <c r="K4711" s="12">
        <v>46024</v>
      </c>
      <c r="L4711" s="28" t="s">
        <v>11</v>
      </c>
      <c r="M4711" s="14"/>
      <c r="N4711" s="10" t="s">
        <v>1028</v>
      </c>
    </row>
    <row r="4712" spans="1:14" ht="22.5" customHeight="1">
      <c r="A4712" s="8">
        <v>46024.834359548608</v>
      </c>
      <c r="B4712" s="9" t="s">
        <v>14</v>
      </c>
      <c r="C4712" s="9" t="s">
        <v>15</v>
      </c>
      <c r="D4712" s="10" t="s">
        <v>10284</v>
      </c>
      <c r="E4712" s="9" t="s">
        <v>22</v>
      </c>
      <c r="F4712" s="10">
        <v>29</v>
      </c>
      <c r="G4712" s="11">
        <v>9044437821</v>
      </c>
      <c r="H4712" s="10" t="s">
        <v>10285</v>
      </c>
      <c r="I4712" s="10" t="s">
        <v>202</v>
      </c>
      <c r="J4712" s="10" t="s">
        <v>4005</v>
      </c>
      <c r="K4712" s="12">
        <v>46024</v>
      </c>
      <c r="L4712" s="28" t="s">
        <v>11</v>
      </c>
      <c r="M4712" s="14"/>
      <c r="N4712" s="10" t="s">
        <v>1028</v>
      </c>
    </row>
    <row r="4713" spans="1:14" ht="22.5" customHeight="1">
      <c r="A4713" s="8">
        <v>46024.838428645831</v>
      </c>
      <c r="B4713" s="9" t="s">
        <v>14</v>
      </c>
      <c r="C4713" s="9" t="s">
        <v>15</v>
      </c>
      <c r="D4713" s="10" t="s">
        <v>10286</v>
      </c>
      <c r="E4713" s="9" t="s">
        <v>22</v>
      </c>
      <c r="F4713" s="10">
        <v>27</v>
      </c>
      <c r="G4713" s="11">
        <v>7033416343</v>
      </c>
      <c r="H4713" s="10" t="s">
        <v>10287</v>
      </c>
      <c r="I4713" s="10" t="s">
        <v>145</v>
      </c>
      <c r="J4713" s="10" t="s">
        <v>10288</v>
      </c>
      <c r="K4713" s="12">
        <v>46024</v>
      </c>
      <c r="L4713" s="28" t="s">
        <v>11</v>
      </c>
      <c r="M4713" s="14"/>
      <c r="N4713" s="10" t="s">
        <v>10289</v>
      </c>
    </row>
    <row r="4714" spans="1:14" ht="22.5" customHeight="1">
      <c r="A4714" s="8">
        <v>46024.848136157409</v>
      </c>
      <c r="B4714" s="9" t="s">
        <v>14</v>
      </c>
      <c r="C4714" s="9" t="s">
        <v>15</v>
      </c>
      <c r="D4714" s="10" t="s">
        <v>10290</v>
      </c>
      <c r="E4714" s="9" t="s">
        <v>17</v>
      </c>
      <c r="F4714" s="10">
        <v>35</v>
      </c>
      <c r="G4714" s="11">
        <v>8034165521</v>
      </c>
      <c r="H4714" s="10" t="s">
        <v>10291</v>
      </c>
      <c r="I4714" s="10" t="s">
        <v>19</v>
      </c>
      <c r="J4714" s="10" t="s">
        <v>5064</v>
      </c>
      <c r="K4714" s="12">
        <v>46024</v>
      </c>
      <c r="L4714" s="28" t="s">
        <v>11</v>
      </c>
      <c r="M4714" s="14"/>
      <c r="N4714" s="10" t="s">
        <v>1028</v>
      </c>
    </row>
    <row r="4715" spans="1:14" ht="22.5" customHeight="1">
      <c r="A4715" s="8">
        <v>46024.849127152775</v>
      </c>
      <c r="B4715" s="9" t="s">
        <v>14</v>
      </c>
      <c r="C4715" s="9" t="s">
        <v>15</v>
      </c>
      <c r="D4715" s="10" t="s">
        <v>10292</v>
      </c>
      <c r="E4715" s="9" t="s">
        <v>22</v>
      </c>
      <c r="F4715" s="18">
        <v>34</v>
      </c>
      <c r="G4715" s="11">
        <f t="shared" ref="G4715" si="129">2348104266936</f>
        <v>2348104266936</v>
      </c>
      <c r="H4715" s="10" t="s">
        <v>10293</v>
      </c>
      <c r="I4715" s="10" t="s">
        <v>45</v>
      </c>
      <c r="J4715" s="10" t="s">
        <v>10294</v>
      </c>
      <c r="K4715" s="12">
        <v>46024</v>
      </c>
      <c r="L4715" s="28" t="s">
        <v>11</v>
      </c>
      <c r="M4715" s="14"/>
      <c r="N4715" s="10" t="s">
        <v>1028</v>
      </c>
    </row>
    <row r="4716" spans="1:14" ht="22.5" customHeight="1">
      <c r="A4716" s="8">
        <v>46024.856755173612</v>
      </c>
      <c r="B4716" s="9" t="s">
        <v>14</v>
      </c>
      <c r="C4716" s="9" t="s">
        <v>15</v>
      </c>
      <c r="D4716" s="10" t="s">
        <v>10295</v>
      </c>
      <c r="E4716" s="9" t="s">
        <v>17</v>
      </c>
      <c r="F4716" s="10">
        <v>23</v>
      </c>
      <c r="G4716" s="11">
        <v>8136093420</v>
      </c>
      <c r="H4716" s="10" t="s">
        <v>10296</v>
      </c>
      <c r="I4716" s="10" t="s">
        <v>49</v>
      </c>
      <c r="J4716" s="10" t="s">
        <v>109</v>
      </c>
      <c r="K4716" s="12">
        <v>46024</v>
      </c>
      <c r="L4716" s="28" t="s">
        <v>11</v>
      </c>
      <c r="M4716" s="14"/>
      <c r="N4716" s="10" t="s">
        <v>1096</v>
      </c>
    </row>
    <row r="4717" spans="1:14" ht="22.5" customHeight="1">
      <c r="A4717" s="8">
        <v>46024.856822175927</v>
      </c>
      <c r="B4717" s="9" t="s">
        <v>14</v>
      </c>
      <c r="C4717" s="9" t="s">
        <v>15</v>
      </c>
      <c r="D4717" s="10" t="s">
        <v>10297</v>
      </c>
      <c r="E4717" s="9" t="s">
        <v>17</v>
      </c>
      <c r="F4717" s="19">
        <v>39</v>
      </c>
      <c r="G4717" s="11">
        <v>7068159779</v>
      </c>
      <c r="H4717" s="10" t="s">
        <v>10298</v>
      </c>
      <c r="I4717" s="10" t="s">
        <v>27</v>
      </c>
      <c r="J4717" s="10" t="s">
        <v>10299</v>
      </c>
      <c r="K4717" s="12">
        <v>46024</v>
      </c>
      <c r="L4717" s="28" t="s">
        <v>11</v>
      </c>
      <c r="M4717" s="14"/>
      <c r="N4717" s="10" t="s">
        <v>1028</v>
      </c>
    </row>
    <row r="4718" spans="1:14" ht="22.5" customHeight="1">
      <c r="A4718" s="8">
        <v>46024.870357777778</v>
      </c>
      <c r="B4718" s="9" t="s">
        <v>14</v>
      </c>
      <c r="C4718" s="9" t="s">
        <v>15</v>
      </c>
      <c r="D4718" s="10" t="s">
        <v>10300</v>
      </c>
      <c r="E4718" s="9" t="s">
        <v>22</v>
      </c>
      <c r="F4718" s="10">
        <v>32</v>
      </c>
      <c r="G4718" s="11">
        <v>7063714137</v>
      </c>
      <c r="H4718" s="10" t="s">
        <v>10301</v>
      </c>
      <c r="I4718" s="10" t="s">
        <v>45</v>
      </c>
      <c r="J4718" s="10" t="s">
        <v>901</v>
      </c>
      <c r="K4718" s="12">
        <v>46024</v>
      </c>
      <c r="L4718" s="28" t="s">
        <v>11</v>
      </c>
      <c r="M4718" s="14"/>
      <c r="N4718" s="10" t="s">
        <v>1096</v>
      </c>
    </row>
    <row r="4719" spans="1:14" ht="22.5" customHeight="1">
      <c r="A4719" s="8">
        <v>46024.871847696762</v>
      </c>
      <c r="B4719" s="9" t="s">
        <v>14</v>
      </c>
      <c r="C4719" s="9" t="s">
        <v>15</v>
      </c>
      <c r="D4719" s="10" t="s">
        <v>10302</v>
      </c>
      <c r="E4719" s="9" t="s">
        <v>17</v>
      </c>
      <c r="F4719" s="10">
        <v>17</v>
      </c>
      <c r="G4719" s="11">
        <v>8122753346</v>
      </c>
      <c r="H4719" s="10" t="s">
        <v>10303</v>
      </c>
      <c r="I4719" s="10" t="s">
        <v>19</v>
      </c>
      <c r="J4719" s="10" t="s">
        <v>3514</v>
      </c>
      <c r="K4719" s="12">
        <v>46024</v>
      </c>
      <c r="L4719" s="28" t="s">
        <v>11</v>
      </c>
      <c r="M4719" s="14"/>
      <c r="N4719" s="10" t="s">
        <v>1028</v>
      </c>
    </row>
    <row r="4720" spans="1:14" ht="22.5" customHeight="1">
      <c r="A4720" s="8">
        <v>46024.876831203699</v>
      </c>
      <c r="B4720" s="9" t="s">
        <v>14</v>
      </c>
      <c r="C4720" s="9" t="s">
        <v>15</v>
      </c>
      <c r="D4720" s="10" t="s">
        <v>10304</v>
      </c>
      <c r="E4720" s="9" t="s">
        <v>17</v>
      </c>
      <c r="F4720" s="10">
        <v>31</v>
      </c>
      <c r="G4720" s="11">
        <v>9152874725</v>
      </c>
      <c r="H4720" s="10" t="s">
        <v>10305</v>
      </c>
      <c r="I4720" s="10" t="s">
        <v>49</v>
      </c>
      <c r="J4720" s="10" t="s">
        <v>106</v>
      </c>
      <c r="K4720" s="12">
        <v>46024</v>
      </c>
      <c r="L4720" s="28" t="s">
        <v>11</v>
      </c>
      <c r="M4720" s="14"/>
      <c r="N4720" s="10" t="s">
        <v>1028</v>
      </c>
    </row>
    <row r="4721" spans="1:14" ht="22.5" customHeight="1">
      <c r="A4721" s="8">
        <v>46024.905031828705</v>
      </c>
      <c r="B4721" s="9" t="s">
        <v>14</v>
      </c>
      <c r="C4721" s="9" t="s">
        <v>15</v>
      </c>
      <c r="D4721" s="10" t="s">
        <v>10306</v>
      </c>
      <c r="E4721" s="9" t="s">
        <v>17</v>
      </c>
      <c r="F4721" s="10">
        <v>30</v>
      </c>
      <c r="G4721" s="11">
        <v>7032092132</v>
      </c>
      <c r="H4721" s="10" t="s">
        <v>10307</v>
      </c>
      <c r="I4721" s="10" t="s">
        <v>49</v>
      </c>
      <c r="J4721" s="10" t="s">
        <v>109</v>
      </c>
      <c r="K4721" s="12">
        <v>46024</v>
      </c>
      <c r="L4721" s="28" t="s">
        <v>11</v>
      </c>
      <c r="M4721" s="14"/>
      <c r="N4721" s="10" t="s">
        <v>1028</v>
      </c>
    </row>
    <row r="4722" spans="1:14" ht="22.5" customHeight="1">
      <c r="A4722" s="8">
        <v>46024.915344988425</v>
      </c>
      <c r="B4722" s="9" t="s">
        <v>14</v>
      </c>
      <c r="C4722" s="9" t="s">
        <v>15</v>
      </c>
      <c r="D4722" s="10" t="s">
        <v>10308</v>
      </c>
      <c r="E4722" s="9" t="s">
        <v>17</v>
      </c>
      <c r="F4722" s="10">
        <v>35</v>
      </c>
      <c r="G4722" s="11">
        <v>8083226489</v>
      </c>
      <c r="H4722" s="10" t="s">
        <v>10309</v>
      </c>
      <c r="I4722" s="10" t="s">
        <v>45</v>
      </c>
      <c r="J4722" s="10" t="s">
        <v>932</v>
      </c>
      <c r="K4722" s="12">
        <v>46024</v>
      </c>
      <c r="L4722" s="28" t="s">
        <v>11</v>
      </c>
      <c r="M4722" s="14"/>
      <c r="N4722" s="10" t="s">
        <v>1028</v>
      </c>
    </row>
    <row r="4723" spans="1:14" ht="22.5" customHeight="1">
      <c r="A4723" s="8">
        <v>46024.923062777772</v>
      </c>
      <c r="B4723" s="9" t="s">
        <v>14</v>
      </c>
      <c r="C4723" s="9" t="s">
        <v>15</v>
      </c>
      <c r="D4723" s="10" t="s">
        <v>10310</v>
      </c>
      <c r="E4723" s="9" t="s">
        <v>22</v>
      </c>
      <c r="F4723" s="10">
        <v>35</v>
      </c>
      <c r="G4723" s="11">
        <v>8066074375</v>
      </c>
      <c r="H4723" s="10" t="s">
        <v>10311</v>
      </c>
      <c r="I4723" s="10" t="s">
        <v>145</v>
      </c>
      <c r="J4723" s="10" t="s">
        <v>1717</v>
      </c>
      <c r="K4723" s="12">
        <v>46024</v>
      </c>
      <c r="L4723" s="28" t="s">
        <v>11</v>
      </c>
      <c r="M4723" s="14"/>
      <c r="N4723" s="10" t="s">
        <v>1028</v>
      </c>
    </row>
    <row r="4724" spans="1:14" ht="22.5" customHeight="1">
      <c r="A4724" s="8">
        <v>46024.938053321763</v>
      </c>
      <c r="B4724" s="9" t="s">
        <v>14</v>
      </c>
      <c r="C4724" s="9" t="s">
        <v>15</v>
      </c>
      <c r="D4724" s="10" t="s">
        <v>10312</v>
      </c>
      <c r="E4724" s="9" t="s">
        <v>17</v>
      </c>
      <c r="F4724" s="10">
        <v>29</v>
      </c>
      <c r="G4724" s="11">
        <v>8034494961</v>
      </c>
      <c r="H4724" s="10" t="s">
        <v>10313</v>
      </c>
      <c r="I4724" s="10" t="s">
        <v>27</v>
      </c>
      <c r="J4724" s="10" t="s">
        <v>5709</v>
      </c>
      <c r="K4724" s="12">
        <v>46024</v>
      </c>
      <c r="L4724" s="28" t="s">
        <v>11</v>
      </c>
      <c r="M4724" s="14"/>
      <c r="N4724" s="10" t="s">
        <v>1028</v>
      </c>
    </row>
    <row r="4725" spans="1:14" ht="22.5" customHeight="1">
      <c r="A4725" s="8">
        <v>46024.954699270835</v>
      </c>
      <c r="B4725" s="9" t="s">
        <v>14</v>
      </c>
      <c r="C4725" s="9" t="s">
        <v>15</v>
      </c>
      <c r="D4725" s="10" t="s">
        <v>10314</v>
      </c>
      <c r="E4725" s="9" t="s">
        <v>22</v>
      </c>
      <c r="F4725" s="10">
        <v>23</v>
      </c>
      <c r="G4725" s="11">
        <v>8168984716</v>
      </c>
      <c r="H4725" s="10" t="s">
        <v>10315</v>
      </c>
      <c r="I4725" s="10" t="s">
        <v>202</v>
      </c>
      <c r="J4725" s="10" t="s">
        <v>3437</v>
      </c>
      <c r="K4725" s="12">
        <v>46024</v>
      </c>
      <c r="L4725" s="28" t="s">
        <v>11</v>
      </c>
      <c r="M4725" s="14"/>
      <c r="N4725" s="10" t="s">
        <v>1096</v>
      </c>
    </row>
    <row r="4726" spans="1:14" ht="22.5" customHeight="1">
      <c r="A4726" s="8">
        <v>46024.965576666669</v>
      </c>
      <c r="B4726" s="9" t="s">
        <v>14</v>
      </c>
      <c r="C4726" s="9" t="s">
        <v>15</v>
      </c>
      <c r="D4726" s="10" t="s">
        <v>10316</v>
      </c>
      <c r="E4726" s="9" t="s">
        <v>17</v>
      </c>
      <c r="F4726" s="10">
        <v>30</v>
      </c>
      <c r="G4726" s="11">
        <v>8149055555</v>
      </c>
      <c r="H4726" s="10" t="s">
        <v>10317</v>
      </c>
      <c r="I4726" s="10" t="s">
        <v>27</v>
      </c>
      <c r="J4726" s="10" t="s">
        <v>703</v>
      </c>
      <c r="K4726" s="12">
        <v>46024</v>
      </c>
      <c r="L4726" s="28" t="s">
        <v>11</v>
      </c>
      <c r="M4726" s="14"/>
      <c r="N4726" s="10" t="s">
        <v>1028</v>
      </c>
    </row>
    <row r="4727" spans="1:14" ht="22.5" customHeight="1">
      <c r="A4727" s="8">
        <v>46024.971759525462</v>
      </c>
      <c r="B4727" s="9" t="s">
        <v>14</v>
      </c>
      <c r="C4727" s="9" t="s">
        <v>15</v>
      </c>
      <c r="D4727" s="10" t="s">
        <v>10318</v>
      </c>
      <c r="E4727" s="9" t="s">
        <v>17</v>
      </c>
      <c r="F4727" s="10">
        <v>34</v>
      </c>
      <c r="G4727" s="11">
        <v>8068867717</v>
      </c>
      <c r="H4727" s="10" t="s">
        <v>10319</v>
      </c>
      <c r="I4727" s="10" t="s">
        <v>27</v>
      </c>
      <c r="J4727" s="10" t="s">
        <v>67</v>
      </c>
      <c r="K4727" s="12">
        <v>46024</v>
      </c>
      <c r="L4727" s="28" t="s">
        <v>11</v>
      </c>
      <c r="M4727" s="14"/>
      <c r="N4727" s="10" t="s">
        <v>1028</v>
      </c>
    </row>
    <row r="4728" spans="1:14" ht="22.5" customHeight="1">
      <c r="A4728" s="8">
        <v>46024.979707268518</v>
      </c>
      <c r="B4728" s="9" t="s">
        <v>14</v>
      </c>
      <c r="C4728" s="9" t="s">
        <v>15</v>
      </c>
      <c r="D4728" s="10" t="s">
        <v>10320</v>
      </c>
      <c r="E4728" s="9" t="s">
        <v>17</v>
      </c>
      <c r="F4728" s="10">
        <v>24</v>
      </c>
      <c r="G4728" s="11">
        <v>8143203844</v>
      </c>
      <c r="H4728" s="10" t="s">
        <v>10321</v>
      </c>
      <c r="I4728" s="10" t="s">
        <v>145</v>
      </c>
      <c r="J4728" s="10" t="s">
        <v>10322</v>
      </c>
      <c r="K4728" s="12">
        <v>46024</v>
      </c>
      <c r="L4728" s="28" t="s">
        <v>11</v>
      </c>
      <c r="M4728" s="14"/>
      <c r="N4728" s="10" t="s">
        <v>1096</v>
      </c>
    </row>
    <row r="4729" spans="1:14" ht="22.5" customHeight="1">
      <c r="A4729" s="8">
        <v>46024.988907476851</v>
      </c>
      <c r="B4729" s="9" t="s">
        <v>14</v>
      </c>
      <c r="C4729" s="9" t="s">
        <v>15</v>
      </c>
      <c r="D4729" s="10" t="s">
        <v>10323</v>
      </c>
      <c r="E4729" s="9" t="s">
        <v>22</v>
      </c>
      <c r="F4729" s="10">
        <v>30</v>
      </c>
      <c r="G4729" s="11">
        <f t="shared" ref="G4729" si="130">2347083515187</f>
        <v>2347083515187</v>
      </c>
      <c r="H4729" s="10" t="s">
        <v>10324</v>
      </c>
      <c r="I4729" s="10" t="s">
        <v>145</v>
      </c>
      <c r="J4729" s="10" t="s">
        <v>4100</v>
      </c>
      <c r="K4729" s="12">
        <v>46024</v>
      </c>
      <c r="L4729" s="28" t="s">
        <v>11</v>
      </c>
      <c r="M4729" s="14"/>
      <c r="N4729" s="10" t="s">
        <v>1096</v>
      </c>
    </row>
    <row r="4730" spans="1:14" ht="22.5" customHeight="1">
      <c r="A4730" s="8">
        <v>46024.998280324071</v>
      </c>
      <c r="B4730" s="9" t="s">
        <v>14</v>
      </c>
      <c r="C4730" s="9" t="s">
        <v>15</v>
      </c>
      <c r="D4730" s="10" t="s">
        <v>10325</v>
      </c>
      <c r="E4730" s="9" t="s">
        <v>17</v>
      </c>
      <c r="F4730" s="10">
        <v>29</v>
      </c>
      <c r="G4730" s="11">
        <v>7060526134</v>
      </c>
      <c r="H4730" s="10" t="s">
        <v>10326</v>
      </c>
      <c r="I4730" s="10" t="s">
        <v>27</v>
      </c>
      <c r="J4730" s="10" t="s">
        <v>2639</v>
      </c>
      <c r="K4730" s="12">
        <v>46024</v>
      </c>
      <c r="L4730" s="28" t="s">
        <v>11</v>
      </c>
      <c r="M4730" s="14"/>
      <c r="N4730" s="10" t="s">
        <v>1096</v>
      </c>
    </row>
    <row r="4731" spans="1:14" ht="22.5" customHeight="1">
      <c r="A4731" s="8">
        <v>46025.027064594906</v>
      </c>
      <c r="B4731" s="9" t="s">
        <v>14</v>
      </c>
      <c r="C4731" s="9" t="s">
        <v>15</v>
      </c>
      <c r="D4731" s="10" t="s">
        <v>10327</v>
      </c>
      <c r="E4731" s="9" t="s">
        <v>17</v>
      </c>
      <c r="F4731" s="10">
        <v>20</v>
      </c>
      <c r="G4731" s="11">
        <v>7081220127</v>
      </c>
      <c r="H4731" s="10" t="s">
        <v>10328</v>
      </c>
      <c r="I4731" s="10" t="s">
        <v>27</v>
      </c>
      <c r="J4731" s="10" t="s">
        <v>2196</v>
      </c>
      <c r="K4731" s="12">
        <v>38445</v>
      </c>
      <c r="L4731" s="28" t="s">
        <v>11</v>
      </c>
      <c r="M4731" s="14"/>
      <c r="N4731" s="10" t="s">
        <v>1028</v>
      </c>
    </row>
    <row r="4732" spans="1:14" ht="22.5" customHeight="1">
      <c r="A4732" s="8">
        <v>46025.038649675931</v>
      </c>
      <c r="B4732" s="9" t="s">
        <v>14</v>
      </c>
      <c r="C4732" s="9" t="s">
        <v>15</v>
      </c>
      <c r="D4732" s="10" t="s">
        <v>10329</v>
      </c>
      <c r="E4732" s="9" t="s">
        <v>17</v>
      </c>
      <c r="F4732" s="10">
        <v>31</v>
      </c>
      <c r="G4732" s="11">
        <v>8147022602</v>
      </c>
      <c r="H4732" s="10" t="s">
        <v>10330</v>
      </c>
      <c r="I4732" s="10" t="s">
        <v>202</v>
      </c>
      <c r="J4732" s="10" t="s">
        <v>3396</v>
      </c>
      <c r="K4732" s="12">
        <v>46025</v>
      </c>
      <c r="L4732" s="28" t="s">
        <v>11</v>
      </c>
      <c r="M4732" s="14"/>
      <c r="N4732" s="10" t="s">
        <v>1028</v>
      </c>
    </row>
    <row r="4733" spans="1:14" ht="22.5" customHeight="1">
      <c r="A4733" s="8">
        <v>46025.052610358791</v>
      </c>
      <c r="B4733" s="9" t="s">
        <v>14</v>
      </c>
      <c r="C4733" s="9" t="s">
        <v>15</v>
      </c>
      <c r="D4733" s="10" t="s">
        <v>10170</v>
      </c>
      <c r="E4733" s="9" t="s">
        <v>22</v>
      </c>
      <c r="F4733" s="10">
        <v>30</v>
      </c>
      <c r="G4733" s="11">
        <v>9030245305</v>
      </c>
      <c r="H4733" s="10" t="s">
        <v>10171</v>
      </c>
      <c r="I4733" s="10" t="s">
        <v>27</v>
      </c>
      <c r="J4733" s="10" t="s">
        <v>1456</v>
      </c>
      <c r="K4733" s="12">
        <v>46025</v>
      </c>
      <c r="L4733" s="28" t="s">
        <v>11</v>
      </c>
      <c r="M4733" s="14"/>
      <c r="N4733" s="10" t="s">
        <v>1028</v>
      </c>
    </row>
    <row r="4734" spans="1:14" ht="22.5" customHeight="1">
      <c r="A4734" s="8">
        <v>46025.069762824074</v>
      </c>
      <c r="B4734" s="9" t="s">
        <v>14</v>
      </c>
      <c r="C4734" s="9" t="s">
        <v>15</v>
      </c>
      <c r="D4734" s="10" t="s">
        <v>10331</v>
      </c>
      <c r="E4734" s="9" t="s">
        <v>17</v>
      </c>
      <c r="F4734" s="10">
        <v>32</v>
      </c>
      <c r="G4734" s="11">
        <v>8152655928</v>
      </c>
      <c r="H4734" s="10" t="s">
        <v>10332</v>
      </c>
      <c r="I4734" s="10" t="s">
        <v>49</v>
      </c>
      <c r="J4734" s="10" t="s">
        <v>50</v>
      </c>
      <c r="K4734" s="12">
        <v>34335</v>
      </c>
      <c r="L4734" s="28" t="s">
        <v>11</v>
      </c>
      <c r="M4734" s="14"/>
      <c r="N4734" s="10" t="s">
        <v>1028</v>
      </c>
    </row>
    <row r="4735" spans="1:14" ht="22.5" customHeight="1">
      <c r="A4735" s="8">
        <v>46025.083037835648</v>
      </c>
      <c r="B4735" s="9" t="s">
        <v>14</v>
      </c>
      <c r="C4735" s="9" t="s">
        <v>15</v>
      </c>
      <c r="D4735" s="10" t="s">
        <v>10333</v>
      </c>
      <c r="E4735" s="9" t="s">
        <v>17</v>
      </c>
      <c r="F4735" s="10">
        <v>25</v>
      </c>
      <c r="G4735" s="11">
        <v>8143444682</v>
      </c>
      <c r="H4735" s="10" t="s">
        <v>10334</v>
      </c>
      <c r="I4735" s="10" t="s">
        <v>27</v>
      </c>
      <c r="J4735" s="10" t="s">
        <v>70</v>
      </c>
      <c r="K4735" s="12">
        <v>46025</v>
      </c>
      <c r="L4735" s="28" t="s">
        <v>11</v>
      </c>
      <c r="M4735" s="14"/>
      <c r="N4735" s="10" t="s">
        <v>1028</v>
      </c>
    </row>
    <row r="4736" spans="1:14" ht="22.5" customHeight="1">
      <c r="A4736" s="8">
        <v>46025.091692060189</v>
      </c>
      <c r="B4736" s="9" t="s">
        <v>14</v>
      </c>
      <c r="C4736" s="9" t="s">
        <v>15</v>
      </c>
      <c r="D4736" s="10" t="s">
        <v>10335</v>
      </c>
      <c r="E4736" s="9" t="s">
        <v>22</v>
      </c>
      <c r="F4736" s="10">
        <v>27</v>
      </c>
      <c r="G4736" s="11">
        <v>7066373260</v>
      </c>
      <c r="H4736" s="10" t="s">
        <v>10336</v>
      </c>
      <c r="I4736" s="10" t="s">
        <v>45</v>
      </c>
      <c r="J4736" s="10" t="s">
        <v>1191</v>
      </c>
      <c r="K4736" s="12">
        <v>46025</v>
      </c>
      <c r="L4736" s="28" t="s">
        <v>11</v>
      </c>
      <c r="M4736" s="14"/>
      <c r="N4736" s="10" t="s">
        <v>1028</v>
      </c>
    </row>
    <row r="4737" spans="1:14" ht="22.5" customHeight="1">
      <c r="A4737" s="8">
        <v>46025.148181863427</v>
      </c>
      <c r="B4737" s="9" t="s">
        <v>14</v>
      </c>
      <c r="C4737" s="9" t="s">
        <v>15</v>
      </c>
      <c r="D4737" s="10" t="s">
        <v>3267</v>
      </c>
      <c r="E4737" s="9" t="s">
        <v>17</v>
      </c>
      <c r="F4737" s="10">
        <v>33</v>
      </c>
      <c r="G4737" s="11">
        <v>7036395920</v>
      </c>
      <c r="H4737" s="10" t="s">
        <v>3268</v>
      </c>
      <c r="I4737" s="10" t="s">
        <v>45</v>
      </c>
      <c r="J4737" s="10" t="s">
        <v>1919</v>
      </c>
      <c r="K4737" s="12">
        <v>46025</v>
      </c>
      <c r="L4737" s="28" t="s">
        <v>11</v>
      </c>
      <c r="M4737" s="14"/>
      <c r="N4737" s="10" t="s">
        <v>1028</v>
      </c>
    </row>
    <row r="4738" spans="1:14" ht="22.5" customHeight="1">
      <c r="A4738" s="8">
        <v>46025.187739432869</v>
      </c>
      <c r="B4738" s="9" t="s">
        <v>14</v>
      </c>
      <c r="C4738" s="9" t="s">
        <v>15</v>
      </c>
      <c r="D4738" s="10" t="s">
        <v>10337</v>
      </c>
      <c r="E4738" s="9" t="s">
        <v>17</v>
      </c>
      <c r="F4738" s="10">
        <v>34</v>
      </c>
      <c r="G4738" s="11">
        <v>8035256328</v>
      </c>
      <c r="H4738" s="10" t="s">
        <v>10338</v>
      </c>
      <c r="I4738" s="10" t="s">
        <v>45</v>
      </c>
      <c r="J4738" s="10" t="s">
        <v>5773</v>
      </c>
      <c r="K4738" s="12">
        <v>46025</v>
      </c>
      <c r="L4738" s="28" t="s">
        <v>11</v>
      </c>
      <c r="M4738" s="14"/>
      <c r="N4738" s="10" t="s">
        <v>1028</v>
      </c>
    </row>
    <row r="4739" spans="1:14" ht="22.5" customHeight="1">
      <c r="A4739" s="8">
        <v>46025.191808472227</v>
      </c>
      <c r="B4739" s="9" t="s">
        <v>14</v>
      </c>
      <c r="C4739" s="9" t="s">
        <v>15</v>
      </c>
      <c r="D4739" s="10" t="s">
        <v>10339</v>
      </c>
      <c r="E4739" s="9" t="s">
        <v>17</v>
      </c>
      <c r="F4739" s="10">
        <v>29</v>
      </c>
      <c r="G4739" s="11">
        <v>8035468262</v>
      </c>
      <c r="H4739" s="10" t="s">
        <v>10340</v>
      </c>
      <c r="I4739" s="10" t="s">
        <v>19</v>
      </c>
      <c r="J4739" s="10" t="s">
        <v>166</v>
      </c>
      <c r="K4739" s="12">
        <v>46025</v>
      </c>
      <c r="L4739" s="28" t="s">
        <v>11</v>
      </c>
      <c r="M4739" s="14"/>
      <c r="N4739" s="10" t="s">
        <v>1028</v>
      </c>
    </row>
    <row r="4740" spans="1:14" ht="22.5" customHeight="1">
      <c r="A4740" s="8">
        <v>46025.253528125002</v>
      </c>
      <c r="B4740" s="9" t="s">
        <v>14</v>
      </c>
      <c r="C4740" s="9" t="s">
        <v>15</v>
      </c>
      <c r="D4740" s="10" t="s">
        <v>10341</v>
      </c>
      <c r="E4740" s="9" t="s">
        <v>17</v>
      </c>
      <c r="F4740" s="10">
        <v>29</v>
      </c>
      <c r="G4740" s="11">
        <v>8037796058</v>
      </c>
      <c r="H4740" s="10" t="s">
        <v>10342</v>
      </c>
      <c r="I4740" s="10" t="s">
        <v>19</v>
      </c>
      <c r="J4740" s="10" t="s">
        <v>9162</v>
      </c>
      <c r="K4740" s="12">
        <v>46025</v>
      </c>
      <c r="L4740" s="28" t="s">
        <v>11</v>
      </c>
      <c r="M4740" s="14"/>
      <c r="N4740" s="10" t="s">
        <v>1096</v>
      </c>
    </row>
    <row r="4741" spans="1:14" ht="22.5" customHeight="1">
      <c r="A4741" s="8">
        <v>46025.279131921299</v>
      </c>
      <c r="B4741" s="9" t="s">
        <v>14</v>
      </c>
      <c r="C4741" s="9" t="s">
        <v>15</v>
      </c>
      <c r="D4741" s="10" t="s">
        <v>10343</v>
      </c>
      <c r="E4741" s="9" t="s">
        <v>22</v>
      </c>
      <c r="F4741" s="10">
        <v>25</v>
      </c>
      <c r="G4741" s="11">
        <f t="shared" ref="G4741" si="131">2348027888471</f>
        <v>2348027888471</v>
      </c>
      <c r="H4741" s="10" t="s">
        <v>10344</v>
      </c>
      <c r="I4741" s="10" t="s">
        <v>45</v>
      </c>
      <c r="J4741" s="10" t="s">
        <v>10345</v>
      </c>
      <c r="K4741" s="12">
        <v>46025</v>
      </c>
      <c r="L4741" s="28" t="s">
        <v>11</v>
      </c>
      <c r="M4741" s="10"/>
      <c r="N4741" s="10" t="s">
        <v>1028</v>
      </c>
    </row>
    <row r="4742" spans="1:14" ht="22.5" customHeight="1">
      <c r="A4742" s="8">
        <v>46025.307378842597</v>
      </c>
      <c r="B4742" s="9" t="s">
        <v>14</v>
      </c>
      <c r="C4742" s="9" t="s">
        <v>15</v>
      </c>
      <c r="D4742" s="10" t="s">
        <v>10346</v>
      </c>
      <c r="E4742" s="9" t="s">
        <v>17</v>
      </c>
      <c r="F4742" s="10">
        <v>21</v>
      </c>
      <c r="G4742" s="11">
        <v>8109372291</v>
      </c>
      <c r="H4742" s="10" t="s">
        <v>10347</v>
      </c>
      <c r="I4742" s="10" t="s">
        <v>27</v>
      </c>
      <c r="J4742" s="10" t="s">
        <v>1514</v>
      </c>
      <c r="K4742" s="12">
        <v>46025</v>
      </c>
      <c r="L4742" s="28" t="s">
        <v>11</v>
      </c>
      <c r="M4742" s="14"/>
      <c r="N4742" s="10" t="s">
        <v>1028</v>
      </c>
    </row>
    <row r="4743" spans="1:14" ht="22.5" customHeight="1">
      <c r="A4743" s="8">
        <v>46025.308957442132</v>
      </c>
      <c r="B4743" s="9" t="s">
        <v>14</v>
      </c>
      <c r="C4743" s="9" t="s">
        <v>15</v>
      </c>
      <c r="D4743" s="10" t="s">
        <v>10348</v>
      </c>
      <c r="E4743" s="9" t="s">
        <v>17</v>
      </c>
      <c r="F4743" s="10">
        <v>31</v>
      </c>
      <c r="G4743" s="11">
        <v>7030689385</v>
      </c>
      <c r="H4743" s="10" t="s">
        <v>10349</v>
      </c>
      <c r="I4743" s="10" t="s">
        <v>27</v>
      </c>
      <c r="J4743" s="10" t="s">
        <v>10350</v>
      </c>
      <c r="K4743" s="12">
        <v>46025</v>
      </c>
      <c r="L4743" s="28" t="s">
        <v>11</v>
      </c>
      <c r="M4743" s="14"/>
      <c r="N4743" s="10" t="s">
        <v>1096</v>
      </c>
    </row>
    <row r="4744" spans="1:14" ht="22.5" customHeight="1">
      <c r="A4744" s="8">
        <v>46025.314171944439</v>
      </c>
      <c r="B4744" s="9" t="s">
        <v>14</v>
      </c>
      <c r="C4744" s="9" t="s">
        <v>15</v>
      </c>
      <c r="D4744" s="10" t="s">
        <v>10351</v>
      </c>
      <c r="E4744" s="9" t="s">
        <v>22</v>
      </c>
      <c r="F4744" s="10">
        <v>26</v>
      </c>
      <c r="G4744" s="11">
        <v>7036217064</v>
      </c>
      <c r="H4744" s="10" t="s">
        <v>10352</v>
      </c>
      <c r="I4744" s="10" t="s">
        <v>145</v>
      </c>
      <c r="J4744" s="10" t="s">
        <v>1607</v>
      </c>
      <c r="K4744" s="12">
        <v>36369</v>
      </c>
      <c r="L4744" s="28" t="s">
        <v>11</v>
      </c>
      <c r="M4744" s="14"/>
      <c r="N4744" s="10" t="s">
        <v>1096</v>
      </c>
    </row>
    <row r="4745" spans="1:14" ht="22.5" customHeight="1">
      <c r="A4745" s="8">
        <v>46025.324783807868</v>
      </c>
      <c r="B4745" s="9" t="s">
        <v>14</v>
      </c>
      <c r="C4745" s="9" t="s">
        <v>15</v>
      </c>
      <c r="D4745" s="10" t="s">
        <v>10353</v>
      </c>
      <c r="E4745" s="9" t="s">
        <v>22</v>
      </c>
      <c r="F4745" s="10">
        <v>28</v>
      </c>
      <c r="G4745" s="11">
        <v>9034930592</v>
      </c>
      <c r="H4745" s="10" t="s">
        <v>10354</v>
      </c>
      <c r="I4745" s="10" t="s">
        <v>45</v>
      </c>
      <c r="J4745" s="10" t="s">
        <v>287</v>
      </c>
      <c r="K4745" s="12">
        <v>46025</v>
      </c>
      <c r="L4745" s="28" t="s">
        <v>11</v>
      </c>
      <c r="M4745" s="14"/>
      <c r="N4745" s="10" t="s">
        <v>1096</v>
      </c>
    </row>
    <row r="4746" spans="1:14" ht="22.5" hidden="1" customHeight="1">
      <c r="A4746" s="8">
        <v>46025.344335416667</v>
      </c>
      <c r="B4746" s="9" t="s">
        <v>14</v>
      </c>
      <c r="C4746" s="9" t="s">
        <v>15</v>
      </c>
      <c r="D4746" s="10" t="s">
        <v>10355</v>
      </c>
      <c r="E4746" s="9" t="s">
        <v>17</v>
      </c>
      <c r="F4746" s="10">
        <v>36</v>
      </c>
      <c r="G4746" s="11">
        <v>9071766396</v>
      </c>
      <c r="H4746" s="10" t="s">
        <v>10356</v>
      </c>
      <c r="I4746" s="10" t="s">
        <v>202</v>
      </c>
      <c r="J4746" s="10" t="s">
        <v>2059</v>
      </c>
      <c r="K4746" s="12">
        <v>46025</v>
      </c>
      <c r="L4746" s="10" t="s">
        <v>441</v>
      </c>
      <c r="M4746" s="10" t="s">
        <v>1361</v>
      </c>
      <c r="N4746" s="10" t="s">
        <v>1028</v>
      </c>
    </row>
    <row r="4747" spans="1:14" ht="22.5" customHeight="1">
      <c r="A4747" s="8">
        <v>46025.361817326389</v>
      </c>
      <c r="B4747" s="9" t="s">
        <v>14</v>
      </c>
      <c r="C4747" s="9" t="s">
        <v>15</v>
      </c>
      <c r="D4747" s="10" t="s">
        <v>10357</v>
      </c>
      <c r="E4747" s="9" t="s">
        <v>17</v>
      </c>
      <c r="F4747" s="10">
        <v>33</v>
      </c>
      <c r="G4747" s="11">
        <v>7036126879</v>
      </c>
      <c r="H4747" s="10" t="s">
        <v>10358</v>
      </c>
      <c r="I4747" s="10" t="s">
        <v>27</v>
      </c>
      <c r="J4747" s="10" t="s">
        <v>94</v>
      </c>
      <c r="K4747" s="12">
        <v>46025</v>
      </c>
      <c r="L4747" s="28" t="s">
        <v>11</v>
      </c>
      <c r="M4747" s="14"/>
      <c r="N4747" s="10" t="s">
        <v>1028</v>
      </c>
    </row>
    <row r="4748" spans="1:14" ht="22.5" customHeight="1">
      <c r="A4748" s="8">
        <v>46025.365767303243</v>
      </c>
      <c r="B4748" s="9" t="s">
        <v>14</v>
      </c>
      <c r="C4748" s="9" t="s">
        <v>15</v>
      </c>
      <c r="D4748" s="10" t="s">
        <v>10359</v>
      </c>
      <c r="E4748" s="9" t="s">
        <v>17</v>
      </c>
      <c r="F4748" s="10">
        <v>34</v>
      </c>
      <c r="G4748" s="11">
        <v>8034679036</v>
      </c>
      <c r="H4748" s="10" t="s">
        <v>10360</v>
      </c>
      <c r="I4748" s="10" t="s">
        <v>19</v>
      </c>
      <c r="J4748" s="10" t="s">
        <v>2311</v>
      </c>
      <c r="K4748" s="12">
        <v>46025</v>
      </c>
      <c r="L4748" s="28" t="s">
        <v>11</v>
      </c>
      <c r="M4748" s="14"/>
      <c r="N4748" s="10" t="s">
        <v>1028</v>
      </c>
    </row>
    <row r="4749" spans="1:14" ht="22.5" customHeight="1">
      <c r="A4749" s="8">
        <v>46025.374573310182</v>
      </c>
      <c r="B4749" s="9" t="s">
        <v>14</v>
      </c>
      <c r="C4749" s="9" t="s">
        <v>15</v>
      </c>
      <c r="D4749" s="10" t="s">
        <v>10361</v>
      </c>
      <c r="E4749" s="9" t="s">
        <v>22</v>
      </c>
      <c r="F4749" s="10">
        <v>28</v>
      </c>
      <c r="G4749" s="11">
        <v>8138131351</v>
      </c>
      <c r="H4749" s="10" t="s">
        <v>10362</v>
      </c>
      <c r="I4749" s="10" t="s">
        <v>45</v>
      </c>
      <c r="J4749" s="10" t="s">
        <v>688</v>
      </c>
      <c r="K4749" s="12">
        <v>46025</v>
      </c>
      <c r="L4749" s="28" t="s">
        <v>11</v>
      </c>
      <c r="M4749" s="14"/>
      <c r="N4749" s="10" t="s">
        <v>1028</v>
      </c>
    </row>
    <row r="4750" spans="1:14" ht="22.5" customHeight="1">
      <c r="A4750" s="8">
        <v>46025.397460312495</v>
      </c>
      <c r="B4750" s="9" t="s">
        <v>14</v>
      </c>
      <c r="C4750" s="9" t="s">
        <v>15</v>
      </c>
      <c r="D4750" s="10" t="s">
        <v>10363</v>
      </c>
      <c r="E4750" s="9" t="s">
        <v>22</v>
      </c>
      <c r="F4750" s="10">
        <v>26</v>
      </c>
      <c r="G4750" s="11">
        <v>8101543501</v>
      </c>
      <c r="H4750" s="10" t="s">
        <v>10364</v>
      </c>
      <c r="I4750" s="10" t="s">
        <v>19</v>
      </c>
      <c r="J4750" s="10" t="s">
        <v>3273</v>
      </c>
      <c r="K4750" s="12">
        <v>46025</v>
      </c>
      <c r="L4750" s="28" t="s">
        <v>11</v>
      </c>
      <c r="M4750" s="14"/>
      <c r="N4750" s="10" t="s">
        <v>1028</v>
      </c>
    </row>
    <row r="4751" spans="1:14" ht="22.5" customHeight="1">
      <c r="A4751" s="8">
        <v>46025.427773414354</v>
      </c>
      <c r="B4751" s="9" t="s">
        <v>14</v>
      </c>
      <c r="C4751" s="9" t="s">
        <v>15</v>
      </c>
      <c r="D4751" s="10" t="s">
        <v>10365</v>
      </c>
      <c r="E4751" s="9" t="s">
        <v>17</v>
      </c>
      <c r="F4751" s="10">
        <v>44</v>
      </c>
      <c r="G4751" s="11">
        <v>8080932397</v>
      </c>
      <c r="H4751" s="10" t="s">
        <v>10366</v>
      </c>
      <c r="I4751" s="10" t="s">
        <v>45</v>
      </c>
      <c r="J4751" s="10" t="s">
        <v>339</v>
      </c>
      <c r="K4751" s="12">
        <v>46025</v>
      </c>
      <c r="L4751" s="28" t="s">
        <v>11</v>
      </c>
      <c r="M4751" s="14"/>
      <c r="N4751" s="10" t="s">
        <v>1028</v>
      </c>
    </row>
    <row r="4752" spans="1:14" ht="22.5" customHeight="1">
      <c r="A4752" s="8">
        <v>46025.430041874999</v>
      </c>
      <c r="B4752" s="9" t="s">
        <v>14</v>
      </c>
      <c r="C4752" s="9" t="s">
        <v>15</v>
      </c>
      <c r="D4752" s="10" t="s">
        <v>10367</v>
      </c>
      <c r="E4752" s="9" t="s">
        <v>17</v>
      </c>
      <c r="F4752" s="10">
        <v>30</v>
      </c>
      <c r="G4752" s="11">
        <v>7069680599</v>
      </c>
      <c r="H4752" s="10" t="s">
        <v>10368</v>
      </c>
      <c r="I4752" s="10" t="s">
        <v>49</v>
      </c>
      <c r="J4752" s="10" t="s">
        <v>103</v>
      </c>
      <c r="K4752" s="12">
        <v>46025</v>
      </c>
      <c r="L4752" s="28" t="s">
        <v>11</v>
      </c>
      <c r="M4752" s="14"/>
      <c r="N4752" s="10" t="s">
        <v>1096</v>
      </c>
    </row>
    <row r="4753" spans="1:14" ht="22.5" customHeight="1">
      <c r="A4753" s="8">
        <v>46025.438326874995</v>
      </c>
      <c r="B4753" s="9" t="s">
        <v>14</v>
      </c>
      <c r="C4753" s="9" t="s">
        <v>15</v>
      </c>
      <c r="D4753" s="10" t="s">
        <v>10369</v>
      </c>
      <c r="E4753" s="9" t="s">
        <v>22</v>
      </c>
      <c r="F4753" s="10">
        <v>26</v>
      </c>
      <c r="G4753" s="11">
        <v>8164277969</v>
      </c>
      <c r="H4753" s="10" t="s">
        <v>10370</v>
      </c>
      <c r="I4753" s="10" t="s">
        <v>145</v>
      </c>
      <c r="J4753" s="10" t="s">
        <v>10371</v>
      </c>
      <c r="K4753" s="12">
        <v>36191</v>
      </c>
      <c r="L4753" s="28" t="s">
        <v>11</v>
      </c>
      <c r="M4753" s="14"/>
      <c r="N4753" s="10" t="s">
        <v>1028</v>
      </c>
    </row>
    <row r="4754" spans="1:14" ht="22.5" customHeight="1">
      <c r="A4754" s="8">
        <v>46025.456246979171</v>
      </c>
      <c r="B4754" s="9" t="s">
        <v>14</v>
      </c>
      <c r="C4754" s="9" t="s">
        <v>15</v>
      </c>
      <c r="D4754" s="10" t="s">
        <v>10372</v>
      </c>
      <c r="E4754" s="9" t="s">
        <v>22</v>
      </c>
      <c r="F4754" s="10">
        <v>30</v>
      </c>
      <c r="G4754" s="11">
        <v>7010973798</v>
      </c>
      <c r="H4754" s="10" t="s">
        <v>10373</v>
      </c>
      <c r="I4754" s="10" t="s">
        <v>202</v>
      </c>
      <c r="J4754" s="10" t="s">
        <v>4005</v>
      </c>
      <c r="K4754" s="12">
        <v>46025</v>
      </c>
      <c r="L4754" s="28" t="s">
        <v>11</v>
      </c>
      <c r="M4754" s="14"/>
      <c r="N4754" s="10" t="s">
        <v>1028</v>
      </c>
    </row>
    <row r="4755" spans="1:14" ht="22.5" customHeight="1">
      <c r="A4755" s="8">
        <v>46025.462571157404</v>
      </c>
      <c r="B4755" s="9" t="s">
        <v>14</v>
      </c>
      <c r="C4755" s="9" t="s">
        <v>15</v>
      </c>
      <c r="D4755" s="10" t="s">
        <v>10374</v>
      </c>
      <c r="E4755" s="9" t="s">
        <v>22</v>
      </c>
      <c r="F4755" s="10">
        <v>30</v>
      </c>
      <c r="G4755" s="11">
        <v>8106764770</v>
      </c>
      <c r="H4755" s="10" t="s">
        <v>10375</v>
      </c>
      <c r="I4755" s="10" t="s">
        <v>19</v>
      </c>
      <c r="J4755" s="10" t="s">
        <v>10376</v>
      </c>
      <c r="K4755" s="12">
        <v>46025</v>
      </c>
      <c r="L4755" s="28" t="s">
        <v>11</v>
      </c>
      <c r="M4755" s="14"/>
      <c r="N4755" s="10" t="s">
        <v>1096</v>
      </c>
    </row>
    <row r="4756" spans="1:14" ht="22.5" hidden="1" customHeight="1">
      <c r="A4756" s="8">
        <v>46025.476019861111</v>
      </c>
      <c r="B4756" s="9" t="s">
        <v>14</v>
      </c>
      <c r="C4756" s="9" t="s">
        <v>15</v>
      </c>
      <c r="D4756" s="10" t="s">
        <v>10377</v>
      </c>
      <c r="E4756" s="9" t="s">
        <v>22</v>
      </c>
      <c r="F4756" s="10">
        <v>23</v>
      </c>
      <c r="G4756" s="11">
        <v>8146663936</v>
      </c>
      <c r="H4756" s="10" t="s">
        <v>10378</v>
      </c>
      <c r="I4756" s="10" t="s">
        <v>45</v>
      </c>
      <c r="J4756" s="10" t="s">
        <v>10248</v>
      </c>
      <c r="K4756" s="12">
        <v>46025</v>
      </c>
      <c r="L4756" s="10" t="s">
        <v>441</v>
      </c>
      <c r="M4756" s="10" t="s">
        <v>1827</v>
      </c>
      <c r="N4756" s="10" t="s">
        <v>1028</v>
      </c>
    </row>
    <row r="4757" spans="1:14" ht="22.5" customHeight="1">
      <c r="A4757" s="8">
        <v>46025.479722233795</v>
      </c>
      <c r="B4757" s="9" t="s">
        <v>14</v>
      </c>
      <c r="C4757" s="9" t="s">
        <v>15</v>
      </c>
      <c r="D4757" s="10" t="s">
        <v>10379</v>
      </c>
      <c r="E4757" s="9" t="s">
        <v>22</v>
      </c>
      <c r="F4757" s="10">
        <v>29</v>
      </c>
      <c r="G4757" s="11">
        <v>9163207417</v>
      </c>
      <c r="H4757" s="10" t="s">
        <v>10380</v>
      </c>
      <c r="I4757" s="10" t="s">
        <v>19</v>
      </c>
      <c r="J4757" s="10" t="s">
        <v>10381</v>
      </c>
      <c r="K4757" s="12">
        <v>46025</v>
      </c>
      <c r="L4757" s="28" t="s">
        <v>11</v>
      </c>
      <c r="M4757" s="14"/>
      <c r="N4757" s="10" t="s">
        <v>1028</v>
      </c>
    </row>
    <row r="4758" spans="1:14" ht="22.5" customHeight="1">
      <c r="A4758" s="8">
        <v>46025.483141076387</v>
      </c>
      <c r="B4758" s="9" t="s">
        <v>14</v>
      </c>
      <c r="C4758" s="9" t="s">
        <v>15</v>
      </c>
      <c r="D4758" s="10" t="s">
        <v>10382</v>
      </c>
      <c r="E4758" s="9" t="s">
        <v>17</v>
      </c>
      <c r="F4758" s="10">
        <v>23</v>
      </c>
      <c r="G4758" s="11">
        <v>8147853013</v>
      </c>
      <c r="H4758" s="10" t="s">
        <v>10383</v>
      </c>
      <c r="I4758" s="10" t="s">
        <v>202</v>
      </c>
      <c r="J4758" s="10" t="s">
        <v>4174</v>
      </c>
      <c r="K4758" s="12">
        <v>46025</v>
      </c>
      <c r="L4758" s="28" t="s">
        <v>11</v>
      </c>
      <c r="M4758" s="14"/>
      <c r="N4758" s="10" t="s">
        <v>1028</v>
      </c>
    </row>
    <row r="4759" spans="1:14" ht="22.5" customHeight="1">
      <c r="A4759" s="8">
        <v>46025.487294467588</v>
      </c>
      <c r="B4759" s="9" t="s">
        <v>14</v>
      </c>
      <c r="C4759" s="9" t="s">
        <v>15</v>
      </c>
      <c r="D4759" s="10" t="s">
        <v>2949</v>
      </c>
      <c r="E4759" s="9" t="s">
        <v>17</v>
      </c>
      <c r="F4759" s="10">
        <v>38</v>
      </c>
      <c r="G4759" s="11">
        <v>8037623799</v>
      </c>
      <c r="H4759" s="10" t="s">
        <v>10384</v>
      </c>
      <c r="I4759" s="10" t="s">
        <v>27</v>
      </c>
      <c r="J4759" s="10" t="s">
        <v>94</v>
      </c>
      <c r="K4759" s="12">
        <v>46025</v>
      </c>
      <c r="L4759" s="28" t="s">
        <v>11</v>
      </c>
      <c r="M4759" s="10"/>
      <c r="N4759" s="10" t="s">
        <v>1028</v>
      </c>
    </row>
    <row r="4760" spans="1:14" ht="22.5" customHeight="1">
      <c r="A4760" s="8">
        <v>46025.491451273148</v>
      </c>
      <c r="B4760" s="9" t="s">
        <v>14</v>
      </c>
      <c r="C4760" s="9" t="s">
        <v>15</v>
      </c>
      <c r="D4760" s="10" t="s">
        <v>10385</v>
      </c>
      <c r="E4760" s="9" t="s">
        <v>17</v>
      </c>
      <c r="F4760" s="10">
        <v>33</v>
      </c>
      <c r="G4760" s="11">
        <v>8139784531</v>
      </c>
      <c r="H4760" s="10" t="s">
        <v>10386</v>
      </c>
      <c r="I4760" s="10" t="s">
        <v>49</v>
      </c>
      <c r="J4760" s="10" t="s">
        <v>50</v>
      </c>
      <c r="K4760" s="12">
        <v>46025</v>
      </c>
      <c r="L4760" s="28" t="s">
        <v>11</v>
      </c>
      <c r="M4760" s="14"/>
      <c r="N4760" s="10" t="s">
        <v>1096</v>
      </c>
    </row>
    <row r="4761" spans="1:14" ht="22.5" customHeight="1">
      <c r="A4761" s="8">
        <v>46025.494096041672</v>
      </c>
      <c r="B4761" s="9" t="s">
        <v>14</v>
      </c>
      <c r="C4761" s="9" t="s">
        <v>15</v>
      </c>
      <c r="D4761" s="10" t="s">
        <v>10387</v>
      </c>
      <c r="E4761" s="9" t="s">
        <v>17</v>
      </c>
      <c r="F4761" s="10">
        <v>23</v>
      </c>
      <c r="G4761" s="11">
        <v>7030856272</v>
      </c>
      <c r="H4761" s="10" t="s">
        <v>10388</v>
      </c>
      <c r="I4761" s="10" t="s">
        <v>27</v>
      </c>
      <c r="J4761" s="10" t="s">
        <v>2861</v>
      </c>
      <c r="K4761" s="12">
        <v>46025</v>
      </c>
      <c r="L4761" s="28" t="s">
        <v>11</v>
      </c>
      <c r="M4761" s="14"/>
      <c r="N4761" s="10" t="s">
        <v>1028</v>
      </c>
    </row>
    <row r="4762" spans="1:14" ht="22.5" customHeight="1">
      <c r="A4762" s="8">
        <v>46025.502117222219</v>
      </c>
      <c r="B4762" s="9" t="s">
        <v>14</v>
      </c>
      <c r="C4762" s="9" t="s">
        <v>15</v>
      </c>
      <c r="D4762" s="10" t="s">
        <v>10389</v>
      </c>
      <c r="E4762" s="9" t="s">
        <v>17</v>
      </c>
      <c r="F4762" s="10">
        <v>24</v>
      </c>
      <c r="G4762" s="11">
        <v>7030146028</v>
      </c>
      <c r="H4762" s="10" t="s">
        <v>10390</v>
      </c>
      <c r="I4762" s="10" t="s">
        <v>27</v>
      </c>
      <c r="J4762" s="10" t="s">
        <v>10390</v>
      </c>
      <c r="K4762" s="12">
        <v>46025</v>
      </c>
      <c r="L4762" s="28" t="s">
        <v>11</v>
      </c>
      <c r="M4762" s="14"/>
      <c r="N4762" s="10" t="s">
        <v>1028</v>
      </c>
    </row>
    <row r="4763" spans="1:14" ht="22.5" customHeight="1">
      <c r="A4763" s="8">
        <v>46025.503964189818</v>
      </c>
      <c r="B4763" s="9" t="s">
        <v>14</v>
      </c>
      <c r="C4763" s="9" t="s">
        <v>15</v>
      </c>
      <c r="D4763" s="10" t="s">
        <v>10391</v>
      </c>
      <c r="E4763" s="9" t="s">
        <v>17</v>
      </c>
      <c r="F4763" s="10">
        <v>31</v>
      </c>
      <c r="G4763" s="11">
        <v>8051981419</v>
      </c>
      <c r="H4763" s="10" t="s">
        <v>10392</v>
      </c>
      <c r="I4763" s="10" t="s">
        <v>202</v>
      </c>
      <c r="J4763" s="10" t="s">
        <v>5573</v>
      </c>
      <c r="K4763" s="12">
        <v>46025</v>
      </c>
      <c r="L4763" s="28" t="s">
        <v>11</v>
      </c>
      <c r="M4763" s="14"/>
      <c r="N4763" s="10" t="s">
        <v>1028</v>
      </c>
    </row>
    <row r="4764" spans="1:14" ht="22.5" customHeight="1">
      <c r="A4764" s="8">
        <v>46025.516853958332</v>
      </c>
      <c r="B4764" s="9" t="s">
        <v>14</v>
      </c>
      <c r="C4764" s="9" t="s">
        <v>15</v>
      </c>
      <c r="D4764" s="10" t="s">
        <v>10393</v>
      </c>
      <c r="E4764" s="9" t="s">
        <v>17</v>
      </c>
      <c r="F4764" s="10">
        <v>36</v>
      </c>
      <c r="G4764" s="11">
        <v>8033977183</v>
      </c>
      <c r="H4764" s="10" t="s">
        <v>10394</v>
      </c>
      <c r="I4764" s="10" t="s">
        <v>27</v>
      </c>
      <c r="J4764" s="10" t="s">
        <v>2105</v>
      </c>
      <c r="K4764" s="12">
        <v>46025</v>
      </c>
      <c r="L4764" s="28" t="s">
        <v>11</v>
      </c>
      <c r="M4764" s="14"/>
      <c r="N4764" s="10" t="s">
        <v>1028</v>
      </c>
    </row>
    <row r="4765" spans="1:14" ht="22.5" customHeight="1">
      <c r="A4765" s="8">
        <v>46025.518410069446</v>
      </c>
      <c r="B4765" s="9" t="s">
        <v>14</v>
      </c>
      <c r="C4765" s="9" t="s">
        <v>15</v>
      </c>
      <c r="D4765" s="10" t="s">
        <v>10395</v>
      </c>
      <c r="E4765" s="9" t="s">
        <v>17</v>
      </c>
      <c r="F4765" s="10">
        <v>24</v>
      </c>
      <c r="G4765" s="11">
        <v>8147496847</v>
      </c>
      <c r="H4765" s="10" t="s">
        <v>10396</v>
      </c>
      <c r="I4765" s="10" t="s">
        <v>27</v>
      </c>
      <c r="J4765" s="10" t="s">
        <v>1514</v>
      </c>
      <c r="K4765" s="12">
        <v>46025</v>
      </c>
      <c r="L4765" s="28" t="s">
        <v>11</v>
      </c>
      <c r="M4765" s="14"/>
      <c r="N4765" s="10" t="s">
        <v>1028</v>
      </c>
    </row>
    <row r="4766" spans="1:14" ht="22.5" customHeight="1">
      <c r="A4766" s="8">
        <v>46025.526781608802</v>
      </c>
      <c r="B4766" s="9" t="s">
        <v>14</v>
      </c>
      <c r="C4766" s="9" t="s">
        <v>15</v>
      </c>
      <c r="D4766" s="10" t="s">
        <v>10397</v>
      </c>
      <c r="E4766" s="9" t="s">
        <v>17</v>
      </c>
      <c r="F4766" s="10">
        <v>25</v>
      </c>
      <c r="G4766" s="11">
        <f>256771580368</f>
        <v>256771580368</v>
      </c>
      <c r="H4766" s="10" t="s">
        <v>10398</v>
      </c>
      <c r="I4766" s="10" t="s">
        <v>202</v>
      </c>
      <c r="J4766" s="10" t="s">
        <v>10399</v>
      </c>
      <c r="K4766" s="12">
        <v>46025</v>
      </c>
      <c r="L4766" s="28" t="s">
        <v>11</v>
      </c>
      <c r="M4766" s="14"/>
      <c r="N4766" s="10" t="s">
        <v>3443</v>
      </c>
    </row>
    <row r="4767" spans="1:14" ht="22.5" customHeight="1">
      <c r="A4767" s="8">
        <v>46025.564318645833</v>
      </c>
      <c r="B4767" s="9" t="s">
        <v>14</v>
      </c>
      <c r="C4767" s="9" t="s">
        <v>15</v>
      </c>
      <c r="D4767" s="10" t="s">
        <v>10400</v>
      </c>
      <c r="E4767" s="9" t="s">
        <v>22</v>
      </c>
      <c r="F4767" s="10">
        <v>24</v>
      </c>
      <c r="G4767" s="11">
        <v>8164655900</v>
      </c>
      <c r="H4767" s="10" t="s">
        <v>10401</v>
      </c>
      <c r="I4767" s="10" t="s">
        <v>19</v>
      </c>
      <c r="J4767" s="10" t="s">
        <v>10402</v>
      </c>
      <c r="K4767" s="12">
        <v>46025</v>
      </c>
      <c r="L4767" s="28" t="s">
        <v>11</v>
      </c>
      <c r="M4767" s="14"/>
      <c r="N4767" s="10" t="s">
        <v>1096</v>
      </c>
    </row>
    <row r="4768" spans="1:14" ht="22.5" customHeight="1">
      <c r="A4768" s="8">
        <v>46025.593974386575</v>
      </c>
      <c r="B4768" s="9" t="s">
        <v>14</v>
      </c>
      <c r="C4768" s="9" t="s">
        <v>15</v>
      </c>
      <c r="D4768" s="10" t="s">
        <v>10403</v>
      </c>
      <c r="E4768" s="9" t="s">
        <v>22</v>
      </c>
      <c r="F4768" s="10">
        <v>32</v>
      </c>
      <c r="G4768" s="11">
        <v>8067124997</v>
      </c>
      <c r="H4768" s="10" t="s">
        <v>10404</v>
      </c>
      <c r="I4768" s="10" t="s">
        <v>45</v>
      </c>
      <c r="J4768" s="10" t="s">
        <v>10405</v>
      </c>
      <c r="K4768" s="12">
        <v>46025</v>
      </c>
      <c r="L4768" s="28" t="s">
        <v>11</v>
      </c>
      <c r="M4768" s="14"/>
      <c r="N4768" s="10" t="s">
        <v>1096</v>
      </c>
    </row>
    <row r="4769" spans="1:14" ht="22.5" customHeight="1">
      <c r="A4769" s="8">
        <v>46025.597007592594</v>
      </c>
      <c r="B4769" s="9" t="s">
        <v>14</v>
      </c>
      <c r="C4769" s="9" t="s">
        <v>15</v>
      </c>
      <c r="D4769" s="10" t="s">
        <v>10406</v>
      </c>
      <c r="E4769" s="9" t="s">
        <v>17</v>
      </c>
      <c r="F4769" s="10">
        <v>25</v>
      </c>
      <c r="G4769" s="11">
        <v>9044071186</v>
      </c>
      <c r="H4769" s="10" t="s">
        <v>10407</v>
      </c>
      <c r="I4769" s="10" t="s">
        <v>202</v>
      </c>
      <c r="J4769" s="10" t="s">
        <v>4632</v>
      </c>
      <c r="K4769" s="12">
        <v>46025</v>
      </c>
      <c r="L4769" s="28" t="s">
        <v>11</v>
      </c>
      <c r="M4769" s="14"/>
      <c r="N4769" s="10" t="s">
        <v>1028</v>
      </c>
    </row>
    <row r="4770" spans="1:14" ht="22.5" customHeight="1">
      <c r="A4770" s="8">
        <v>46025.601993460645</v>
      </c>
      <c r="B4770" s="9" t="s">
        <v>14</v>
      </c>
      <c r="C4770" s="9" t="s">
        <v>15</v>
      </c>
      <c r="D4770" s="10" t="s">
        <v>10408</v>
      </c>
      <c r="E4770" s="9" t="s">
        <v>17</v>
      </c>
      <c r="F4770" s="10">
        <v>31</v>
      </c>
      <c r="G4770" s="11">
        <v>8077009519</v>
      </c>
      <c r="H4770" s="10" t="s">
        <v>10409</v>
      </c>
      <c r="I4770" s="10" t="s">
        <v>145</v>
      </c>
      <c r="J4770" s="10" t="s">
        <v>10410</v>
      </c>
      <c r="K4770" s="12">
        <v>46025</v>
      </c>
      <c r="L4770" s="28" t="s">
        <v>11</v>
      </c>
      <c r="M4770" s="14"/>
      <c r="N4770" s="10" t="s">
        <v>1028</v>
      </c>
    </row>
    <row r="4771" spans="1:14" ht="22.5" customHeight="1">
      <c r="A4771" s="8">
        <v>46025.608987662039</v>
      </c>
      <c r="B4771" s="9" t="s">
        <v>14</v>
      </c>
      <c r="C4771" s="9" t="s">
        <v>15</v>
      </c>
      <c r="D4771" s="10" t="s">
        <v>10411</v>
      </c>
      <c r="E4771" s="9" t="s">
        <v>17</v>
      </c>
      <c r="F4771" s="10">
        <v>40</v>
      </c>
      <c r="G4771" s="11">
        <v>9056191119</v>
      </c>
      <c r="H4771" s="10" t="s">
        <v>10412</v>
      </c>
      <c r="I4771" s="10" t="s">
        <v>49</v>
      </c>
      <c r="J4771" s="10" t="s">
        <v>73</v>
      </c>
      <c r="K4771" s="12">
        <v>46025</v>
      </c>
      <c r="L4771" s="28" t="s">
        <v>11</v>
      </c>
      <c r="M4771" s="14"/>
      <c r="N4771" s="10" t="s">
        <v>1028</v>
      </c>
    </row>
    <row r="4772" spans="1:14" ht="22.5" customHeight="1">
      <c r="A4772" s="8">
        <v>46025.619423240743</v>
      </c>
      <c r="B4772" s="9" t="s">
        <v>14</v>
      </c>
      <c r="C4772" s="9" t="s">
        <v>15</v>
      </c>
      <c r="D4772" s="10" t="s">
        <v>10413</v>
      </c>
      <c r="E4772" s="9" t="s">
        <v>22</v>
      </c>
      <c r="F4772" s="10">
        <v>29</v>
      </c>
      <c r="G4772" s="11">
        <v>8073925420</v>
      </c>
      <c r="H4772" s="10" t="s">
        <v>10414</v>
      </c>
      <c r="I4772" s="10" t="s">
        <v>49</v>
      </c>
      <c r="J4772" s="10" t="s">
        <v>73</v>
      </c>
      <c r="K4772" s="12">
        <v>46025</v>
      </c>
      <c r="L4772" s="28" t="s">
        <v>11</v>
      </c>
      <c r="M4772" s="14"/>
      <c r="N4772" s="10" t="s">
        <v>1028</v>
      </c>
    </row>
    <row r="4773" spans="1:14" ht="22.5" customHeight="1">
      <c r="A4773" s="8">
        <v>46025.625810844911</v>
      </c>
      <c r="B4773" s="9" t="s">
        <v>14</v>
      </c>
      <c r="C4773" s="9" t="s">
        <v>15</v>
      </c>
      <c r="D4773" s="10" t="s">
        <v>10415</v>
      </c>
      <c r="E4773" s="9" t="s">
        <v>17</v>
      </c>
      <c r="F4773" s="10">
        <v>28</v>
      </c>
      <c r="G4773" s="11">
        <v>8062506160</v>
      </c>
      <c r="H4773" s="10" t="s">
        <v>10416</v>
      </c>
      <c r="I4773" s="10" t="s">
        <v>27</v>
      </c>
      <c r="J4773" s="10" t="s">
        <v>372</v>
      </c>
      <c r="K4773" s="12">
        <v>46025</v>
      </c>
      <c r="L4773" s="28" t="s">
        <v>11</v>
      </c>
      <c r="M4773" s="14"/>
      <c r="N4773" s="10" t="s">
        <v>1028</v>
      </c>
    </row>
    <row r="4774" spans="1:14" ht="22.5" customHeight="1">
      <c r="A4774" s="8">
        <v>46025.638143854172</v>
      </c>
      <c r="B4774" s="9" t="s">
        <v>14</v>
      </c>
      <c r="C4774" s="9" t="s">
        <v>15</v>
      </c>
      <c r="D4774" s="10" t="s">
        <v>10417</v>
      </c>
      <c r="E4774" s="9" t="s">
        <v>17</v>
      </c>
      <c r="F4774" s="10">
        <v>34</v>
      </c>
      <c r="G4774" s="11">
        <v>8060095480</v>
      </c>
      <c r="H4774" s="10" t="s">
        <v>10418</v>
      </c>
      <c r="I4774" s="10" t="s">
        <v>202</v>
      </c>
      <c r="J4774" s="10" t="s">
        <v>203</v>
      </c>
      <c r="K4774" s="12">
        <v>46025</v>
      </c>
      <c r="L4774" s="28" t="s">
        <v>11</v>
      </c>
      <c r="M4774" s="14"/>
      <c r="N4774" s="10" t="s">
        <v>1028</v>
      </c>
    </row>
    <row r="4775" spans="1:14" ht="22.5" customHeight="1">
      <c r="A4775" s="8">
        <v>46025.656616921297</v>
      </c>
      <c r="B4775" s="9" t="s">
        <v>14</v>
      </c>
      <c r="C4775" s="9" t="s">
        <v>15</v>
      </c>
      <c r="D4775" s="10" t="s">
        <v>10419</v>
      </c>
      <c r="E4775" s="9" t="s">
        <v>22</v>
      </c>
      <c r="F4775" s="10">
        <v>23</v>
      </c>
      <c r="G4775" s="11">
        <v>8020598534</v>
      </c>
      <c r="H4775" s="10" t="s">
        <v>10420</v>
      </c>
      <c r="I4775" s="10" t="s">
        <v>45</v>
      </c>
      <c r="J4775" s="10" t="s">
        <v>7321</v>
      </c>
      <c r="K4775" s="12">
        <v>46025</v>
      </c>
      <c r="L4775" s="28" t="s">
        <v>11</v>
      </c>
      <c r="M4775" s="14"/>
      <c r="N4775" s="10" t="s">
        <v>1028</v>
      </c>
    </row>
    <row r="4776" spans="1:14" ht="22.5" customHeight="1">
      <c r="A4776" s="8">
        <v>46025.720290868056</v>
      </c>
      <c r="B4776" s="9" t="s">
        <v>14</v>
      </c>
      <c r="C4776" s="9" t="s">
        <v>15</v>
      </c>
      <c r="D4776" s="10" t="s">
        <v>9891</v>
      </c>
      <c r="E4776" s="9" t="s">
        <v>17</v>
      </c>
      <c r="F4776" s="10">
        <v>41</v>
      </c>
      <c r="G4776" s="11">
        <v>8166196004</v>
      </c>
      <c r="H4776" s="10" t="s">
        <v>9892</v>
      </c>
      <c r="I4776" s="10" t="s">
        <v>27</v>
      </c>
      <c r="J4776" s="10" t="s">
        <v>1456</v>
      </c>
      <c r="K4776" s="12">
        <v>46025</v>
      </c>
      <c r="L4776" s="28" t="s">
        <v>11</v>
      </c>
      <c r="M4776" s="14"/>
      <c r="N4776" s="10" t="s">
        <v>1028</v>
      </c>
    </row>
    <row r="4777" spans="1:14" ht="22.5" customHeight="1">
      <c r="A4777" s="8">
        <v>46025.731971967594</v>
      </c>
      <c r="B4777" s="9" t="s">
        <v>14</v>
      </c>
      <c r="C4777" s="9" t="s">
        <v>15</v>
      </c>
      <c r="D4777" s="10" t="s">
        <v>10421</v>
      </c>
      <c r="E4777" s="9" t="s">
        <v>17</v>
      </c>
      <c r="F4777" s="10">
        <v>36</v>
      </c>
      <c r="G4777" s="11">
        <v>8068906013</v>
      </c>
      <c r="H4777" s="10" t="s">
        <v>10422</v>
      </c>
      <c r="I4777" s="10" t="s">
        <v>27</v>
      </c>
      <c r="J4777" s="10" t="s">
        <v>70</v>
      </c>
      <c r="K4777" s="12">
        <v>46025</v>
      </c>
      <c r="L4777" s="28" t="s">
        <v>11</v>
      </c>
      <c r="M4777" s="14"/>
      <c r="N4777" s="10" t="s">
        <v>1028</v>
      </c>
    </row>
    <row r="4778" spans="1:14" ht="22.5" customHeight="1">
      <c r="A4778" s="8">
        <v>46025.733971782407</v>
      </c>
      <c r="B4778" s="9" t="s">
        <v>14</v>
      </c>
      <c r="C4778" s="9" t="s">
        <v>15</v>
      </c>
      <c r="D4778" s="10" t="s">
        <v>10423</v>
      </c>
      <c r="E4778" s="9" t="s">
        <v>22</v>
      </c>
      <c r="F4778" s="10">
        <v>38</v>
      </c>
      <c r="G4778" s="11">
        <v>8169993555</v>
      </c>
      <c r="H4778" s="10" t="s">
        <v>10424</v>
      </c>
      <c r="I4778" s="10" t="s">
        <v>27</v>
      </c>
      <c r="J4778" s="10" t="s">
        <v>10425</v>
      </c>
      <c r="K4778" s="12">
        <v>46025</v>
      </c>
      <c r="L4778" s="28" t="s">
        <v>11</v>
      </c>
      <c r="M4778" s="14"/>
      <c r="N4778" s="10" t="s">
        <v>1028</v>
      </c>
    </row>
    <row r="4779" spans="1:14" ht="22.5" customHeight="1">
      <c r="A4779" s="8">
        <v>46025.761716527777</v>
      </c>
      <c r="B4779" s="9" t="s">
        <v>14</v>
      </c>
      <c r="C4779" s="9" t="s">
        <v>15</v>
      </c>
      <c r="D4779" s="10" t="s">
        <v>10426</v>
      </c>
      <c r="E4779" s="9" t="s">
        <v>17</v>
      </c>
      <c r="F4779" s="10">
        <v>26</v>
      </c>
      <c r="G4779" s="11">
        <v>9045548930</v>
      </c>
      <c r="H4779" s="10" t="s">
        <v>10427</v>
      </c>
      <c r="I4779" s="10" t="s">
        <v>31</v>
      </c>
      <c r="J4779" s="10" t="s">
        <v>10428</v>
      </c>
      <c r="K4779" s="12">
        <v>46025</v>
      </c>
      <c r="L4779" s="28" t="s">
        <v>11</v>
      </c>
      <c r="M4779" s="14"/>
      <c r="N4779" s="10" t="s">
        <v>1028</v>
      </c>
    </row>
    <row r="4780" spans="1:14" ht="22.5" customHeight="1">
      <c r="A4780" s="8">
        <v>46025.827197384264</v>
      </c>
      <c r="B4780" s="9" t="s">
        <v>14</v>
      </c>
      <c r="C4780" s="9" t="s">
        <v>15</v>
      </c>
      <c r="D4780" s="10" t="s">
        <v>2008</v>
      </c>
      <c r="E4780" s="9" t="s">
        <v>22</v>
      </c>
      <c r="F4780" s="10">
        <v>25</v>
      </c>
      <c r="G4780" s="11">
        <v>7036146650</v>
      </c>
      <c r="H4780" s="10" t="s">
        <v>4967</v>
      </c>
      <c r="I4780" s="10" t="s">
        <v>49</v>
      </c>
      <c r="J4780" s="10" t="s">
        <v>106</v>
      </c>
      <c r="K4780" s="12">
        <v>46025</v>
      </c>
      <c r="L4780" s="28" t="s">
        <v>11</v>
      </c>
      <c r="M4780" s="14"/>
      <c r="N4780" s="10" t="s">
        <v>1028</v>
      </c>
    </row>
    <row r="4781" spans="1:14" ht="22.5" customHeight="1">
      <c r="A4781" s="8">
        <v>46025.843227604171</v>
      </c>
      <c r="B4781" s="9" t="s">
        <v>14</v>
      </c>
      <c r="C4781" s="9" t="s">
        <v>15</v>
      </c>
      <c r="D4781" s="10" t="s">
        <v>10429</v>
      </c>
      <c r="E4781" s="9" t="s">
        <v>22</v>
      </c>
      <c r="F4781" s="10">
        <v>29</v>
      </c>
      <c r="G4781" s="11">
        <v>8108797550</v>
      </c>
      <c r="H4781" s="10" t="s">
        <v>10430</v>
      </c>
      <c r="I4781" s="10" t="s">
        <v>27</v>
      </c>
      <c r="J4781" s="10" t="s">
        <v>1194</v>
      </c>
      <c r="K4781" s="12">
        <v>35074</v>
      </c>
      <c r="L4781" s="28" t="s">
        <v>11</v>
      </c>
      <c r="M4781" s="14"/>
      <c r="N4781" s="10" t="s">
        <v>1028</v>
      </c>
    </row>
    <row r="4782" spans="1:14" ht="22.5" customHeight="1">
      <c r="A4782" s="8">
        <v>46025.868706770838</v>
      </c>
      <c r="B4782" s="9" t="s">
        <v>14</v>
      </c>
      <c r="C4782" s="9" t="s">
        <v>15</v>
      </c>
      <c r="D4782" s="10" t="s">
        <v>10431</v>
      </c>
      <c r="E4782" s="9" t="s">
        <v>22</v>
      </c>
      <c r="F4782" s="10">
        <v>23</v>
      </c>
      <c r="G4782" s="11">
        <v>9058299141</v>
      </c>
      <c r="H4782" s="10" t="s">
        <v>10432</v>
      </c>
      <c r="I4782" s="10" t="s">
        <v>45</v>
      </c>
      <c r="J4782" s="10" t="s">
        <v>131</v>
      </c>
      <c r="K4782" s="12">
        <v>46025</v>
      </c>
      <c r="L4782" s="28" t="s">
        <v>11</v>
      </c>
      <c r="M4782" s="14"/>
      <c r="N4782" s="10" t="s">
        <v>10433</v>
      </c>
    </row>
    <row r="4783" spans="1:14" ht="22.5" customHeight="1">
      <c r="A4783" s="8">
        <v>46025.871010462964</v>
      </c>
      <c r="B4783" s="9" t="s">
        <v>14</v>
      </c>
      <c r="C4783" s="9" t="s">
        <v>15</v>
      </c>
      <c r="D4783" s="10" t="s">
        <v>10434</v>
      </c>
      <c r="E4783" s="9" t="s">
        <v>17</v>
      </c>
      <c r="F4783" s="10">
        <v>28</v>
      </c>
      <c r="G4783" s="11">
        <v>7067865008</v>
      </c>
      <c r="H4783" s="10" t="s">
        <v>10435</v>
      </c>
      <c r="I4783" s="10" t="s">
        <v>45</v>
      </c>
      <c r="J4783" s="10" t="s">
        <v>10436</v>
      </c>
      <c r="K4783" s="12">
        <v>46025</v>
      </c>
      <c r="L4783" s="28" t="s">
        <v>11</v>
      </c>
      <c r="M4783" s="14"/>
      <c r="N4783" s="10" t="s">
        <v>1028</v>
      </c>
    </row>
    <row r="4784" spans="1:14" ht="22.5" customHeight="1">
      <c r="A4784" s="8">
        <v>46025.906532928246</v>
      </c>
      <c r="B4784" s="9" t="s">
        <v>14</v>
      </c>
      <c r="C4784" s="9" t="s">
        <v>15</v>
      </c>
      <c r="D4784" s="10" t="s">
        <v>10437</v>
      </c>
      <c r="E4784" s="9" t="s">
        <v>17</v>
      </c>
      <c r="F4784" s="10">
        <v>17</v>
      </c>
      <c r="G4784" s="11">
        <v>7083354494</v>
      </c>
      <c r="H4784" s="10" t="s">
        <v>10438</v>
      </c>
      <c r="I4784" s="10" t="s">
        <v>31</v>
      </c>
      <c r="J4784" s="10" t="s">
        <v>1582</v>
      </c>
      <c r="K4784" s="12">
        <v>46025</v>
      </c>
      <c r="L4784" s="28" t="s">
        <v>11</v>
      </c>
      <c r="M4784" s="14"/>
      <c r="N4784" s="10" t="s">
        <v>1028</v>
      </c>
    </row>
    <row r="4785" spans="1:14" ht="22.5" customHeight="1">
      <c r="A4785" s="8">
        <v>46025.928906886576</v>
      </c>
      <c r="B4785" s="9" t="s">
        <v>14</v>
      </c>
      <c r="C4785" s="9" t="s">
        <v>15</v>
      </c>
      <c r="D4785" s="10" t="s">
        <v>10439</v>
      </c>
      <c r="E4785" s="9" t="s">
        <v>17</v>
      </c>
      <c r="F4785" s="10">
        <v>25</v>
      </c>
      <c r="G4785" s="11">
        <v>8150222953</v>
      </c>
      <c r="H4785" s="10" t="s">
        <v>10440</v>
      </c>
      <c r="I4785" s="10" t="s">
        <v>49</v>
      </c>
      <c r="J4785" s="10" t="s">
        <v>253</v>
      </c>
      <c r="K4785" s="12">
        <v>46082</v>
      </c>
      <c r="L4785" s="28" t="s">
        <v>11</v>
      </c>
      <c r="M4785" s="14"/>
      <c r="N4785" s="10" t="s">
        <v>1028</v>
      </c>
    </row>
    <row r="4786" spans="1:14" ht="22.5" customHeight="1">
      <c r="A4786" s="8">
        <v>46025.954221273147</v>
      </c>
      <c r="B4786" s="9" t="s">
        <v>14</v>
      </c>
      <c r="C4786" s="9" t="s">
        <v>15</v>
      </c>
      <c r="D4786" s="10" t="s">
        <v>10441</v>
      </c>
      <c r="E4786" s="9" t="s">
        <v>17</v>
      </c>
      <c r="F4786" s="10">
        <v>29</v>
      </c>
      <c r="G4786" s="11">
        <v>8134343133</v>
      </c>
      <c r="H4786" s="10" t="s">
        <v>10442</v>
      </c>
      <c r="I4786" s="10" t="s">
        <v>27</v>
      </c>
      <c r="J4786" s="10" t="s">
        <v>8877</v>
      </c>
      <c r="K4786" s="12">
        <v>46025</v>
      </c>
      <c r="L4786" s="28" t="s">
        <v>11</v>
      </c>
      <c r="M4786" s="14"/>
      <c r="N4786" s="10" t="s">
        <v>1028</v>
      </c>
    </row>
    <row r="4787" spans="1:14" ht="22.5" customHeight="1">
      <c r="A4787" s="8">
        <v>46025.979367627311</v>
      </c>
      <c r="B4787" s="9" t="s">
        <v>14</v>
      </c>
      <c r="C4787" s="9" t="s">
        <v>15</v>
      </c>
      <c r="D4787" s="10" t="s">
        <v>3971</v>
      </c>
      <c r="E4787" s="9" t="s">
        <v>17</v>
      </c>
      <c r="F4787" s="10">
        <v>28</v>
      </c>
      <c r="G4787" s="11">
        <v>9011329202</v>
      </c>
      <c r="H4787" s="10" t="s">
        <v>3972</v>
      </c>
      <c r="I4787" s="10" t="s">
        <v>45</v>
      </c>
      <c r="J4787" s="10" t="s">
        <v>6827</v>
      </c>
      <c r="K4787" s="12">
        <v>46025</v>
      </c>
      <c r="L4787" s="28" t="s">
        <v>11</v>
      </c>
      <c r="M4787" s="14"/>
      <c r="N4787" s="10" t="s">
        <v>1028</v>
      </c>
    </row>
    <row r="4788" spans="1:14" ht="22.5" customHeight="1">
      <c r="A4788" s="8">
        <v>46026.007298680561</v>
      </c>
      <c r="B4788" s="9" t="s">
        <v>14</v>
      </c>
      <c r="C4788" s="9" t="s">
        <v>15</v>
      </c>
      <c r="D4788" s="10" t="s">
        <v>10443</v>
      </c>
      <c r="E4788" s="9" t="s">
        <v>17</v>
      </c>
      <c r="F4788" s="10">
        <v>35</v>
      </c>
      <c r="G4788" s="11">
        <f t="shared" ref="G4788" si="132">2348038374804</f>
        <v>2348038374804</v>
      </c>
      <c r="H4788" s="10" t="s">
        <v>10444</v>
      </c>
      <c r="I4788" s="10" t="s">
        <v>49</v>
      </c>
      <c r="J4788" s="10" t="s">
        <v>73</v>
      </c>
      <c r="K4788" s="12">
        <v>46026</v>
      </c>
      <c r="L4788" s="28" t="s">
        <v>11</v>
      </c>
      <c r="M4788" s="14"/>
      <c r="N4788" s="10" t="s">
        <v>1028</v>
      </c>
    </row>
    <row r="4789" spans="1:14" ht="22.5" customHeight="1">
      <c r="A4789" s="8">
        <v>46026.01820273148</v>
      </c>
      <c r="B4789" s="9" t="s">
        <v>14</v>
      </c>
      <c r="C4789" s="9" t="s">
        <v>15</v>
      </c>
      <c r="D4789" s="10" t="s">
        <v>10445</v>
      </c>
      <c r="E4789" s="9" t="s">
        <v>22</v>
      </c>
      <c r="F4789" s="10">
        <v>33</v>
      </c>
      <c r="G4789" s="11">
        <v>8034823703</v>
      </c>
      <c r="H4789" s="10" t="s">
        <v>10446</v>
      </c>
      <c r="I4789" s="10" t="s">
        <v>49</v>
      </c>
      <c r="J4789" s="10" t="s">
        <v>181</v>
      </c>
      <c r="K4789" s="12">
        <v>46026</v>
      </c>
      <c r="L4789" s="28" t="s">
        <v>11</v>
      </c>
      <c r="M4789" s="14"/>
      <c r="N4789" s="10" t="s">
        <v>1028</v>
      </c>
    </row>
    <row r="4790" spans="1:14" ht="22.5" customHeight="1">
      <c r="A4790" s="8">
        <v>46026.04738527778</v>
      </c>
      <c r="B4790" s="9" t="s">
        <v>14</v>
      </c>
      <c r="C4790" s="9" t="s">
        <v>15</v>
      </c>
      <c r="D4790" s="10" t="s">
        <v>10447</v>
      </c>
      <c r="E4790" s="9" t="s">
        <v>17</v>
      </c>
      <c r="F4790" s="10">
        <v>32</v>
      </c>
      <c r="G4790" s="11">
        <v>8028422828</v>
      </c>
      <c r="H4790" s="10" t="s">
        <v>10448</v>
      </c>
      <c r="I4790" s="10" t="s">
        <v>45</v>
      </c>
      <c r="J4790" s="10" t="s">
        <v>131</v>
      </c>
      <c r="K4790" s="12">
        <v>46026</v>
      </c>
      <c r="L4790" s="28" t="s">
        <v>11</v>
      </c>
      <c r="M4790" s="14"/>
      <c r="N4790" s="10" t="s">
        <v>1028</v>
      </c>
    </row>
    <row r="4791" spans="1:14" ht="22.5" customHeight="1">
      <c r="A4791" s="8">
        <v>46026.14738894676</v>
      </c>
      <c r="B4791" s="9" t="s">
        <v>14</v>
      </c>
      <c r="C4791" s="9" t="s">
        <v>15</v>
      </c>
      <c r="D4791" s="10" t="s">
        <v>10449</v>
      </c>
      <c r="E4791" s="9" t="s">
        <v>17</v>
      </c>
      <c r="F4791" s="10">
        <v>28</v>
      </c>
      <c r="G4791" s="11">
        <v>7065808658</v>
      </c>
      <c r="H4791" s="10" t="s">
        <v>10450</v>
      </c>
      <c r="I4791" s="10" t="s">
        <v>49</v>
      </c>
      <c r="J4791" s="10" t="s">
        <v>109</v>
      </c>
      <c r="K4791" s="12">
        <v>46026</v>
      </c>
      <c r="L4791" s="28" t="s">
        <v>11</v>
      </c>
      <c r="M4791" s="14"/>
      <c r="N4791" s="10" t="s">
        <v>1028</v>
      </c>
    </row>
    <row r="4792" spans="1:14" ht="22.5" customHeight="1">
      <c r="A4792" s="8">
        <v>46026.16244728009</v>
      </c>
      <c r="B4792" s="9" t="s">
        <v>14</v>
      </c>
      <c r="C4792" s="9" t="s">
        <v>15</v>
      </c>
      <c r="D4792" s="10" t="s">
        <v>10451</v>
      </c>
      <c r="E4792" s="9" t="s">
        <v>22</v>
      </c>
      <c r="F4792" s="10">
        <v>26</v>
      </c>
      <c r="G4792" s="11">
        <v>8147923456</v>
      </c>
      <c r="H4792" s="10" t="s">
        <v>10452</v>
      </c>
      <c r="I4792" s="10" t="s">
        <v>49</v>
      </c>
      <c r="J4792" s="10" t="s">
        <v>109</v>
      </c>
      <c r="K4792" s="12">
        <v>46026</v>
      </c>
      <c r="L4792" s="28" t="s">
        <v>11</v>
      </c>
      <c r="M4792" s="14"/>
      <c r="N4792" s="10" t="s">
        <v>1096</v>
      </c>
    </row>
    <row r="4793" spans="1:14" ht="22.5" customHeight="1">
      <c r="A4793" s="8">
        <v>46026.175291145832</v>
      </c>
      <c r="B4793" s="9" t="s">
        <v>14</v>
      </c>
      <c r="C4793" s="9" t="s">
        <v>15</v>
      </c>
      <c r="D4793" s="10" t="s">
        <v>10453</v>
      </c>
      <c r="E4793" s="9" t="s">
        <v>17</v>
      </c>
      <c r="F4793" s="10">
        <v>26</v>
      </c>
      <c r="G4793" s="11">
        <v>8146098458</v>
      </c>
      <c r="H4793" s="10" t="s">
        <v>10454</v>
      </c>
      <c r="I4793" s="10" t="s">
        <v>145</v>
      </c>
      <c r="J4793" s="10" t="s">
        <v>1607</v>
      </c>
      <c r="K4793" s="12">
        <v>46026</v>
      </c>
      <c r="L4793" s="28" t="s">
        <v>11</v>
      </c>
      <c r="M4793" s="14"/>
      <c r="N4793" s="10" t="s">
        <v>1096</v>
      </c>
    </row>
    <row r="4794" spans="1:14" ht="22.5" customHeight="1">
      <c r="A4794" s="8">
        <v>46026.225761099537</v>
      </c>
      <c r="B4794" s="9" t="s">
        <v>14</v>
      </c>
      <c r="C4794" s="9" t="s">
        <v>15</v>
      </c>
      <c r="D4794" s="10" t="s">
        <v>10455</v>
      </c>
      <c r="E4794" s="9" t="s">
        <v>17</v>
      </c>
      <c r="F4794" s="10">
        <v>29</v>
      </c>
      <c r="G4794" s="11">
        <v>9074748718</v>
      </c>
      <c r="H4794" s="10" t="s">
        <v>10456</v>
      </c>
      <c r="I4794" s="10" t="s">
        <v>202</v>
      </c>
      <c r="J4794" s="10" t="s">
        <v>4005</v>
      </c>
      <c r="K4794" s="12">
        <v>46026</v>
      </c>
      <c r="L4794" s="28" t="s">
        <v>11</v>
      </c>
      <c r="M4794" s="14"/>
      <c r="N4794" s="10" t="s">
        <v>1028</v>
      </c>
    </row>
    <row r="4795" spans="1:14" ht="22.5" customHeight="1">
      <c r="A4795" s="8">
        <v>46026.266773078707</v>
      </c>
      <c r="B4795" s="9" t="s">
        <v>14</v>
      </c>
      <c r="C4795" s="9" t="s">
        <v>15</v>
      </c>
      <c r="D4795" s="10" t="s">
        <v>10457</v>
      </c>
      <c r="E4795" s="9" t="s">
        <v>22</v>
      </c>
      <c r="F4795" s="10">
        <v>18</v>
      </c>
      <c r="G4795" s="11">
        <v>9160892425</v>
      </c>
      <c r="H4795" s="10" t="s">
        <v>10458</v>
      </c>
      <c r="I4795" s="10" t="s">
        <v>49</v>
      </c>
      <c r="J4795" s="10" t="s">
        <v>232</v>
      </c>
      <c r="K4795" s="12">
        <v>46026</v>
      </c>
      <c r="L4795" s="28" t="s">
        <v>11</v>
      </c>
      <c r="M4795" s="14"/>
      <c r="N4795" s="10" t="s">
        <v>1028</v>
      </c>
    </row>
    <row r="4796" spans="1:14" ht="22.5" customHeight="1">
      <c r="A4796" s="8">
        <v>46026.283837280091</v>
      </c>
      <c r="B4796" s="9" t="s">
        <v>14</v>
      </c>
      <c r="C4796" s="9" t="s">
        <v>15</v>
      </c>
      <c r="D4796" s="10" t="s">
        <v>10459</v>
      </c>
      <c r="E4796" s="9" t="s">
        <v>17</v>
      </c>
      <c r="F4796" s="10">
        <v>38</v>
      </c>
      <c r="G4796" s="11">
        <v>8039363119</v>
      </c>
      <c r="H4796" s="10" t="s">
        <v>10460</v>
      </c>
      <c r="I4796" s="10" t="s">
        <v>49</v>
      </c>
      <c r="J4796" s="10" t="s">
        <v>73</v>
      </c>
      <c r="K4796" s="12">
        <v>46026</v>
      </c>
      <c r="L4796" s="28" t="s">
        <v>11</v>
      </c>
      <c r="M4796" s="14"/>
      <c r="N4796" s="10" t="s">
        <v>1028</v>
      </c>
    </row>
    <row r="4797" spans="1:14" ht="22.5" customHeight="1">
      <c r="A4797" s="8">
        <v>46026.337482997682</v>
      </c>
      <c r="B4797" s="9" t="s">
        <v>14</v>
      </c>
      <c r="C4797" s="9" t="s">
        <v>15</v>
      </c>
      <c r="D4797" s="10" t="s">
        <v>10461</v>
      </c>
      <c r="E4797" s="9" t="s">
        <v>17</v>
      </c>
      <c r="F4797" s="10">
        <v>32</v>
      </c>
      <c r="G4797" s="11">
        <v>8160480810</v>
      </c>
      <c r="H4797" s="10" t="s">
        <v>10462</v>
      </c>
      <c r="I4797" s="10" t="s">
        <v>45</v>
      </c>
      <c r="J4797" s="10" t="s">
        <v>5955</v>
      </c>
      <c r="K4797" s="12">
        <v>46026</v>
      </c>
      <c r="L4797" s="28" t="s">
        <v>11</v>
      </c>
      <c r="M4797" s="14"/>
      <c r="N4797" s="10" t="s">
        <v>1096</v>
      </c>
    </row>
    <row r="4798" spans="1:14" ht="22.5" customHeight="1">
      <c r="A4798" s="8">
        <v>46026.347648159717</v>
      </c>
      <c r="B4798" s="9" t="s">
        <v>14</v>
      </c>
      <c r="C4798" s="9" t="s">
        <v>15</v>
      </c>
      <c r="D4798" s="10" t="s">
        <v>10463</v>
      </c>
      <c r="E4798" s="9" t="s">
        <v>17</v>
      </c>
      <c r="F4798" s="10">
        <v>20</v>
      </c>
      <c r="G4798" s="11">
        <v>7059244041</v>
      </c>
      <c r="H4798" s="10" t="s">
        <v>10464</v>
      </c>
      <c r="I4798" s="10" t="s">
        <v>19</v>
      </c>
      <c r="J4798" s="10" t="s">
        <v>6806</v>
      </c>
      <c r="K4798" s="12">
        <v>46026</v>
      </c>
      <c r="L4798" s="28" t="s">
        <v>11</v>
      </c>
      <c r="M4798" s="14"/>
      <c r="N4798" s="10" t="s">
        <v>1028</v>
      </c>
    </row>
    <row r="4799" spans="1:14" ht="22.5" customHeight="1">
      <c r="A4799" s="8">
        <v>46026.356015787038</v>
      </c>
      <c r="B4799" s="9" t="s">
        <v>14</v>
      </c>
      <c r="C4799" s="9" t="s">
        <v>15</v>
      </c>
      <c r="D4799" s="10" t="s">
        <v>10465</v>
      </c>
      <c r="E4799" s="9" t="s">
        <v>22</v>
      </c>
      <c r="F4799" s="10">
        <v>24</v>
      </c>
      <c r="G4799" s="11">
        <v>9119138581</v>
      </c>
      <c r="H4799" s="10" t="s">
        <v>10466</v>
      </c>
      <c r="I4799" s="10" t="s">
        <v>45</v>
      </c>
      <c r="J4799" s="10" t="s">
        <v>10467</v>
      </c>
      <c r="K4799" s="12">
        <v>46026</v>
      </c>
      <c r="L4799" s="28" t="s">
        <v>11</v>
      </c>
      <c r="M4799" s="14"/>
      <c r="N4799" s="10" t="s">
        <v>1028</v>
      </c>
    </row>
    <row r="4800" spans="1:14" ht="22.5" customHeight="1">
      <c r="A4800" s="8">
        <v>46026.360132731483</v>
      </c>
      <c r="B4800" s="9" t="s">
        <v>14</v>
      </c>
      <c r="C4800" s="9" t="s">
        <v>15</v>
      </c>
      <c r="D4800" s="10" t="s">
        <v>10468</v>
      </c>
      <c r="E4800" s="9" t="s">
        <v>22</v>
      </c>
      <c r="F4800" s="10">
        <v>24</v>
      </c>
      <c r="G4800" s="11">
        <v>7064317057</v>
      </c>
      <c r="H4800" s="10" t="s">
        <v>10469</v>
      </c>
      <c r="I4800" s="10" t="s">
        <v>27</v>
      </c>
      <c r="J4800" s="10" t="s">
        <v>2196</v>
      </c>
      <c r="K4800" s="12">
        <v>46026</v>
      </c>
      <c r="L4800" s="28" t="s">
        <v>11</v>
      </c>
      <c r="M4800" s="14"/>
      <c r="N4800" s="10" t="s">
        <v>1096</v>
      </c>
    </row>
    <row r="4801" spans="1:14" ht="22.5" customHeight="1">
      <c r="A4801" s="8">
        <v>46026.382735763887</v>
      </c>
      <c r="B4801" s="9" t="s">
        <v>14</v>
      </c>
      <c r="C4801" s="9" t="s">
        <v>15</v>
      </c>
      <c r="D4801" s="10" t="s">
        <v>10470</v>
      </c>
      <c r="E4801" s="9" t="s">
        <v>17</v>
      </c>
      <c r="F4801" s="10">
        <v>30</v>
      </c>
      <c r="G4801" s="11">
        <v>8165883792</v>
      </c>
      <c r="H4801" s="10" t="s">
        <v>10471</v>
      </c>
      <c r="I4801" s="10" t="s">
        <v>45</v>
      </c>
      <c r="J4801" s="10" t="s">
        <v>10472</v>
      </c>
      <c r="K4801" s="12">
        <v>46026</v>
      </c>
      <c r="L4801" s="28" t="s">
        <v>11</v>
      </c>
      <c r="M4801" s="14"/>
      <c r="N4801" s="10" t="s">
        <v>1096</v>
      </c>
    </row>
    <row r="4802" spans="1:14" ht="22.5" customHeight="1">
      <c r="A4802" s="8">
        <v>46026.427627800927</v>
      </c>
      <c r="B4802" s="9" t="s">
        <v>14</v>
      </c>
      <c r="C4802" s="9" t="s">
        <v>15</v>
      </c>
      <c r="D4802" s="10" t="s">
        <v>10473</v>
      </c>
      <c r="E4802" s="9" t="s">
        <v>22</v>
      </c>
      <c r="F4802" s="10">
        <v>22</v>
      </c>
      <c r="G4802" s="11">
        <v>8020707495</v>
      </c>
      <c r="H4802" s="10" t="s">
        <v>10474</v>
      </c>
      <c r="I4802" s="10" t="s">
        <v>145</v>
      </c>
      <c r="J4802" s="10" t="s">
        <v>10475</v>
      </c>
      <c r="K4802" s="12">
        <v>46026</v>
      </c>
      <c r="L4802" s="28" t="s">
        <v>11</v>
      </c>
      <c r="M4802" s="14"/>
      <c r="N4802" s="10" t="s">
        <v>1028</v>
      </c>
    </row>
    <row r="4803" spans="1:14" ht="22.5" customHeight="1">
      <c r="A4803" s="8">
        <v>46026.457252731481</v>
      </c>
      <c r="B4803" s="9" t="s">
        <v>14</v>
      </c>
      <c r="C4803" s="9" t="s">
        <v>15</v>
      </c>
      <c r="D4803" s="10" t="s">
        <v>10476</v>
      </c>
      <c r="E4803" s="9" t="s">
        <v>17</v>
      </c>
      <c r="F4803" s="10">
        <v>31</v>
      </c>
      <c r="G4803" s="11">
        <v>8101128777</v>
      </c>
      <c r="H4803" s="10" t="s">
        <v>10477</v>
      </c>
      <c r="I4803" s="10" t="s">
        <v>49</v>
      </c>
      <c r="J4803" s="10" t="s">
        <v>109</v>
      </c>
      <c r="K4803" s="12">
        <v>46026</v>
      </c>
      <c r="L4803" s="28" t="s">
        <v>11</v>
      </c>
      <c r="M4803" s="14"/>
      <c r="N4803" s="10" t="s">
        <v>1028</v>
      </c>
    </row>
    <row r="4804" spans="1:14" ht="22.5" customHeight="1">
      <c r="A4804" s="8">
        <v>46026.473124027776</v>
      </c>
      <c r="B4804" s="9" t="s">
        <v>14</v>
      </c>
      <c r="C4804" s="9" t="s">
        <v>15</v>
      </c>
      <c r="D4804" s="10" t="s">
        <v>10478</v>
      </c>
      <c r="E4804" s="9" t="s">
        <v>22</v>
      </c>
      <c r="F4804" s="10">
        <v>22</v>
      </c>
      <c r="G4804" s="11">
        <v>8118281651</v>
      </c>
      <c r="H4804" s="10" t="s">
        <v>10479</v>
      </c>
      <c r="I4804" s="10" t="s">
        <v>31</v>
      </c>
      <c r="J4804" s="10" t="s">
        <v>2358</v>
      </c>
      <c r="K4804" s="12">
        <v>46026</v>
      </c>
      <c r="L4804" s="28" t="s">
        <v>11</v>
      </c>
      <c r="M4804" s="14"/>
      <c r="N4804" s="10" t="s">
        <v>1028</v>
      </c>
    </row>
    <row r="4805" spans="1:14" ht="22.5" customHeight="1">
      <c r="A4805" s="8">
        <v>46026.473982766205</v>
      </c>
      <c r="B4805" s="9" t="s">
        <v>14</v>
      </c>
      <c r="C4805" s="9" t="s">
        <v>15</v>
      </c>
      <c r="D4805" s="10" t="s">
        <v>10480</v>
      </c>
      <c r="E4805" s="9" t="s">
        <v>17</v>
      </c>
      <c r="F4805" s="10">
        <v>21</v>
      </c>
      <c r="G4805" s="11">
        <f t="shared" ref="G4805" si="133">923193846464</f>
        <v>923193846464</v>
      </c>
      <c r="H4805" s="10" t="s">
        <v>10481</v>
      </c>
      <c r="I4805" s="10" t="s">
        <v>31</v>
      </c>
      <c r="J4805" s="10" t="s">
        <v>10482</v>
      </c>
      <c r="K4805" s="12">
        <v>46026</v>
      </c>
      <c r="L4805" s="28" t="s">
        <v>11</v>
      </c>
      <c r="M4805" s="14"/>
      <c r="N4805" s="10" t="s">
        <v>10483</v>
      </c>
    </row>
    <row r="4806" spans="1:14" ht="22.5" customHeight="1">
      <c r="A4806" s="8">
        <v>46026.49227555556</v>
      </c>
      <c r="B4806" s="9" t="s">
        <v>14</v>
      </c>
      <c r="C4806" s="9" t="s">
        <v>15</v>
      </c>
      <c r="D4806" s="10" t="s">
        <v>10484</v>
      </c>
      <c r="E4806" s="9" t="s">
        <v>17</v>
      </c>
      <c r="F4806" s="10">
        <v>27</v>
      </c>
      <c r="G4806" s="11">
        <v>9120796952</v>
      </c>
      <c r="H4806" s="10" t="s">
        <v>10485</v>
      </c>
      <c r="I4806" s="10" t="s">
        <v>45</v>
      </c>
      <c r="J4806" s="10" t="s">
        <v>6954</v>
      </c>
      <c r="K4806" s="12">
        <v>46026</v>
      </c>
      <c r="L4806" s="28" t="s">
        <v>11</v>
      </c>
      <c r="M4806" s="14"/>
      <c r="N4806" s="10" t="s">
        <v>1096</v>
      </c>
    </row>
    <row r="4807" spans="1:14" ht="22.5" customHeight="1">
      <c r="A4807" s="8">
        <v>46026.501413738428</v>
      </c>
      <c r="B4807" s="9" t="s">
        <v>14</v>
      </c>
      <c r="C4807" s="9" t="s">
        <v>15</v>
      </c>
      <c r="D4807" s="10" t="s">
        <v>10486</v>
      </c>
      <c r="E4807" s="9" t="s">
        <v>22</v>
      </c>
      <c r="F4807" s="10">
        <v>27</v>
      </c>
      <c r="G4807" s="11">
        <v>8169036760</v>
      </c>
      <c r="H4807" s="10" t="s">
        <v>10487</v>
      </c>
      <c r="I4807" s="10" t="s">
        <v>27</v>
      </c>
      <c r="J4807" s="10" t="s">
        <v>703</v>
      </c>
      <c r="K4807" s="12">
        <v>46026</v>
      </c>
      <c r="L4807" s="28" t="s">
        <v>11</v>
      </c>
      <c r="M4807" s="14"/>
      <c r="N4807" s="10" t="s">
        <v>1096</v>
      </c>
    </row>
    <row r="4808" spans="1:14" ht="22.5" hidden="1" customHeight="1">
      <c r="A4808" s="8">
        <v>46026.512511944442</v>
      </c>
      <c r="B4808" s="9" t="s">
        <v>14</v>
      </c>
      <c r="C4808" s="9" t="s">
        <v>15</v>
      </c>
      <c r="D4808" s="10" t="s">
        <v>10488</v>
      </c>
      <c r="E4808" s="9" t="s">
        <v>22</v>
      </c>
      <c r="F4808" s="10">
        <v>35</v>
      </c>
      <c r="G4808" s="11">
        <v>8033739849</v>
      </c>
      <c r="H4808" s="10" t="s">
        <v>10489</v>
      </c>
      <c r="I4808" s="10" t="s">
        <v>145</v>
      </c>
      <c r="J4808" s="10" t="s">
        <v>3614</v>
      </c>
      <c r="K4808" s="12">
        <v>46026</v>
      </c>
      <c r="L4808" s="10" t="s">
        <v>441</v>
      </c>
      <c r="M4808" s="10" t="s">
        <v>1361</v>
      </c>
      <c r="N4808" s="10" t="s">
        <v>1028</v>
      </c>
    </row>
    <row r="4809" spans="1:14" ht="22.5" customHeight="1">
      <c r="A4809" s="8">
        <v>46026.524799340274</v>
      </c>
      <c r="B4809" s="9" t="s">
        <v>14</v>
      </c>
      <c r="C4809" s="9" t="s">
        <v>15</v>
      </c>
      <c r="D4809" s="10" t="s">
        <v>9545</v>
      </c>
      <c r="E4809" s="9" t="s">
        <v>22</v>
      </c>
      <c r="F4809" s="10">
        <v>28</v>
      </c>
      <c r="G4809" s="11">
        <v>9031319587</v>
      </c>
      <c r="H4809" s="10" t="s">
        <v>9546</v>
      </c>
      <c r="I4809" s="10" t="s">
        <v>49</v>
      </c>
      <c r="J4809" s="10" t="s">
        <v>215</v>
      </c>
      <c r="K4809" s="12">
        <v>35694</v>
      </c>
      <c r="L4809" s="28" t="s">
        <v>11</v>
      </c>
      <c r="M4809" s="10"/>
      <c r="N4809" s="10" t="s">
        <v>1028</v>
      </c>
    </row>
    <row r="4810" spans="1:14" ht="22.5" customHeight="1">
      <c r="A4810" s="8">
        <v>46026.552100555557</v>
      </c>
      <c r="B4810" s="9" t="s">
        <v>14</v>
      </c>
      <c r="C4810" s="9" t="s">
        <v>15</v>
      </c>
      <c r="D4810" s="10" t="s">
        <v>10490</v>
      </c>
      <c r="E4810" s="9" t="s">
        <v>22</v>
      </c>
      <c r="F4810" s="10">
        <v>30</v>
      </c>
      <c r="G4810" s="11">
        <v>8142624126</v>
      </c>
      <c r="H4810" s="10" t="s">
        <v>10491</v>
      </c>
      <c r="I4810" s="10" t="s">
        <v>19</v>
      </c>
      <c r="J4810" s="10" t="s">
        <v>119</v>
      </c>
      <c r="K4810" s="12">
        <v>46026</v>
      </c>
      <c r="L4810" s="28" t="s">
        <v>11</v>
      </c>
      <c r="M4810" s="14"/>
      <c r="N4810" s="10" t="s">
        <v>1028</v>
      </c>
    </row>
    <row r="4811" spans="1:14" ht="22.5" customHeight="1">
      <c r="A4811" s="8">
        <v>46026.571249618057</v>
      </c>
      <c r="B4811" s="9" t="s">
        <v>14</v>
      </c>
      <c r="C4811" s="9" t="s">
        <v>15</v>
      </c>
      <c r="D4811" s="10" t="s">
        <v>5261</v>
      </c>
      <c r="E4811" s="9" t="s">
        <v>17</v>
      </c>
      <c r="F4811" s="10">
        <v>40</v>
      </c>
      <c r="G4811" s="11">
        <v>8036552782</v>
      </c>
      <c r="H4811" s="10" t="s">
        <v>5262</v>
      </c>
      <c r="I4811" s="10" t="s">
        <v>49</v>
      </c>
      <c r="J4811" s="10" t="s">
        <v>326</v>
      </c>
      <c r="K4811" s="12">
        <v>46026</v>
      </c>
      <c r="L4811" s="28" t="s">
        <v>11</v>
      </c>
      <c r="M4811" s="14"/>
      <c r="N4811" s="10" t="s">
        <v>1028</v>
      </c>
    </row>
    <row r="4812" spans="1:14" ht="22.5" customHeight="1">
      <c r="A4812" s="8">
        <v>46026.571621620373</v>
      </c>
      <c r="B4812" s="9" t="s">
        <v>14</v>
      </c>
      <c r="C4812" s="9" t="s">
        <v>15</v>
      </c>
      <c r="D4812" s="10" t="s">
        <v>10492</v>
      </c>
      <c r="E4812" s="9" t="s">
        <v>17</v>
      </c>
      <c r="F4812" s="10">
        <v>32</v>
      </c>
      <c r="G4812" s="11">
        <v>8162496236</v>
      </c>
      <c r="H4812" s="10" t="s">
        <v>10493</v>
      </c>
      <c r="I4812" s="10" t="s">
        <v>49</v>
      </c>
      <c r="J4812" s="10" t="s">
        <v>362</v>
      </c>
      <c r="K4812" s="12">
        <v>46026</v>
      </c>
      <c r="L4812" s="28" t="s">
        <v>11</v>
      </c>
      <c r="M4812" s="14"/>
      <c r="N4812" s="10" t="s">
        <v>1028</v>
      </c>
    </row>
    <row r="4813" spans="1:14" ht="22.5" customHeight="1">
      <c r="A4813" s="8">
        <v>46026.582686967595</v>
      </c>
      <c r="B4813" s="9" t="s">
        <v>14</v>
      </c>
      <c r="C4813" s="9" t="s">
        <v>15</v>
      </c>
      <c r="D4813" s="10" t="s">
        <v>10494</v>
      </c>
      <c r="E4813" s="9" t="s">
        <v>22</v>
      </c>
      <c r="F4813" s="10">
        <v>26</v>
      </c>
      <c r="G4813" s="11">
        <v>8126219820</v>
      </c>
      <c r="H4813" s="10" t="s">
        <v>10495</v>
      </c>
      <c r="I4813" s="10" t="s">
        <v>27</v>
      </c>
      <c r="J4813" s="10" t="s">
        <v>28</v>
      </c>
      <c r="K4813" s="12">
        <v>46026</v>
      </c>
      <c r="L4813" s="28" t="s">
        <v>11</v>
      </c>
      <c r="M4813" s="14"/>
      <c r="N4813" s="10" t="s">
        <v>1028</v>
      </c>
    </row>
    <row r="4814" spans="1:14" ht="22.5" hidden="1" customHeight="1">
      <c r="A4814" s="8">
        <v>46026.65433391204</v>
      </c>
      <c r="B4814" s="9" t="s">
        <v>14</v>
      </c>
      <c r="C4814" s="9" t="s">
        <v>15</v>
      </c>
      <c r="D4814" s="10" t="s">
        <v>10496</v>
      </c>
      <c r="E4814" s="9" t="s">
        <v>17</v>
      </c>
      <c r="F4814" s="10">
        <v>22</v>
      </c>
      <c r="G4814" s="11">
        <v>8103162386</v>
      </c>
      <c r="H4814" s="10" t="s">
        <v>10497</v>
      </c>
      <c r="I4814" s="10" t="s">
        <v>27</v>
      </c>
      <c r="J4814" s="10" t="s">
        <v>703</v>
      </c>
      <c r="K4814" s="12">
        <v>46026</v>
      </c>
      <c r="L4814" s="10" t="s">
        <v>441</v>
      </c>
      <c r="M4814" s="10" t="s">
        <v>1562</v>
      </c>
      <c r="N4814" s="10" t="s">
        <v>1028</v>
      </c>
    </row>
    <row r="4815" spans="1:14" ht="22.5" customHeight="1">
      <c r="A4815" s="8">
        <v>46026.685615428243</v>
      </c>
      <c r="B4815" s="9" t="s">
        <v>14</v>
      </c>
      <c r="C4815" s="9" t="s">
        <v>15</v>
      </c>
      <c r="D4815" s="10" t="s">
        <v>10498</v>
      </c>
      <c r="E4815" s="9" t="s">
        <v>17</v>
      </c>
      <c r="F4815" s="10">
        <v>19</v>
      </c>
      <c r="G4815" s="11">
        <v>8063071315</v>
      </c>
      <c r="H4815" s="10" t="s">
        <v>10499</v>
      </c>
      <c r="I4815" s="10" t="s">
        <v>27</v>
      </c>
      <c r="J4815" s="10" t="s">
        <v>1514</v>
      </c>
      <c r="K4815" s="12">
        <v>46026</v>
      </c>
      <c r="L4815" s="28" t="s">
        <v>11</v>
      </c>
      <c r="M4815" s="14"/>
      <c r="N4815" s="10" t="s">
        <v>1028</v>
      </c>
    </row>
    <row r="4816" spans="1:14" ht="22.5" customHeight="1">
      <c r="A4816" s="8">
        <v>46026.721096689813</v>
      </c>
      <c r="B4816" s="9" t="s">
        <v>14</v>
      </c>
      <c r="C4816" s="9" t="s">
        <v>15</v>
      </c>
      <c r="D4816" s="10" t="s">
        <v>10500</v>
      </c>
      <c r="E4816" s="9" t="s">
        <v>17</v>
      </c>
      <c r="F4816" s="10">
        <v>29</v>
      </c>
      <c r="G4816" s="11">
        <v>8146312743</v>
      </c>
      <c r="H4816" s="10" t="s">
        <v>10501</v>
      </c>
      <c r="I4816" s="10" t="s">
        <v>45</v>
      </c>
      <c r="J4816" s="10" t="s">
        <v>10502</v>
      </c>
      <c r="K4816" s="12">
        <v>46113</v>
      </c>
      <c r="L4816" s="28" t="s">
        <v>11</v>
      </c>
      <c r="M4816" s="14"/>
      <c r="N4816" s="10" t="s">
        <v>1028</v>
      </c>
    </row>
    <row r="4817" spans="1:14" ht="22.5" customHeight="1">
      <c r="A4817" s="8">
        <v>46026.730241354162</v>
      </c>
      <c r="B4817" s="9" t="s">
        <v>14</v>
      </c>
      <c r="C4817" s="9" t="s">
        <v>15</v>
      </c>
      <c r="D4817" s="10" t="s">
        <v>10503</v>
      </c>
      <c r="E4817" s="9" t="s">
        <v>17</v>
      </c>
      <c r="F4817" s="10">
        <v>31</v>
      </c>
      <c r="G4817" s="11">
        <v>9064347410</v>
      </c>
      <c r="H4817" s="10" t="s">
        <v>10504</v>
      </c>
      <c r="I4817" s="10" t="s">
        <v>45</v>
      </c>
      <c r="J4817" s="10" t="s">
        <v>287</v>
      </c>
      <c r="K4817" s="12">
        <v>34339</v>
      </c>
      <c r="L4817" s="28" t="s">
        <v>11</v>
      </c>
      <c r="M4817" s="14"/>
      <c r="N4817" s="10" t="s">
        <v>1028</v>
      </c>
    </row>
    <row r="4818" spans="1:14" ht="22.5" customHeight="1">
      <c r="A4818" s="8">
        <v>46026.736719884255</v>
      </c>
      <c r="B4818" s="9" t="s">
        <v>14</v>
      </c>
      <c r="C4818" s="9" t="s">
        <v>15</v>
      </c>
      <c r="D4818" s="10" t="s">
        <v>10505</v>
      </c>
      <c r="E4818" s="9" t="s">
        <v>17</v>
      </c>
      <c r="F4818" s="10">
        <v>33</v>
      </c>
      <c r="G4818" s="11">
        <v>8068707826</v>
      </c>
      <c r="H4818" s="10" t="s">
        <v>10506</v>
      </c>
      <c r="I4818" s="10" t="s">
        <v>31</v>
      </c>
      <c r="J4818" s="10" t="s">
        <v>32</v>
      </c>
      <c r="K4818" s="12">
        <v>46026</v>
      </c>
      <c r="L4818" s="28" t="s">
        <v>11</v>
      </c>
      <c r="M4818" s="14"/>
      <c r="N4818" s="10" t="s">
        <v>1028</v>
      </c>
    </row>
    <row r="4819" spans="1:14" ht="22.5" customHeight="1">
      <c r="A4819" s="8">
        <v>46026.749753287033</v>
      </c>
      <c r="B4819" s="9" t="s">
        <v>14</v>
      </c>
      <c r="C4819" s="9" t="s">
        <v>15</v>
      </c>
      <c r="D4819" s="10" t="s">
        <v>10507</v>
      </c>
      <c r="E4819" s="9" t="s">
        <v>22</v>
      </c>
      <c r="F4819" s="10">
        <v>27</v>
      </c>
      <c r="G4819" s="11">
        <v>9130197759</v>
      </c>
      <c r="H4819" s="10" t="s">
        <v>10508</v>
      </c>
      <c r="I4819" s="10" t="s">
        <v>49</v>
      </c>
      <c r="J4819" s="10" t="s">
        <v>50</v>
      </c>
      <c r="K4819" s="12">
        <v>46026</v>
      </c>
      <c r="L4819" s="28" t="s">
        <v>11</v>
      </c>
      <c r="M4819" s="14"/>
      <c r="N4819" s="10" t="s">
        <v>1096</v>
      </c>
    </row>
    <row r="4820" spans="1:14" ht="22.5" customHeight="1">
      <c r="A4820" s="8">
        <v>46026.761687395832</v>
      </c>
      <c r="B4820" s="9" t="s">
        <v>14</v>
      </c>
      <c r="C4820" s="9" t="s">
        <v>15</v>
      </c>
      <c r="D4820" s="10" t="s">
        <v>10509</v>
      </c>
      <c r="E4820" s="9" t="s">
        <v>17</v>
      </c>
      <c r="F4820" s="10">
        <v>27</v>
      </c>
      <c r="G4820" s="11">
        <v>9136137206</v>
      </c>
      <c r="H4820" s="10" t="s">
        <v>10510</v>
      </c>
      <c r="I4820" s="10" t="s">
        <v>31</v>
      </c>
      <c r="J4820" s="10" t="s">
        <v>2358</v>
      </c>
      <c r="K4820" s="12">
        <v>46026</v>
      </c>
      <c r="L4820" s="28" t="s">
        <v>11</v>
      </c>
      <c r="M4820" s="14"/>
      <c r="N4820" s="10" t="s">
        <v>1028</v>
      </c>
    </row>
    <row r="4821" spans="1:14" ht="22.5" customHeight="1">
      <c r="A4821" s="8">
        <v>46026.761731516206</v>
      </c>
      <c r="B4821" s="9" t="s">
        <v>14</v>
      </c>
      <c r="C4821" s="9" t="s">
        <v>15</v>
      </c>
      <c r="D4821" s="10" t="s">
        <v>10511</v>
      </c>
      <c r="E4821" s="9" t="s">
        <v>22</v>
      </c>
      <c r="F4821" s="10">
        <v>26</v>
      </c>
      <c r="G4821" s="11">
        <v>9131654387</v>
      </c>
      <c r="H4821" s="10" t="s">
        <v>10512</v>
      </c>
      <c r="I4821" s="10" t="s">
        <v>31</v>
      </c>
      <c r="J4821" s="10" t="s">
        <v>2358</v>
      </c>
      <c r="K4821" s="12">
        <v>46026</v>
      </c>
      <c r="L4821" s="28" t="s">
        <v>11</v>
      </c>
      <c r="M4821" s="14"/>
      <c r="N4821" s="10" t="s">
        <v>1028</v>
      </c>
    </row>
    <row r="4822" spans="1:14" ht="22.5" customHeight="1">
      <c r="A4822" s="8">
        <v>46026.77312888889</v>
      </c>
      <c r="B4822" s="9" t="s">
        <v>14</v>
      </c>
      <c r="C4822" s="9" t="s">
        <v>15</v>
      </c>
      <c r="D4822" s="10" t="s">
        <v>10513</v>
      </c>
      <c r="E4822" s="9" t="s">
        <v>17</v>
      </c>
      <c r="F4822" s="10">
        <v>30</v>
      </c>
      <c r="G4822" s="11">
        <v>8144130049</v>
      </c>
      <c r="H4822" s="10" t="s">
        <v>10514</v>
      </c>
      <c r="I4822" s="10" t="s">
        <v>49</v>
      </c>
      <c r="J4822" s="10" t="s">
        <v>10515</v>
      </c>
      <c r="K4822" s="12">
        <v>46026</v>
      </c>
      <c r="L4822" s="28" t="s">
        <v>11</v>
      </c>
      <c r="M4822" s="14"/>
      <c r="N4822" s="10" t="s">
        <v>1028</v>
      </c>
    </row>
    <row r="4823" spans="1:14" ht="22.5" customHeight="1">
      <c r="A4823" s="8">
        <v>46026.777054050923</v>
      </c>
      <c r="B4823" s="9" t="s">
        <v>14</v>
      </c>
      <c r="C4823" s="9" t="s">
        <v>15</v>
      </c>
      <c r="D4823" s="10" t="s">
        <v>10516</v>
      </c>
      <c r="E4823" s="9" t="s">
        <v>22</v>
      </c>
      <c r="F4823" s="10">
        <v>32</v>
      </c>
      <c r="G4823" s="11">
        <v>8166747148</v>
      </c>
      <c r="H4823" s="10" t="s">
        <v>10517</v>
      </c>
      <c r="I4823" s="10" t="s">
        <v>45</v>
      </c>
      <c r="J4823" s="10" t="s">
        <v>339</v>
      </c>
      <c r="K4823" s="12">
        <v>46026</v>
      </c>
      <c r="L4823" s="28" t="s">
        <v>11</v>
      </c>
      <c r="M4823" s="14"/>
      <c r="N4823" s="10" t="s">
        <v>1028</v>
      </c>
    </row>
    <row r="4824" spans="1:14" ht="22.5" customHeight="1">
      <c r="A4824" s="8">
        <v>46026.797836041667</v>
      </c>
      <c r="B4824" s="9" t="s">
        <v>14</v>
      </c>
      <c r="C4824" s="9" t="s">
        <v>15</v>
      </c>
      <c r="D4824" s="10" t="s">
        <v>6368</v>
      </c>
      <c r="E4824" s="9" t="s">
        <v>17</v>
      </c>
      <c r="F4824" s="10">
        <v>32</v>
      </c>
      <c r="G4824" s="11">
        <v>8032451025</v>
      </c>
      <c r="H4824" s="10" t="s">
        <v>10518</v>
      </c>
      <c r="I4824" s="10" t="s">
        <v>45</v>
      </c>
      <c r="J4824" s="10" t="s">
        <v>46</v>
      </c>
      <c r="K4824" s="12">
        <v>46026</v>
      </c>
      <c r="L4824" s="28" t="s">
        <v>11</v>
      </c>
      <c r="M4824" s="14"/>
      <c r="N4824" s="10" t="s">
        <v>1028</v>
      </c>
    </row>
    <row r="4825" spans="1:14" ht="22.5" customHeight="1">
      <c r="A4825" s="8">
        <v>46026.801059768521</v>
      </c>
      <c r="B4825" s="9" t="s">
        <v>14</v>
      </c>
      <c r="C4825" s="9" t="s">
        <v>15</v>
      </c>
      <c r="D4825" s="10" t="s">
        <v>10519</v>
      </c>
      <c r="E4825" s="9" t="s">
        <v>17</v>
      </c>
      <c r="F4825" s="10">
        <v>30</v>
      </c>
      <c r="G4825" s="11">
        <v>8104447329</v>
      </c>
      <c r="H4825" s="10" t="s">
        <v>10520</v>
      </c>
      <c r="I4825" s="10" t="s">
        <v>45</v>
      </c>
      <c r="J4825" s="10" t="s">
        <v>84</v>
      </c>
      <c r="K4825" s="12">
        <v>46026</v>
      </c>
      <c r="L4825" s="28" t="s">
        <v>11</v>
      </c>
      <c r="M4825" s="14"/>
      <c r="N4825" s="10" t="s">
        <v>1028</v>
      </c>
    </row>
    <row r="4826" spans="1:14" ht="22.5" customHeight="1">
      <c r="A4826" s="8">
        <v>46026.810859398145</v>
      </c>
      <c r="B4826" s="9" t="s">
        <v>14</v>
      </c>
      <c r="C4826" s="9" t="s">
        <v>15</v>
      </c>
      <c r="D4826" s="10" t="s">
        <v>10521</v>
      </c>
      <c r="E4826" s="9" t="s">
        <v>17</v>
      </c>
      <c r="F4826" s="10">
        <v>27</v>
      </c>
      <c r="G4826" s="11">
        <v>9060297719</v>
      </c>
      <c r="H4826" s="10" t="s">
        <v>10522</v>
      </c>
      <c r="I4826" s="10" t="s">
        <v>31</v>
      </c>
      <c r="J4826" s="10" t="s">
        <v>2358</v>
      </c>
      <c r="K4826" s="12">
        <v>46026</v>
      </c>
      <c r="L4826" s="28" t="s">
        <v>11</v>
      </c>
      <c r="M4826" s="14"/>
      <c r="N4826" s="10" t="s">
        <v>1028</v>
      </c>
    </row>
    <row r="4827" spans="1:14" ht="22.5" customHeight="1">
      <c r="A4827" s="8">
        <v>46026.811865648153</v>
      </c>
      <c r="B4827" s="9" t="s">
        <v>14</v>
      </c>
      <c r="C4827" s="9" t="s">
        <v>15</v>
      </c>
      <c r="D4827" s="10" t="s">
        <v>10523</v>
      </c>
      <c r="E4827" s="9" t="s">
        <v>17</v>
      </c>
      <c r="F4827" s="10">
        <v>19</v>
      </c>
      <c r="G4827" s="11">
        <v>9075281962</v>
      </c>
      <c r="H4827" s="10" t="s">
        <v>10524</v>
      </c>
      <c r="I4827" s="10" t="s">
        <v>31</v>
      </c>
      <c r="J4827" s="10" t="s">
        <v>2358</v>
      </c>
      <c r="K4827" s="12">
        <v>46026</v>
      </c>
      <c r="L4827" s="28" t="s">
        <v>11</v>
      </c>
      <c r="M4827" s="14"/>
      <c r="N4827" s="10" t="s">
        <v>1028</v>
      </c>
    </row>
    <row r="4828" spans="1:14" ht="22.5" customHeight="1">
      <c r="A4828" s="8">
        <v>46026.826276597218</v>
      </c>
      <c r="B4828" s="9" t="s">
        <v>14</v>
      </c>
      <c r="C4828" s="9" t="s">
        <v>15</v>
      </c>
      <c r="D4828" s="10" t="s">
        <v>10525</v>
      </c>
      <c r="E4828" s="9" t="s">
        <v>17</v>
      </c>
      <c r="F4828" s="10">
        <v>34</v>
      </c>
      <c r="G4828" s="11">
        <v>8161142944</v>
      </c>
      <c r="H4828" s="10" t="s">
        <v>10526</v>
      </c>
      <c r="I4828" s="10" t="s">
        <v>49</v>
      </c>
      <c r="J4828" s="10" t="s">
        <v>10527</v>
      </c>
      <c r="K4828" s="12">
        <v>46026</v>
      </c>
      <c r="L4828" s="28" t="s">
        <v>11</v>
      </c>
      <c r="M4828" s="14"/>
      <c r="N4828" s="10" t="s">
        <v>1028</v>
      </c>
    </row>
    <row r="4829" spans="1:14" ht="22.5" customHeight="1">
      <c r="A4829" s="8">
        <v>46026.827926180558</v>
      </c>
      <c r="B4829" s="9" t="s">
        <v>14</v>
      </c>
      <c r="C4829" s="9" t="s">
        <v>15</v>
      </c>
      <c r="D4829" s="10" t="s">
        <v>10528</v>
      </c>
      <c r="E4829" s="9" t="s">
        <v>17</v>
      </c>
      <c r="F4829" s="10">
        <v>40</v>
      </c>
      <c r="G4829" s="11">
        <v>9139193485</v>
      </c>
      <c r="H4829" s="10" t="s">
        <v>10529</v>
      </c>
      <c r="I4829" s="10" t="s">
        <v>49</v>
      </c>
      <c r="J4829" s="10" t="s">
        <v>106</v>
      </c>
      <c r="K4829" s="12">
        <v>46026</v>
      </c>
      <c r="L4829" s="28" t="s">
        <v>11</v>
      </c>
      <c r="M4829" s="14"/>
      <c r="N4829" s="10" t="s">
        <v>1028</v>
      </c>
    </row>
    <row r="4830" spans="1:14" ht="22.5" customHeight="1">
      <c r="A4830" s="8">
        <v>46026.830862303235</v>
      </c>
      <c r="B4830" s="9" t="s">
        <v>14</v>
      </c>
      <c r="C4830" s="9" t="s">
        <v>15</v>
      </c>
      <c r="D4830" s="10" t="s">
        <v>10530</v>
      </c>
      <c r="E4830" s="9" t="s">
        <v>17</v>
      </c>
      <c r="F4830" s="10">
        <v>23</v>
      </c>
      <c r="G4830" s="11">
        <v>8110359226</v>
      </c>
      <c r="H4830" s="10" t="s">
        <v>10531</v>
      </c>
      <c r="I4830" s="10" t="s">
        <v>31</v>
      </c>
      <c r="J4830" s="10" t="s">
        <v>2358</v>
      </c>
      <c r="K4830" s="12">
        <v>37414</v>
      </c>
      <c r="L4830" s="28" t="s">
        <v>11</v>
      </c>
      <c r="M4830" s="14"/>
      <c r="N4830" s="10" t="s">
        <v>1028</v>
      </c>
    </row>
    <row r="4831" spans="1:14" ht="22.5" customHeight="1">
      <c r="A4831" s="8">
        <v>46026.860459780088</v>
      </c>
      <c r="B4831" s="9" t="s">
        <v>14</v>
      </c>
      <c r="C4831" s="9" t="s">
        <v>15</v>
      </c>
      <c r="D4831" s="10" t="s">
        <v>10532</v>
      </c>
      <c r="E4831" s="9" t="s">
        <v>22</v>
      </c>
      <c r="F4831" s="10">
        <v>25</v>
      </c>
      <c r="G4831" s="11">
        <v>9022117082</v>
      </c>
      <c r="H4831" s="10" t="s">
        <v>10533</v>
      </c>
      <c r="I4831" s="10" t="s">
        <v>31</v>
      </c>
      <c r="J4831" s="10" t="s">
        <v>36</v>
      </c>
      <c r="K4831" s="12">
        <v>46026</v>
      </c>
      <c r="L4831" s="28" t="s">
        <v>11</v>
      </c>
      <c r="M4831" s="14"/>
      <c r="N4831" s="10" t="s">
        <v>1028</v>
      </c>
    </row>
    <row r="4832" spans="1:14" ht="22.5" customHeight="1">
      <c r="A4832" s="8">
        <v>46026.874580601856</v>
      </c>
      <c r="B4832" s="9" t="s">
        <v>14</v>
      </c>
      <c r="C4832" s="9" t="s">
        <v>15</v>
      </c>
      <c r="D4832" s="10" t="s">
        <v>10534</v>
      </c>
      <c r="E4832" s="9" t="s">
        <v>22</v>
      </c>
      <c r="F4832" s="10">
        <v>27</v>
      </c>
      <c r="G4832" s="11">
        <v>7016898119</v>
      </c>
      <c r="H4832" s="10" t="s">
        <v>10535</v>
      </c>
      <c r="I4832" s="10" t="s">
        <v>49</v>
      </c>
      <c r="J4832" s="10" t="s">
        <v>606</v>
      </c>
      <c r="K4832" s="12">
        <v>46026</v>
      </c>
      <c r="L4832" s="28" t="s">
        <v>11</v>
      </c>
      <c r="M4832" s="14"/>
      <c r="N4832" s="10" t="s">
        <v>1028</v>
      </c>
    </row>
    <row r="4833" spans="1:14" ht="22.5" customHeight="1">
      <c r="A4833" s="8">
        <v>46026.893226215281</v>
      </c>
      <c r="B4833" s="9" t="s">
        <v>14</v>
      </c>
      <c r="C4833" s="9" t="s">
        <v>15</v>
      </c>
      <c r="D4833" s="10" t="s">
        <v>1136</v>
      </c>
      <c r="E4833" s="9" t="s">
        <v>22</v>
      </c>
      <c r="F4833" s="10">
        <v>30</v>
      </c>
      <c r="G4833" s="11">
        <v>7030595112</v>
      </c>
      <c r="H4833" s="10" t="s">
        <v>10536</v>
      </c>
      <c r="I4833" s="10" t="s">
        <v>49</v>
      </c>
      <c r="J4833" s="10" t="s">
        <v>606</v>
      </c>
      <c r="K4833" s="12">
        <v>46026</v>
      </c>
      <c r="L4833" s="28" t="s">
        <v>11</v>
      </c>
      <c r="M4833" s="14"/>
      <c r="N4833" s="10" t="s">
        <v>1028</v>
      </c>
    </row>
    <row r="4834" spans="1:14" ht="22.5" customHeight="1">
      <c r="A4834" s="8">
        <v>46026.910731597221</v>
      </c>
      <c r="B4834" s="9" t="s">
        <v>14</v>
      </c>
      <c r="C4834" s="9" t="s">
        <v>15</v>
      </c>
      <c r="D4834" s="10" t="s">
        <v>10537</v>
      </c>
      <c r="E4834" s="9" t="s">
        <v>17</v>
      </c>
      <c r="F4834" s="10">
        <v>21</v>
      </c>
      <c r="G4834" s="11">
        <v>8143701714</v>
      </c>
      <c r="H4834" s="10" t="s">
        <v>10538</v>
      </c>
      <c r="I4834" s="10" t="s">
        <v>31</v>
      </c>
      <c r="J4834" s="10" t="s">
        <v>10539</v>
      </c>
      <c r="K4834" s="12">
        <v>46026</v>
      </c>
      <c r="L4834" s="28" t="s">
        <v>11</v>
      </c>
      <c r="M4834" s="14"/>
      <c r="N4834" s="10" t="s">
        <v>1028</v>
      </c>
    </row>
    <row r="4835" spans="1:14" ht="22.5" customHeight="1">
      <c r="A4835" s="8">
        <v>46026.927310115745</v>
      </c>
      <c r="B4835" s="9" t="s">
        <v>14</v>
      </c>
      <c r="C4835" s="9" t="s">
        <v>15</v>
      </c>
      <c r="D4835" s="10" t="s">
        <v>10540</v>
      </c>
      <c r="E4835" s="9" t="s">
        <v>17</v>
      </c>
      <c r="F4835" s="10">
        <v>36</v>
      </c>
      <c r="G4835" s="11">
        <v>8077681964</v>
      </c>
      <c r="H4835" s="10" t="s">
        <v>10541</v>
      </c>
      <c r="I4835" s="10" t="s">
        <v>45</v>
      </c>
      <c r="J4835" s="10" t="s">
        <v>10542</v>
      </c>
      <c r="K4835" s="12">
        <v>46026</v>
      </c>
      <c r="L4835" s="28" t="s">
        <v>11</v>
      </c>
      <c r="M4835" s="14"/>
      <c r="N4835" s="10" t="s">
        <v>1096</v>
      </c>
    </row>
    <row r="4836" spans="1:14" ht="22.5" customHeight="1">
      <c r="A4836" s="8">
        <v>46026.938016053246</v>
      </c>
      <c r="B4836" s="9" t="s">
        <v>14</v>
      </c>
      <c r="C4836" s="9" t="s">
        <v>15</v>
      </c>
      <c r="D4836" s="10" t="s">
        <v>10543</v>
      </c>
      <c r="E4836" s="9" t="s">
        <v>17</v>
      </c>
      <c r="F4836" s="10">
        <v>30</v>
      </c>
      <c r="G4836" s="11">
        <f>2347060448306</f>
        <v>2347060448306</v>
      </c>
      <c r="H4836" s="10" t="s">
        <v>10544</v>
      </c>
      <c r="I4836" s="10" t="s">
        <v>45</v>
      </c>
      <c r="J4836" s="10" t="s">
        <v>10545</v>
      </c>
      <c r="K4836" s="12">
        <v>46026</v>
      </c>
      <c r="L4836" s="28" t="s">
        <v>11</v>
      </c>
      <c r="M4836" s="14"/>
      <c r="N4836" s="10" t="s">
        <v>1028</v>
      </c>
    </row>
    <row r="4837" spans="1:14" ht="22.5" customHeight="1">
      <c r="A4837" s="8">
        <v>46026.977110474538</v>
      </c>
      <c r="B4837" s="9" t="s">
        <v>14</v>
      </c>
      <c r="C4837" s="9" t="s">
        <v>15</v>
      </c>
      <c r="D4837" s="10" t="s">
        <v>10546</v>
      </c>
      <c r="E4837" s="9" t="s">
        <v>17</v>
      </c>
      <c r="F4837" s="10">
        <v>29</v>
      </c>
      <c r="G4837" s="11">
        <v>8134424587</v>
      </c>
      <c r="H4837" s="10" t="s">
        <v>10547</v>
      </c>
      <c r="I4837" s="10" t="s">
        <v>45</v>
      </c>
      <c r="J4837" s="10" t="s">
        <v>10548</v>
      </c>
      <c r="K4837" s="12">
        <v>46026</v>
      </c>
      <c r="L4837" s="28" t="s">
        <v>11</v>
      </c>
      <c r="M4837" s="14"/>
      <c r="N4837" s="10" t="s">
        <v>1028</v>
      </c>
    </row>
    <row r="4838" spans="1:14" ht="22.5" customHeight="1">
      <c r="A4838" s="8">
        <v>46026.977884699074</v>
      </c>
      <c r="B4838" s="9" t="s">
        <v>14</v>
      </c>
      <c r="C4838" s="9" t="s">
        <v>15</v>
      </c>
      <c r="D4838" s="10" t="s">
        <v>10549</v>
      </c>
      <c r="E4838" s="9" t="s">
        <v>17</v>
      </c>
      <c r="F4838" s="10">
        <v>31</v>
      </c>
      <c r="G4838" s="11">
        <v>9065294683</v>
      </c>
      <c r="H4838" s="10" t="s">
        <v>10550</v>
      </c>
      <c r="I4838" s="10" t="s">
        <v>45</v>
      </c>
      <c r="J4838" s="10" t="s">
        <v>509</v>
      </c>
      <c r="K4838" s="12">
        <v>46026</v>
      </c>
      <c r="L4838" s="28" t="s">
        <v>11</v>
      </c>
      <c r="M4838" s="14"/>
      <c r="N4838" s="10" t="s">
        <v>1096</v>
      </c>
    </row>
    <row r="4839" spans="1:14" ht="22.5" customHeight="1">
      <c r="A4839" s="8">
        <v>46026.98902390046</v>
      </c>
      <c r="B4839" s="9" t="s">
        <v>14</v>
      </c>
      <c r="C4839" s="9" t="s">
        <v>15</v>
      </c>
      <c r="D4839" s="10" t="s">
        <v>10551</v>
      </c>
      <c r="E4839" s="9" t="s">
        <v>22</v>
      </c>
      <c r="F4839" s="10">
        <v>27</v>
      </c>
      <c r="G4839" s="11">
        <v>9076421497</v>
      </c>
      <c r="H4839" s="10" t="s">
        <v>10552</v>
      </c>
      <c r="I4839" s="10" t="s">
        <v>31</v>
      </c>
      <c r="J4839" s="10" t="s">
        <v>2253</v>
      </c>
      <c r="K4839" s="12">
        <v>35926</v>
      </c>
      <c r="L4839" s="28" t="s">
        <v>11</v>
      </c>
      <c r="M4839" s="14"/>
      <c r="N4839" s="10" t="s">
        <v>1718</v>
      </c>
    </row>
    <row r="4840" spans="1:14" ht="22.5" customHeight="1">
      <c r="A4840" s="8">
        <v>46026.997199872683</v>
      </c>
      <c r="B4840" s="9" t="s">
        <v>14</v>
      </c>
      <c r="C4840" s="9" t="s">
        <v>15</v>
      </c>
      <c r="D4840" s="10" t="s">
        <v>10553</v>
      </c>
      <c r="E4840" s="9" t="s">
        <v>22</v>
      </c>
      <c r="F4840" s="10">
        <v>24</v>
      </c>
      <c r="G4840" s="11">
        <v>8135026599</v>
      </c>
      <c r="H4840" s="10" t="s">
        <v>10554</v>
      </c>
      <c r="I4840" s="10" t="s">
        <v>19</v>
      </c>
      <c r="J4840" s="10" t="s">
        <v>3881</v>
      </c>
      <c r="K4840" s="12">
        <v>46026</v>
      </c>
      <c r="L4840" s="28" t="s">
        <v>11</v>
      </c>
      <c r="M4840" s="14"/>
      <c r="N4840" s="10" t="s">
        <v>10555</v>
      </c>
    </row>
    <row r="4841" spans="1:14" ht="22.5" customHeight="1">
      <c r="A4841" s="8">
        <v>46027.025011863429</v>
      </c>
      <c r="B4841" s="9" t="s">
        <v>14</v>
      </c>
      <c r="C4841" s="9" t="s">
        <v>15</v>
      </c>
      <c r="D4841" s="10" t="s">
        <v>1738</v>
      </c>
      <c r="E4841" s="9" t="s">
        <v>22</v>
      </c>
      <c r="F4841" s="10">
        <v>30</v>
      </c>
      <c r="G4841" s="11">
        <v>8135710579</v>
      </c>
      <c r="H4841" s="10" t="s">
        <v>1739</v>
      </c>
      <c r="I4841" s="10" t="s">
        <v>49</v>
      </c>
      <c r="J4841" s="10" t="s">
        <v>50</v>
      </c>
      <c r="K4841" s="12">
        <v>46027</v>
      </c>
      <c r="L4841" s="28" t="s">
        <v>11</v>
      </c>
      <c r="M4841" s="10"/>
      <c r="N4841" s="10" t="s">
        <v>2482</v>
      </c>
    </row>
    <row r="4842" spans="1:14" ht="22.5" customHeight="1">
      <c r="A4842" s="8">
        <v>46027.053490254628</v>
      </c>
      <c r="B4842" s="9" t="s">
        <v>14</v>
      </c>
      <c r="C4842" s="9" t="s">
        <v>15</v>
      </c>
      <c r="D4842" s="10" t="s">
        <v>10556</v>
      </c>
      <c r="E4842" s="9" t="s">
        <v>22</v>
      </c>
      <c r="F4842" s="10">
        <v>27</v>
      </c>
      <c r="G4842" s="11">
        <v>8106026221</v>
      </c>
      <c r="H4842" s="10" t="s">
        <v>10557</v>
      </c>
      <c r="I4842" s="10" t="s">
        <v>49</v>
      </c>
      <c r="J4842" s="10" t="s">
        <v>253</v>
      </c>
      <c r="K4842" s="12">
        <v>46027</v>
      </c>
      <c r="L4842" s="28" t="s">
        <v>11</v>
      </c>
      <c r="M4842" s="14"/>
      <c r="N4842" s="10" t="s">
        <v>1209</v>
      </c>
    </row>
    <row r="4843" spans="1:14" ht="22.5" customHeight="1">
      <c r="A4843" s="8">
        <v>46027.233315509264</v>
      </c>
      <c r="B4843" s="9" t="s">
        <v>14</v>
      </c>
      <c r="C4843" s="9" t="s">
        <v>15</v>
      </c>
      <c r="D4843" s="10" t="s">
        <v>10558</v>
      </c>
      <c r="E4843" s="9" t="s">
        <v>22</v>
      </c>
      <c r="F4843" s="18">
        <v>45</v>
      </c>
      <c r="G4843" s="11">
        <v>8064012518</v>
      </c>
      <c r="H4843" s="10" t="s">
        <v>10559</v>
      </c>
      <c r="I4843" s="10" t="s">
        <v>202</v>
      </c>
      <c r="J4843" s="10" t="s">
        <v>4174</v>
      </c>
      <c r="K4843" s="12">
        <v>46027</v>
      </c>
      <c r="L4843" s="28" t="s">
        <v>11</v>
      </c>
      <c r="M4843" s="14"/>
      <c r="N4843" s="10" t="s">
        <v>1028</v>
      </c>
    </row>
    <row r="4844" spans="1:14" ht="22.5" customHeight="1">
      <c r="A4844" s="8">
        <v>46027.25216329861</v>
      </c>
      <c r="B4844" s="9" t="s">
        <v>14</v>
      </c>
      <c r="C4844" s="9" t="s">
        <v>15</v>
      </c>
      <c r="D4844" s="10" t="s">
        <v>3480</v>
      </c>
      <c r="E4844" s="9" t="s">
        <v>22</v>
      </c>
      <c r="F4844" s="10">
        <v>20</v>
      </c>
      <c r="G4844" s="11">
        <v>9124884389</v>
      </c>
      <c r="H4844" s="10" t="s">
        <v>10560</v>
      </c>
      <c r="I4844" s="10" t="s">
        <v>45</v>
      </c>
      <c r="J4844" s="10" t="s">
        <v>932</v>
      </c>
      <c r="K4844" s="12">
        <v>46027</v>
      </c>
      <c r="L4844" s="28" t="s">
        <v>11</v>
      </c>
      <c r="M4844" s="14"/>
      <c r="N4844" s="10" t="s">
        <v>1028</v>
      </c>
    </row>
    <row r="4845" spans="1:14" ht="22.5" customHeight="1">
      <c r="A4845" s="8">
        <v>46027.270030648149</v>
      </c>
      <c r="B4845" s="9" t="s">
        <v>14</v>
      </c>
      <c r="C4845" s="9" t="s">
        <v>15</v>
      </c>
      <c r="D4845" s="10" t="s">
        <v>10561</v>
      </c>
      <c r="E4845" s="9" t="s">
        <v>17</v>
      </c>
      <c r="F4845" s="10">
        <v>21</v>
      </c>
      <c r="G4845" s="11">
        <v>537649902</v>
      </c>
      <c r="H4845" s="10" t="s">
        <v>10562</v>
      </c>
      <c r="I4845" s="10" t="s">
        <v>19</v>
      </c>
      <c r="J4845" s="10" t="s">
        <v>10563</v>
      </c>
      <c r="K4845" s="12">
        <v>46027</v>
      </c>
      <c r="L4845" s="28" t="s">
        <v>11</v>
      </c>
      <c r="M4845" s="14"/>
      <c r="N4845" s="10" t="s">
        <v>1028</v>
      </c>
    </row>
    <row r="4846" spans="1:14" ht="22.5" customHeight="1">
      <c r="A4846" s="8">
        <v>46027.304506504632</v>
      </c>
      <c r="B4846" s="9" t="s">
        <v>14</v>
      </c>
      <c r="C4846" s="9" t="s">
        <v>15</v>
      </c>
      <c r="D4846" s="10" t="s">
        <v>10564</v>
      </c>
      <c r="E4846" s="9" t="s">
        <v>17</v>
      </c>
      <c r="F4846" s="10">
        <v>31</v>
      </c>
      <c r="G4846" s="11">
        <v>8133933388</v>
      </c>
      <c r="H4846" s="10" t="s">
        <v>10565</v>
      </c>
      <c r="I4846" s="10" t="s">
        <v>27</v>
      </c>
      <c r="J4846" s="10" t="s">
        <v>1559</v>
      </c>
      <c r="K4846" s="12">
        <v>46027</v>
      </c>
      <c r="L4846" s="28" t="s">
        <v>11</v>
      </c>
      <c r="M4846" s="14"/>
      <c r="N4846" s="10" t="s">
        <v>1028</v>
      </c>
    </row>
    <row r="4847" spans="1:14" ht="22.5" customHeight="1">
      <c r="A4847" s="8">
        <v>46027.315726631947</v>
      </c>
      <c r="B4847" s="9" t="s">
        <v>14</v>
      </c>
      <c r="C4847" s="9" t="s">
        <v>15</v>
      </c>
      <c r="D4847" s="10" t="s">
        <v>10566</v>
      </c>
      <c r="E4847" s="9" t="s">
        <v>17</v>
      </c>
      <c r="F4847" s="10">
        <v>29</v>
      </c>
      <c r="G4847" s="11">
        <v>8121703148</v>
      </c>
      <c r="H4847" s="10" t="s">
        <v>10567</v>
      </c>
      <c r="I4847" s="10" t="s">
        <v>202</v>
      </c>
      <c r="J4847" s="10" t="s">
        <v>10568</v>
      </c>
      <c r="K4847" s="12">
        <v>46027</v>
      </c>
      <c r="L4847" s="28" t="s">
        <v>11</v>
      </c>
      <c r="M4847" s="14"/>
      <c r="N4847" s="10" t="s">
        <v>1028</v>
      </c>
    </row>
    <row r="4848" spans="1:14" ht="22.5" customHeight="1">
      <c r="A4848" s="8">
        <v>46027.338959907407</v>
      </c>
      <c r="B4848" s="9" t="s">
        <v>14</v>
      </c>
      <c r="C4848" s="9" t="s">
        <v>15</v>
      </c>
      <c r="D4848" s="10" t="s">
        <v>10569</v>
      </c>
      <c r="E4848" s="9" t="s">
        <v>17</v>
      </c>
      <c r="F4848" s="10">
        <v>23</v>
      </c>
      <c r="G4848" s="11">
        <v>8132797015</v>
      </c>
      <c r="H4848" s="10" t="s">
        <v>10570</v>
      </c>
      <c r="I4848" s="10" t="s">
        <v>19</v>
      </c>
      <c r="J4848" s="10" t="s">
        <v>4182</v>
      </c>
      <c r="K4848" s="12">
        <v>46027</v>
      </c>
      <c r="L4848" s="28" t="s">
        <v>11</v>
      </c>
      <c r="M4848" s="14"/>
      <c r="N4848" s="10" t="s">
        <v>1028</v>
      </c>
    </row>
    <row r="4849" spans="1:14" ht="22.5" customHeight="1">
      <c r="A4849" s="8">
        <v>46027.347334872684</v>
      </c>
      <c r="B4849" s="9" t="s">
        <v>14</v>
      </c>
      <c r="C4849" s="9" t="s">
        <v>15</v>
      </c>
      <c r="D4849" s="10" t="s">
        <v>10571</v>
      </c>
      <c r="E4849" s="9" t="s">
        <v>22</v>
      </c>
      <c r="F4849" s="10">
        <v>24</v>
      </c>
      <c r="G4849" s="11">
        <v>8057789189</v>
      </c>
      <c r="H4849" s="10" t="s">
        <v>10572</v>
      </c>
      <c r="I4849" s="10" t="s">
        <v>31</v>
      </c>
      <c r="J4849" s="10" t="s">
        <v>2358</v>
      </c>
      <c r="K4849" s="12">
        <v>46027</v>
      </c>
      <c r="L4849" s="28" t="s">
        <v>11</v>
      </c>
      <c r="M4849" s="14"/>
      <c r="N4849" s="10" t="s">
        <v>1028</v>
      </c>
    </row>
    <row r="4850" spans="1:14" ht="22.5" customHeight="1">
      <c r="A4850" s="8">
        <v>46027.35086987268</v>
      </c>
      <c r="B4850" s="9" t="s">
        <v>14</v>
      </c>
      <c r="C4850" s="9" t="s">
        <v>15</v>
      </c>
      <c r="D4850" s="10" t="s">
        <v>10573</v>
      </c>
      <c r="E4850" s="9" t="s">
        <v>17</v>
      </c>
      <c r="F4850" s="10">
        <v>27</v>
      </c>
      <c r="G4850" s="11">
        <v>885722231</v>
      </c>
      <c r="H4850" s="10" t="s">
        <v>10574</v>
      </c>
      <c r="I4850" s="10" t="s">
        <v>202</v>
      </c>
      <c r="J4850" s="10" t="s">
        <v>10575</v>
      </c>
      <c r="K4850" s="12">
        <v>46027</v>
      </c>
      <c r="L4850" s="28" t="s">
        <v>11</v>
      </c>
      <c r="M4850" s="14"/>
      <c r="N4850" s="10" t="s">
        <v>1028</v>
      </c>
    </row>
    <row r="4851" spans="1:14" ht="22.5" customHeight="1">
      <c r="A4851" s="8">
        <v>46027.351732951385</v>
      </c>
      <c r="B4851" s="9" t="s">
        <v>14</v>
      </c>
      <c r="C4851" s="9" t="s">
        <v>15</v>
      </c>
      <c r="D4851" s="10" t="s">
        <v>10576</v>
      </c>
      <c r="E4851" s="9" t="s">
        <v>22</v>
      </c>
      <c r="F4851" s="10">
        <v>27</v>
      </c>
      <c r="G4851" s="11">
        <v>9043485603</v>
      </c>
      <c r="H4851" s="10" t="s">
        <v>10577</v>
      </c>
      <c r="I4851" s="10" t="s">
        <v>145</v>
      </c>
      <c r="J4851" s="10" t="s">
        <v>3614</v>
      </c>
      <c r="K4851" s="12">
        <v>46027</v>
      </c>
      <c r="L4851" s="28" t="s">
        <v>11</v>
      </c>
      <c r="M4851" s="14"/>
      <c r="N4851" s="10" t="s">
        <v>1028</v>
      </c>
    </row>
    <row r="4852" spans="1:14" ht="22.5" customHeight="1">
      <c r="A4852" s="8">
        <v>46027.36425366898</v>
      </c>
      <c r="B4852" s="9" t="s">
        <v>14</v>
      </c>
      <c r="C4852" s="9" t="s">
        <v>15</v>
      </c>
      <c r="D4852" s="10" t="s">
        <v>10578</v>
      </c>
      <c r="E4852" s="9" t="s">
        <v>22</v>
      </c>
      <c r="F4852" s="10">
        <v>22</v>
      </c>
      <c r="G4852" s="11">
        <v>9011831704</v>
      </c>
      <c r="H4852" s="10" t="s">
        <v>10579</v>
      </c>
      <c r="I4852" s="10" t="s">
        <v>19</v>
      </c>
      <c r="J4852" s="10" t="s">
        <v>3466</v>
      </c>
      <c r="K4852" s="12">
        <v>46027</v>
      </c>
      <c r="L4852" s="28" t="s">
        <v>11</v>
      </c>
      <c r="M4852" s="14"/>
      <c r="N4852" s="10" t="s">
        <v>1028</v>
      </c>
    </row>
    <row r="4853" spans="1:14" ht="22.5" customHeight="1">
      <c r="A4853" s="8">
        <v>46027.383829247687</v>
      </c>
      <c r="B4853" s="9" t="s">
        <v>14</v>
      </c>
      <c r="C4853" s="9" t="s">
        <v>15</v>
      </c>
      <c r="D4853" s="10" t="s">
        <v>10580</v>
      </c>
      <c r="E4853" s="9" t="s">
        <v>17</v>
      </c>
      <c r="F4853" s="10">
        <v>29</v>
      </c>
      <c r="G4853" s="11">
        <v>8141602862</v>
      </c>
      <c r="H4853" s="10" t="s">
        <v>10581</v>
      </c>
      <c r="I4853" s="10" t="s">
        <v>19</v>
      </c>
      <c r="J4853" s="10" t="s">
        <v>10582</v>
      </c>
      <c r="K4853" s="12">
        <v>46027</v>
      </c>
      <c r="L4853" s="28" t="s">
        <v>11</v>
      </c>
      <c r="M4853" s="14"/>
      <c r="N4853" s="10" t="s">
        <v>1028</v>
      </c>
    </row>
    <row r="4854" spans="1:14" ht="22.5" customHeight="1">
      <c r="A4854" s="8">
        <v>46027.390460798611</v>
      </c>
      <c r="B4854" s="9" t="s">
        <v>14</v>
      </c>
      <c r="C4854" s="9" t="s">
        <v>15</v>
      </c>
      <c r="D4854" s="10" t="s">
        <v>10583</v>
      </c>
      <c r="E4854" s="9" t="s">
        <v>17</v>
      </c>
      <c r="F4854" s="10">
        <v>34</v>
      </c>
      <c r="G4854" s="11">
        <v>715907193</v>
      </c>
      <c r="H4854" s="10" t="s">
        <v>10584</v>
      </c>
      <c r="I4854" s="10" t="s">
        <v>202</v>
      </c>
      <c r="J4854" s="10" t="s">
        <v>10585</v>
      </c>
      <c r="K4854" s="12">
        <v>46027</v>
      </c>
      <c r="L4854" s="28" t="s">
        <v>11</v>
      </c>
      <c r="M4854" s="14"/>
      <c r="N4854" s="10" t="s">
        <v>10586</v>
      </c>
    </row>
    <row r="4855" spans="1:14" ht="22.5" customHeight="1">
      <c r="A4855" s="8">
        <v>46027.39426361111</v>
      </c>
      <c r="B4855" s="9" t="s">
        <v>14</v>
      </c>
      <c r="C4855" s="9" t="s">
        <v>15</v>
      </c>
      <c r="D4855" s="10" t="s">
        <v>10587</v>
      </c>
      <c r="E4855" s="9" t="s">
        <v>17</v>
      </c>
      <c r="F4855" s="10">
        <v>27</v>
      </c>
      <c r="G4855" s="11">
        <v>9031684044</v>
      </c>
      <c r="H4855" s="10" t="s">
        <v>10588</v>
      </c>
      <c r="I4855" s="10" t="s">
        <v>31</v>
      </c>
      <c r="J4855" s="10" t="s">
        <v>32</v>
      </c>
      <c r="K4855" s="12">
        <v>46027</v>
      </c>
      <c r="L4855" s="28" t="s">
        <v>11</v>
      </c>
      <c r="M4855" s="14"/>
      <c r="N4855" s="10" t="s">
        <v>1028</v>
      </c>
    </row>
    <row r="4856" spans="1:14" ht="22.5" customHeight="1">
      <c r="A4856" s="8">
        <v>46027.416545069442</v>
      </c>
      <c r="B4856" s="9" t="s">
        <v>14</v>
      </c>
      <c r="C4856" s="9" t="s">
        <v>15</v>
      </c>
      <c r="D4856" s="10" t="s">
        <v>10589</v>
      </c>
      <c r="E4856" s="9" t="s">
        <v>17</v>
      </c>
      <c r="F4856" s="19">
        <v>30</v>
      </c>
      <c r="G4856" s="11">
        <v>7036496353</v>
      </c>
      <c r="H4856" s="10" t="s">
        <v>10590</v>
      </c>
      <c r="I4856" s="10" t="s">
        <v>27</v>
      </c>
      <c r="J4856" s="10" t="s">
        <v>94</v>
      </c>
      <c r="K4856" s="12">
        <v>46027</v>
      </c>
      <c r="L4856" s="28" t="s">
        <v>11</v>
      </c>
      <c r="M4856" s="14"/>
      <c r="N4856" s="10" t="s">
        <v>1096</v>
      </c>
    </row>
    <row r="4857" spans="1:14" ht="22.5" customHeight="1">
      <c r="A4857" s="8">
        <v>46027.432393946758</v>
      </c>
      <c r="B4857" s="9" t="s">
        <v>14</v>
      </c>
      <c r="C4857" s="9" t="s">
        <v>15</v>
      </c>
      <c r="D4857" s="10" t="s">
        <v>10591</v>
      </c>
      <c r="E4857" s="9" t="s">
        <v>22</v>
      </c>
      <c r="F4857" s="10">
        <v>27</v>
      </c>
      <c r="G4857" s="11">
        <v>8136466144</v>
      </c>
      <c r="H4857" s="10" t="s">
        <v>10592</v>
      </c>
      <c r="I4857" s="10" t="s">
        <v>145</v>
      </c>
      <c r="J4857" s="10" t="s">
        <v>10593</v>
      </c>
      <c r="K4857" s="12">
        <v>46026</v>
      </c>
      <c r="L4857" s="28" t="s">
        <v>11</v>
      </c>
      <c r="M4857" s="14"/>
      <c r="N4857" s="10" t="s">
        <v>1028</v>
      </c>
    </row>
    <row r="4858" spans="1:14" ht="22.5" customHeight="1">
      <c r="A4858" s="8">
        <v>46027.43577679398</v>
      </c>
      <c r="B4858" s="9" t="s">
        <v>14</v>
      </c>
      <c r="C4858" s="9" t="s">
        <v>15</v>
      </c>
      <c r="D4858" s="10" t="s">
        <v>10594</v>
      </c>
      <c r="E4858" s="9" t="s">
        <v>17</v>
      </c>
      <c r="F4858" s="18">
        <v>29</v>
      </c>
      <c r="G4858" s="11">
        <v>8038810890</v>
      </c>
      <c r="H4858" s="10" t="s">
        <v>10595</v>
      </c>
      <c r="I4858" s="10" t="s">
        <v>27</v>
      </c>
      <c r="J4858" s="10" t="s">
        <v>94</v>
      </c>
      <c r="K4858" s="12">
        <v>46027</v>
      </c>
      <c r="L4858" s="28" t="s">
        <v>11</v>
      </c>
      <c r="M4858" s="14"/>
      <c r="N4858" s="10" t="s">
        <v>1096</v>
      </c>
    </row>
    <row r="4859" spans="1:14" ht="22.5" customHeight="1">
      <c r="A4859" s="8">
        <v>46027.436181909725</v>
      </c>
      <c r="B4859" s="9" t="s">
        <v>14</v>
      </c>
      <c r="C4859" s="9" t="s">
        <v>15</v>
      </c>
      <c r="D4859" s="10" t="s">
        <v>10596</v>
      </c>
      <c r="E4859" s="9" t="s">
        <v>22</v>
      </c>
      <c r="F4859" s="10">
        <v>26</v>
      </c>
      <c r="G4859" s="11">
        <f t="shared" ref="G4859" si="134">2347067540349</f>
        <v>2347067540349</v>
      </c>
      <c r="H4859" s="10" t="s">
        <v>10597</v>
      </c>
      <c r="I4859" s="10" t="s">
        <v>45</v>
      </c>
      <c r="J4859" s="10" t="s">
        <v>932</v>
      </c>
      <c r="K4859" s="12">
        <v>46027</v>
      </c>
      <c r="L4859" s="28" t="s">
        <v>11</v>
      </c>
      <c r="M4859" s="10"/>
      <c r="N4859" s="10" t="s">
        <v>1096</v>
      </c>
    </row>
    <row r="4860" spans="1:14" ht="22.5" customHeight="1">
      <c r="A4860" s="8">
        <v>46027.444179664351</v>
      </c>
      <c r="B4860" s="9" t="s">
        <v>14</v>
      </c>
      <c r="C4860" s="9" t="s">
        <v>15</v>
      </c>
      <c r="D4860" s="10" t="s">
        <v>10598</v>
      </c>
      <c r="E4860" s="9" t="s">
        <v>17</v>
      </c>
      <c r="F4860" s="10">
        <v>29</v>
      </c>
      <c r="G4860" s="11">
        <v>8135737041</v>
      </c>
      <c r="H4860" s="10" t="s">
        <v>10599</v>
      </c>
      <c r="I4860" s="10" t="s">
        <v>31</v>
      </c>
      <c r="J4860" s="10" t="s">
        <v>5857</v>
      </c>
      <c r="K4860" s="12">
        <v>46027</v>
      </c>
      <c r="L4860" s="28" t="s">
        <v>11</v>
      </c>
      <c r="M4860" s="14"/>
      <c r="N4860" s="10" t="s">
        <v>1028</v>
      </c>
    </row>
    <row r="4861" spans="1:14" ht="22.5" customHeight="1">
      <c r="A4861" s="8">
        <v>46027.450414293984</v>
      </c>
      <c r="B4861" s="9" t="s">
        <v>14</v>
      </c>
      <c r="C4861" s="9" t="s">
        <v>15</v>
      </c>
      <c r="D4861" s="10" t="s">
        <v>10600</v>
      </c>
      <c r="E4861" s="9" t="s">
        <v>22</v>
      </c>
      <c r="F4861" s="10">
        <v>29</v>
      </c>
      <c r="G4861" s="11">
        <v>8142516416</v>
      </c>
      <c r="H4861" s="10" t="s">
        <v>10601</v>
      </c>
      <c r="I4861" s="10" t="s">
        <v>45</v>
      </c>
      <c r="J4861" s="10" t="s">
        <v>688</v>
      </c>
      <c r="K4861" s="12">
        <v>46027</v>
      </c>
      <c r="L4861" s="28" t="s">
        <v>11</v>
      </c>
      <c r="M4861" s="14"/>
      <c r="N4861" s="10" t="s">
        <v>1028</v>
      </c>
    </row>
    <row r="4862" spans="1:14" ht="22.5" customHeight="1">
      <c r="A4862" s="8">
        <v>46027.454145983793</v>
      </c>
      <c r="B4862" s="9" t="s">
        <v>14</v>
      </c>
      <c r="C4862" s="9" t="s">
        <v>15</v>
      </c>
      <c r="D4862" s="10" t="s">
        <v>10602</v>
      </c>
      <c r="E4862" s="9" t="s">
        <v>22</v>
      </c>
      <c r="F4862" s="19">
        <v>41</v>
      </c>
      <c r="G4862" s="11">
        <v>7034439797</v>
      </c>
      <c r="H4862" s="10" t="s">
        <v>10603</v>
      </c>
      <c r="I4862" s="10" t="s">
        <v>27</v>
      </c>
      <c r="J4862" s="10" t="s">
        <v>94</v>
      </c>
      <c r="K4862" s="12">
        <v>46027</v>
      </c>
      <c r="L4862" s="28" t="s">
        <v>11</v>
      </c>
      <c r="M4862" s="14"/>
      <c r="N4862" s="10" t="s">
        <v>1096</v>
      </c>
    </row>
    <row r="4863" spans="1:14" ht="22.5" customHeight="1">
      <c r="A4863" s="8">
        <v>46027.46002849537</v>
      </c>
      <c r="B4863" s="9" t="s">
        <v>14</v>
      </c>
      <c r="C4863" s="9" t="s">
        <v>15</v>
      </c>
      <c r="D4863" s="10" t="s">
        <v>10604</v>
      </c>
      <c r="E4863" s="9" t="s">
        <v>22</v>
      </c>
      <c r="F4863" s="10">
        <v>23</v>
      </c>
      <c r="G4863" s="11">
        <v>8067015508</v>
      </c>
      <c r="H4863" s="10" t="s">
        <v>10605</v>
      </c>
      <c r="I4863" s="10" t="s">
        <v>49</v>
      </c>
      <c r="J4863" s="10" t="s">
        <v>50</v>
      </c>
      <c r="K4863" s="12">
        <v>46027</v>
      </c>
      <c r="L4863" s="28" t="s">
        <v>11</v>
      </c>
      <c r="M4863" s="14"/>
      <c r="N4863" s="10" t="s">
        <v>1096</v>
      </c>
    </row>
    <row r="4864" spans="1:14" ht="22.5" customHeight="1">
      <c r="A4864" s="8">
        <v>46027.482218738427</v>
      </c>
      <c r="B4864" s="9" t="s">
        <v>14</v>
      </c>
      <c r="C4864" s="9" t="s">
        <v>15</v>
      </c>
      <c r="D4864" s="10" t="s">
        <v>9661</v>
      </c>
      <c r="E4864" s="9" t="s">
        <v>17</v>
      </c>
      <c r="F4864" s="10">
        <v>28</v>
      </c>
      <c r="G4864" s="11">
        <v>7032733011</v>
      </c>
      <c r="H4864" s="10" t="s">
        <v>9662</v>
      </c>
      <c r="I4864" s="10" t="s">
        <v>145</v>
      </c>
      <c r="J4864" s="10" t="s">
        <v>4289</v>
      </c>
      <c r="K4864" s="12">
        <v>46027</v>
      </c>
      <c r="L4864" s="28" t="s">
        <v>11</v>
      </c>
      <c r="M4864" s="14"/>
      <c r="N4864" s="10" t="s">
        <v>1028</v>
      </c>
    </row>
    <row r="4865" spans="1:14" ht="22.5" customHeight="1">
      <c r="A4865" s="8">
        <v>46027.482360219903</v>
      </c>
      <c r="B4865" s="9" t="s">
        <v>14</v>
      </c>
      <c r="C4865" s="9" t="s">
        <v>15</v>
      </c>
      <c r="D4865" s="10" t="s">
        <v>10606</v>
      </c>
      <c r="E4865" s="9" t="s">
        <v>17</v>
      </c>
      <c r="F4865" s="10">
        <v>25</v>
      </c>
      <c r="G4865" s="11">
        <v>8033619324</v>
      </c>
      <c r="H4865" s="10" t="s">
        <v>10607</v>
      </c>
      <c r="I4865" s="10" t="s">
        <v>45</v>
      </c>
      <c r="J4865" s="10" t="s">
        <v>287</v>
      </c>
      <c r="K4865" s="12">
        <v>46027</v>
      </c>
      <c r="L4865" s="28" t="s">
        <v>11</v>
      </c>
      <c r="M4865" s="14"/>
      <c r="N4865" s="10" t="s">
        <v>1028</v>
      </c>
    </row>
    <row r="4866" spans="1:14" ht="22.5" customHeight="1">
      <c r="A4866" s="8">
        <v>46027.495690706019</v>
      </c>
      <c r="B4866" s="9" t="s">
        <v>14</v>
      </c>
      <c r="C4866" s="9" t="s">
        <v>15</v>
      </c>
      <c r="D4866" s="10" t="s">
        <v>10608</v>
      </c>
      <c r="E4866" s="9" t="s">
        <v>22</v>
      </c>
      <c r="F4866" s="10">
        <v>29</v>
      </c>
      <c r="G4866" s="11">
        <v>8134073095</v>
      </c>
      <c r="H4866" s="10" t="s">
        <v>10609</v>
      </c>
      <c r="I4866" s="10" t="s">
        <v>27</v>
      </c>
      <c r="J4866" s="10" t="s">
        <v>1559</v>
      </c>
      <c r="K4866" s="12">
        <v>46027</v>
      </c>
      <c r="L4866" s="28" t="s">
        <v>11</v>
      </c>
      <c r="M4866" s="14"/>
      <c r="N4866" s="10" t="s">
        <v>1028</v>
      </c>
    </row>
    <row r="4867" spans="1:14" ht="22.5" customHeight="1">
      <c r="A4867" s="8">
        <v>46027.509744606483</v>
      </c>
      <c r="B4867" s="9" t="s">
        <v>14</v>
      </c>
      <c r="C4867" s="9" t="s">
        <v>15</v>
      </c>
      <c r="D4867" s="10" t="s">
        <v>10610</v>
      </c>
      <c r="E4867" s="9" t="s">
        <v>17</v>
      </c>
      <c r="F4867" s="10">
        <v>25</v>
      </c>
      <c r="G4867" s="11">
        <v>9073465767</v>
      </c>
      <c r="H4867" s="10" t="s">
        <v>10611</v>
      </c>
      <c r="I4867" s="10" t="s">
        <v>27</v>
      </c>
      <c r="J4867" s="10" t="s">
        <v>70</v>
      </c>
      <c r="K4867" s="12">
        <v>46027</v>
      </c>
      <c r="L4867" s="28" t="s">
        <v>11</v>
      </c>
      <c r="M4867" s="14"/>
      <c r="N4867" s="10" t="s">
        <v>1028</v>
      </c>
    </row>
    <row r="4868" spans="1:14" ht="22.5" customHeight="1">
      <c r="A4868" s="8">
        <v>46027.510199976852</v>
      </c>
      <c r="B4868" s="9" t="s">
        <v>14</v>
      </c>
      <c r="C4868" s="9" t="s">
        <v>15</v>
      </c>
      <c r="D4868" s="10" t="s">
        <v>10612</v>
      </c>
      <c r="E4868" s="9" t="s">
        <v>17</v>
      </c>
      <c r="F4868" s="10">
        <v>22</v>
      </c>
      <c r="G4868" s="11">
        <v>8057684036</v>
      </c>
      <c r="H4868" s="10" t="s">
        <v>10613</v>
      </c>
      <c r="I4868" s="10" t="s">
        <v>45</v>
      </c>
      <c r="J4868" s="10" t="s">
        <v>1247</v>
      </c>
      <c r="K4868" s="12">
        <v>46027</v>
      </c>
      <c r="L4868" s="28" t="s">
        <v>11</v>
      </c>
      <c r="M4868" s="14"/>
      <c r="N4868" s="10" t="s">
        <v>1028</v>
      </c>
    </row>
    <row r="4869" spans="1:14" ht="22.5" customHeight="1">
      <c r="A4869" s="8">
        <v>46027.527318368055</v>
      </c>
      <c r="B4869" s="9" t="s">
        <v>14</v>
      </c>
      <c r="C4869" s="9" t="s">
        <v>15</v>
      </c>
      <c r="D4869" s="10" t="s">
        <v>10614</v>
      </c>
      <c r="E4869" s="9" t="s">
        <v>17</v>
      </c>
      <c r="F4869" s="10">
        <v>35</v>
      </c>
      <c r="G4869" s="11">
        <v>2348030807579</v>
      </c>
      <c r="H4869" s="10" t="s">
        <v>10615</v>
      </c>
      <c r="I4869" s="10" t="s">
        <v>27</v>
      </c>
      <c r="J4869" s="10" t="s">
        <v>10616</v>
      </c>
      <c r="K4869" s="12">
        <v>46143</v>
      </c>
      <c r="L4869" s="28" t="s">
        <v>11</v>
      </c>
      <c r="M4869" s="14"/>
      <c r="N4869" s="10" t="s">
        <v>1028</v>
      </c>
    </row>
    <row r="4870" spans="1:14" ht="22.5" customHeight="1">
      <c r="A4870" s="8">
        <v>46027.531554085646</v>
      </c>
      <c r="B4870" s="9" t="s">
        <v>14</v>
      </c>
      <c r="C4870" s="9" t="s">
        <v>15</v>
      </c>
      <c r="D4870" s="10" t="s">
        <v>10617</v>
      </c>
      <c r="E4870" s="9" t="s">
        <v>17</v>
      </c>
      <c r="F4870" s="10">
        <v>33</v>
      </c>
      <c r="G4870" s="11">
        <v>7061067272</v>
      </c>
      <c r="H4870" s="10" t="s">
        <v>10618</v>
      </c>
      <c r="I4870" s="10" t="s">
        <v>19</v>
      </c>
      <c r="J4870" s="10" t="s">
        <v>1664</v>
      </c>
      <c r="K4870" s="12">
        <v>46027</v>
      </c>
      <c r="L4870" s="28" t="s">
        <v>11</v>
      </c>
      <c r="M4870" s="14"/>
      <c r="N4870" s="10" t="s">
        <v>1028</v>
      </c>
    </row>
    <row r="4871" spans="1:14" ht="22.5" customHeight="1">
      <c r="A4871" s="8">
        <v>46027.546170081019</v>
      </c>
      <c r="B4871" s="9" t="s">
        <v>14</v>
      </c>
      <c r="C4871" s="9" t="s">
        <v>15</v>
      </c>
      <c r="D4871" s="10" t="s">
        <v>10619</v>
      </c>
      <c r="E4871" s="9" t="s">
        <v>17</v>
      </c>
      <c r="F4871" s="10">
        <v>33</v>
      </c>
      <c r="G4871" s="11">
        <v>8156387024</v>
      </c>
      <c r="H4871" s="10" t="s">
        <v>10620</v>
      </c>
      <c r="I4871" s="10" t="s">
        <v>45</v>
      </c>
      <c r="J4871" s="10" t="s">
        <v>2193</v>
      </c>
      <c r="K4871" s="12">
        <v>46027</v>
      </c>
      <c r="L4871" s="28" t="s">
        <v>11</v>
      </c>
      <c r="M4871" s="14"/>
      <c r="N4871" s="10" t="s">
        <v>1028</v>
      </c>
    </row>
    <row r="4872" spans="1:14" ht="22.5" customHeight="1">
      <c r="A4872" s="8">
        <v>46027.568836435181</v>
      </c>
      <c r="B4872" s="9" t="s">
        <v>14</v>
      </c>
      <c r="C4872" s="9" t="s">
        <v>15</v>
      </c>
      <c r="D4872" s="10" t="s">
        <v>10621</v>
      </c>
      <c r="E4872" s="9" t="s">
        <v>17</v>
      </c>
      <c r="F4872" s="10">
        <v>35</v>
      </c>
      <c r="G4872" s="11">
        <v>8038712991</v>
      </c>
      <c r="H4872" s="10" t="s">
        <v>10622</v>
      </c>
      <c r="I4872" s="10" t="s">
        <v>19</v>
      </c>
      <c r="J4872" s="10" t="s">
        <v>166</v>
      </c>
      <c r="K4872" s="12">
        <v>46027</v>
      </c>
      <c r="L4872" s="28" t="s">
        <v>11</v>
      </c>
      <c r="M4872" s="14"/>
      <c r="N4872" s="10" t="s">
        <v>1028</v>
      </c>
    </row>
    <row r="4873" spans="1:14" ht="22.5" customHeight="1">
      <c r="A4873" s="8">
        <v>46027.577715254629</v>
      </c>
      <c r="B4873" s="9" t="s">
        <v>14</v>
      </c>
      <c r="C4873" s="9" t="s">
        <v>15</v>
      </c>
      <c r="D4873" s="10" t="s">
        <v>10623</v>
      </c>
      <c r="E4873" s="9" t="s">
        <v>17</v>
      </c>
      <c r="F4873" s="10">
        <v>29</v>
      </c>
      <c r="G4873" s="11">
        <v>8030966952</v>
      </c>
      <c r="H4873" s="10" t="s">
        <v>10624</v>
      </c>
      <c r="I4873" s="10" t="s">
        <v>202</v>
      </c>
      <c r="J4873" s="10" t="s">
        <v>4780</v>
      </c>
      <c r="K4873" s="12">
        <v>46027</v>
      </c>
      <c r="L4873" s="28" t="s">
        <v>11</v>
      </c>
      <c r="M4873" s="14"/>
      <c r="N4873" s="10" t="s">
        <v>1028</v>
      </c>
    </row>
    <row r="4874" spans="1:14" ht="22.5" customHeight="1">
      <c r="A4874" s="8">
        <v>46027.579742499998</v>
      </c>
      <c r="B4874" s="9" t="s">
        <v>14</v>
      </c>
      <c r="C4874" s="9" t="s">
        <v>15</v>
      </c>
      <c r="D4874" s="10" t="s">
        <v>10625</v>
      </c>
      <c r="E4874" s="9" t="s">
        <v>17</v>
      </c>
      <c r="F4874" s="10">
        <v>34</v>
      </c>
      <c r="G4874" s="11">
        <v>8061362310</v>
      </c>
      <c r="H4874" s="10" t="s">
        <v>10626</v>
      </c>
      <c r="I4874" s="10" t="s">
        <v>19</v>
      </c>
      <c r="J4874" s="10" t="s">
        <v>10627</v>
      </c>
      <c r="K4874" s="12">
        <v>46027</v>
      </c>
      <c r="L4874" s="28" t="s">
        <v>11</v>
      </c>
      <c r="M4874" s="14"/>
      <c r="N4874" s="10" t="s">
        <v>1028</v>
      </c>
    </row>
    <row r="4875" spans="1:14" ht="22.5" customHeight="1">
      <c r="A4875" s="8">
        <v>46027.581301944447</v>
      </c>
      <c r="B4875" s="9" t="s">
        <v>14</v>
      </c>
      <c r="C4875" s="9" t="s">
        <v>15</v>
      </c>
      <c r="D4875" s="10" t="s">
        <v>10628</v>
      </c>
      <c r="E4875" s="9" t="s">
        <v>22</v>
      </c>
      <c r="F4875" s="10">
        <v>24</v>
      </c>
      <c r="G4875" s="11">
        <v>9163706051</v>
      </c>
      <c r="H4875" s="10" t="s">
        <v>10629</v>
      </c>
      <c r="I4875" s="10" t="s">
        <v>19</v>
      </c>
      <c r="J4875" s="10" t="s">
        <v>3466</v>
      </c>
      <c r="K4875" s="12">
        <v>46027</v>
      </c>
      <c r="L4875" s="28" t="s">
        <v>11</v>
      </c>
      <c r="M4875" s="10"/>
      <c r="N4875" s="10" t="s">
        <v>1028</v>
      </c>
    </row>
    <row r="4876" spans="1:14" ht="22.5" customHeight="1">
      <c r="A4876" s="8">
        <v>46027.586783506944</v>
      </c>
      <c r="B4876" s="9" t="s">
        <v>14</v>
      </c>
      <c r="C4876" s="9" t="s">
        <v>15</v>
      </c>
      <c r="D4876" s="10" t="s">
        <v>10630</v>
      </c>
      <c r="E4876" s="9" t="s">
        <v>17</v>
      </c>
      <c r="F4876" s="10">
        <v>35</v>
      </c>
      <c r="G4876" s="11">
        <v>8036050578</v>
      </c>
      <c r="H4876" s="10" t="s">
        <v>10631</v>
      </c>
      <c r="I4876" s="10" t="s">
        <v>27</v>
      </c>
      <c r="J4876" s="10" t="s">
        <v>1456</v>
      </c>
      <c r="K4876" s="12">
        <v>46027</v>
      </c>
      <c r="L4876" s="28" t="s">
        <v>11</v>
      </c>
      <c r="M4876" s="14"/>
      <c r="N4876" s="10" t="s">
        <v>1096</v>
      </c>
    </row>
    <row r="4877" spans="1:14" ht="22.5" customHeight="1">
      <c r="A4877" s="8">
        <v>46027.58707893519</v>
      </c>
      <c r="B4877" s="9" t="s">
        <v>14</v>
      </c>
      <c r="C4877" s="9" t="s">
        <v>15</v>
      </c>
      <c r="D4877" s="10" t="s">
        <v>10632</v>
      </c>
      <c r="E4877" s="9" t="s">
        <v>17</v>
      </c>
      <c r="F4877" s="10">
        <v>31</v>
      </c>
      <c r="G4877" s="11">
        <v>7040894953</v>
      </c>
      <c r="H4877" s="10" t="s">
        <v>10633</v>
      </c>
      <c r="I4877" s="10" t="s">
        <v>27</v>
      </c>
      <c r="J4877" s="10" t="s">
        <v>10634</v>
      </c>
      <c r="K4877" s="12">
        <v>46027</v>
      </c>
      <c r="L4877" s="28" t="s">
        <v>11</v>
      </c>
      <c r="M4877" s="14"/>
      <c r="N4877" s="10" t="s">
        <v>1028</v>
      </c>
    </row>
    <row r="4878" spans="1:14" ht="22.5" customHeight="1">
      <c r="A4878" s="8">
        <v>46027.587108078704</v>
      </c>
      <c r="B4878" s="9" t="s">
        <v>14</v>
      </c>
      <c r="C4878" s="9" t="s">
        <v>15</v>
      </c>
      <c r="D4878" s="10" t="s">
        <v>10635</v>
      </c>
      <c r="E4878" s="9" t="s">
        <v>17</v>
      </c>
      <c r="F4878" s="10">
        <v>23</v>
      </c>
      <c r="G4878" s="11">
        <v>8145165452</v>
      </c>
      <c r="H4878" s="10" t="s">
        <v>10636</v>
      </c>
      <c r="I4878" s="10" t="s">
        <v>19</v>
      </c>
      <c r="J4878" s="10" t="s">
        <v>812</v>
      </c>
      <c r="K4878" s="12">
        <v>37948</v>
      </c>
      <c r="L4878" s="28" t="s">
        <v>11</v>
      </c>
      <c r="M4878" s="14"/>
      <c r="N4878" s="10" t="s">
        <v>1028</v>
      </c>
    </row>
    <row r="4879" spans="1:14" ht="22.5" customHeight="1">
      <c r="A4879" s="8">
        <v>46027.587636018521</v>
      </c>
      <c r="B4879" s="9" t="s">
        <v>14</v>
      </c>
      <c r="C4879" s="9" t="s">
        <v>15</v>
      </c>
      <c r="D4879" s="10" t="s">
        <v>10637</v>
      </c>
      <c r="E4879" s="9" t="s">
        <v>17</v>
      </c>
      <c r="F4879" s="10">
        <v>22</v>
      </c>
      <c r="G4879" s="11">
        <v>8086249198</v>
      </c>
      <c r="H4879" s="10" t="s">
        <v>10638</v>
      </c>
      <c r="I4879" s="10" t="s">
        <v>19</v>
      </c>
      <c r="J4879" s="10" t="s">
        <v>10199</v>
      </c>
      <c r="K4879" s="12">
        <v>46027</v>
      </c>
      <c r="L4879" s="28" t="s">
        <v>11</v>
      </c>
      <c r="M4879" s="14"/>
      <c r="N4879" s="10" t="s">
        <v>1028</v>
      </c>
    </row>
    <row r="4880" spans="1:14" ht="22.5" customHeight="1">
      <c r="A4880" s="8">
        <v>46027.588779328704</v>
      </c>
      <c r="B4880" s="9" t="s">
        <v>14</v>
      </c>
      <c r="C4880" s="9" t="s">
        <v>15</v>
      </c>
      <c r="D4880" s="10" t="s">
        <v>10639</v>
      </c>
      <c r="E4880" s="9" t="s">
        <v>22</v>
      </c>
      <c r="F4880" s="10">
        <v>35</v>
      </c>
      <c r="G4880" s="11">
        <v>8064134762</v>
      </c>
      <c r="H4880" s="10" t="s">
        <v>10640</v>
      </c>
      <c r="I4880" s="10" t="s">
        <v>19</v>
      </c>
      <c r="J4880" s="10" t="s">
        <v>10641</v>
      </c>
      <c r="K4880" s="12">
        <v>46027</v>
      </c>
      <c r="L4880" s="28" t="s">
        <v>11</v>
      </c>
      <c r="M4880" s="14"/>
      <c r="N4880" s="10" t="s">
        <v>1028</v>
      </c>
    </row>
    <row r="4881" spans="1:14" ht="22.5" customHeight="1">
      <c r="A4881" s="8">
        <v>46027.5924925</v>
      </c>
      <c r="B4881" s="9" t="s">
        <v>14</v>
      </c>
      <c r="C4881" s="9" t="s">
        <v>15</v>
      </c>
      <c r="D4881" s="10" t="s">
        <v>10642</v>
      </c>
      <c r="E4881" s="9" t="s">
        <v>22</v>
      </c>
      <c r="F4881" s="10">
        <v>28</v>
      </c>
      <c r="G4881" s="11">
        <v>8144639675</v>
      </c>
      <c r="H4881" s="10" t="s">
        <v>10643</v>
      </c>
      <c r="I4881" s="10" t="s">
        <v>19</v>
      </c>
      <c r="J4881" s="10" t="s">
        <v>3466</v>
      </c>
      <c r="K4881" s="12">
        <v>46027</v>
      </c>
      <c r="L4881" s="28" t="s">
        <v>11</v>
      </c>
      <c r="M4881" s="14"/>
      <c r="N4881" s="10" t="s">
        <v>1096</v>
      </c>
    </row>
    <row r="4882" spans="1:14" ht="22.5" customHeight="1">
      <c r="A4882" s="8">
        <v>46027.594964108794</v>
      </c>
      <c r="B4882" s="9" t="s">
        <v>14</v>
      </c>
      <c r="C4882" s="9" t="s">
        <v>15</v>
      </c>
      <c r="D4882" s="10" t="s">
        <v>10644</v>
      </c>
      <c r="E4882" s="9" t="s">
        <v>17</v>
      </c>
      <c r="F4882" s="10">
        <v>41</v>
      </c>
      <c r="G4882" s="11">
        <v>8074243901</v>
      </c>
      <c r="H4882" s="10" t="s">
        <v>10645</v>
      </c>
      <c r="I4882" s="10" t="s">
        <v>45</v>
      </c>
      <c r="J4882" s="10" t="s">
        <v>1173</v>
      </c>
      <c r="K4882" s="12">
        <v>46027</v>
      </c>
      <c r="L4882" s="28" t="s">
        <v>11</v>
      </c>
      <c r="M4882" s="14"/>
      <c r="N4882" s="10" t="s">
        <v>1028</v>
      </c>
    </row>
    <row r="4883" spans="1:14" ht="22.5" customHeight="1">
      <c r="A4883" s="8">
        <v>46027.597241099538</v>
      </c>
      <c r="B4883" s="9" t="s">
        <v>14</v>
      </c>
      <c r="C4883" s="9" t="s">
        <v>15</v>
      </c>
      <c r="D4883" s="10" t="s">
        <v>10646</v>
      </c>
      <c r="E4883" s="9" t="s">
        <v>17</v>
      </c>
      <c r="F4883" s="10">
        <v>42</v>
      </c>
      <c r="G4883" s="11">
        <v>8035086749</v>
      </c>
      <c r="H4883" s="10" t="s">
        <v>10647</v>
      </c>
      <c r="I4883" s="10" t="s">
        <v>19</v>
      </c>
      <c r="J4883" s="10" t="s">
        <v>10648</v>
      </c>
      <c r="K4883" s="12">
        <v>46027</v>
      </c>
      <c r="L4883" s="28" t="s">
        <v>11</v>
      </c>
      <c r="M4883" s="14"/>
      <c r="N4883" s="10" t="s">
        <v>1028</v>
      </c>
    </row>
    <row r="4884" spans="1:14" ht="22.5" customHeight="1">
      <c r="A4884" s="8">
        <v>46027.600071805558</v>
      </c>
      <c r="B4884" s="9" t="s">
        <v>14</v>
      </c>
      <c r="C4884" s="9" t="s">
        <v>15</v>
      </c>
      <c r="D4884" s="10" t="s">
        <v>10649</v>
      </c>
      <c r="E4884" s="9" t="s">
        <v>22</v>
      </c>
      <c r="F4884" s="10">
        <v>25</v>
      </c>
      <c r="G4884" s="11">
        <v>8065556463</v>
      </c>
      <c r="H4884" s="10" t="s">
        <v>10650</v>
      </c>
      <c r="I4884" s="10" t="s">
        <v>45</v>
      </c>
      <c r="J4884" s="10" t="s">
        <v>521</v>
      </c>
      <c r="K4884" s="12">
        <v>46027</v>
      </c>
      <c r="L4884" s="28" t="s">
        <v>11</v>
      </c>
      <c r="M4884" s="14"/>
      <c r="N4884" s="10" t="s">
        <v>1096</v>
      </c>
    </row>
    <row r="4885" spans="1:14" ht="22.5" customHeight="1">
      <c r="A4885" s="8">
        <v>46027.601851909727</v>
      </c>
      <c r="B4885" s="9" t="s">
        <v>14</v>
      </c>
      <c r="C4885" s="9" t="s">
        <v>15</v>
      </c>
      <c r="D4885" s="10" t="s">
        <v>10651</v>
      </c>
      <c r="E4885" s="9" t="s">
        <v>17</v>
      </c>
      <c r="F4885" s="10">
        <v>23</v>
      </c>
      <c r="G4885" s="11">
        <v>8147603595</v>
      </c>
      <c r="H4885" s="10" t="s">
        <v>10652</v>
      </c>
      <c r="I4885" s="10" t="s">
        <v>49</v>
      </c>
      <c r="J4885" s="10" t="s">
        <v>10653</v>
      </c>
      <c r="K4885" s="12">
        <v>46027</v>
      </c>
      <c r="L4885" s="28" t="s">
        <v>11</v>
      </c>
      <c r="M4885" s="14"/>
      <c r="N4885" s="10" t="s">
        <v>1096</v>
      </c>
    </row>
    <row r="4886" spans="1:14" ht="22.5" customHeight="1">
      <c r="A4886" s="8">
        <v>46027.602854583332</v>
      </c>
      <c r="B4886" s="9" t="s">
        <v>14</v>
      </c>
      <c r="C4886" s="9" t="s">
        <v>15</v>
      </c>
      <c r="D4886" s="10" t="s">
        <v>10654</v>
      </c>
      <c r="E4886" s="9" t="s">
        <v>22</v>
      </c>
      <c r="F4886" s="10">
        <v>25</v>
      </c>
      <c r="G4886" s="11">
        <v>7062143231</v>
      </c>
      <c r="H4886" s="10" t="s">
        <v>10655</v>
      </c>
      <c r="I4886" s="10" t="s">
        <v>19</v>
      </c>
      <c r="J4886" s="10" t="s">
        <v>119</v>
      </c>
      <c r="K4886" s="12">
        <v>46027</v>
      </c>
      <c r="L4886" s="28" t="s">
        <v>11</v>
      </c>
      <c r="M4886" s="14"/>
      <c r="N4886" s="10" t="s">
        <v>1028</v>
      </c>
    </row>
    <row r="4887" spans="1:14" ht="22.5" customHeight="1">
      <c r="A4887" s="8">
        <v>46027.603280497686</v>
      </c>
      <c r="B4887" s="9" t="s">
        <v>14</v>
      </c>
      <c r="C4887" s="9" t="s">
        <v>15</v>
      </c>
      <c r="D4887" s="10" t="s">
        <v>10656</v>
      </c>
      <c r="E4887" s="9" t="s">
        <v>17</v>
      </c>
      <c r="F4887" s="10">
        <v>25</v>
      </c>
      <c r="G4887" s="11">
        <v>8132162014</v>
      </c>
      <c r="H4887" s="10" t="s">
        <v>10657</v>
      </c>
      <c r="I4887" s="10" t="s">
        <v>19</v>
      </c>
      <c r="J4887" s="10" t="s">
        <v>10658</v>
      </c>
      <c r="K4887" s="12">
        <v>46027</v>
      </c>
      <c r="L4887" s="28" t="s">
        <v>11</v>
      </c>
      <c r="M4887" s="14"/>
      <c r="N4887" s="10" t="s">
        <v>1028</v>
      </c>
    </row>
    <row r="4888" spans="1:14" ht="22.5" customHeight="1">
      <c r="A4888" s="8">
        <v>46027.605201307873</v>
      </c>
      <c r="B4888" s="9" t="s">
        <v>14</v>
      </c>
      <c r="C4888" s="9" t="s">
        <v>15</v>
      </c>
      <c r="D4888" s="10" t="s">
        <v>10659</v>
      </c>
      <c r="E4888" s="9" t="s">
        <v>17</v>
      </c>
      <c r="F4888" s="10">
        <v>26</v>
      </c>
      <c r="G4888" s="11">
        <v>9162612567</v>
      </c>
      <c r="H4888" s="10" t="s">
        <v>10660</v>
      </c>
      <c r="I4888" s="10" t="s">
        <v>145</v>
      </c>
      <c r="J4888" s="10" t="s">
        <v>7732</v>
      </c>
      <c r="K4888" s="12">
        <v>46027</v>
      </c>
      <c r="L4888" s="28" t="s">
        <v>11</v>
      </c>
      <c r="M4888" s="14"/>
      <c r="N4888" s="10" t="s">
        <v>1028</v>
      </c>
    </row>
    <row r="4889" spans="1:14" ht="22.5" customHeight="1">
      <c r="A4889" s="8">
        <v>46027.60533924769</v>
      </c>
      <c r="B4889" s="9" t="s">
        <v>14</v>
      </c>
      <c r="C4889" s="9" t="s">
        <v>15</v>
      </c>
      <c r="D4889" s="10" t="s">
        <v>10661</v>
      </c>
      <c r="E4889" s="9" t="s">
        <v>22</v>
      </c>
      <c r="F4889" s="10">
        <v>36</v>
      </c>
      <c r="G4889" s="11">
        <v>7037716597</v>
      </c>
      <c r="H4889" s="10" t="s">
        <v>10662</v>
      </c>
      <c r="I4889" s="10" t="s">
        <v>19</v>
      </c>
      <c r="J4889" s="10" t="s">
        <v>166</v>
      </c>
      <c r="K4889" s="12">
        <v>32607</v>
      </c>
      <c r="L4889" s="28" t="s">
        <v>11</v>
      </c>
      <c r="M4889" s="14"/>
      <c r="N4889" s="10" t="s">
        <v>1028</v>
      </c>
    </row>
    <row r="4890" spans="1:14" ht="22.5" customHeight="1">
      <c r="A4890" s="8">
        <v>46027.608252534723</v>
      </c>
      <c r="B4890" s="9" t="s">
        <v>14</v>
      </c>
      <c r="C4890" s="9" t="s">
        <v>15</v>
      </c>
      <c r="D4890" s="10" t="s">
        <v>10663</v>
      </c>
      <c r="E4890" s="9" t="s">
        <v>17</v>
      </c>
      <c r="F4890" s="10">
        <v>40</v>
      </c>
      <c r="G4890" s="11">
        <v>9124461044</v>
      </c>
      <c r="H4890" s="10" t="s">
        <v>10664</v>
      </c>
      <c r="I4890" s="10" t="s">
        <v>19</v>
      </c>
      <c r="J4890" s="10" t="s">
        <v>3466</v>
      </c>
      <c r="K4890" s="12">
        <v>46027</v>
      </c>
      <c r="L4890" s="28" t="s">
        <v>11</v>
      </c>
      <c r="M4890" s="14"/>
      <c r="N4890" s="10" t="s">
        <v>1028</v>
      </c>
    </row>
    <row r="4891" spans="1:14" ht="22.5" customHeight="1">
      <c r="A4891" s="8">
        <v>46027.609019988427</v>
      </c>
      <c r="B4891" s="9" t="s">
        <v>14</v>
      </c>
      <c r="C4891" s="9" t="s">
        <v>15</v>
      </c>
      <c r="D4891" s="10" t="s">
        <v>10665</v>
      </c>
      <c r="E4891" s="9" t="s">
        <v>22</v>
      </c>
      <c r="F4891" s="10">
        <v>22</v>
      </c>
      <c r="G4891" s="11">
        <v>8133696212</v>
      </c>
      <c r="H4891" s="10" t="s">
        <v>10666</v>
      </c>
      <c r="I4891" s="10" t="s">
        <v>19</v>
      </c>
      <c r="J4891" s="10" t="s">
        <v>10667</v>
      </c>
      <c r="K4891" s="12">
        <v>46027</v>
      </c>
      <c r="L4891" s="28" t="s">
        <v>11</v>
      </c>
      <c r="M4891" s="14"/>
      <c r="N4891" s="10" t="s">
        <v>1096</v>
      </c>
    </row>
    <row r="4892" spans="1:14" ht="22.5" customHeight="1">
      <c r="A4892" s="8">
        <v>46027.609655462962</v>
      </c>
      <c r="B4892" s="9" t="s">
        <v>14</v>
      </c>
      <c r="C4892" s="9" t="s">
        <v>15</v>
      </c>
      <c r="D4892" s="10" t="s">
        <v>10668</v>
      </c>
      <c r="E4892" s="9" t="s">
        <v>22</v>
      </c>
      <c r="F4892" s="10">
        <v>26</v>
      </c>
      <c r="G4892" s="11">
        <v>8107742595</v>
      </c>
      <c r="H4892" s="10" t="s">
        <v>10669</v>
      </c>
      <c r="I4892" s="10" t="s">
        <v>45</v>
      </c>
      <c r="J4892" s="10" t="s">
        <v>10670</v>
      </c>
      <c r="K4892" s="12">
        <v>46027</v>
      </c>
      <c r="L4892" s="28" t="s">
        <v>11</v>
      </c>
      <c r="M4892" s="14"/>
      <c r="N4892" s="10" t="s">
        <v>1096</v>
      </c>
    </row>
    <row r="4893" spans="1:14" ht="22.5" customHeight="1">
      <c r="A4893" s="8">
        <v>46027.609865532402</v>
      </c>
      <c r="B4893" s="9" t="s">
        <v>14</v>
      </c>
      <c r="C4893" s="9" t="s">
        <v>15</v>
      </c>
      <c r="D4893" s="10" t="s">
        <v>10671</v>
      </c>
      <c r="E4893" s="9" t="s">
        <v>17</v>
      </c>
      <c r="F4893" s="10">
        <v>34</v>
      </c>
      <c r="G4893" s="11">
        <v>7018196555</v>
      </c>
      <c r="H4893" s="10" t="s">
        <v>10672</v>
      </c>
      <c r="I4893" s="10" t="s">
        <v>45</v>
      </c>
      <c r="J4893" s="10" t="s">
        <v>688</v>
      </c>
      <c r="K4893" s="12">
        <v>46027</v>
      </c>
      <c r="L4893" s="28" t="s">
        <v>11</v>
      </c>
      <c r="M4893" s="14"/>
      <c r="N4893" s="10" t="s">
        <v>1096</v>
      </c>
    </row>
    <row r="4894" spans="1:14" ht="22.5" customHeight="1">
      <c r="A4894" s="8">
        <v>46027.612136747688</v>
      </c>
      <c r="B4894" s="9" t="s">
        <v>14</v>
      </c>
      <c r="C4894" s="9" t="s">
        <v>15</v>
      </c>
      <c r="D4894" s="10" t="s">
        <v>10673</v>
      </c>
      <c r="E4894" s="9" t="s">
        <v>22</v>
      </c>
      <c r="F4894" s="10">
        <v>23</v>
      </c>
      <c r="G4894" s="11">
        <v>8140830197</v>
      </c>
      <c r="H4894" s="10" t="s">
        <v>10674</v>
      </c>
      <c r="I4894" s="10" t="s">
        <v>19</v>
      </c>
      <c r="J4894" s="10" t="s">
        <v>3466</v>
      </c>
      <c r="K4894" s="12">
        <v>46027</v>
      </c>
      <c r="L4894" s="28" t="s">
        <v>11</v>
      </c>
      <c r="M4894" s="14"/>
      <c r="N4894" s="10" t="s">
        <v>1096</v>
      </c>
    </row>
    <row r="4895" spans="1:14" ht="22.5" customHeight="1">
      <c r="A4895" s="8">
        <v>46027.6143012963</v>
      </c>
      <c r="B4895" s="9" t="s">
        <v>14</v>
      </c>
      <c r="C4895" s="9" t="s">
        <v>15</v>
      </c>
      <c r="D4895" s="10" t="s">
        <v>10675</v>
      </c>
      <c r="E4895" s="9" t="s">
        <v>22</v>
      </c>
      <c r="F4895" s="10">
        <v>25</v>
      </c>
      <c r="G4895" s="11">
        <f t="shared" ref="G4895" si="135">254790682716</f>
        <v>254790682716</v>
      </c>
      <c r="H4895" s="10" t="s">
        <v>10676</v>
      </c>
      <c r="I4895" s="10" t="s">
        <v>19</v>
      </c>
      <c r="J4895" s="10" t="s">
        <v>7050</v>
      </c>
      <c r="K4895" s="12">
        <v>46027</v>
      </c>
      <c r="L4895" s="28" t="s">
        <v>11</v>
      </c>
      <c r="M4895" s="14"/>
      <c r="N4895" s="10" t="s">
        <v>1028</v>
      </c>
    </row>
    <row r="4896" spans="1:14" ht="22.5" customHeight="1">
      <c r="A4896" s="8">
        <v>46027.614633900463</v>
      </c>
      <c r="B4896" s="9" t="s">
        <v>14</v>
      </c>
      <c r="C4896" s="9" t="s">
        <v>15</v>
      </c>
      <c r="D4896" s="10" t="s">
        <v>10677</v>
      </c>
      <c r="E4896" s="9" t="s">
        <v>17</v>
      </c>
      <c r="F4896" s="10">
        <v>31</v>
      </c>
      <c r="G4896" s="11">
        <v>8076017670</v>
      </c>
      <c r="H4896" s="10" t="s">
        <v>10678</v>
      </c>
      <c r="I4896" s="10" t="s">
        <v>49</v>
      </c>
      <c r="J4896" s="10" t="s">
        <v>2179</v>
      </c>
      <c r="K4896" s="12">
        <v>46027</v>
      </c>
      <c r="L4896" s="28" t="s">
        <v>11</v>
      </c>
      <c r="M4896" s="14"/>
      <c r="N4896" s="10" t="s">
        <v>1028</v>
      </c>
    </row>
    <row r="4897" spans="1:14" ht="22.5" customHeight="1">
      <c r="A4897" s="8">
        <v>46027.622803703707</v>
      </c>
      <c r="B4897" s="9" t="s">
        <v>14</v>
      </c>
      <c r="C4897" s="9" t="s">
        <v>15</v>
      </c>
      <c r="D4897" s="10" t="s">
        <v>10679</v>
      </c>
      <c r="E4897" s="9" t="s">
        <v>17</v>
      </c>
      <c r="F4897" s="10">
        <v>25</v>
      </c>
      <c r="G4897" s="11">
        <v>8062705282</v>
      </c>
      <c r="H4897" s="10" t="s">
        <v>10680</v>
      </c>
      <c r="I4897" s="10" t="s">
        <v>27</v>
      </c>
      <c r="J4897" s="10" t="s">
        <v>1907</v>
      </c>
      <c r="K4897" s="12">
        <v>46027</v>
      </c>
      <c r="L4897" s="28" t="s">
        <v>11</v>
      </c>
      <c r="M4897" s="14"/>
      <c r="N4897" s="10" t="s">
        <v>1028</v>
      </c>
    </row>
    <row r="4898" spans="1:14" ht="22.5" customHeight="1">
      <c r="A4898" s="8">
        <v>46027.626362141207</v>
      </c>
      <c r="B4898" s="9" t="s">
        <v>14</v>
      </c>
      <c r="C4898" s="9" t="s">
        <v>15</v>
      </c>
      <c r="D4898" s="10" t="s">
        <v>10681</v>
      </c>
      <c r="E4898" s="9" t="s">
        <v>22</v>
      </c>
      <c r="F4898" s="18">
        <v>30</v>
      </c>
      <c r="G4898" s="11">
        <v>9066670078</v>
      </c>
      <c r="H4898" s="10" t="s">
        <v>10682</v>
      </c>
      <c r="I4898" s="10" t="s">
        <v>27</v>
      </c>
      <c r="J4898" s="10" t="s">
        <v>94</v>
      </c>
      <c r="K4898" s="12">
        <v>46027</v>
      </c>
      <c r="L4898" s="28" t="s">
        <v>11</v>
      </c>
      <c r="M4898" s="14"/>
      <c r="N4898" s="10" t="s">
        <v>1028</v>
      </c>
    </row>
    <row r="4899" spans="1:14" ht="22.5" customHeight="1">
      <c r="A4899" s="8">
        <v>46027.627794479165</v>
      </c>
      <c r="B4899" s="9" t="s">
        <v>14</v>
      </c>
      <c r="C4899" s="9" t="s">
        <v>15</v>
      </c>
      <c r="D4899" s="10" t="s">
        <v>10683</v>
      </c>
      <c r="E4899" s="9" t="s">
        <v>17</v>
      </c>
      <c r="F4899" s="10">
        <v>27</v>
      </c>
      <c r="G4899" s="11">
        <v>9037007275</v>
      </c>
      <c r="H4899" s="10" t="s">
        <v>10684</v>
      </c>
      <c r="I4899" s="10" t="s">
        <v>27</v>
      </c>
      <c r="J4899" s="10" t="s">
        <v>1456</v>
      </c>
      <c r="K4899" s="12">
        <v>46027</v>
      </c>
      <c r="L4899" s="28" t="s">
        <v>11</v>
      </c>
      <c r="M4899" s="14"/>
      <c r="N4899" s="10" t="s">
        <v>1096</v>
      </c>
    </row>
    <row r="4900" spans="1:14" ht="22.5" customHeight="1">
      <c r="A4900" s="8">
        <v>46027.630300277779</v>
      </c>
      <c r="B4900" s="9" t="s">
        <v>14</v>
      </c>
      <c r="C4900" s="9" t="s">
        <v>15</v>
      </c>
      <c r="D4900" s="10" t="s">
        <v>10685</v>
      </c>
      <c r="E4900" s="9" t="s">
        <v>22</v>
      </c>
      <c r="F4900" s="10">
        <v>26</v>
      </c>
      <c r="G4900" s="11">
        <v>7044065770</v>
      </c>
      <c r="H4900" s="10" t="s">
        <v>10686</v>
      </c>
      <c r="I4900" s="10" t="s">
        <v>202</v>
      </c>
      <c r="J4900" s="10" t="s">
        <v>4005</v>
      </c>
      <c r="K4900" s="12">
        <v>46027</v>
      </c>
      <c r="L4900" s="28" t="s">
        <v>11</v>
      </c>
      <c r="M4900" s="14"/>
      <c r="N4900" s="10" t="s">
        <v>1028</v>
      </c>
    </row>
    <row r="4901" spans="1:14" ht="22.5" customHeight="1">
      <c r="A4901" s="8">
        <v>46027.631814699074</v>
      </c>
      <c r="B4901" s="9" t="s">
        <v>14</v>
      </c>
      <c r="C4901" s="9" t="s">
        <v>15</v>
      </c>
      <c r="D4901" s="10" t="s">
        <v>10687</v>
      </c>
      <c r="E4901" s="9" t="s">
        <v>22</v>
      </c>
      <c r="F4901" s="10">
        <v>23</v>
      </c>
      <c r="G4901" s="11">
        <v>9033929740</v>
      </c>
      <c r="H4901" s="10" t="s">
        <v>10688</v>
      </c>
      <c r="I4901" s="10" t="s">
        <v>19</v>
      </c>
      <c r="J4901" s="10" t="s">
        <v>4222</v>
      </c>
      <c r="K4901" s="12">
        <v>46027</v>
      </c>
      <c r="L4901" s="28" t="s">
        <v>11</v>
      </c>
      <c r="M4901" s="14"/>
      <c r="N4901" s="10" t="s">
        <v>1028</v>
      </c>
    </row>
    <row r="4902" spans="1:14" ht="22.5" customHeight="1">
      <c r="A4902" s="8">
        <v>46027.633080613421</v>
      </c>
      <c r="B4902" s="9" t="s">
        <v>14</v>
      </c>
      <c r="C4902" s="9" t="s">
        <v>15</v>
      </c>
      <c r="D4902" s="10" t="s">
        <v>10689</v>
      </c>
      <c r="E4902" s="9" t="s">
        <v>17</v>
      </c>
      <c r="F4902" s="10">
        <v>27</v>
      </c>
      <c r="G4902" s="11">
        <v>8136967838</v>
      </c>
      <c r="H4902" s="10" t="s">
        <v>10690</v>
      </c>
      <c r="I4902" s="10" t="s">
        <v>202</v>
      </c>
      <c r="J4902" s="10" t="s">
        <v>10691</v>
      </c>
      <c r="K4902" s="12">
        <v>46027</v>
      </c>
      <c r="L4902" s="28" t="s">
        <v>11</v>
      </c>
      <c r="M4902" s="14"/>
      <c r="N4902" s="10" t="s">
        <v>1096</v>
      </c>
    </row>
    <row r="4903" spans="1:14" ht="22.5" customHeight="1">
      <c r="A4903" s="8">
        <v>46027.634661874996</v>
      </c>
      <c r="B4903" s="9" t="s">
        <v>14</v>
      </c>
      <c r="C4903" s="9" t="s">
        <v>15</v>
      </c>
      <c r="D4903" s="10" t="s">
        <v>10692</v>
      </c>
      <c r="E4903" s="9" t="s">
        <v>22</v>
      </c>
      <c r="F4903" s="10">
        <v>30</v>
      </c>
      <c r="G4903" s="11">
        <v>8035744912</v>
      </c>
      <c r="H4903" s="10" t="s">
        <v>10693</v>
      </c>
      <c r="I4903" s="10" t="s">
        <v>45</v>
      </c>
      <c r="J4903" s="10" t="s">
        <v>10694</v>
      </c>
      <c r="K4903" s="12">
        <v>46027</v>
      </c>
      <c r="L4903" s="28" t="s">
        <v>11</v>
      </c>
      <c r="M4903" s="14"/>
      <c r="N4903" s="10" t="s">
        <v>1028</v>
      </c>
    </row>
    <row r="4904" spans="1:14" ht="22.5" customHeight="1">
      <c r="A4904" s="8">
        <v>46027.640224085648</v>
      </c>
      <c r="B4904" s="9" t="s">
        <v>14</v>
      </c>
      <c r="C4904" s="9" t="s">
        <v>15</v>
      </c>
      <c r="D4904" s="10" t="s">
        <v>10695</v>
      </c>
      <c r="E4904" s="9" t="s">
        <v>17</v>
      </c>
      <c r="F4904" s="10">
        <v>29</v>
      </c>
      <c r="G4904" s="11">
        <v>8144068689</v>
      </c>
      <c r="H4904" s="10" t="s">
        <v>10696</v>
      </c>
      <c r="I4904" s="10" t="s">
        <v>45</v>
      </c>
      <c r="J4904" s="10" t="s">
        <v>3376</v>
      </c>
      <c r="K4904" s="12">
        <v>46027</v>
      </c>
      <c r="L4904" s="28" t="s">
        <v>11</v>
      </c>
      <c r="M4904" s="14"/>
      <c r="N4904" s="10" t="s">
        <v>1028</v>
      </c>
    </row>
    <row r="4905" spans="1:14" ht="22.5" customHeight="1">
      <c r="A4905" s="8">
        <v>46027.640388263884</v>
      </c>
      <c r="B4905" s="9" t="s">
        <v>14</v>
      </c>
      <c r="C4905" s="9" t="s">
        <v>15</v>
      </c>
      <c r="D4905" s="10" t="s">
        <v>8288</v>
      </c>
      <c r="E4905" s="9" t="s">
        <v>17</v>
      </c>
      <c r="F4905" s="10">
        <v>21</v>
      </c>
      <c r="G4905" s="11">
        <v>9076491219</v>
      </c>
      <c r="H4905" s="10" t="s">
        <v>10697</v>
      </c>
      <c r="I4905" s="10" t="s">
        <v>49</v>
      </c>
      <c r="J4905" s="10" t="s">
        <v>5056</v>
      </c>
      <c r="K4905" s="12">
        <v>46027</v>
      </c>
      <c r="L4905" s="28" t="s">
        <v>11</v>
      </c>
      <c r="M4905" s="14"/>
      <c r="N4905" s="10" t="s">
        <v>1028</v>
      </c>
    </row>
    <row r="4906" spans="1:14" ht="22.5" customHeight="1">
      <c r="A4906" s="8">
        <v>46027.640909652779</v>
      </c>
      <c r="B4906" s="9" t="s">
        <v>14</v>
      </c>
      <c r="C4906" s="9" t="s">
        <v>15</v>
      </c>
      <c r="D4906" s="10" t="s">
        <v>10698</v>
      </c>
      <c r="E4906" s="9" t="s">
        <v>22</v>
      </c>
      <c r="F4906" s="10">
        <v>26</v>
      </c>
      <c r="G4906" s="11">
        <v>7083327416</v>
      </c>
      <c r="H4906" s="10" t="s">
        <v>10699</v>
      </c>
      <c r="I4906" s="10" t="s">
        <v>45</v>
      </c>
      <c r="J4906" s="10" t="s">
        <v>521</v>
      </c>
      <c r="K4906" s="12">
        <v>46027</v>
      </c>
      <c r="L4906" s="28" t="s">
        <v>11</v>
      </c>
      <c r="M4906" s="14"/>
      <c r="N4906" s="10" t="s">
        <v>1096</v>
      </c>
    </row>
    <row r="4907" spans="1:14" ht="22.5" customHeight="1">
      <c r="A4907" s="8">
        <v>46027.65090168982</v>
      </c>
      <c r="B4907" s="9" t="s">
        <v>14</v>
      </c>
      <c r="C4907" s="9" t="s">
        <v>15</v>
      </c>
      <c r="D4907" s="10" t="s">
        <v>10700</v>
      </c>
      <c r="E4907" s="9" t="s">
        <v>22</v>
      </c>
      <c r="F4907" s="10">
        <v>30</v>
      </c>
      <c r="G4907" s="11">
        <v>8117750650</v>
      </c>
      <c r="H4907" s="10" t="s">
        <v>10701</v>
      </c>
      <c r="I4907" s="10" t="s">
        <v>45</v>
      </c>
      <c r="J4907" s="10" t="s">
        <v>10694</v>
      </c>
      <c r="K4907" s="12">
        <v>46027</v>
      </c>
      <c r="L4907" s="28" t="s">
        <v>11</v>
      </c>
      <c r="M4907" s="14"/>
      <c r="N4907" s="10" t="s">
        <v>1028</v>
      </c>
    </row>
    <row r="4908" spans="1:14" ht="22.5" customHeight="1">
      <c r="A4908" s="8">
        <v>46027.654560659721</v>
      </c>
      <c r="B4908" s="9" t="s">
        <v>14</v>
      </c>
      <c r="C4908" s="9" t="s">
        <v>15</v>
      </c>
      <c r="D4908" s="10" t="s">
        <v>10702</v>
      </c>
      <c r="E4908" s="9" t="s">
        <v>22</v>
      </c>
      <c r="F4908" s="10">
        <v>24</v>
      </c>
      <c r="G4908" s="11">
        <f>2520617923440</f>
        <v>2520617923440</v>
      </c>
      <c r="H4908" s="10" t="s">
        <v>10703</v>
      </c>
      <c r="I4908" s="10" t="s">
        <v>19</v>
      </c>
      <c r="J4908" s="10" t="s">
        <v>10704</v>
      </c>
      <c r="K4908" s="12">
        <v>46027</v>
      </c>
      <c r="L4908" s="28" t="s">
        <v>11</v>
      </c>
      <c r="M4908" s="14"/>
      <c r="N4908" s="10" t="s">
        <v>1028</v>
      </c>
    </row>
    <row r="4909" spans="1:14" ht="22.5" customHeight="1">
      <c r="A4909" s="8">
        <v>46027.654792291665</v>
      </c>
      <c r="B4909" s="9" t="s">
        <v>14</v>
      </c>
      <c r="C4909" s="9" t="s">
        <v>15</v>
      </c>
      <c r="D4909" s="10" t="s">
        <v>10705</v>
      </c>
      <c r="E4909" s="9" t="s">
        <v>22</v>
      </c>
      <c r="F4909" s="10">
        <v>28</v>
      </c>
      <c r="G4909" s="11">
        <v>7040698366</v>
      </c>
      <c r="H4909" s="10" t="s">
        <v>10706</v>
      </c>
      <c r="I4909" s="10" t="s">
        <v>145</v>
      </c>
      <c r="J4909" s="10" t="s">
        <v>3584</v>
      </c>
      <c r="K4909" s="12">
        <v>46027</v>
      </c>
      <c r="L4909" s="28" t="s">
        <v>11</v>
      </c>
      <c r="M4909" s="14"/>
      <c r="N4909" s="10" t="s">
        <v>1028</v>
      </c>
    </row>
    <row r="4910" spans="1:14" ht="22.5" customHeight="1">
      <c r="A4910" s="8">
        <v>46027.654989953706</v>
      </c>
      <c r="B4910" s="9" t="s">
        <v>14</v>
      </c>
      <c r="C4910" s="9" t="s">
        <v>15</v>
      </c>
      <c r="D4910" s="10" t="s">
        <v>10707</v>
      </c>
      <c r="E4910" s="9" t="s">
        <v>22</v>
      </c>
      <c r="F4910" s="10">
        <v>21</v>
      </c>
      <c r="G4910" s="11">
        <v>9065901381</v>
      </c>
      <c r="H4910" s="10" t="s">
        <v>10708</v>
      </c>
      <c r="I4910" s="10" t="s">
        <v>27</v>
      </c>
      <c r="J4910" s="10" t="s">
        <v>10709</v>
      </c>
      <c r="K4910" s="12">
        <v>46027</v>
      </c>
      <c r="L4910" s="28" t="s">
        <v>11</v>
      </c>
      <c r="M4910" s="14"/>
      <c r="N4910" s="10" t="s">
        <v>1028</v>
      </c>
    </row>
    <row r="4911" spans="1:14" ht="22.5" hidden="1" customHeight="1">
      <c r="A4911" s="8">
        <v>46027.655825243055</v>
      </c>
      <c r="B4911" s="9" t="s">
        <v>14</v>
      </c>
      <c r="C4911" s="9" t="s">
        <v>15</v>
      </c>
      <c r="D4911" s="10" t="s">
        <v>2510</v>
      </c>
      <c r="E4911" s="9" t="s">
        <v>17</v>
      </c>
      <c r="F4911" s="10">
        <v>23</v>
      </c>
      <c r="G4911" s="11">
        <v>9066123104</v>
      </c>
      <c r="H4911" s="10" t="s">
        <v>2511</v>
      </c>
      <c r="I4911" s="10" t="s">
        <v>27</v>
      </c>
      <c r="J4911" s="10" t="s">
        <v>10710</v>
      </c>
      <c r="K4911" s="12">
        <v>46027</v>
      </c>
      <c r="L4911" s="10" t="s">
        <v>441</v>
      </c>
      <c r="M4911" s="10" t="s">
        <v>1356</v>
      </c>
      <c r="N4911" s="10" t="s">
        <v>1028</v>
      </c>
    </row>
    <row r="4912" spans="1:14" ht="22.5" customHeight="1">
      <c r="A4912" s="8">
        <v>46027.668980104165</v>
      </c>
      <c r="B4912" s="9" t="s">
        <v>14</v>
      </c>
      <c r="C4912" s="9" t="s">
        <v>15</v>
      </c>
      <c r="D4912" s="10" t="s">
        <v>10711</v>
      </c>
      <c r="E4912" s="9" t="s">
        <v>17</v>
      </c>
      <c r="F4912" s="10">
        <v>24</v>
      </c>
      <c r="G4912" s="11">
        <v>7030794756</v>
      </c>
      <c r="H4912" s="10" t="s">
        <v>10712</v>
      </c>
      <c r="I4912" s="10" t="s">
        <v>19</v>
      </c>
      <c r="J4912" s="10" t="s">
        <v>5064</v>
      </c>
      <c r="K4912" s="12">
        <v>46027</v>
      </c>
      <c r="L4912" s="28" t="s">
        <v>11</v>
      </c>
      <c r="M4912" s="14"/>
      <c r="N4912" s="10" t="s">
        <v>1028</v>
      </c>
    </row>
    <row r="4913" spans="1:14" ht="22.5" customHeight="1">
      <c r="A4913" s="8">
        <v>46027.690704513894</v>
      </c>
      <c r="B4913" s="9" t="s">
        <v>14</v>
      </c>
      <c r="C4913" s="9" t="s">
        <v>15</v>
      </c>
      <c r="D4913" s="10" t="s">
        <v>10713</v>
      </c>
      <c r="E4913" s="9" t="s">
        <v>17</v>
      </c>
      <c r="F4913" s="10">
        <v>45</v>
      </c>
      <c r="G4913" s="11">
        <v>8033849730</v>
      </c>
      <c r="H4913" s="10" t="s">
        <v>10714</v>
      </c>
      <c r="I4913" s="10" t="s">
        <v>19</v>
      </c>
      <c r="J4913" s="10" t="s">
        <v>166</v>
      </c>
      <c r="K4913" s="12">
        <v>46027</v>
      </c>
      <c r="L4913" s="28" t="s">
        <v>11</v>
      </c>
      <c r="M4913" s="14"/>
      <c r="N4913" s="10" t="s">
        <v>1096</v>
      </c>
    </row>
    <row r="4914" spans="1:14" ht="22.5" customHeight="1">
      <c r="A4914" s="8">
        <v>46027.694732696764</v>
      </c>
      <c r="B4914" s="9" t="s">
        <v>14</v>
      </c>
      <c r="C4914" s="9" t="s">
        <v>15</v>
      </c>
      <c r="D4914" s="10" t="s">
        <v>10715</v>
      </c>
      <c r="E4914" s="9" t="s">
        <v>17</v>
      </c>
      <c r="F4914" s="10">
        <v>17</v>
      </c>
      <c r="G4914" s="11">
        <v>9130805079</v>
      </c>
      <c r="H4914" s="10" t="s">
        <v>10716</v>
      </c>
      <c r="I4914" s="10" t="s">
        <v>145</v>
      </c>
      <c r="J4914" s="10" t="s">
        <v>530</v>
      </c>
      <c r="K4914" s="12">
        <v>46027</v>
      </c>
      <c r="L4914" s="28" t="s">
        <v>11</v>
      </c>
      <c r="M4914" s="14"/>
      <c r="N4914" s="10" t="s">
        <v>1028</v>
      </c>
    </row>
    <row r="4915" spans="1:14" ht="22.5" customHeight="1">
      <c r="A4915" s="8">
        <v>46027.699224872689</v>
      </c>
      <c r="B4915" s="9" t="s">
        <v>14</v>
      </c>
      <c r="C4915" s="9" t="s">
        <v>15</v>
      </c>
      <c r="D4915" s="10" t="s">
        <v>10717</v>
      </c>
      <c r="E4915" s="9" t="s">
        <v>17</v>
      </c>
      <c r="F4915" s="10">
        <v>26</v>
      </c>
      <c r="G4915" s="11">
        <v>8083648068</v>
      </c>
      <c r="H4915" s="10" t="s">
        <v>10718</v>
      </c>
      <c r="I4915" s="10" t="s">
        <v>45</v>
      </c>
      <c r="J4915" s="10" t="s">
        <v>509</v>
      </c>
      <c r="K4915" s="12">
        <v>46027</v>
      </c>
      <c r="L4915" s="28" t="s">
        <v>11</v>
      </c>
      <c r="M4915" s="14"/>
      <c r="N4915" s="10" t="s">
        <v>1028</v>
      </c>
    </row>
    <row r="4916" spans="1:14" ht="22.5" customHeight="1">
      <c r="A4916" s="8">
        <v>46027.70447055556</v>
      </c>
      <c r="B4916" s="9" t="s">
        <v>14</v>
      </c>
      <c r="C4916" s="9" t="s">
        <v>15</v>
      </c>
      <c r="D4916" s="10" t="s">
        <v>10719</v>
      </c>
      <c r="E4916" s="9" t="s">
        <v>22</v>
      </c>
      <c r="F4916" s="10">
        <v>28</v>
      </c>
      <c r="G4916" s="11">
        <v>7060783504</v>
      </c>
      <c r="H4916" s="10" t="s">
        <v>10720</v>
      </c>
      <c r="I4916" s="10" t="s">
        <v>19</v>
      </c>
      <c r="J4916" s="10" t="s">
        <v>1664</v>
      </c>
      <c r="K4916" s="12">
        <v>46027</v>
      </c>
      <c r="L4916" s="28" t="s">
        <v>11</v>
      </c>
      <c r="M4916" s="14"/>
      <c r="N4916" s="10" t="s">
        <v>1028</v>
      </c>
    </row>
    <row r="4917" spans="1:14" ht="22.5" customHeight="1">
      <c r="A4917" s="8">
        <v>46027.731880590276</v>
      </c>
      <c r="B4917" s="9" t="s">
        <v>14</v>
      </c>
      <c r="C4917" s="9" t="s">
        <v>15</v>
      </c>
      <c r="D4917" s="10" t="s">
        <v>10721</v>
      </c>
      <c r="E4917" s="9" t="s">
        <v>22</v>
      </c>
      <c r="F4917" s="10">
        <v>31</v>
      </c>
      <c r="G4917" s="11">
        <v>8069151712</v>
      </c>
      <c r="H4917" s="10" t="s">
        <v>10722</v>
      </c>
      <c r="I4917" s="10" t="s">
        <v>31</v>
      </c>
      <c r="J4917" s="10" t="s">
        <v>32</v>
      </c>
      <c r="K4917" s="12">
        <v>46027</v>
      </c>
      <c r="L4917" s="28" t="s">
        <v>11</v>
      </c>
      <c r="M4917" s="14"/>
      <c r="N4917" s="10" t="s">
        <v>1028</v>
      </c>
    </row>
    <row r="4918" spans="1:14" ht="22.5" customHeight="1">
      <c r="A4918" s="8">
        <v>46027.742737037042</v>
      </c>
      <c r="B4918" s="9" t="s">
        <v>14</v>
      </c>
      <c r="C4918" s="9" t="s">
        <v>15</v>
      </c>
      <c r="D4918" s="10" t="s">
        <v>10723</v>
      </c>
      <c r="E4918" s="9" t="s">
        <v>17</v>
      </c>
      <c r="F4918" s="10">
        <v>28</v>
      </c>
      <c r="G4918" s="11">
        <v>9045118236</v>
      </c>
      <c r="H4918" s="10" t="s">
        <v>10724</v>
      </c>
      <c r="I4918" s="10" t="s">
        <v>31</v>
      </c>
      <c r="J4918" s="10" t="s">
        <v>10725</v>
      </c>
      <c r="K4918" s="12">
        <v>35662</v>
      </c>
      <c r="L4918" s="28" t="s">
        <v>11</v>
      </c>
      <c r="M4918" s="14"/>
      <c r="N4918" s="10" t="s">
        <v>1028</v>
      </c>
    </row>
    <row r="4919" spans="1:14" ht="22.5" customHeight="1">
      <c r="A4919" s="8">
        <v>46027.749880671297</v>
      </c>
      <c r="B4919" s="9" t="s">
        <v>14</v>
      </c>
      <c r="C4919" s="9" t="s">
        <v>15</v>
      </c>
      <c r="D4919" s="10" t="s">
        <v>10726</v>
      </c>
      <c r="E4919" s="9" t="s">
        <v>22</v>
      </c>
      <c r="F4919" s="19">
        <v>20</v>
      </c>
      <c r="G4919" s="11">
        <v>9124741135</v>
      </c>
      <c r="H4919" s="10" t="s">
        <v>10727</v>
      </c>
      <c r="I4919" s="10" t="s">
        <v>145</v>
      </c>
      <c r="J4919" s="10" t="s">
        <v>530</v>
      </c>
      <c r="K4919" s="12">
        <v>46027</v>
      </c>
      <c r="L4919" s="28" t="s">
        <v>11</v>
      </c>
      <c r="M4919" s="14"/>
      <c r="N4919" s="10" t="s">
        <v>1028</v>
      </c>
    </row>
    <row r="4920" spans="1:14" ht="22.5" customHeight="1">
      <c r="A4920" s="8">
        <v>46027.771349189818</v>
      </c>
      <c r="B4920" s="9" t="s">
        <v>14</v>
      </c>
      <c r="C4920" s="9" t="s">
        <v>15</v>
      </c>
      <c r="D4920" s="10" t="s">
        <v>10728</v>
      </c>
      <c r="E4920" s="9" t="s">
        <v>22</v>
      </c>
      <c r="F4920" s="10">
        <v>23</v>
      </c>
      <c r="G4920" s="11">
        <v>8137604747</v>
      </c>
      <c r="H4920" s="10" t="s">
        <v>10729</v>
      </c>
      <c r="I4920" s="10" t="s">
        <v>27</v>
      </c>
      <c r="J4920" s="10" t="s">
        <v>172</v>
      </c>
      <c r="K4920" s="12">
        <v>46027</v>
      </c>
      <c r="L4920" s="28" t="s">
        <v>11</v>
      </c>
      <c r="M4920" s="14"/>
      <c r="N4920" s="10" t="s">
        <v>1028</v>
      </c>
    </row>
    <row r="4921" spans="1:14" ht="22.5" customHeight="1">
      <c r="A4921" s="8">
        <v>46027.7751909375</v>
      </c>
      <c r="B4921" s="9" t="s">
        <v>14</v>
      </c>
      <c r="C4921" s="9" t="s">
        <v>15</v>
      </c>
      <c r="D4921" s="10" t="s">
        <v>10730</v>
      </c>
      <c r="E4921" s="9" t="s">
        <v>17</v>
      </c>
      <c r="F4921" s="10">
        <v>35</v>
      </c>
      <c r="G4921" s="11">
        <v>8131146877</v>
      </c>
      <c r="H4921" s="10" t="s">
        <v>10731</v>
      </c>
      <c r="I4921" s="10" t="s">
        <v>27</v>
      </c>
      <c r="J4921" s="10" t="s">
        <v>1559</v>
      </c>
      <c r="K4921" s="12">
        <v>46027</v>
      </c>
      <c r="L4921" s="28" t="s">
        <v>11</v>
      </c>
      <c r="M4921" s="14"/>
      <c r="N4921" s="10" t="s">
        <v>1028</v>
      </c>
    </row>
    <row r="4922" spans="1:14" ht="22.5" customHeight="1">
      <c r="A4922" s="8">
        <v>46027.782673402777</v>
      </c>
      <c r="B4922" s="9" t="s">
        <v>14</v>
      </c>
      <c r="C4922" s="9" t="s">
        <v>15</v>
      </c>
      <c r="D4922" s="10" t="s">
        <v>10732</v>
      </c>
      <c r="E4922" s="9" t="s">
        <v>17</v>
      </c>
      <c r="F4922" s="10">
        <v>36</v>
      </c>
      <c r="G4922" s="11">
        <v>8133577465</v>
      </c>
      <c r="H4922" s="10" t="s">
        <v>10733</v>
      </c>
      <c r="I4922" s="10" t="s">
        <v>27</v>
      </c>
      <c r="J4922" s="10" t="s">
        <v>3668</v>
      </c>
      <c r="K4922" s="12">
        <v>46027</v>
      </c>
      <c r="L4922" s="28" t="s">
        <v>11</v>
      </c>
      <c r="M4922" s="14"/>
      <c r="N4922" s="10" t="s">
        <v>1028</v>
      </c>
    </row>
    <row r="4923" spans="1:14" ht="22.5" customHeight="1">
      <c r="A4923" s="8">
        <v>46027.783616574074</v>
      </c>
      <c r="B4923" s="9" t="s">
        <v>14</v>
      </c>
      <c r="C4923" s="9" t="s">
        <v>15</v>
      </c>
      <c r="D4923" s="10" t="s">
        <v>10734</v>
      </c>
      <c r="E4923" s="9" t="s">
        <v>17</v>
      </c>
      <c r="F4923" s="10">
        <v>35</v>
      </c>
      <c r="G4923" s="11">
        <v>8034876008</v>
      </c>
      <c r="H4923" s="10" t="s">
        <v>10735</v>
      </c>
      <c r="I4923" s="10" t="s">
        <v>27</v>
      </c>
      <c r="J4923" s="10" t="s">
        <v>3797</v>
      </c>
      <c r="K4923" s="12">
        <v>46027</v>
      </c>
      <c r="L4923" s="28" t="s">
        <v>11</v>
      </c>
      <c r="M4923" s="14"/>
      <c r="N4923" s="10" t="s">
        <v>1028</v>
      </c>
    </row>
    <row r="4924" spans="1:14" ht="22.5" customHeight="1">
      <c r="A4924" s="8">
        <v>46027.786379270838</v>
      </c>
      <c r="B4924" s="9" t="s">
        <v>14</v>
      </c>
      <c r="C4924" s="9" t="s">
        <v>15</v>
      </c>
      <c r="D4924" s="10" t="s">
        <v>10736</v>
      </c>
      <c r="E4924" s="9" t="s">
        <v>17</v>
      </c>
      <c r="F4924" s="10">
        <v>30</v>
      </c>
      <c r="G4924" s="11">
        <v>9028520396</v>
      </c>
      <c r="H4924" s="10" t="s">
        <v>10737</v>
      </c>
      <c r="I4924" s="10" t="s">
        <v>45</v>
      </c>
      <c r="J4924" s="10" t="s">
        <v>84</v>
      </c>
      <c r="K4924" s="12">
        <v>46027</v>
      </c>
      <c r="L4924" s="28" t="s">
        <v>11</v>
      </c>
      <c r="M4924" s="14"/>
      <c r="N4924" s="10" t="s">
        <v>1028</v>
      </c>
    </row>
    <row r="4925" spans="1:14" ht="22.5" customHeight="1">
      <c r="A4925" s="8">
        <v>46027.824835312502</v>
      </c>
      <c r="B4925" s="9" t="s">
        <v>14</v>
      </c>
      <c r="C4925" s="9" t="s">
        <v>15</v>
      </c>
      <c r="D4925" s="10" t="s">
        <v>10738</v>
      </c>
      <c r="E4925" s="9" t="s">
        <v>22</v>
      </c>
      <c r="F4925" s="10">
        <v>24</v>
      </c>
      <c r="G4925" s="11">
        <v>7062345786</v>
      </c>
      <c r="H4925" s="10" t="s">
        <v>10739</v>
      </c>
      <c r="I4925" s="10" t="s">
        <v>45</v>
      </c>
      <c r="J4925" s="10" t="s">
        <v>6766</v>
      </c>
      <c r="K4925" s="12">
        <v>46027</v>
      </c>
      <c r="L4925" s="28" t="s">
        <v>11</v>
      </c>
      <c r="M4925" s="14"/>
      <c r="N4925" s="10" t="s">
        <v>10740</v>
      </c>
    </row>
    <row r="4926" spans="1:14" ht="22.5" customHeight="1">
      <c r="A4926" s="8">
        <v>46027.82879201389</v>
      </c>
      <c r="B4926" s="9" t="s">
        <v>14</v>
      </c>
      <c r="C4926" s="9" t="s">
        <v>15</v>
      </c>
      <c r="D4926" s="10" t="s">
        <v>10741</v>
      </c>
      <c r="E4926" s="9" t="s">
        <v>22</v>
      </c>
      <c r="F4926" s="10">
        <v>35</v>
      </c>
      <c r="G4926" s="11">
        <v>8166142997</v>
      </c>
      <c r="H4926" s="10" t="s">
        <v>10742</v>
      </c>
      <c r="I4926" s="10" t="s">
        <v>202</v>
      </c>
      <c r="J4926" s="10" t="s">
        <v>10743</v>
      </c>
      <c r="K4926" s="12">
        <v>46027</v>
      </c>
      <c r="L4926" s="28" t="s">
        <v>11</v>
      </c>
      <c r="M4926" s="14"/>
      <c r="N4926" s="10" t="s">
        <v>1028</v>
      </c>
    </row>
    <row r="4927" spans="1:14" ht="22.5" hidden="1" customHeight="1">
      <c r="A4927" s="8">
        <v>46027.851857835645</v>
      </c>
      <c r="B4927" s="9" t="s">
        <v>14</v>
      </c>
      <c r="C4927" s="9" t="s">
        <v>15</v>
      </c>
      <c r="D4927" s="10" t="s">
        <v>10744</v>
      </c>
      <c r="E4927" s="9" t="s">
        <v>17</v>
      </c>
      <c r="F4927" s="10">
        <v>23</v>
      </c>
      <c r="G4927" s="11">
        <v>7045148881</v>
      </c>
      <c r="H4927" s="10" t="s">
        <v>10745</v>
      </c>
      <c r="I4927" s="10" t="s">
        <v>19</v>
      </c>
      <c r="J4927" s="10" t="s">
        <v>10746</v>
      </c>
      <c r="K4927" s="12">
        <v>46027</v>
      </c>
      <c r="L4927" s="10" t="s">
        <v>441</v>
      </c>
      <c r="M4927" s="14"/>
      <c r="N4927" s="10" t="s">
        <v>1028</v>
      </c>
    </row>
    <row r="4928" spans="1:14" ht="22.5" customHeight="1">
      <c r="A4928" s="8">
        <v>46027.869060347221</v>
      </c>
      <c r="B4928" s="9" t="s">
        <v>14</v>
      </c>
      <c r="C4928" s="9" t="s">
        <v>15</v>
      </c>
      <c r="D4928" s="10" t="s">
        <v>10747</v>
      </c>
      <c r="E4928" s="9" t="s">
        <v>17</v>
      </c>
      <c r="F4928" s="10">
        <v>26</v>
      </c>
      <c r="G4928" s="11">
        <f>2348104886302</f>
        <v>2348104886302</v>
      </c>
      <c r="H4928" s="10" t="s">
        <v>10748</v>
      </c>
      <c r="I4928" s="10" t="s">
        <v>27</v>
      </c>
      <c r="J4928" s="10" t="s">
        <v>1907</v>
      </c>
      <c r="K4928" s="12">
        <v>46027</v>
      </c>
      <c r="L4928" s="28" t="s">
        <v>11</v>
      </c>
      <c r="M4928" s="14"/>
      <c r="N4928" s="10" t="s">
        <v>1028</v>
      </c>
    </row>
    <row r="4929" spans="1:14" ht="22.5" customHeight="1">
      <c r="A4929" s="8">
        <v>46027.883069768519</v>
      </c>
      <c r="B4929" s="9" t="s">
        <v>14</v>
      </c>
      <c r="C4929" s="9" t="s">
        <v>15</v>
      </c>
      <c r="D4929" s="10" t="s">
        <v>10749</v>
      </c>
      <c r="E4929" s="9" t="s">
        <v>17</v>
      </c>
      <c r="F4929" s="10">
        <v>34</v>
      </c>
      <c r="G4929" s="11">
        <v>8176304630</v>
      </c>
      <c r="H4929" s="10" t="s">
        <v>10750</v>
      </c>
      <c r="I4929" s="10" t="s">
        <v>49</v>
      </c>
      <c r="J4929" s="10" t="s">
        <v>50</v>
      </c>
      <c r="K4929" s="12">
        <v>46027</v>
      </c>
      <c r="L4929" s="28" t="s">
        <v>11</v>
      </c>
      <c r="M4929" s="14"/>
      <c r="N4929" s="10" t="s">
        <v>1028</v>
      </c>
    </row>
    <row r="4930" spans="1:14" ht="22.5" customHeight="1">
      <c r="A4930" s="8">
        <v>46027.885875127315</v>
      </c>
      <c r="B4930" s="9" t="s">
        <v>14</v>
      </c>
      <c r="C4930" s="9" t="s">
        <v>15</v>
      </c>
      <c r="D4930" s="10" t="s">
        <v>10751</v>
      </c>
      <c r="E4930" s="9" t="s">
        <v>22</v>
      </c>
      <c r="F4930" s="10">
        <v>36</v>
      </c>
      <c r="G4930" s="11">
        <v>7056380192</v>
      </c>
      <c r="H4930" s="10" t="s">
        <v>10752</v>
      </c>
      <c r="I4930" s="10" t="s">
        <v>45</v>
      </c>
      <c r="J4930" s="10" t="s">
        <v>5955</v>
      </c>
      <c r="K4930" s="12">
        <v>46027</v>
      </c>
      <c r="L4930" s="28" t="s">
        <v>11</v>
      </c>
      <c r="M4930" s="14"/>
      <c r="N4930" s="10" t="s">
        <v>1028</v>
      </c>
    </row>
    <row r="4931" spans="1:14" ht="22.5" customHeight="1">
      <c r="A4931" s="8">
        <v>46027.887758715282</v>
      </c>
      <c r="B4931" s="9" t="s">
        <v>14</v>
      </c>
      <c r="C4931" s="9" t="s">
        <v>15</v>
      </c>
      <c r="D4931" s="10" t="s">
        <v>10753</v>
      </c>
      <c r="E4931" s="9" t="s">
        <v>17</v>
      </c>
      <c r="F4931" s="18">
        <v>33</v>
      </c>
      <c r="G4931" s="11">
        <v>8030678060</v>
      </c>
      <c r="H4931" s="10" t="s">
        <v>10754</v>
      </c>
      <c r="I4931" s="10" t="s">
        <v>19</v>
      </c>
      <c r="J4931" s="10" t="s">
        <v>3369</v>
      </c>
      <c r="K4931" s="12">
        <v>46027</v>
      </c>
      <c r="L4931" s="28" t="s">
        <v>11</v>
      </c>
      <c r="M4931" s="14"/>
      <c r="N4931" s="10" t="s">
        <v>1028</v>
      </c>
    </row>
    <row r="4932" spans="1:14" ht="22.5" customHeight="1">
      <c r="A4932" s="8">
        <v>46027.890234016202</v>
      </c>
      <c r="B4932" s="9" t="s">
        <v>14</v>
      </c>
      <c r="C4932" s="9" t="s">
        <v>15</v>
      </c>
      <c r="D4932" s="10" t="s">
        <v>10755</v>
      </c>
      <c r="E4932" s="9" t="s">
        <v>17</v>
      </c>
      <c r="F4932" s="10">
        <v>29</v>
      </c>
      <c r="G4932" s="11">
        <v>9043833167</v>
      </c>
      <c r="H4932" s="10" t="s">
        <v>10756</v>
      </c>
      <c r="I4932" s="10" t="s">
        <v>202</v>
      </c>
      <c r="J4932" s="10" t="s">
        <v>6091</v>
      </c>
      <c r="K4932" s="12">
        <v>35650</v>
      </c>
      <c r="L4932" s="28" t="s">
        <v>11</v>
      </c>
      <c r="M4932" s="14"/>
      <c r="N4932" s="10" t="s">
        <v>1028</v>
      </c>
    </row>
    <row r="4933" spans="1:14" ht="22.5" hidden="1" customHeight="1">
      <c r="A4933" s="8">
        <v>46027.892694259259</v>
      </c>
      <c r="B4933" s="9" t="s">
        <v>14</v>
      </c>
      <c r="C4933" s="9" t="s">
        <v>15</v>
      </c>
      <c r="D4933" s="10" t="s">
        <v>10757</v>
      </c>
      <c r="E4933" s="9" t="s">
        <v>22</v>
      </c>
      <c r="F4933" s="10">
        <v>20</v>
      </c>
      <c r="G4933" s="11">
        <v>8063402187</v>
      </c>
      <c r="H4933" s="10" t="s">
        <v>10758</v>
      </c>
      <c r="I4933" s="10" t="s">
        <v>49</v>
      </c>
      <c r="J4933" s="10" t="s">
        <v>50</v>
      </c>
      <c r="K4933" s="12">
        <v>46027</v>
      </c>
      <c r="L4933" s="10" t="s">
        <v>441</v>
      </c>
      <c r="M4933" s="14"/>
      <c r="N4933" s="10" t="s">
        <v>1028</v>
      </c>
    </row>
    <row r="4934" spans="1:14" ht="22.5" customHeight="1">
      <c r="A4934" s="8">
        <v>46027.893850034721</v>
      </c>
      <c r="B4934" s="9" t="s">
        <v>14</v>
      </c>
      <c r="C4934" s="9" t="s">
        <v>15</v>
      </c>
      <c r="D4934" s="10" t="s">
        <v>10759</v>
      </c>
      <c r="E4934" s="9" t="s">
        <v>17</v>
      </c>
      <c r="F4934" s="10">
        <v>19</v>
      </c>
      <c r="G4934" s="11">
        <v>9012016988</v>
      </c>
      <c r="H4934" s="10" t="s">
        <v>10760</v>
      </c>
      <c r="I4934" s="10" t="s">
        <v>19</v>
      </c>
      <c r="J4934" s="10" t="s">
        <v>10761</v>
      </c>
      <c r="K4934" s="12">
        <v>38847</v>
      </c>
      <c r="L4934" s="28" t="s">
        <v>11</v>
      </c>
      <c r="M4934" s="14"/>
      <c r="N4934" s="10" t="s">
        <v>1028</v>
      </c>
    </row>
    <row r="4935" spans="1:14" ht="22.5" hidden="1" customHeight="1">
      <c r="A4935" s="8">
        <v>46027.90618387732</v>
      </c>
      <c r="B4935" s="9" t="s">
        <v>14</v>
      </c>
      <c r="C4935" s="9" t="s">
        <v>15</v>
      </c>
      <c r="D4935" s="10" t="s">
        <v>10762</v>
      </c>
      <c r="E4935" s="9" t="s">
        <v>17</v>
      </c>
      <c r="F4935" s="10">
        <v>31</v>
      </c>
      <c r="G4935" s="11">
        <v>8060495477</v>
      </c>
      <c r="H4935" s="10" t="s">
        <v>10763</v>
      </c>
      <c r="I4935" s="10" t="s">
        <v>27</v>
      </c>
      <c r="J4935" s="10" t="s">
        <v>1514</v>
      </c>
      <c r="K4935" s="12">
        <v>46027</v>
      </c>
      <c r="L4935" s="10" t="s">
        <v>441</v>
      </c>
      <c r="M4935" s="10" t="s">
        <v>1361</v>
      </c>
      <c r="N4935" s="10" t="s">
        <v>1028</v>
      </c>
    </row>
    <row r="4936" spans="1:14" ht="22.5" customHeight="1">
      <c r="A4936" s="8">
        <v>46027.90725556713</v>
      </c>
      <c r="B4936" s="9" t="s">
        <v>14</v>
      </c>
      <c r="C4936" s="9" t="s">
        <v>15</v>
      </c>
      <c r="D4936" s="10" t="s">
        <v>10764</v>
      </c>
      <c r="E4936" s="9" t="s">
        <v>17</v>
      </c>
      <c r="F4936" s="10">
        <v>20</v>
      </c>
      <c r="G4936" s="11">
        <v>8125262664</v>
      </c>
      <c r="H4936" s="10" t="s">
        <v>10765</v>
      </c>
      <c r="I4936" s="10" t="s">
        <v>27</v>
      </c>
      <c r="J4936" s="10" t="s">
        <v>172</v>
      </c>
      <c r="K4936" s="12">
        <v>46027</v>
      </c>
      <c r="L4936" s="28" t="s">
        <v>11</v>
      </c>
      <c r="M4936" s="14"/>
      <c r="N4936" s="10" t="s">
        <v>1028</v>
      </c>
    </row>
    <row r="4937" spans="1:14" ht="22.5" customHeight="1">
      <c r="A4937" s="8">
        <v>46027.925706828704</v>
      </c>
      <c r="B4937" s="9" t="s">
        <v>14</v>
      </c>
      <c r="C4937" s="9" t="s">
        <v>15</v>
      </c>
      <c r="D4937" s="10" t="s">
        <v>10766</v>
      </c>
      <c r="E4937" s="9" t="s">
        <v>22</v>
      </c>
      <c r="F4937" s="10">
        <v>36</v>
      </c>
      <c r="G4937" s="11">
        <v>9077116917</v>
      </c>
      <c r="H4937" s="10" t="s">
        <v>10767</v>
      </c>
      <c r="I4937" s="10" t="s">
        <v>45</v>
      </c>
      <c r="J4937" s="10" t="s">
        <v>10768</v>
      </c>
      <c r="K4937" s="12">
        <v>46027</v>
      </c>
      <c r="L4937" s="28" t="s">
        <v>11</v>
      </c>
      <c r="M4937" s="14"/>
      <c r="N4937" s="10" t="s">
        <v>1028</v>
      </c>
    </row>
    <row r="4938" spans="1:14" ht="22.5" customHeight="1">
      <c r="A4938" s="8">
        <v>46027.931455115744</v>
      </c>
      <c r="B4938" s="9" t="s">
        <v>14</v>
      </c>
      <c r="C4938" s="9" t="s">
        <v>15</v>
      </c>
      <c r="D4938" s="10" t="s">
        <v>10769</v>
      </c>
      <c r="E4938" s="9" t="s">
        <v>22</v>
      </c>
      <c r="F4938" s="10">
        <v>35</v>
      </c>
      <c r="G4938" s="11">
        <v>8166588152</v>
      </c>
      <c r="H4938" s="10" t="s">
        <v>10770</v>
      </c>
      <c r="I4938" s="10" t="s">
        <v>19</v>
      </c>
      <c r="J4938" s="10" t="s">
        <v>3495</v>
      </c>
      <c r="K4938" s="12">
        <v>46027</v>
      </c>
      <c r="L4938" s="28" t="s">
        <v>11</v>
      </c>
      <c r="M4938" s="14"/>
      <c r="N4938" s="10" t="s">
        <v>1028</v>
      </c>
    </row>
    <row r="4939" spans="1:14" ht="22.5" customHeight="1">
      <c r="A4939" s="8">
        <v>46027.95152091435</v>
      </c>
      <c r="B4939" s="9" t="s">
        <v>14</v>
      </c>
      <c r="C4939" s="9" t="s">
        <v>15</v>
      </c>
      <c r="D4939" s="10" t="s">
        <v>8478</v>
      </c>
      <c r="E4939" s="9" t="s">
        <v>17</v>
      </c>
      <c r="F4939" s="10">
        <v>34</v>
      </c>
      <c r="G4939" s="11">
        <v>8065662412</v>
      </c>
      <c r="H4939" s="10" t="s">
        <v>10771</v>
      </c>
      <c r="I4939" s="10" t="s">
        <v>19</v>
      </c>
      <c r="J4939" s="10" t="s">
        <v>6806</v>
      </c>
      <c r="K4939" s="12">
        <v>46027</v>
      </c>
      <c r="L4939" s="28" t="s">
        <v>11</v>
      </c>
      <c r="M4939" s="14"/>
      <c r="N4939" s="10" t="s">
        <v>1028</v>
      </c>
    </row>
    <row r="4940" spans="1:14" ht="22.5" customHeight="1">
      <c r="A4940" s="8">
        <v>46027.951584097224</v>
      </c>
      <c r="B4940" s="9" t="s">
        <v>14</v>
      </c>
      <c r="C4940" s="9" t="s">
        <v>15</v>
      </c>
      <c r="D4940" s="10" t="s">
        <v>10772</v>
      </c>
      <c r="E4940" s="9" t="s">
        <v>17</v>
      </c>
      <c r="F4940" s="10">
        <v>26</v>
      </c>
      <c r="G4940" s="11">
        <v>8104193591</v>
      </c>
      <c r="H4940" s="10" t="s">
        <v>10773</v>
      </c>
      <c r="I4940" s="10" t="s">
        <v>45</v>
      </c>
      <c r="J4940" s="10" t="s">
        <v>10774</v>
      </c>
      <c r="K4940" s="12">
        <v>46027</v>
      </c>
      <c r="L4940" s="28" t="s">
        <v>11</v>
      </c>
      <c r="M4940" s="14"/>
      <c r="N4940" s="10" t="s">
        <v>1096</v>
      </c>
    </row>
    <row r="4941" spans="1:14" ht="22.5" customHeight="1">
      <c r="A4941" s="8">
        <v>46027.970722719911</v>
      </c>
      <c r="B4941" s="9" t="s">
        <v>14</v>
      </c>
      <c r="C4941" s="9" t="s">
        <v>15</v>
      </c>
      <c r="D4941" s="10" t="s">
        <v>10775</v>
      </c>
      <c r="E4941" s="9" t="s">
        <v>17</v>
      </c>
      <c r="F4941" s="10">
        <v>27</v>
      </c>
      <c r="G4941" s="11">
        <v>8143104495</v>
      </c>
      <c r="H4941" s="10" t="s">
        <v>10776</v>
      </c>
      <c r="I4941" s="10" t="s">
        <v>19</v>
      </c>
      <c r="J4941" s="10" t="s">
        <v>4139</v>
      </c>
      <c r="K4941" s="12">
        <v>46027</v>
      </c>
      <c r="L4941" s="28" t="s">
        <v>11</v>
      </c>
      <c r="M4941" s="14"/>
      <c r="N4941" s="10" t="s">
        <v>1028</v>
      </c>
    </row>
    <row r="4942" spans="1:14" ht="22.5" customHeight="1">
      <c r="A4942" s="8">
        <v>46028.013704687502</v>
      </c>
      <c r="B4942" s="9" t="s">
        <v>14</v>
      </c>
      <c r="C4942" s="9" t="s">
        <v>15</v>
      </c>
      <c r="D4942" s="10" t="s">
        <v>10777</v>
      </c>
      <c r="E4942" s="9" t="s">
        <v>22</v>
      </c>
      <c r="F4942" s="10">
        <v>31</v>
      </c>
      <c r="G4942" s="11">
        <v>8134761493</v>
      </c>
      <c r="H4942" s="10" t="s">
        <v>10778</v>
      </c>
      <c r="I4942" s="10" t="s">
        <v>31</v>
      </c>
      <c r="J4942" s="10" t="s">
        <v>32</v>
      </c>
      <c r="K4942" s="12">
        <v>46028</v>
      </c>
      <c r="L4942" s="28" t="s">
        <v>11</v>
      </c>
      <c r="M4942" s="14"/>
      <c r="N4942" s="10" t="s">
        <v>1028</v>
      </c>
    </row>
    <row r="4943" spans="1:14" ht="22.5" customHeight="1">
      <c r="A4943" s="8">
        <v>46028.016814675924</v>
      </c>
      <c r="B4943" s="9" t="s">
        <v>14</v>
      </c>
      <c r="C4943" s="9" t="s">
        <v>15</v>
      </c>
      <c r="D4943" s="10" t="s">
        <v>10779</v>
      </c>
      <c r="E4943" s="9" t="s">
        <v>22</v>
      </c>
      <c r="F4943" s="10">
        <v>28</v>
      </c>
      <c r="G4943" s="11">
        <v>8160499549</v>
      </c>
      <c r="H4943" s="10" t="s">
        <v>10780</v>
      </c>
      <c r="I4943" s="10" t="s">
        <v>49</v>
      </c>
      <c r="J4943" s="10" t="s">
        <v>106</v>
      </c>
      <c r="K4943" s="12">
        <v>46028</v>
      </c>
      <c r="L4943" s="28" t="s">
        <v>11</v>
      </c>
      <c r="M4943" s="14"/>
      <c r="N4943" s="10" t="s">
        <v>1028</v>
      </c>
    </row>
    <row r="4944" spans="1:14" ht="22.5" customHeight="1">
      <c r="A4944" s="8">
        <v>46028.021632175922</v>
      </c>
      <c r="B4944" s="9" t="s">
        <v>14</v>
      </c>
      <c r="C4944" s="9" t="s">
        <v>15</v>
      </c>
      <c r="D4944" s="10" t="s">
        <v>10781</v>
      </c>
      <c r="E4944" s="9" t="s">
        <v>17</v>
      </c>
      <c r="F4944" s="10">
        <v>32</v>
      </c>
      <c r="G4944" s="11">
        <v>8139121316</v>
      </c>
      <c r="H4944" s="10" t="s">
        <v>10782</v>
      </c>
      <c r="I4944" s="10" t="s">
        <v>45</v>
      </c>
      <c r="J4944" s="10" t="s">
        <v>6766</v>
      </c>
      <c r="K4944" s="12">
        <v>46028</v>
      </c>
      <c r="L4944" s="28" t="s">
        <v>11</v>
      </c>
      <c r="M4944" s="14"/>
      <c r="N4944" s="10" t="s">
        <v>1028</v>
      </c>
    </row>
    <row r="4945" spans="1:14" ht="22.5" customHeight="1">
      <c r="A4945" s="8">
        <v>46028.157396192131</v>
      </c>
      <c r="B4945" s="9" t="s">
        <v>14</v>
      </c>
      <c r="C4945" s="9" t="s">
        <v>15</v>
      </c>
      <c r="D4945" s="10" t="s">
        <v>10783</v>
      </c>
      <c r="E4945" s="9" t="s">
        <v>17</v>
      </c>
      <c r="F4945" s="10">
        <v>27</v>
      </c>
      <c r="G4945" s="11">
        <v>8101437176</v>
      </c>
      <c r="H4945" s="10" t="s">
        <v>10784</v>
      </c>
      <c r="I4945" s="10" t="s">
        <v>49</v>
      </c>
      <c r="J4945" s="10" t="s">
        <v>10785</v>
      </c>
      <c r="K4945" s="12">
        <v>46028</v>
      </c>
      <c r="L4945" s="28" t="s">
        <v>11</v>
      </c>
      <c r="M4945" s="14"/>
      <c r="N4945" s="10" t="s">
        <v>1028</v>
      </c>
    </row>
    <row r="4946" spans="1:14" ht="22.5" customHeight="1">
      <c r="A4946" s="8">
        <v>46028.181770497686</v>
      </c>
      <c r="B4946" s="9" t="s">
        <v>14</v>
      </c>
      <c r="C4946" s="9" t="s">
        <v>15</v>
      </c>
      <c r="D4946" s="10" t="s">
        <v>10786</v>
      </c>
      <c r="E4946" s="9" t="s">
        <v>17</v>
      </c>
      <c r="F4946" s="10">
        <v>25</v>
      </c>
      <c r="G4946" s="11">
        <v>7068710019</v>
      </c>
      <c r="H4946" s="10" t="s">
        <v>10787</v>
      </c>
      <c r="I4946" s="10" t="s">
        <v>27</v>
      </c>
      <c r="J4946" s="10" t="s">
        <v>1559</v>
      </c>
      <c r="K4946" s="12">
        <v>46028</v>
      </c>
      <c r="L4946" s="28" t="s">
        <v>11</v>
      </c>
      <c r="M4946" s="14"/>
      <c r="N4946" s="10" t="s">
        <v>1028</v>
      </c>
    </row>
    <row r="4947" spans="1:14" ht="22.5" customHeight="1">
      <c r="A4947" s="8">
        <v>46028.232912997686</v>
      </c>
      <c r="B4947" s="9" t="s">
        <v>14</v>
      </c>
      <c r="C4947" s="9" t="s">
        <v>15</v>
      </c>
      <c r="D4947" s="10" t="s">
        <v>10788</v>
      </c>
      <c r="E4947" s="9" t="s">
        <v>17</v>
      </c>
      <c r="F4947" s="10">
        <v>34</v>
      </c>
      <c r="G4947" s="11">
        <v>8133421066</v>
      </c>
      <c r="H4947" s="10" t="s">
        <v>10789</v>
      </c>
      <c r="I4947" s="10" t="s">
        <v>202</v>
      </c>
      <c r="J4947" s="10" t="s">
        <v>3062</v>
      </c>
      <c r="K4947" s="12">
        <v>46028</v>
      </c>
      <c r="L4947" s="28" t="s">
        <v>11</v>
      </c>
      <c r="M4947" s="14"/>
      <c r="N4947" s="10" t="s">
        <v>1028</v>
      </c>
    </row>
    <row r="4948" spans="1:14" ht="22.5" customHeight="1">
      <c r="A4948" s="8">
        <v>46028.257185636576</v>
      </c>
      <c r="B4948" s="9" t="s">
        <v>14</v>
      </c>
      <c r="C4948" s="9" t="s">
        <v>15</v>
      </c>
      <c r="D4948" s="10" t="s">
        <v>10790</v>
      </c>
      <c r="E4948" s="9" t="s">
        <v>22</v>
      </c>
      <c r="F4948" s="10">
        <v>36</v>
      </c>
      <c r="G4948" s="11">
        <v>7063691001</v>
      </c>
      <c r="H4948" s="10" t="s">
        <v>10791</v>
      </c>
      <c r="I4948" s="10" t="s">
        <v>31</v>
      </c>
      <c r="J4948" s="10" t="s">
        <v>32</v>
      </c>
      <c r="K4948" s="12">
        <v>46028</v>
      </c>
      <c r="L4948" s="28" t="s">
        <v>11</v>
      </c>
      <c r="M4948" s="14"/>
      <c r="N4948" s="10" t="s">
        <v>1028</v>
      </c>
    </row>
    <row r="4949" spans="1:14" ht="22.5" customHeight="1">
      <c r="A4949" s="8">
        <v>46028.287302372686</v>
      </c>
      <c r="B4949" s="9" t="s">
        <v>14</v>
      </c>
      <c r="C4949" s="9" t="s">
        <v>15</v>
      </c>
      <c r="D4949" s="10" t="s">
        <v>10792</v>
      </c>
      <c r="E4949" s="9" t="s">
        <v>17</v>
      </c>
      <c r="F4949" s="10">
        <v>30</v>
      </c>
      <c r="G4949" s="11">
        <v>8082337667</v>
      </c>
      <c r="H4949" s="10" t="s">
        <v>10793</v>
      </c>
      <c r="I4949" s="10" t="s">
        <v>19</v>
      </c>
      <c r="J4949" s="10" t="s">
        <v>7492</v>
      </c>
      <c r="K4949" s="12">
        <v>46028</v>
      </c>
      <c r="L4949" s="28" t="s">
        <v>11</v>
      </c>
      <c r="M4949" s="14"/>
      <c r="N4949" s="10" t="s">
        <v>1028</v>
      </c>
    </row>
    <row r="4950" spans="1:14" ht="22.5" customHeight="1">
      <c r="A4950" s="8">
        <v>46028.293784537032</v>
      </c>
      <c r="B4950" s="9" t="s">
        <v>14</v>
      </c>
      <c r="C4950" s="9" t="s">
        <v>15</v>
      </c>
      <c r="D4950" s="10" t="s">
        <v>10794</v>
      </c>
      <c r="E4950" s="9" t="s">
        <v>17</v>
      </c>
      <c r="F4950" s="10">
        <v>29</v>
      </c>
      <c r="G4950" s="11">
        <f>2349151734342</f>
        <v>2349151734342</v>
      </c>
      <c r="H4950" s="10" t="s">
        <v>10795</v>
      </c>
      <c r="I4950" s="10" t="s">
        <v>45</v>
      </c>
      <c r="J4950" s="10" t="s">
        <v>932</v>
      </c>
      <c r="K4950" s="12">
        <v>46028</v>
      </c>
      <c r="L4950" s="28" t="s">
        <v>11</v>
      </c>
      <c r="M4950" s="14"/>
      <c r="N4950" s="10" t="s">
        <v>1028</v>
      </c>
    </row>
    <row r="4951" spans="1:14" ht="22.5" customHeight="1">
      <c r="A4951" s="8">
        <v>46028.304971597223</v>
      </c>
      <c r="B4951" s="9" t="s">
        <v>14</v>
      </c>
      <c r="C4951" s="9" t="s">
        <v>15</v>
      </c>
      <c r="D4951" s="10" t="s">
        <v>10796</v>
      </c>
      <c r="E4951" s="9" t="s">
        <v>22</v>
      </c>
      <c r="F4951" s="10">
        <v>30</v>
      </c>
      <c r="G4951" s="11">
        <v>8106466012</v>
      </c>
      <c r="H4951" s="10" t="s">
        <v>10797</v>
      </c>
      <c r="I4951" s="10" t="s">
        <v>45</v>
      </c>
      <c r="J4951" s="10" t="s">
        <v>6578</v>
      </c>
      <c r="K4951" s="12">
        <v>46028</v>
      </c>
      <c r="L4951" s="28" t="s">
        <v>11</v>
      </c>
      <c r="M4951" s="14"/>
      <c r="N4951" s="10" t="s">
        <v>1028</v>
      </c>
    </row>
    <row r="4952" spans="1:14" ht="22.5" customHeight="1">
      <c r="A4952" s="8">
        <v>46028.308582372687</v>
      </c>
      <c r="B4952" s="9" t="s">
        <v>14</v>
      </c>
      <c r="C4952" s="9" t="s">
        <v>15</v>
      </c>
      <c r="D4952" s="10" t="s">
        <v>10798</v>
      </c>
      <c r="E4952" s="9" t="s">
        <v>17</v>
      </c>
      <c r="F4952" s="10">
        <v>29</v>
      </c>
      <c r="G4952" s="11">
        <v>7089951956</v>
      </c>
      <c r="H4952" s="10" t="s">
        <v>10799</v>
      </c>
      <c r="I4952" s="10" t="s">
        <v>202</v>
      </c>
      <c r="J4952" s="10" t="s">
        <v>3895</v>
      </c>
      <c r="K4952" s="12">
        <v>46174</v>
      </c>
      <c r="L4952" s="28" t="s">
        <v>11</v>
      </c>
      <c r="M4952" s="14"/>
      <c r="N4952" s="10" t="s">
        <v>1028</v>
      </c>
    </row>
    <row r="4953" spans="1:14" ht="22.5" customHeight="1">
      <c r="A4953" s="8">
        <v>46028.311853865744</v>
      </c>
      <c r="B4953" s="9" t="s">
        <v>14</v>
      </c>
      <c r="C4953" s="9" t="s">
        <v>15</v>
      </c>
      <c r="D4953" s="10" t="s">
        <v>10800</v>
      </c>
      <c r="E4953" s="9" t="s">
        <v>22</v>
      </c>
      <c r="F4953" s="10">
        <v>29</v>
      </c>
      <c r="G4953" s="11">
        <v>7069616812</v>
      </c>
      <c r="H4953" s="10" t="s">
        <v>1731</v>
      </c>
      <c r="I4953" s="10" t="s">
        <v>45</v>
      </c>
      <c r="J4953" s="10" t="s">
        <v>1732</v>
      </c>
      <c r="K4953" s="12">
        <v>46028</v>
      </c>
      <c r="L4953" s="28" t="s">
        <v>11</v>
      </c>
      <c r="M4953" s="10"/>
      <c r="N4953" s="10" t="s">
        <v>1028</v>
      </c>
    </row>
    <row r="4954" spans="1:14" ht="22.5" customHeight="1">
      <c r="A4954" s="8">
        <v>46028.31619784722</v>
      </c>
      <c r="B4954" s="9" t="s">
        <v>14</v>
      </c>
      <c r="C4954" s="9" t="s">
        <v>15</v>
      </c>
      <c r="D4954" s="10" t="s">
        <v>2941</v>
      </c>
      <c r="E4954" s="9" t="s">
        <v>17</v>
      </c>
      <c r="F4954" s="10">
        <v>27</v>
      </c>
      <c r="G4954" s="11">
        <v>8109507790</v>
      </c>
      <c r="H4954" s="10" t="s">
        <v>2942</v>
      </c>
      <c r="I4954" s="10" t="s">
        <v>27</v>
      </c>
      <c r="J4954" s="10" t="s">
        <v>1456</v>
      </c>
      <c r="K4954" s="12">
        <v>46028</v>
      </c>
      <c r="L4954" s="28" t="s">
        <v>11</v>
      </c>
      <c r="M4954" s="14"/>
      <c r="N4954" s="10" t="s">
        <v>1028</v>
      </c>
    </row>
    <row r="4955" spans="1:14" ht="22.5" customHeight="1">
      <c r="A4955" s="8">
        <v>46028.328907997682</v>
      </c>
      <c r="B4955" s="9" t="s">
        <v>14</v>
      </c>
      <c r="C4955" s="9" t="s">
        <v>15</v>
      </c>
      <c r="D4955" s="10" t="s">
        <v>10801</v>
      </c>
      <c r="E4955" s="9" t="s">
        <v>17</v>
      </c>
      <c r="F4955" s="10">
        <v>23</v>
      </c>
      <c r="G4955" s="11">
        <v>9161481217</v>
      </c>
      <c r="H4955" s="10" t="s">
        <v>10802</v>
      </c>
      <c r="I4955" s="10" t="s">
        <v>27</v>
      </c>
      <c r="J4955" s="10" t="s">
        <v>1456</v>
      </c>
      <c r="K4955" s="12">
        <v>46028</v>
      </c>
      <c r="L4955" s="28" t="s">
        <v>11</v>
      </c>
      <c r="M4955" s="14"/>
      <c r="N4955" s="10" t="s">
        <v>1028</v>
      </c>
    </row>
    <row r="4956" spans="1:14" ht="22.5" hidden="1" customHeight="1">
      <c r="A4956" s="8">
        <v>46028.335166643519</v>
      </c>
      <c r="B4956" s="9" t="s">
        <v>14</v>
      </c>
      <c r="C4956" s="9" t="s">
        <v>15</v>
      </c>
      <c r="D4956" s="10" t="s">
        <v>10803</v>
      </c>
      <c r="E4956" s="9" t="s">
        <v>22</v>
      </c>
      <c r="F4956" s="10">
        <v>19</v>
      </c>
      <c r="G4956" s="11">
        <v>9033502186</v>
      </c>
      <c r="H4956" s="10" t="s">
        <v>10804</v>
      </c>
      <c r="I4956" s="10" t="s">
        <v>27</v>
      </c>
      <c r="J4956" s="10" t="s">
        <v>1456</v>
      </c>
      <c r="K4956" s="12">
        <v>46028</v>
      </c>
      <c r="L4956" s="10" t="s">
        <v>441</v>
      </c>
      <c r="M4956" s="10" t="s">
        <v>1361</v>
      </c>
      <c r="N4956" s="10" t="s">
        <v>1028</v>
      </c>
    </row>
    <row r="4957" spans="1:14" ht="22.5" customHeight="1">
      <c r="A4957" s="8">
        <v>46028.33617451389</v>
      </c>
      <c r="B4957" s="9" t="s">
        <v>14</v>
      </c>
      <c r="C4957" s="9" t="s">
        <v>15</v>
      </c>
      <c r="D4957" s="10" t="s">
        <v>10805</v>
      </c>
      <c r="E4957" s="9" t="s">
        <v>17</v>
      </c>
      <c r="F4957" s="10">
        <v>32</v>
      </c>
      <c r="G4957" s="11">
        <v>8061341609</v>
      </c>
      <c r="H4957" s="10" t="s">
        <v>10806</v>
      </c>
      <c r="I4957" s="10" t="s">
        <v>27</v>
      </c>
      <c r="J4957" s="10" t="s">
        <v>2258</v>
      </c>
      <c r="K4957" s="12">
        <v>46028</v>
      </c>
      <c r="L4957" s="28" t="s">
        <v>11</v>
      </c>
      <c r="M4957" s="14"/>
      <c r="N4957" s="10" t="s">
        <v>2118</v>
      </c>
    </row>
    <row r="4958" spans="1:14" ht="22.5" customHeight="1">
      <c r="A4958" s="8">
        <v>46028.350029374997</v>
      </c>
      <c r="B4958" s="9" t="s">
        <v>14</v>
      </c>
      <c r="C4958" s="9" t="s">
        <v>15</v>
      </c>
      <c r="D4958" s="10" t="s">
        <v>10807</v>
      </c>
      <c r="E4958" s="9" t="s">
        <v>17</v>
      </c>
      <c r="F4958" s="10">
        <v>30</v>
      </c>
      <c r="G4958" s="11">
        <v>9066526818</v>
      </c>
      <c r="H4958" s="10" t="s">
        <v>10808</v>
      </c>
      <c r="I4958" s="10" t="s">
        <v>27</v>
      </c>
      <c r="J4958" s="10" t="s">
        <v>10809</v>
      </c>
      <c r="K4958" s="12">
        <v>46028</v>
      </c>
      <c r="L4958" s="28" t="s">
        <v>11</v>
      </c>
      <c r="M4958" s="14"/>
      <c r="N4958" s="10" t="s">
        <v>1096</v>
      </c>
    </row>
    <row r="4959" spans="1:14" ht="22.5" customHeight="1">
      <c r="A4959" s="8">
        <v>46028.350257106482</v>
      </c>
      <c r="B4959" s="9" t="s">
        <v>14</v>
      </c>
      <c r="C4959" s="9" t="s">
        <v>15</v>
      </c>
      <c r="D4959" s="10" t="s">
        <v>10810</v>
      </c>
      <c r="E4959" s="9" t="s">
        <v>22</v>
      </c>
      <c r="F4959" s="10">
        <v>29</v>
      </c>
      <c r="G4959" s="11">
        <v>8146684842</v>
      </c>
      <c r="H4959" s="10" t="s">
        <v>10811</v>
      </c>
      <c r="I4959" s="10" t="s">
        <v>27</v>
      </c>
      <c r="J4959" s="10" t="s">
        <v>10812</v>
      </c>
      <c r="K4959" s="12">
        <v>46028</v>
      </c>
      <c r="L4959" s="28" t="s">
        <v>11</v>
      </c>
      <c r="M4959" s="14"/>
      <c r="N4959" s="10" t="s">
        <v>1096</v>
      </c>
    </row>
    <row r="4960" spans="1:14" ht="22.5" customHeight="1">
      <c r="A4960" s="8">
        <v>46028.350537245366</v>
      </c>
      <c r="B4960" s="9" t="s">
        <v>14</v>
      </c>
      <c r="C4960" s="9" t="s">
        <v>15</v>
      </c>
      <c r="D4960" s="10" t="s">
        <v>10813</v>
      </c>
      <c r="E4960" s="9" t="s">
        <v>22</v>
      </c>
      <c r="F4960" s="10">
        <v>29</v>
      </c>
      <c r="G4960" s="11">
        <v>8165210685</v>
      </c>
      <c r="H4960" s="10" t="s">
        <v>10814</v>
      </c>
      <c r="I4960" s="10" t="s">
        <v>19</v>
      </c>
      <c r="J4960" s="10" t="s">
        <v>4870</v>
      </c>
      <c r="K4960" s="12">
        <v>46028</v>
      </c>
      <c r="L4960" s="28" t="s">
        <v>11</v>
      </c>
      <c r="M4960" s="14"/>
      <c r="N4960" s="10" t="s">
        <v>1028</v>
      </c>
    </row>
    <row r="4961" spans="1:14" ht="22.5" customHeight="1">
      <c r="A4961" s="8">
        <v>46028.359187303242</v>
      </c>
      <c r="B4961" s="9" t="s">
        <v>14</v>
      </c>
      <c r="C4961" s="9" t="s">
        <v>15</v>
      </c>
      <c r="D4961" s="10" t="s">
        <v>10815</v>
      </c>
      <c r="E4961" s="9" t="s">
        <v>22</v>
      </c>
      <c r="F4961" s="10">
        <v>30</v>
      </c>
      <c r="G4961" s="11">
        <v>8103396487</v>
      </c>
      <c r="H4961" s="10" t="s">
        <v>10816</v>
      </c>
      <c r="I4961" s="10" t="s">
        <v>27</v>
      </c>
      <c r="J4961" s="10" t="s">
        <v>1456</v>
      </c>
      <c r="K4961" s="12">
        <v>46028</v>
      </c>
      <c r="L4961" s="28" t="s">
        <v>11</v>
      </c>
      <c r="M4961" s="14"/>
      <c r="N4961" s="10" t="s">
        <v>1028</v>
      </c>
    </row>
    <row r="4962" spans="1:14" ht="22.5" customHeight="1">
      <c r="A4962" s="8">
        <v>46028.380487615737</v>
      </c>
      <c r="B4962" s="9" t="s">
        <v>14</v>
      </c>
      <c r="C4962" s="9" t="s">
        <v>15</v>
      </c>
      <c r="D4962" s="10" t="s">
        <v>10817</v>
      </c>
      <c r="E4962" s="9" t="s">
        <v>22</v>
      </c>
      <c r="F4962" s="10">
        <v>33</v>
      </c>
      <c r="G4962" s="11">
        <v>7018580583</v>
      </c>
      <c r="H4962" s="10" t="s">
        <v>10818</v>
      </c>
      <c r="I4962" s="10" t="s">
        <v>19</v>
      </c>
      <c r="J4962" s="10" t="s">
        <v>8651</v>
      </c>
      <c r="K4962" s="12">
        <v>46028</v>
      </c>
      <c r="L4962" s="28" t="s">
        <v>11</v>
      </c>
      <c r="M4962" s="14"/>
      <c r="N4962" s="10" t="s">
        <v>1028</v>
      </c>
    </row>
    <row r="4963" spans="1:14" ht="22.5" customHeight="1">
      <c r="A4963" s="8">
        <v>46028.387441145838</v>
      </c>
      <c r="B4963" s="9" t="s">
        <v>14</v>
      </c>
      <c r="C4963" s="9" t="s">
        <v>15</v>
      </c>
      <c r="D4963" s="10" t="s">
        <v>10819</v>
      </c>
      <c r="E4963" s="9" t="s">
        <v>22</v>
      </c>
      <c r="F4963" s="10">
        <v>26</v>
      </c>
      <c r="G4963" s="11">
        <v>9032765251</v>
      </c>
      <c r="H4963" s="10" t="s">
        <v>10820</v>
      </c>
      <c r="I4963" s="10" t="s">
        <v>31</v>
      </c>
      <c r="J4963" s="10" t="s">
        <v>10821</v>
      </c>
      <c r="K4963" s="12">
        <v>46028</v>
      </c>
      <c r="L4963" s="28" t="s">
        <v>11</v>
      </c>
      <c r="M4963" s="14"/>
      <c r="N4963" s="10" t="s">
        <v>1028</v>
      </c>
    </row>
    <row r="4964" spans="1:14" ht="22.5" customHeight="1">
      <c r="A4964" s="8">
        <v>46028.39239444444</v>
      </c>
      <c r="B4964" s="9" t="s">
        <v>14</v>
      </c>
      <c r="C4964" s="9" t="s">
        <v>15</v>
      </c>
      <c r="D4964" s="10" t="s">
        <v>10822</v>
      </c>
      <c r="E4964" s="9" t="s">
        <v>17</v>
      </c>
      <c r="F4964" s="10">
        <v>27</v>
      </c>
      <c r="G4964" s="11">
        <v>7083838044</v>
      </c>
      <c r="H4964" s="10" t="s">
        <v>10823</v>
      </c>
      <c r="I4964" s="10" t="s">
        <v>27</v>
      </c>
      <c r="J4964" s="10" t="s">
        <v>9185</v>
      </c>
      <c r="K4964" s="12">
        <v>46028</v>
      </c>
      <c r="L4964" s="28" t="s">
        <v>11</v>
      </c>
      <c r="M4964" s="14"/>
      <c r="N4964" s="10" t="s">
        <v>10824</v>
      </c>
    </row>
    <row r="4965" spans="1:14" ht="22.5" customHeight="1">
      <c r="A4965" s="8">
        <v>46028.397031527777</v>
      </c>
      <c r="B4965" s="9" t="s">
        <v>14</v>
      </c>
      <c r="C4965" s="9" t="s">
        <v>15</v>
      </c>
      <c r="D4965" s="10" t="s">
        <v>10825</v>
      </c>
      <c r="E4965" s="9" t="s">
        <v>22</v>
      </c>
      <c r="F4965" s="10">
        <v>36</v>
      </c>
      <c r="G4965" s="11">
        <v>7032364670</v>
      </c>
      <c r="H4965" s="10" t="s">
        <v>10826</v>
      </c>
      <c r="I4965" s="10" t="s">
        <v>145</v>
      </c>
      <c r="J4965" s="10" t="s">
        <v>6726</v>
      </c>
      <c r="K4965" s="12">
        <v>46028</v>
      </c>
      <c r="L4965" s="28" t="s">
        <v>11</v>
      </c>
      <c r="M4965" s="14"/>
      <c r="N4965" s="10" t="s">
        <v>10827</v>
      </c>
    </row>
    <row r="4966" spans="1:14" ht="22.5" hidden="1" customHeight="1">
      <c r="A4966" s="8">
        <v>46028.407439907409</v>
      </c>
      <c r="B4966" s="9" t="s">
        <v>14</v>
      </c>
      <c r="C4966" s="9" t="s">
        <v>15</v>
      </c>
      <c r="D4966" s="10" t="s">
        <v>10828</v>
      </c>
      <c r="E4966" s="9" t="s">
        <v>17</v>
      </c>
      <c r="F4966" s="10">
        <v>27</v>
      </c>
      <c r="G4966" s="11">
        <v>9047102655</v>
      </c>
      <c r="H4966" s="10" t="s">
        <v>10829</v>
      </c>
      <c r="I4966" s="10" t="s">
        <v>27</v>
      </c>
      <c r="J4966" s="10" t="s">
        <v>9185</v>
      </c>
      <c r="K4966" s="12">
        <v>46028</v>
      </c>
      <c r="L4966" s="10" t="s">
        <v>441</v>
      </c>
      <c r="M4966" s="10" t="s">
        <v>1361</v>
      </c>
      <c r="N4966" s="10" t="s">
        <v>1028</v>
      </c>
    </row>
    <row r="4967" spans="1:14" ht="22.5" customHeight="1">
      <c r="A4967" s="8">
        <v>46028.407854699079</v>
      </c>
      <c r="B4967" s="9" t="s">
        <v>14</v>
      </c>
      <c r="C4967" s="9" t="s">
        <v>15</v>
      </c>
      <c r="D4967" s="10" t="s">
        <v>10830</v>
      </c>
      <c r="E4967" s="9" t="s">
        <v>22</v>
      </c>
      <c r="F4967" s="10">
        <v>26</v>
      </c>
      <c r="G4967" s="11">
        <v>9071002205</v>
      </c>
      <c r="H4967" s="10" t="s">
        <v>10831</v>
      </c>
      <c r="I4967" s="10" t="s">
        <v>31</v>
      </c>
      <c r="J4967" s="10" t="s">
        <v>2358</v>
      </c>
      <c r="K4967" s="12">
        <v>46028</v>
      </c>
      <c r="L4967" s="28" t="s">
        <v>11</v>
      </c>
      <c r="M4967" s="14"/>
      <c r="N4967" s="10" t="s">
        <v>1028</v>
      </c>
    </row>
    <row r="4968" spans="1:14" ht="22.5" customHeight="1">
      <c r="A4968" s="8">
        <v>46028.412359050926</v>
      </c>
      <c r="B4968" s="9" t="s">
        <v>14</v>
      </c>
      <c r="C4968" s="9" t="s">
        <v>15</v>
      </c>
      <c r="D4968" s="10" t="s">
        <v>10832</v>
      </c>
      <c r="E4968" s="9" t="s">
        <v>17</v>
      </c>
      <c r="F4968" s="10">
        <v>21</v>
      </c>
      <c r="G4968" s="11">
        <v>9160933687</v>
      </c>
      <c r="H4968" s="10" t="s">
        <v>10833</v>
      </c>
      <c r="I4968" s="10" t="s">
        <v>49</v>
      </c>
      <c r="J4968" s="10" t="s">
        <v>10834</v>
      </c>
      <c r="K4968" s="12">
        <v>46028</v>
      </c>
      <c r="L4968" s="28" t="s">
        <v>11</v>
      </c>
      <c r="M4968" s="14"/>
      <c r="N4968" s="10" t="s">
        <v>1028</v>
      </c>
    </row>
    <row r="4969" spans="1:14" ht="22.5" hidden="1" customHeight="1">
      <c r="A4969" s="8">
        <v>46028.413542395836</v>
      </c>
      <c r="B4969" s="9" t="s">
        <v>14</v>
      </c>
      <c r="C4969" s="9" t="s">
        <v>15</v>
      </c>
      <c r="D4969" s="10" t="s">
        <v>10835</v>
      </c>
      <c r="E4969" s="9" t="s">
        <v>17</v>
      </c>
      <c r="F4969" s="10">
        <v>27</v>
      </c>
      <c r="G4969" s="11">
        <v>8124192385</v>
      </c>
      <c r="H4969" s="10" t="s">
        <v>10836</v>
      </c>
      <c r="I4969" s="10" t="s">
        <v>27</v>
      </c>
      <c r="J4969" s="10" t="s">
        <v>9185</v>
      </c>
      <c r="K4969" s="12">
        <v>46028</v>
      </c>
      <c r="L4969" s="10" t="s">
        <v>441</v>
      </c>
      <c r="M4969" s="10" t="s">
        <v>1361</v>
      </c>
      <c r="N4969" s="10" t="s">
        <v>1096</v>
      </c>
    </row>
    <row r="4970" spans="1:14" ht="22.5" customHeight="1">
      <c r="A4970" s="8">
        <v>46028.431333703702</v>
      </c>
      <c r="B4970" s="9" t="s">
        <v>14</v>
      </c>
      <c r="C4970" s="9" t="s">
        <v>15</v>
      </c>
      <c r="D4970" s="10" t="s">
        <v>10837</v>
      </c>
      <c r="E4970" s="9" t="s">
        <v>22</v>
      </c>
      <c r="F4970" s="10">
        <v>31</v>
      </c>
      <c r="G4970" s="11">
        <v>8165945497</v>
      </c>
      <c r="H4970" s="10" t="s">
        <v>10838</v>
      </c>
      <c r="I4970" s="10" t="s">
        <v>202</v>
      </c>
      <c r="J4970" s="10" t="s">
        <v>4029</v>
      </c>
      <c r="K4970" s="12">
        <v>46028</v>
      </c>
      <c r="L4970" s="28" t="s">
        <v>11</v>
      </c>
      <c r="M4970" s="14"/>
      <c r="N4970" s="10" t="s">
        <v>1028</v>
      </c>
    </row>
    <row r="4971" spans="1:14" ht="22.5" hidden="1" customHeight="1">
      <c r="A4971" s="8">
        <v>46028.441136018519</v>
      </c>
      <c r="B4971" s="9" t="s">
        <v>14</v>
      </c>
      <c r="C4971" s="9" t="s">
        <v>15</v>
      </c>
      <c r="D4971" s="10" t="s">
        <v>10839</v>
      </c>
      <c r="E4971" s="9" t="s">
        <v>17</v>
      </c>
      <c r="F4971" s="10">
        <v>28</v>
      </c>
      <c r="G4971" s="11">
        <v>8088194065</v>
      </c>
      <c r="H4971" s="10" t="s">
        <v>10840</v>
      </c>
      <c r="I4971" s="10" t="s">
        <v>27</v>
      </c>
      <c r="J4971" s="10" t="s">
        <v>9185</v>
      </c>
      <c r="K4971" s="12">
        <v>46028</v>
      </c>
      <c r="L4971" s="10" t="s">
        <v>441</v>
      </c>
      <c r="M4971" s="10" t="s">
        <v>1827</v>
      </c>
      <c r="N4971" s="10" t="s">
        <v>1096</v>
      </c>
    </row>
    <row r="4972" spans="1:14" ht="22.5" customHeight="1">
      <c r="A4972" s="8">
        <v>46028.44613877315</v>
      </c>
      <c r="B4972" s="9" t="s">
        <v>14</v>
      </c>
      <c r="C4972" s="9" t="s">
        <v>15</v>
      </c>
      <c r="D4972" s="10" t="s">
        <v>10841</v>
      </c>
      <c r="E4972" s="9" t="s">
        <v>17</v>
      </c>
      <c r="F4972" s="10">
        <v>20</v>
      </c>
      <c r="G4972" s="11">
        <v>9137283274</v>
      </c>
      <c r="H4972" s="10" t="s">
        <v>10842</v>
      </c>
      <c r="I4972" s="10" t="s">
        <v>27</v>
      </c>
      <c r="J4972" s="10" t="s">
        <v>27</v>
      </c>
      <c r="K4972" s="12">
        <v>46028</v>
      </c>
      <c r="L4972" s="28" t="s">
        <v>11</v>
      </c>
      <c r="M4972" s="14"/>
      <c r="N4972" s="10" t="s">
        <v>1563</v>
      </c>
    </row>
    <row r="4973" spans="1:14" ht="22.5" customHeight="1">
      <c r="A4973" s="8">
        <v>46028.449003958332</v>
      </c>
      <c r="B4973" s="9" t="s">
        <v>14</v>
      </c>
      <c r="C4973" s="9" t="s">
        <v>15</v>
      </c>
      <c r="D4973" s="10" t="s">
        <v>9064</v>
      </c>
      <c r="E4973" s="9" t="s">
        <v>17</v>
      </c>
      <c r="F4973" s="10">
        <v>28</v>
      </c>
      <c r="G4973" s="11">
        <v>8133864993</v>
      </c>
      <c r="H4973" s="10" t="s">
        <v>10843</v>
      </c>
      <c r="I4973" s="10" t="s">
        <v>202</v>
      </c>
      <c r="J4973" s="10" t="s">
        <v>203</v>
      </c>
      <c r="K4973" s="12">
        <v>46028</v>
      </c>
      <c r="L4973" s="28" t="s">
        <v>11</v>
      </c>
      <c r="M4973" s="14"/>
      <c r="N4973" s="10" t="s">
        <v>1028</v>
      </c>
    </row>
    <row r="4974" spans="1:14" ht="22.5" customHeight="1">
      <c r="A4974" s="8">
        <v>46028.452986168981</v>
      </c>
      <c r="B4974" s="9" t="s">
        <v>14</v>
      </c>
      <c r="C4974" s="9" t="s">
        <v>15</v>
      </c>
      <c r="D4974" s="10" t="s">
        <v>10844</v>
      </c>
      <c r="E4974" s="9" t="s">
        <v>17</v>
      </c>
      <c r="F4974" s="10">
        <v>31</v>
      </c>
      <c r="G4974" s="11">
        <v>9021662757</v>
      </c>
      <c r="H4974" s="10" t="s">
        <v>10845</v>
      </c>
      <c r="I4974" s="10" t="s">
        <v>145</v>
      </c>
      <c r="J4974" s="10" t="s">
        <v>3584</v>
      </c>
      <c r="K4974" s="12">
        <v>46028</v>
      </c>
      <c r="L4974" s="28" t="s">
        <v>11</v>
      </c>
      <c r="M4974" s="14"/>
      <c r="N4974" s="10" t="s">
        <v>1028</v>
      </c>
    </row>
    <row r="4975" spans="1:14" ht="22.5" customHeight="1">
      <c r="A4975" s="8">
        <v>46028.459909317127</v>
      </c>
      <c r="B4975" s="9" t="s">
        <v>14</v>
      </c>
      <c r="C4975" s="9" t="s">
        <v>15</v>
      </c>
      <c r="D4975" s="10" t="s">
        <v>10846</v>
      </c>
      <c r="E4975" s="9" t="s">
        <v>17</v>
      </c>
      <c r="F4975" s="10">
        <v>28</v>
      </c>
      <c r="G4975" s="11">
        <v>8105975531</v>
      </c>
      <c r="H4975" s="10" t="s">
        <v>10847</v>
      </c>
      <c r="I4975" s="10" t="s">
        <v>19</v>
      </c>
      <c r="J4975" s="10" t="s">
        <v>24</v>
      </c>
      <c r="K4975" s="12">
        <v>46028</v>
      </c>
      <c r="L4975" s="28" t="s">
        <v>11</v>
      </c>
      <c r="M4975" s="14"/>
      <c r="N4975" s="10" t="s">
        <v>1028</v>
      </c>
    </row>
    <row r="4976" spans="1:14" ht="22.5" customHeight="1">
      <c r="A4976" s="8">
        <v>46028.479568263894</v>
      </c>
      <c r="B4976" s="9" t="s">
        <v>14</v>
      </c>
      <c r="C4976" s="9" t="s">
        <v>15</v>
      </c>
      <c r="D4976" s="10" t="s">
        <v>10848</v>
      </c>
      <c r="E4976" s="9" t="s">
        <v>17</v>
      </c>
      <c r="F4976" s="10">
        <v>32</v>
      </c>
      <c r="G4976" s="11">
        <v>8134408937</v>
      </c>
      <c r="H4976" s="10" t="s">
        <v>10849</v>
      </c>
      <c r="I4976" s="10" t="s">
        <v>19</v>
      </c>
      <c r="J4976" s="10" t="s">
        <v>10850</v>
      </c>
      <c r="K4976" s="12">
        <v>46028</v>
      </c>
      <c r="L4976" s="28" t="s">
        <v>11</v>
      </c>
      <c r="M4976" s="14"/>
      <c r="N4976" s="10" t="s">
        <v>1028</v>
      </c>
    </row>
    <row r="4977" spans="1:14" ht="22.5" customHeight="1">
      <c r="A4977" s="8">
        <v>46028.484420185181</v>
      </c>
      <c r="B4977" s="9" t="s">
        <v>14</v>
      </c>
      <c r="C4977" s="9" t="s">
        <v>15</v>
      </c>
      <c r="D4977" s="10" t="s">
        <v>10851</v>
      </c>
      <c r="E4977" s="9" t="s">
        <v>17</v>
      </c>
      <c r="F4977" s="10">
        <v>31</v>
      </c>
      <c r="G4977" s="11">
        <v>8166478813</v>
      </c>
      <c r="H4977" s="10" t="s">
        <v>10852</v>
      </c>
      <c r="I4977" s="10" t="s">
        <v>19</v>
      </c>
      <c r="J4977" s="10" t="s">
        <v>3466</v>
      </c>
      <c r="K4977" s="12">
        <v>46028</v>
      </c>
      <c r="L4977" s="28" t="s">
        <v>11</v>
      </c>
      <c r="M4977" s="14"/>
      <c r="N4977" s="10" t="s">
        <v>1028</v>
      </c>
    </row>
    <row r="4978" spans="1:14" ht="22.5" customHeight="1">
      <c r="A4978" s="8">
        <v>46028.485536863431</v>
      </c>
      <c r="B4978" s="9" t="s">
        <v>14</v>
      </c>
      <c r="C4978" s="9" t="s">
        <v>15</v>
      </c>
      <c r="D4978" s="10" t="s">
        <v>10853</v>
      </c>
      <c r="E4978" s="9" t="s">
        <v>22</v>
      </c>
      <c r="F4978" s="10">
        <v>25</v>
      </c>
      <c r="G4978" s="11">
        <v>8144607168</v>
      </c>
      <c r="H4978" s="10" t="s">
        <v>10854</v>
      </c>
      <c r="I4978" s="10" t="s">
        <v>45</v>
      </c>
      <c r="J4978" s="10" t="s">
        <v>1919</v>
      </c>
      <c r="K4978" s="12">
        <v>46028</v>
      </c>
      <c r="L4978" s="28" t="s">
        <v>11</v>
      </c>
      <c r="M4978" s="14"/>
      <c r="N4978" s="10" t="s">
        <v>1028</v>
      </c>
    </row>
    <row r="4979" spans="1:14" ht="22.5" customHeight="1">
      <c r="A4979" s="8">
        <v>46028.487827395831</v>
      </c>
      <c r="B4979" s="9" t="s">
        <v>14</v>
      </c>
      <c r="C4979" s="9" t="s">
        <v>15</v>
      </c>
      <c r="D4979" s="10" t="s">
        <v>10855</v>
      </c>
      <c r="E4979" s="9" t="s">
        <v>17</v>
      </c>
      <c r="F4979" s="10">
        <v>36</v>
      </c>
      <c r="G4979" s="11">
        <v>8076039230</v>
      </c>
      <c r="H4979" s="10" t="s">
        <v>10856</v>
      </c>
      <c r="I4979" s="10" t="s">
        <v>202</v>
      </c>
      <c r="J4979" s="10" t="s">
        <v>4029</v>
      </c>
      <c r="K4979" s="12">
        <v>46028</v>
      </c>
      <c r="L4979" s="28" t="s">
        <v>11</v>
      </c>
      <c r="M4979" s="14"/>
      <c r="N4979" s="10" t="s">
        <v>1028</v>
      </c>
    </row>
    <row r="4980" spans="1:14" ht="22.5" customHeight="1">
      <c r="A4980" s="8">
        <v>46028.489182222227</v>
      </c>
      <c r="B4980" s="9" t="s">
        <v>14</v>
      </c>
      <c r="C4980" s="9" t="s">
        <v>15</v>
      </c>
      <c r="D4980" s="10" t="s">
        <v>10857</v>
      </c>
      <c r="E4980" s="9" t="s">
        <v>17</v>
      </c>
      <c r="F4980" s="10">
        <v>23</v>
      </c>
      <c r="G4980" s="11">
        <f>2349133249788</f>
        <v>2349133249788</v>
      </c>
      <c r="H4980" s="10" t="s">
        <v>10858</v>
      </c>
      <c r="I4980" s="10" t="s">
        <v>49</v>
      </c>
      <c r="J4980" s="10" t="s">
        <v>10859</v>
      </c>
      <c r="K4980" s="12">
        <v>46028</v>
      </c>
      <c r="L4980" s="28" t="s">
        <v>11</v>
      </c>
      <c r="M4980" s="14"/>
      <c r="N4980" s="10" t="s">
        <v>1028</v>
      </c>
    </row>
    <row r="4981" spans="1:14" ht="22.5" customHeight="1">
      <c r="A4981" s="8">
        <v>46028.489503530094</v>
      </c>
      <c r="B4981" s="9" t="s">
        <v>14</v>
      </c>
      <c r="C4981" s="9" t="s">
        <v>15</v>
      </c>
      <c r="D4981" s="10" t="s">
        <v>10860</v>
      </c>
      <c r="E4981" s="9" t="s">
        <v>17</v>
      </c>
      <c r="F4981" s="10">
        <v>29</v>
      </c>
      <c r="G4981" s="11">
        <v>8105503967</v>
      </c>
      <c r="H4981" s="10" t="s">
        <v>10861</v>
      </c>
      <c r="I4981" s="10" t="s">
        <v>145</v>
      </c>
      <c r="J4981" s="10" t="s">
        <v>7435</v>
      </c>
      <c r="K4981" s="12">
        <v>46028</v>
      </c>
      <c r="L4981" s="28" t="s">
        <v>11</v>
      </c>
      <c r="M4981" s="14"/>
      <c r="N4981" s="10" t="s">
        <v>1028</v>
      </c>
    </row>
    <row r="4982" spans="1:14" ht="22.5" customHeight="1">
      <c r="A4982" s="8">
        <v>46028.490878263889</v>
      </c>
      <c r="B4982" s="9" t="s">
        <v>14</v>
      </c>
      <c r="C4982" s="9" t="s">
        <v>15</v>
      </c>
      <c r="D4982" s="10" t="s">
        <v>10862</v>
      </c>
      <c r="E4982" s="9" t="s">
        <v>17</v>
      </c>
      <c r="F4982" s="10">
        <v>28</v>
      </c>
      <c r="G4982" s="11">
        <v>8101892344</v>
      </c>
      <c r="H4982" s="10" t="s">
        <v>10863</v>
      </c>
      <c r="I4982" s="10" t="s">
        <v>19</v>
      </c>
      <c r="J4982" s="10" t="s">
        <v>10864</v>
      </c>
      <c r="K4982" s="12">
        <v>46028</v>
      </c>
      <c r="L4982" s="28" t="s">
        <v>11</v>
      </c>
      <c r="M4982" s="14"/>
      <c r="N4982" s="10" t="s">
        <v>1028</v>
      </c>
    </row>
    <row r="4983" spans="1:14" ht="22.5" customHeight="1">
      <c r="A4983" s="8">
        <v>46028.49099366898</v>
      </c>
      <c r="B4983" s="9" t="s">
        <v>14</v>
      </c>
      <c r="C4983" s="9" t="s">
        <v>15</v>
      </c>
      <c r="D4983" s="10" t="s">
        <v>10865</v>
      </c>
      <c r="E4983" s="9" t="s">
        <v>17</v>
      </c>
      <c r="F4983" s="10">
        <v>26</v>
      </c>
      <c r="G4983" s="11">
        <v>7033987686</v>
      </c>
      <c r="H4983" s="10" t="s">
        <v>10866</v>
      </c>
      <c r="I4983" s="10" t="s">
        <v>45</v>
      </c>
      <c r="J4983" s="10" t="s">
        <v>10867</v>
      </c>
      <c r="K4983" s="12">
        <v>46028</v>
      </c>
      <c r="L4983" s="28" t="s">
        <v>11</v>
      </c>
      <c r="M4983" s="14"/>
      <c r="N4983" s="10" t="s">
        <v>2308</v>
      </c>
    </row>
    <row r="4984" spans="1:14" ht="22.5" customHeight="1">
      <c r="A4984" s="8">
        <v>46028.491431932867</v>
      </c>
      <c r="B4984" s="9" t="s">
        <v>14</v>
      </c>
      <c r="C4984" s="9" t="s">
        <v>15</v>
      </c>
      <c r="D4984" s="10" t="s">
        <v>10868</v>
      </c>
      <c r="E4984" s="9" t="s">
        <v>17</v>
      </c>
      <c r="F4984" s="19">
        <v>25</v>
      </c>
      <c r="G4984" s="11">
        <v>9029441860</v>
      </c>
      <c r="H4984" s="10" t="s">
        <v>10869</v>
      </c>
      <c r="I4984" s="10" t="s">
        <v>49</v>
      </c>
      <c r="J4984" s="10" t="s">
        <v>103</v>
      </c>
      <c r="K4984" s="12">
        <v>46028</v>
      </c>
      <c r="L4984" s="28" t="s">
        <v>11</v>
      </c>
      <c r="M4984" s="14"/>
      <c r="N4984" s="10" t="s">
        <v>1028</v>
      </c>
    </row>
    <row r="4985" spans="1:14" ht="22.5" customHeight="1">
      <c r="A4985" s="8">
        <v>46028.493421250001</v>
      </c>
      <c r="B4985" s="9" t="s">
        <v>14</v>
      </c>
      <c r="C4985" s="9" t="s">
        <v>15</v>
      </c>
      <c r="D4985" s="10" t="s">
        <v>10870</v>
      </c>
      <c r="E4985" s="9" t="s">
        <v>17</v>
      </c>
      <c r="F4985" s="10">
        <v>26</v>
      </c>
      <c r="G4985" s="11">
        <v>8157981947</v>
      </c>
      <c r="H4985" s="10" t="s">
        <v>10871</v>
      </c>
      <c r="I4985" s="10" t="s">
        <v>27</v>
      </c>
      <c r="J4985" s="10" t="s">
        <v>703</v>
      </c>
      <c r="K4985" s="12">
        <v>46028</v>
      </c>
      <c r="L4985" s="28" t="s">
        <v>11</v>
      </c>
      <c r="M4985" s="14"/>
      <c r="N4985" s="10" t="s">
        <v>1096</v>
      </c>
    </row>
    <row r="4986" spans="1:14" ht="22.5" customHeight="1">
      <c r="A4986" s="8">
        <v>46028.493876111112</v>
      </c>
      <c r="B4986" s="9" t="s">
        <v>14</v>
      </c>
      <c r="C4986" s="9" t="s">
        <v>15</v>
      </c>
      <c r="D4986" s="10" t="s">
        <v>10872</v>
      </c>
      <c r="E4986" s="9" t="s">
        <v>22</v>
      </c>
      <c r="F4986" s="10">
        <v>21</v>
      </c>
      <c r="G4986" s="11">
        <v>9074253816</v>
      </c>
      <c r="H4986" s="10" t="s">
        <v>10873</v>
      </c>
      <c r="I4986" s="10" t="s">
        <v>45</v>
      </c>
      <c r="J4986" s="10" t="s">
        <v>9723</v>
      </c>
      <c r="K4986" s="12">
        <v>46028</v>
      </c>
      <c r="L4986" s="28" t="s">
        <v>11</v>
      </c>
      <c r="M4986" s="14"/>
      <c r="N4986" s="10" t="s">
        <v>1028</v>
      </c>
    </row>
    <row r="4987" spans="1:14" ht="22.5" customHeight="1">
      <c r="A4987" s="8">
        <v>46028.494613506948</v>
      </c>
      <c r="B4987" s="9" t="s">
        <v>14</v>
      </c>
      <c r="C4987" s="9" t="s">
        <v>15</v>
      </c>
      <c r="D4987" s="10" t="s">
        <v>10874</v>
      </c>
      <c r="E4987" s="9" t="s">
        <v>22</v>
      </c>
      <c r="F4987" s="10">
        <v>25</v>
      </c>
      <c r="G4987" s="11">
        <v>8163166559</v>
      </c>
      <c r="H4987" s="10" t="s">
        <v>10875</v>
      </c>
      <c r="I4987" s="10" t="s">
        <v>45</v>
      </c>
      <c r="J4987" s="10" t="s">
        <v>10876</v>
      </c>
      <c r="K4987" s="12">
        <v>46028</v>
      </c>
      <c r="L4987" s="28" t="s">
        <v>11</v>
      </c>
      <c r="M4987" s="14"/>
      <c r="N4987" s="10" t="s">
        <v>1028</v>
      </c>
    </row>
    <row r="4988" spans="1:14" ht="22.5" customHeight="1">
      <c r="A4988" s="8">
        <v>46028.494791342593</v>
      </c>
      <c r="B4988" s="9" t="s">
        <v>14</v>
      </c>
      <c r="C4988" s="9" t="s">
        <v>15</v>
      </c>
      <c r="D4988" s="10" t="s">
        <v>10877</v>
      </c>
      <c r="E4988" s="9" t="s">
        <v>17</v>
      </c>
      <c r="F4988" s="10">
        <v>35</v>
      </c>
      <c r="G4988" s="11">
        <v>7037751070</v>
      </c>
      <c r="H4988" s="10" t="s">
        <v>10878</v>
      </c>
      <c r="I4988" s="10" t="s">
        <v>45</v>
      </c>
      <c r="J4988" s="10" t="s">
        <v>521</v>
      </c>
      <c r="K4988" s="12">
        <v>46028</v>
      </c>
      <c r="L4988" s="28" t="s">
        <v>11</v>
      </c>
      <c r="M4988" s="14"/>
      <c r="N4988" s="10" t="s">
        <v>1096</v>
      </c>
    </row>
    <row r="4989" spans="1:14" ht="22.5" customHeight="1">
      <c r="A4989" s="8">
        <v>46028.497105694449</v>
      </c>
      <c r="B4989" s="9" t="s">
        <v>14</v>
      </c>
      <c r="C4989" s="9" t="s">
        <v>15</v>
      </c>
      <c r="D4989" s="10" t="s">
        <v>10879</v>
      </c>
      <c r="E4989" s="9" t="s">
        <v>17</v>
      </c>
      <c r="F4989" s="10">
        <v>33</v>
      </c>
      <c r="G4989" s="11">
        <v>9038944291</v>
      </c>
      <c r="H4989" s="10" t="s">
        <v>10880</v>
      </c>
      <c r="I4989" s="10" t="s">
        <v>45</v>
      </c>
      <c r="J4989" s="10" t="s">
        <v>5142</v>
      </c>
      <c r="K4989" s="12">
        <v>46028</v>
      </c>
      <c r="L4989" s="28" t="s">
        <v>11</v>
      </c>
      <c r="M4989" s="14"/>
      <c r="N4989" s="10" t="s">
        <v>1028</v>
      </c>
    </row>
    <row r="4990" spans="1:14" ht="22.5" customHeight="1">
      <c r="A4990" s="8">
        <v>46028.499716863429</v>
      </c>
      <c r="B4990" s="9" t="s">
        <v>14</v>
      </c>
      <c r="C4990" s="9" t="s">
        <v>15</v>
      </c>
      <c r="D4990" s="10" t="s">
        <v>4747</v>
      </c>
      <c r="E4990" s="9" t="s">
        <v>17</v>
      </c>
      <c r="F4990" s="10">
        <v>27</v>
      </c>
      <c r="G4990" s="11">
        <v>9133230242</v>
      </c>
      <c r="H4990" s="10" t="s">
        <v>10881</v>
      </c>
      <c r="I4990" s="10" t="s">
        <v>49</v>
      </c>
      <c r="J4990" s="10" t="s">
        <v>181</v>
      </c>
      <c r="K4990" s="12">
        <v>46028</v>
      </c>
      <c r="L4990" s="28" t="s">
        <v>11</v>
      </c>
      <c r="M4990" s="14"/>
      <c r="N4990" s="10" t="s">
        <v>1096</v>
      </c>
    </row>
    <row r="4991" spans="1:14" ht="22.5" customHeight="1">
      <c r="A4991" s="8">
        <v>46028.500052650459</v>
      </c>
      <c r="B4991" s="9" t="s">
        <v>14</v>
      </c>
      <c r="C4991" s="9" t="s">
        <v>15</v>
      </c>
      <c r="D4991" s="10" t="s">
        <v>10882</v>
      </c>
      <c r="E4991" s="9" t="s">
        <v>22</v>
      </c>
      <c r="F4991" s="10">
        <v>27</v>
      </c>
      <c r="G4991" s="11">
        <v>9076765408</v>
      </c>
      <c r="H4991" s="10" t="s">
        <v>10883</v>
      </c>
      <c r="I4991" s="10" t="s">
        <v>45</v>
      </c>
      <c r="J4991" s="10" t="s">
        <v>100</v>
      </c>
      <c r="K4991" s="12">
        <v>46028</v>
      </c>
      <c r="L4991" s="28" t="s">
        <v>11</v>
      </c>
      <c r="M4991" s="14"/>
      <c r="N4991" s="10" t="s">
        <v>1096</v>
      </c>
    </row>
    <row r="4992" spans="1:14" ht="22.5" customHeight="1">
      <c r="A4992" s="8">
        <v>46028.500123969905</v>
      </c>
      <c r="B4992" s="9" t="s">
        <v>14</v>
      </c>
      <c r="C4992" s="9" t="s">
        <v>15</v>
      </c>
      <c r="D4992" s="10" t="s">
        <v>10884</v>
      </c>
      <c r="E4992" s="9" t="s">
        <v>22</v>
      </c>
      <c r="F4992" s="10">
        <v>29</v>
      </c>
      <c r="G4992" s="11">
        <v>8089978899</v>
      </c>
      <c r="H4992" s="10" t="s">
        <v>10885</v>
      </c>
      <c r="I4992" s="10" t="s">
        <v>27</v>
      </c>
      <c r="J4992" s="10" t="s">
        <v>1559</v>
      </c>
      <c r="K4992" s="12">
        <v>46028</v>
      </c>
      <c r="L4992" s="28" t="s">
        <v>11</v>
      </c>
      <c r="M4992" s="14"/>
      <c r="N4992" s="10" t="s">
        <v>1096</v>
      </c>
    </row>
    <row r="4993" spans="1:14" ht="22.5" customHeight="1">
      <c r="A4993" s="8">
        <v>46028.500503495372</v>
      </c>
      <c r="B4993" s="9" t="s">
        <v>14</v>
      </c>
      <c r="C4993" s="9" t="s">
        <v>15</v>
      </c>
      <c r="D4993" s="10" t="s">
        <v>10886</v>
      </c>
      <c r="E4993" s="9" t="s">
        <v>22</v>
      </c>
      <c r="F4993" s="10">
        <v>35</v>
      </c>
      <c r="G4993" s="11">
        <v>7061882393</v>
      </c>
      <c r="H4993" s="10" t="s">
        <v>10887</v>
      </c>
      <c r="I4993" s="10" t="s">
        <v>45</v>
      </c>
      <c r="J4993" s="10" t="s">
        <v>10888</v>
      </c>
      <c r="K4993" s="12">
        <v>46028</v>
      </c>
      <c r="L4993" s="28" t="s">
        <v>11</v>
      </c>
      <c r="M4993" s="14"/>
      <c r="N4993" s="10" t="s">
        <v>1096</v>
      </c>
    </row>
    <row r="4994" spans="1:14" ht="22.5" customHeight="1">
      <c r="A4994" s="8">
        <v>46028.501127430558</v>
      </c>
      <c r="B4994" s="9" t="s">
        <v>14</v>
      </c>
      <c r="C4994" s="9" t="s">
        <v>15</v>
      </c>
      <c r="D4994" s="10" t="s">
        <v>10889</v>
      </c>
      <c r="E4994" s="9" t="s">
        <v>17</v>
      </c>
      <c r="F4994" s="10">
        <v>25</v>
      </c>
      <c r="G4994" s="11">
        <v>8061690548</v>
      </c>
      <c r="H4994" s="10" t="s">
        <v>10890</v>
      </c>
      <c r="I4994" s="10" t="s">
        <v>27</v>
      </c>
      <c r="J4994" s="10" t="s">
        <v>1456</v>
      </c>
      <c r="K4994" s="12">
        <v>46028</v>
      </c>
      <c r="L4994" s="28" t="s">
        <v>11</v>
      </c>
      <c r="M4994" s="14"/>
      <c r="N4994" s="10" t="s">
        <v>1028</v>
      </c>
    </row>
    <row r="4995" spans="1:14" ht="22.5" customHeight="1">
      <c r="A4995" s="8">
        <v>46028.504918460647</v>
      </c>
      <c r="B4995" s="9" t="s">
        <v>14</v>
      </c>
      <c r="C4995" s="9" t="s">
        <v>15</v>
      </c>
      <c r="D4995" s="10" t="s">
        <v>10891</v>
      </c>
      <c r="E4995" s="9" t="s">
        <v>22</v>
      </c>
      <c r="F4995" s="10">
        <v>26</v>
      </c>
      <c r="G4995" s="11">
        <v>8034210315</v>
      </c>
      <c r="H4995" s="10" t="s">
        <v>10892</v>
      </c>
      <c r="I4995" s="10" t="s">
        <v>45</v>
      </c>
      <c r="J4995" s="10" t="s">
        <v>9906</v>
      </c>
      <c r="K4995" s="12">
        <v>46028</v>
      </c>
      <c r="L4995" s="28" t="s">
        <v>11</v>
      </c>
      <c r="M4995" s="14"/>
      <c r="N4995" s="10" t="s">
        <v>1028</v>
      </c>
    </row>
    <row r="4996" spans="1:14" ht="22.5" customHeight="1">
      <c r="A4996" s="8">
        <v>46028.50593024306</v>
      </c>
      <c r="B4996" s="9" t="s">
        <v>14</v>
      </c>
      <c r="C4996" s="9" t="s">
        <v>15</v>
      </c>
      <c r="D4996" s="10" t="s">
        <v>10893</v>
      </c>
      <c r="E4996" s="9" t="s">
        <v>22</v>
      </c>
      <c r="F4996" s="10">
        <v>29</v>
      </c>
      <c r="G4996" s="11">
        <v>9066270900</v>
      </c>
      <c r="H4996" s="10" t="s">
        <v>10894</v>
      </c>
      <c r="I4996" s="10" t="s">
        <v>145</v>
      </c>
      <c r="J4996" s="10" t="s">
        <v>530</v>
      </c>
      <c r="K4996" s="12">
        <v>46028</v>
      </c>
      <c r="L4996" s="28" t="s">
        <v>11</v>
      </c>
      <c r="M4996" s="14"/>
      <c r="N4996" s="10" t="s">
        <v>1096</v>
      </c>
    </row>
    <row r="4997" spans="1:14" ht="22.5" customHeight="1">
      <c r="A4997" s="8">
        <v>46028.506808587961</v>
      </c>
      <c r="B4997" s="9" t="s">
        <v>14</v>
      </c>
      <c r="C4997" s="9" t="s">
        <v>15</v>
      </c>
      <c r="D4997" s="10" t="s">
        <v>10895</v>
      </c>
      <c r="E4997" s="9" t="s">
        <v>17</v>
      </c>
      <c r="F4997" s="10">
        <v>29</v>
      </c>
      <c r="G4997" s="11">
        <v>8039776436</v>
      </c>
      <c r="H4997" s="10" t="s">
        <v>10896</v>
      </c>
      <c r="I4997" s="10" t="s">
        <v>45</v>
      </c>
      <c r="J4997" s="10" t="s">
        <v>10897</v>
      </c>
      <c r="K4997" s="12">
        <v>46028</v>
      </c>
      <c r="L4997" s="28" t="s">
        <v>11</v>
      </c>
      <c r="M4997" s="14"/>
      <c r="N4997" s="10" t="s">
        <v>1028</v>
      </c>
    </row>
    <row r="4998" spans="1:14" ht="22.5" customHeight="1">
      <c r="A4998" s="8">
        <v>46028.507368275459</v>
      </c>
      <c r="B4998" s="9" t="s">
        <v>14</v>
      </c>
      <c r="C4998" s="9" t="s">
        <v>15</v>
      </c>
      <c r="D4998" s="10" t="s">
        <v>10898</v>
      </c>
      <c r="E4998" s="9" t="s">
        <v>17</v>
      </c>
      <c r="F4998" s="10">
        <v>33</v>
      </c>
      <c r="G4998" s="11">
        <v>7030263126</v>
      </c>
      <c r="H4998" s="10" t="s">
        <v>10899</v>
      </c>
      <c r="I4998" s="10" t="s">
        <v>31</v>
      </c>
      <c r="J4998" s="10" t="s">
        <v>39</v>
      </c>
      <c r="K4998" s="12">
        <v>46028</v>
      </c>
      <c r="L4998" s="28" t="s">
        <v>11</v>
      </c>
      <c r="M4998" s="14"/>
      <c r="N4998" s="10" t="s">
        <v>1028</v>
      </c>
    </row>
    <row r="4999" spans="1:14" ht="22.5" customHeight="1">
      <c r="A4999" s="8">
        <v>46028.510956157406</v>
      </c>
      <c r="B4999" s="9" t="s">
        <v>14</v>
      </c>
      <c r="C4999" s="9" t="s">
        <v>15</v>
      </c>
      <c r="D4999" s="10" t="s">
        <v>10900</v>
      </c>
      <c r="E4999" s="9" t="s">
        <v>17</v>
      </c>
      <c r="F4999" s="10">
        <v>29</v>
      </c>
      <c r="G4999" s="11">
        <v>9093861684</v>
      </c>
      <c r="H4999" s="10" t="s">
        <v>10901</v>
      </c>
      <c r="I4999" s="10" t="s">
        <v>45</v>
      </c>
      <c r="J4999" s="10" t="s">
        <v>10902</v>
      </c>
      <c r="K4999" s="12">
        <v>46028</v>
      </c>
      <c r="L4999" s="28" t="s">
        <v>11</v>
      </c>
      <c r="M4999" s="14"/>
      <c r="N4999" s="10" t="s">
        <v>1096</v>
      </c>
    </row>
    <row r="5000" spans="1:14" ht="22.5" customHeight="1">
      <c r="A5000" s="8">
        <v>46028.511235891201</v>
      </c>
      <c r="B5000" s="9" t="s">
        <v>14</v>
      </c>
      <c r="C5000" s="9" t="s">
        <v>15</v>
      </c>
      <c r="D5000" s="10" t="s">
        <v>10903</v>
      </c>
      <c r="E5000" s="9" t="s">
        <v>22</v>
      </c>
      <c r="F5000" s="10">
        <v>26</v>
      </c>
      <c r="G5000" s="11">
        <v>8100402204</v>
      </c>
      <c r="H5000" s="10" t="s">
        <v>10904</v>
      </c>
      <c r="I5000" s="10" t="s">
        <v>31</v>
      </c>
      <c r="J5000" s="10" t="s">
        <v>39</v>
      </c>
      <c r="K5000" s="12">
        <v>46028</v>
      </c>
      <c r="L5000" s="28" t="s">
        <v>11</v>
      </c>
      <c r="M5000" s="14"/>
      <c r="N5000" s="10" t="s">
        <v>1028</v>
      </c>
    </row>
    <row r="5001" spans="1:14" ht="22.5" customHeight="1">
      <c r="A5001" s="8">
        <v>46028.512432175921</v>
      </c>
      <c r="B5001" s="9" t="s">
        <v>14</v>
      </c>
      <c r="C5001" s="9" t="s">
        <v>15</v>
      </c>
      <c r="D5001" s="10" t="s">
        <v>10905</v>
      </c>
      <c r="E5001" s="9" t="s">
        <v>22</v>
      </c>
      <c r="F5001" s="10">
        <v>27</v>
      </c>
      <c r="G5001" s="11">
        <v>9045140040</v>
      </c>
      <c r="H5001" s="10" t="s">
        <v>10906</v>
      </c>
      <c r="I5001" s="10" t="s">
        <v>31</v>
      </c>
      <c r="J5001" s="10" t="s">
        <v>32</v>
      </c>
      <c r="K5001" s="12">
        <v>46028</v>
      </c>
      <c r="L5001" s="28" t="s">
        <v>11</v>
      </c>
      <c r="M5001" s="14"/>
      <c r="N5001" s="10" t="s">
        <v>1028</v>
      </c>
    </row>
    <row r="5002" spans="1:14" ht="22.5" customHeight="1">
      <c r="A5002" s="8">
        <v>46028.512589386577</v>
      </c>
      <c r="B5002" s="9" t="s">
        <v>14</v>
      </c>
      <c r="C5002" s="9" t="s">
        <v>15</v>
      </c>
      <c r="D5002" s="10" t="s">
        <v>10907</v>
      </c>
      <c r="E5002" s="9" t="s">
        <v>22</v>
      </c>
      <c r="F5002" s="10">
        <v>23</v>
      </c>
      <c r="G5002" s="11">
        <v>7025365732</v>
      </c>
      <c r="H5002" s="10" t="s">
        <v>10908</v>
      </c>
      <c r="I5002" s="10" t="s">
        <v>19</v>
      </c>
      <c r="J5002" s="10" t="s">
        <v>1664</v>
      </c>
      <c r="K5002" s="12">
        <v>46028</v>
      </c>
      <c r="L5002" s="28" t="s">
        <v>11</v>
      </c>
      <c r="M5002" s="14"/>
      <c r="N5002" s="10" t="s">
        <v>1028</v>
      </c>
    </row>
    <row r="5003" spans="1:14" ht="22.5" customHeight="1">
      <c r="A5003" s="8">
        <v>46028.513060682875</v>
      </c>
      <c r="B5003" s="9" t="s">
        <v>14</v>
      </c>
      <c r="C5003" s="9" t="s">
        <v>15</v>
      </c>
      <c r="D5003" s="10" t="s">
        <v>10909</v>
      </c>
      <c r="E5003" s="9" t="s">
        <v>17</v>
      </c>
      <c r="F5003" s="10">
        <v>26</v>
      </c>
      <c r="G5003" s="11">
        <v>2348108956451</v>
      </c>
      <c r="H5003" s="10" t="s">
        <v>10910</v>
      </c>
      <c r="I5003" s="10" t="s">
        <v>49</v>
      </c>
      <c r="J5003" s="10" t="s">
        <v>73</v>
      </c>
      <c r="K5003" s="12">
        <v>46028</v>
      </c>
      <c r="L5003" s="28" t="s">
        <v>11</v>
      </c>
      <c r="M5003" s="14"/>
      <c r="N5003" s="10" t="s">
        <v>1028</v>
      </c>
    </row>
    <row r="5004" spans="1:14" ht="22.5" customHeight="1">
      <c r="A5004" s="8">
        <v>46028.513860601852</v>
      </c>
      <c r="B5004" s="9" t="s">
        <v>14</v>
      </c>
      <c r="C5004" s="9" t="s">
        <v>15</v>
      </c>
      <c r="D5004" s="10" t="s">
        <v>10911</v>
      </c>
      <c r="E5004" s="9" t="s">
        <v>22</v>
      </c>
      <c r="F5004" s="10">
        <v>31</v>
      </c>
      <c r="G5004" s="11">
        <v>8106944622</v>
      </c>
      <c r="H5004" s="10" t="s">
        <v>10912</v>
      </c>
      <c r="I5004" s="10" t="s">
        <v>45</v>
      </c>
      <c r="J5004" s="10" t="s">
        <v>46</v>
      </c>
      <c r="K5004" s="12">
        <v>46028</v>
      </c>
      <c r="L5004" s="28" t="s">
        <v>11</v>
      </c>
      <c r="M5004" s="14"/>
      <c r="N5004" s="10" t="s">
        <v>1028</v>
      </c>
    </row>
    <row r="5005" spans="1:14" ht="22.5" customHeight="1">
      <c r="A5005" s="8">
        <v>46028.514900138893</v>
      </c>
      <c r="B5005" s="9" t="s">
        <v>14</v>
      </c>
      <c r="C5005" s="9" t="s">
        <v>15</v>
      </c>
      <c r="D5005" s="10" t="s">
        <v>10913</v>
      </c>
      <c r="E5005" s="9" t="s">
        <v>22</v>
      </c>
      <c r="F5005" s="10">
        <v>28</v>
      </c>
      <c r="G5005" s="11">
        <v>9036615049</v>
      </c>
      <c r="H5005" s="10" t="s">
        <v>10914</v>
      </c>
      <c r="I5005" s="10" t="s">
        <v>19</v>
      </c>
      <c r="J5005" s="10" t="s">
        <v>10915</v>
      </c>
      <c r="K5005" s="12">
        <v>46028</v>
      </c>
      <c r="L5005" s="28" t="s">
        <v>11</v>
      </c>
      <c r="M5005" s="14"/>
      <c r="N5005" s="10" t="s">
        <v>1028</v>
      </c>
    </row>
    <row r="5006" spans="1:14" ht="22.5" customHeight="1">
      <c r="A5006" s="8">
        <v>46028.515157303242</v>
      </c>
      <c r="B5006" s="9" t="s">
        <v>14</v>
      </c>
      <c r="C5006" s="9" t="s">
        <v>15</v>
      </c>
      <c r="D5006" s="10" t="s">
        <v>10916</v>
      </c>
      <c r="E5006" s="9" t="s">
        <v>17</v>
      </c>
      <c r="F5006" s="10">
        <v>28</v>
      </c>
      <c r="G5006" s="11">
        <v>9032859115</v>
      </c>
      <c r="H5006" s="10" t="s">
        <v>10917</v>
      </c>
      <c r="I5006" s="10" t="s">
        <v>27</v>
      </c>
      <c r="J5006" s="10" t="s">
        <v>1456</v>
      </c>
      <c r="K5006" s="12">
        <v>46028</v>
      </c>
      <c r="L5006" s="28" t="s">
        <v>11</v>
      </c>
      <c r="M5006" s="14"/>
      <c r="N5006" s="10" t="s">
        <v>1028</v>
      </c>
    </row>
    <row r="5007" spans="1:14" ht="22.5" customHeight="1">
      <c r="A5007" s="8">
        <v>46028.5159102662</v>
      </c>
      <c r="B5007" s="9" t="s">
        <v>14</v>
      </c>
      <c r="C5007" s="9" t="s">
        <v>15</v>
      </c>
      <c r="D5007" s="10" t="s">
        <v>10918</v>
      </c>
      <c r="E5007" s="9" t="s">
        <v>17</v>
      </c>
      <c r="F5007" s="10">
        <v>25</v>
      </c>
      <c r="G5007" s="11">
        <v>7051587037</v>
      </c>
      <c r="H5007" s="10" t="s">
        <v>10919</v>
      </c>
      <c r="I5007" s="10" t="s">
        <v>45</v>
      </c>
      <c r="J5007" s="10" t="s">
        <v>1191</v>
      </c>
      <c r="K5007" s="12">
        <v>46028</v>
      </c>
      <c r="L5007" s="28" t="s">
        <v>11</v>
      </c>
      <c r="M5007" s="14"/>
      <c r="N5007" s="10" t="s">
        <v>1028</v>
      </c>
    </row>
    <row r="5008" spans="1:14" ht="22.5" customHeight="1">
      <c r="A5008" s="8">
        <v>46028.516008472223</v>
      </c>
      <c r="B5008" s="9" t="s">
        <v>14</v>
      </c>
      <c r="C5008" s="9" t="s">
        <v>15</v>
      </c>
      <c r="D5008" s="10" t="s">
        <v>10920</v>
      </c>
      <c r="E5008" s="9" t="s">
        <v>17</v>
      </c>
      <c r="F5008" s="10">
        <v>21</v>
      </c>
      <c r="G5008" s="11">
        <f t="shared" ref="G5008" si="136">2348147913483</f>
        <v>2348147913483</v>
      </c>
      <c r="H5008" s="10" t="s">
        <v>10921</v>
      </c>
      <c r="I5008" s="10" t="s">
        <v>31</v>
      </c>
      <c r="J5008" s="10" t="s">
        <v>32</v>
      </c>
      <c r="K5008" s="12">
        <v>46028</v>
      </c>
      <c r="L5008" s="28" t="s">
        <v>11</v>
      </c>
      <c r="M5008" s="14"/>
      <c r="N5008" s="10" t="s">
        <v>1028</v>
      </c>
    </row>
    <row r="5009" spans="1:14" ht="22.5" customHeight="1">
      <c r="A5009" s="8">
        <v>46028.516318333335</v>
      </c>
      <c r="B5009" s="9" t="s">
        <v>14</v>
      </c>
      <c r="C5009" s="9" t="s">
        <v>15</v>
      </c>
      <c r="D5009" s="10" t="s">
        <v>10922</v>
      </c>
      <c r="E5009" s="9" t="s">
        <v>17</v>
      </c>
      <c r="F5009" s="10">
        <v>32</v>
      </c>
      <c r="G5009" s="11">
        <v>7037074401</v>
      </c>
      <c r="H5009" s="10" t="s">
        <v>10923</v>
      </c>
      <c r="I5009" s="10" t="s">
        <v>19</v>
      </c>
      <c r="J5009" s="10" t="s">
        <v>5434</v>
      </c>
      <c r="K5009" s="12">
        <v>46028</v>
      </c>
      <c r="L5009" s="28" t="s">
        <v>11</v>
      </c>
      <c r="M5009" s="14"/>
      <c r="N5009" s="10" t="s">
        <v>1028</v>
      </c>
    </row>
    <row r="5010" spans="1:14" ht="22.5" customHeight="1">
      <c r="A5010" s="8">
        <v>46028.517993958332</v>
      </c>
      <c r="B5010" s="9" t="s">
        <v>14</v>
      </c>
      <c r="C5010" s="9" t="s">
        <v>15</v>
      </c>
      <c r="D5010" s="10" t="s">
        <v>10924</v>
      </c>
      <c r="E5010" s="9" t="s">
        <v>17</v>
      </c>
      <c r="F5010" s="10">
        <v>24</v>
      </c>
      <c r="G5010" s="11">
        <v>9061817092</v>
      </c>
      <c r="H5010" s="10" t="s">
        <v>10925</v>
      </c>
      <c r="I5010" s="10" t="s">
        <v>49</v>
      </c>
      <c r="J5010" s="10" t="s">
        <v>50</v>
      </c>
      <c r="K5010" s="12">
        <v>46028</v>
      </c>
      <c r="L5010" s="28" t="s">
        <v>11</v>
      </c>
      <c r="M5010" s="14"/>
      <c r="N5010" s="10" t="s">
        <v>1028</v>
      </c>
    </row>
    <row r="5011" spans="1:14" ht="22.5" customHeight="1">
      <c r="A5011" s="8">
        <v>46028.519726145838</v>
      </c>
      <c r="B5011" s="9" t="s">
        <v>14</v>
      </c>
      <c r="C5011" s="9" t="s">
        <v>15</v>
      </c>
      <c r="D5011" s="10" t="s">
        <v>10926</v>
      </c>
      <c r="E5011" s="9" t="s">
        <v>17</v>
      </c>
      <c r="F5011" s="10">
        <v>23</v>
      </c>
      <c r="G5011" s="11">
        <v>8071623828</v>
      </c>
      <c r="H5011" s="10" t="s">
        <v>10927</v>
      </c>
      <c r="I5011" s="10" t="s">
        <v>31</v>
      </c>
      <c r="J5011" s="10" t="s">
        <v>32</v>
      </c>
      <c r="K5011" s="12">
        <v>46028</v>
      </c>
      <c r="L5011" s="28" t="s">
        <v>11</v>
      </c>
      <c r="M5011" s="14"/>
      <c r="N5011" s="10" t="s">
        <v>1028</v>
      </c>
    </row>
    <row r="5012" spans="1:14" ht="22.5" customHeight="1">
      <c r="A5012" s="8">
        <v>46028.519965879634</v>
      </c>
      <c r="B5012" s="9" t="s">
        <v>14</v>
      </c>
      <c r="C5012" s="9" t="s">
        <v>15</v>
      </c>
      <c r="D5012" s="10" t="s">
        <v>10928</v>
      </c>
      <c r="E5012" s="9" t="s">
        <v>17</v>
      </c>
      <c r="F5012" s="10">
        <v>31</v>
      </c>
      <c r="G5012" s="11">
        <v>7040583032</v>
      </c>
      <c r="H5012" s="10" t="s">
        <v>10929</v>
      </c>
      <c r="I5012" s="10" t="s">
        <v>145</v>
      </c>
      <c r="J5012" s="10" t="s">
        <v>10930</v>
      </c>
      <c r="K5012" s="12">
        <v>46028</v>
      </c>
      <c r="L5012" s="28" t="s">
        <v>11</v>
      </c>
      <c r="M5012" s="14"/>
      <c r="N5012" s="10" t="s">
        <v>1096</v>
      </c>
    </row>
    <row r="5013" spans="1:14" ht="22.5" customHeight="1">
      <c r="A5013" s="8">
        <v>46028.52050460648</v>
      </c>
      <c r="B5013" s="9" t="s">
        <v>14</v>
      </c>
      <c r="C5013" s="9" t="s">
        <v>15</v>
      </c>
      <c r="D5013" s="10" t="s">
        <v>4036</v>
      </c>
      <c r="E5013" s="9" t="s">
        <v>22</v>
      </c>
      <c r="F5013" s="10">
        <v>23</v>
      </c>
      <c r="G5013" s="11">
        <v>9033756140</v>
      </c>
      <c r="H5013" s="10" t="s">
        <v>10931</v>
      </c>
      <c r="I5013" s="10" t="s">
        <v>27</v>
      </c>
      <c r="J5013" s="10" t="s">
        <v>5239</v>
      </c>
      <c r="K5013" s="12">
        <v>46028</v>
      </c>
      <c r="L5013" s="28" t="s">
        <v>11</v>
      </c>
      <c r="M5013" s="14"/>
      <c r="N5013" s="10" t="s">
        <v>9285</v>
      </c>
    </row>
    <row r="5014" spans="1:14" ht="22.5" customHeight="1">
      <c r="A5014" s="8">
        <v>46028.520772442134</v>
      </c>
      <c r="B5014" s="9" t="s">
        <v>14</v>
      </c>
      <c r="C5014" s="9" t="s">
        <v>15</v>
      </c>
      <c r="D5014" s="10" t="s">
        <v>10932</v>
      </c>
      <c r="E5014" s="9" t="s">
        <v>22</v>
      </c>
      <c r="F5014" s="10">
        <v>25</v>
      </c>
      <c r="G5014" s="11">
        <v>7042851014</v>
      </c>
      <c r="H5014" s="10" t="s">
        <v>10933</v>
      </c>
      <c r="I5014" s="10" t="s">
        <v>145</v>
      </c>
      <c r="J5014" s="10" t="s">
        <v>1717</v>
      </c>
      <c r="K5014" s="12">
        <v>36796</v>
      </c>
      <c r="L5014" s="28" t="s">
        <v>11</v>
      </c>
      <c r="M5014" s="14"/>
      <c r="N5014" s="10" t="s">
        <v>1028</v>
      </c>
    </row>
    <row r="5015" spans="1:14" ht="22.5" customHeight="1">
      <c r="A5015" s="8">
        <v>46028.522973819447</v>
      </c>
      <c r="B5015" s="9" t="s">
        <v>14</v>
      </c>
      <c r="C5015" s="9" t="s">
        <v>15</v>
      </c>
      <c r="D5015" s="10" t="s">
        <v>10934</v>
      </c>
      <c r="E5015" s="9" t="s">
        <v>17</v>
      </c>
      <c r="F5015" s="10">
        <v>24</v>
      </c>
      <c r="G5015" s="11">
        <v>7036453777</v>
      </c>
      <c r="H5015" s="10" t="s">
        <v>10935</v>
      </c>
      <c r="I5015" s="10" t="s">
        <v>27</v>
      </c>
      <c r="J5015" s="10" t="s">
        <v>1559</v>
      </c>
      <c r="K5015" s="12">
        <v>46028</v>
      </c>
      <c r="L5015" s="28" t="s">
        <v>11</v>
      </c>
      <c r="M5015" s="14"/>
      <c r="N5015" s="10" t="s">
        <v>1096</v>
      </c>
    </row>
    <row r="5016" spans="1:14" ht="22.5" customHeight="1">
      <c r="A5016" s="8">
        <v>46028.523302662041</v>
      </c>
      <c r="B5016" s="9" t="s">
        <v>14</v>
      </c>
      <c r="C5016" s="9" t="s">
        <v>15</v>
      </c>
      <c r="D5016" s="10" t="s">
        <v>10936</v>
      </c>
      <c r="E5016" s="9" t="s">
        <v>22</v>
      </c>
      <c r="F5016" s="10">
        <v>28</v>
      </c>
      <c r="G5016" s="11">
        <v>8169800676</v>
      </c>
      <c r="H5016" s="10" t="s">
        <v>10937</v>
      </c>
      <c r="I5016" s="10" t="s">
        <v>45</v>
      </c>
      <c r="J5016" s="10" t="s">
        <v>10938</v>
      </c>
      <c r="K5016" s="12">
        <v>46028</v>
      </c>
      <c r="L5016" s="28" t="s">
        <v>11</v>
      </c>
      <c r="M5016" s="14"/>
      <c r="N5016" s="10" t="s">
        <v>1028</v>
      </c>
    </row>
    <row r="5017" spans="1:14" ht="22.5" customHeight="1">
      <c r="A5017" s="8">
        <v>46028.523584988427</v>
      </c>
      <c r="B5017" s="9" t="s">
        <v>14</v>
      </c>
      <c r="C5017" s="9" t="s">
        <v>15</v>
      </c>
      <c r="D5017" s="10" t="s">
        <v>10939</v>
      </c>
      <c r="E5017" s="9" t="s">
        <v>17</v>
      </c>
      <c r="F5017" s="10">
        <v>23</v>
      </c>
      <c r="G5017" s="11">
        <v>7033029725</v>
      </c>
      <c r="H5017" s="10" t="s">
        <v>10940</v>
      </c>
      <c r="I5017" s="10" t="s">
        <v>27</v>
      </c>
      <c r="J5017" s="10" t="s">
        <v>70</v>
      </c>
      <c r="K5017" s="12">
        <v>46028</v>
      </c>
      <c r="L5017" s="28" t="s">
        <v>11</v>
      </c>
      <c r="M5017" s="14"/>
      <c r="N5017" s="10" t="s">
        <v>1096</v>
      </c>
    </row>
    <row r="5018" spans="1:14" ht="22.5" customHeight="1">
      <c r="A5018" s="8">
        <v>46028.525692824071</v>
      </c>
      <c r="B5018" s="9" t="s">
        <v>14</v>
      </c>
      <c r="C5018" s="9" t="s">
        <v>15</v>
      </c>
      <c r="D5018" s="10" t="s">
        <v>10941</v>
      </c>
      <c r="E5018" s="9" t="s">
        <v>22</v>
      </c>
      <c r="F5018" s="10">
        <v>32</v>
      </c>
      <c r="G5018" s="11">
        <v>8160050306</v>
      </c>
      <c r="H5018" s="10" t="s">
        <v>10942</v>
      </c>
      <c r="I5018" s="10" t="s">
        <v>27</v>
      </c>
      <c r="J5018" s="10" t="s">
        <v>70</v>
      </c>
      <c r="K5018" s="12">
        <v>46028</v>
      </c>
      <c r="L5018" s="28" t="s">
        <v>11</v>
      </c>
      <c r="M5018" s="14"/>
      <c r="N5018" s="10" t="s">
        <v>1028</v>
      </c>
    </row>
    <row r="5019" spans="1:14" ht="22.5" customHeight="1">
      <c r="A5019" s="8">
        <v>46028.528718668982</v>
      </c>
      <c r="B5019" s="9" t="s">
        <v>14</v>
      </c>
      <c r="C5019" s="9" t="s">
        <v>15</v>
      </c>
      <c r="D5019" s="10" t="s">
        <v>10943</v>
      </c>
      <c r="E5019" s="9" t="s">
        <v>22</v>
      </c>
      <c r="F5019" s="10">
        <v>21</v>
      </c>
      <c r="G5019" s="11">
        <v>7087907330</v>
      </c>
      <c r="H5019" s="10" t="s">
        <v>10944</v>
      </c>
      <c r="I5019" s="10" t="s">
        <v>202</v>
      </c>
      <c r="J5019" s="10" t="s">
        <v>1619</v>
      </c>
      <c r="K5019" s="12">
        <v>46028</v>
      </c>
      <c r="L5019" s="28" t="s">
        <v>11</v>
      </c>
      <c r="M5019" s="14"/>
      <c r="N5019" s="10" t="s">
        <v>1096</v>
      </c>
    </row>
    <row r="5020" spans="1:14" ht="22.5" customHeight="1">
      <c r="A5020" s="8">
        <v>46028.534651643524</v>
      </c>
      <c r="B5020" s="9" t="s">
        <v>14</v>
      </c>
      <c r="C5020" s="9" t="s">
        <v>15</v>
      </c>
      <c r="D5020" s="10" t="s">
        <v>10945</v>
      </c>
      <c r="E5020" s="9" t="s">
        <v>17</v>
      </c>
      <c r="F5020" s="10">
        <v>20</v>
      </c>
      <c r="G5020" s="11">
        <v>9158968062</v>
      </c>
      <c r="H5020" s="10" t="s">
        <v>10946</v>
      </c>
      <c r="I5020" s="10" t="s">
        <v>49</v>
      </c>
      <c r="J5020" s="10" t="s">
        <v>953</v>
      </c>
      <c r="K5020" s="12">
        <v>46028</v>
      </c>
      <c r="L5020" s="28" t="s">
        <v>11</v>
      </c>
      <c r="M5020" s="14"/>
      <c r="N5020" s="10" t="s">
        <v>1035</v>
      </c>
    </row>
    <row r="5021" spans="1:14" ht="22.5" customHeight="1">
      <c r="A5021" s="8">
        <v>46028.538112650465</v>
      </c>
      <c r="B5021" s="9" t="s">
        <v>14</v>
      </c>
      <c r="C5021" s="9" t="s">
        <v>15</v>
      </c>
      <c r="D5021" s="10" t="s">
        <v>10947</v>
      </c>
      <c r="E5021" s="9" t="s">
        <v>22</v>
      </c>
      <c r="F5021" s="10">
        <v>18</v>
      </c>
      <c r="G5021" s="11">
        <v>538780017</v>
      </c>
      <c r="H5021" s="10" t="s">
        <v>10948</v>
      </c>
      <c r="I5021" s="10" t="s">
        <v>202</v>
      </c>
      <c r="J5021" s="10" t="s">
        <v>9031</v>
      </c>
      <c r="K5021" s="12">
        <v>46028</v>
      </c>
      <c r="L5021" s="28" t="s">
        <v>11</v>
      </c>
      <c r="M5021" s="14"/>
      <c r="N5021" s="10" t="s">
        <v>10949</v>
      </c>
    </row>
    <row r="5022" spans="1:14" ht="22.5" customHeight="1">
      <c r="A5022" s="8">
        <v>46028.541867233798</v>
      </c>
      <c r="B5022" s="9" t="s">
        <v>14</v>
      </c>
      <c r="C5022" s="9" t="s">
        <v>15</v>
      </c>
      <c r="D5022" s="10" t="s">
        <v>10950</v>
      </c>
      <c r="E5022" s="9" t="s">
        <v>17</v>
      </c>
      <c r="F5022" s="10">
        <v>25</v>
      </c>
      <c r="G5022" s="11">
        <v>9042515914</v>
      </c>
      <c r="H5022" s="10" t="s">
        <v>10951</v>
      </c>
      <c r="I5022" s="10" t="s">
        <v>45</v>
      </c>
      <c r="J5022" s="10" t="s">
        <v>46</v>
      </c>
      <c r="K5022" s="12">
        <v>46028</v>
      </c>
      <c r="L5022" s="28" t="s">
        <v>11</v>
      </c>
      <c r="M5022" s="14"/>
      <c r="N5022" s="10" t="s">
        <v>1028</v>
      </c>
    </row>
    <row r="5023" spans="1:14" ht="22.5" customHeight="1">
      <c r="A5023" s="8">
        <v>46028.542867141208</v>
      </c>
      <c r="B5023" s="9" t="s">
        <v>14</v>
      </c>
      <c r="C5023" s="9" t="s">
        <v>15</v>
      </c>
      <c r="D5023" s="10" t="s">
        <v>10952</v>
      </c>
      <c r="E5023" s="9" t="s">
        <v>17</v>
      </c>
      <c r="F5023" s="10">
        <v>23</v>
      </c>
      <c r="G5023" s="11">
        <v>7084840944</v>
      </c>
      <c r="H5023" s="10" t="s">
        <v>10953</v>
      </c>
      <c r="I5023" s="10" t="s">
        <v>45</v>
      </c>
      <c r="J5023" s="10" t="s">
        <v>3327</v>
      </c>
      <c r="K5023" s="12">
        <v>46028</v>
      </c>
      <c r="L5023" s="28" t="s">
        <v>11</v>
      </c>
      <c r="M5023" s="14"/>
      <c r="N5023" s="10" t="s">
        <v>1028</v>
      </c>
    </row>
    <row r="5024" spans="1:14" ht="22.5" customHeight="1">
      <c r="A5024" s="8">
        <v>46028.544050312499</v>
      </c>
      <c r="B5024" s="9" t="s">
        <v>14</v>
      </c>
      <c r="C5024" s="9" t="s">
        <v>15</v>
      </c>
      <c r="D5024" s="10" t="s">
        <v>10954</v>
      </c>
      <c r="E5024" s="9" t="s">
        <v>17</v>
      </c>
      <c r="F5024" s="10">
        <v>22</v>
      </c>
      <c r="G5024" s="11">
        <v>9078778334</v>
      </c>
      <c r="H5024" s="10" t="s">
        <v>10955</v>
      </c>
      <c r="I5024" s="10" t="s">
        <v>45</v>
      </c>
      <c r="J5024" s="10" t="s">
        <v>10956</v>
      </c>
      <c r="K5024" s="12">
        <v>46028</v>
      </c>
      <c r="L5024" s="28" t="s">
        <v>11</v>
      </c>
      <c r="M5024" s="14"/>
      <c r="N5024" s="10" t="s">
        <v>1028</v>
      </c>
    </row>
    <row r="5025" spans="1:14" ht="22.5" customHeight="1">
      <c r="A5025" s="8">
        <v>46028.545765393515</v>
      </c>
      <c r="B5025" s="9" t="s">
        <v>14</v>
      </c>
      <c r="C5025" s="9" t="s">
        <v>15</v>
      </c>
      <c r="D5025" s="10" t="s">
        <v>10957</v>
      </c>
      <c r="E5025" s="9" t="s">
        <v>22</v>
      </c>
      <c r="F5025" s="10">
        <v>26</v>
      </c>
      <c r="G5025" s="11">
        <f t="shared" ref="G5025" si="137">2348183209505</f>
        <v>2348183209505</v>
      </c>
      <c r="H5025" s="10" t="s">
        <v>10958</v>
      </c>
      <c r="I5025" s="10" t="s">
        <v>45</v>
      </c>
      <c r="J5025" s="10" t="s">
        <v>932</v>
      </c>
      <c r="K5025" s="12">
        <v>46028</v>
      </c>
      <c r="L5025" s="28" t="s">
        <v>11</v>
      </c>
      <c r="M5025" s="14"/>
      <c r="N5025" s="10" t="s">
        <v>1028</v>
      </c>
    </row>
    <row r="5026" spans="1:14" ht="22.5" customHeight="1">
      <c r="A5026" s="8">
        <v>46028.547195266205</v>
      </c>
      <c r="B5026" s="9" t="s">
        <v>14</v>
      </c>
      <c r="C5026" s="9" t="s">
        <v>15</v>
      </c>
      <c r="D5026" s="10" t="s">
        <v>10959</v>
      </c>
      <c r="E5026" s="9" t="s">
        <v>17</v>
      </c>
      <c r="F5026" s="10">
        <v>39</v>
      </c>
      <c r="G5026" s="11">
        <v>7030090439</v>
      </c>
      <c r="H5026" s="10" t="s">
        <v>10960</v>
      </c>
      <c r="I5026" s="10" t="s">
        <v>202</v>
      </c>
      <c r="J5026" s="10" t="s">
        <v>10961</v>
      </c>
      <c r="K5026" s="12">
        <v>46028</v>
      </c>
      <c r="L5026" s="28" t="s">
        <v>11</v>
      </c>
      <c r="M5026" s="14"/>
      <c r="N5026" s="10" t="s">
        <v>1028</v>
      </c>
    </row>
    <row r="5027" spans="1:14" ht="22.5" customHeight="1">
      <c r="A5027" s="8">
        <v>46028.549168321755</v>
      </c>
      <c r="B5027" s="9" t="s">
        <v>14</v>
      </c>
      <c r="C5027" s="9" t="s">
        <v>15</v>
      </c>
      <c r="D5027" s="10" t="s">
        <v>10962</v>
      </c>
      <c r="E5027" s="9" t="s">
        <v>22</v>
      </c>
      <c r="F5027" s="10">
        <v>26</v>
      </c>
      <c r="G5027" s="11">
        <v>8136097173</v>
      </c>
      <c r="H5027" s="10" t="s">
        <v>10963</v>
      </c>
      <c r="I5027" s="10" t="s">
        <v>45</v>
      </c>
      <c r="J5027" s="10" t="s">
        <v>10964</v>
      </c>
      <c r="K5027" s="12">
        <v>46028</v>
      </c>
      <c r="L5027" s="28" t="s">
        <v>11</v>
      </c>
      <c r="M5027" s="14"/>
      <c r="N5027" s="10" t="s">
        <v>1028</v>
      </c>
    </row>
    <row r="5028" spans="1:14" ht="22.5" customHeight="1">
      <c r="A5028" s="8">
        <v>46028.553531481477</v>
      </c>
      <c r="B5028" s="9" t="s">
        <v>14</v>
      </c>
      <c r="C5028" s="9" t="s">
        <v>15</v>
      </c>
      <c r="D5028" s="10" t="s">
        <v>10965</v>
      </c>
      <c r="E5028" s="9" t="s">
        <v>17</v>
      </c>
      <c r="F5028" s="10">
        <v>26</v>
      </c>
      <c r="G5028" s="11">
        <f t="shared" ref="G5028" si="138">2347048188198</f>
        <v>2347048188198</v>
      </c>
      <c r="H5028" s="10" t="s">
        <v>10966</v>
      </c>
      <c r="I5028" s="10" t="s">
        <v>45</v>
      </c>
      <c r="J5028" s="10" t="s">
        <v>2331</v>
      </c>
      <c r="K5028" s="12">
        <v>46028</v>
      </c>
      <c r="L5028" s="28" t="s">
        <v>11</v>
      </c>
      <c r="M5028" s="14"/>
      <c r="N5028" s="10" t="s">
        <v>1028</v>
      </c>
    </row>
    <row r="5029" spans="1:14" ht="22.5" customHeight="1">
      <c r="A5029" s="8">
        <v>46028.554151099539</v>
      </c>
      <c r="B5029" s="9" t="s">
        <v>14</v>
      </c>
      <c r="C5029" s="9" t="s">
        <v>15</v>
      </c>
      <c r="D5029" s="10" t="s">
        <v>10967</v>
      </c>
      <c r="E5029" s="9" t="s">
        <v>17</v>
      </c>
      <c r="F5029" s="10">
        <v>32</v>
      </c>
      <c r="G5029" s="11">
        <v>7063750528</v>
      </c>
      <c r="H5029" s="10" t="s">
        <v>10968</v>
      </c>
      <c r="I5029" s="10" t="s">
        <v>145</v>
      </c>
      <c r="J5029" s="10" t="s">
        <v>1607</v>
      </c>
      <c r="K5029" s="12">
        <v>46028</v>
      </c>
      <c r="L5029" s="28" t="s">
        <v>11</v>
      </c>
      <c r="M5029" s="14"/>
      <c r="N5029" s="10" t="s">
        <v>1028</v>
      </c>
    </row>
    <row r="5030" spans="1:14" ht="22.5" customHeight="1">
      <c r="A5030" s="8">
        <v>46028.556392013888</v>
      </c>
      <c r="B5030" s="9" t="s">
        <v>14</v>
      </c>
      <c r="C5030" s="9" t="s">
        <v>15</v>
      </c>
      <c r="D5030" s="10" t="s">
        <v>10969</v>
      </c>
      <c r="E5030" s="9" t="s">
        <v>17</v>
      </c>
      <c r="F5030" s="10">
        <v>27</v>
      </c>
      <c r="G5030" s="11">
        <v>9027497418</v>
      </c>
      <c r="H5030" s="10" t="s">
        <v>10970</v>
      </c>
      <c r="I5030" s="10" t="s">
        <v>27</v>
      </c>
      <c r="J5030" s="10" t="s">
        <v>2766</v>
      </c>
      <c r="K5030" s="12">
        <v>46028</v>
      </c>
      <c r="L5030" s="28" t="s">
        <v>11</v>
      </c>
      <c r="M5030" s="14"/>
      <c r="N5030" s="10" t="s">
        <v>1028</v>
      </c>
    </row>
    <row r="5031" spans="1:14" ht="22.5" customHeight="1">
      <c r="A5031" s="8">
        <v>46028.557494687499</v>
      </c>
      <c r="B5031" s="9" t="s">
        <v>14</v>
      </c>
      <c r="C5031" s="9" t="s">
        <v>15</v>
      </c>
      <c r="D5031" s="10" t="s">
        <v>10971</v>
      </c>
      <c r="E5031" s="9" t="s">
        <v>17</v>
      </c>
      <c r="F5031" s="10">
        <v>23</v>
      </c>
      <c r="G5031" s="11">
        <v>9070514417</v>
      </c>
      <c r="H5031" s="10" t="s">
        <v>10972</v>
      </c>
      <c r="I5031" s="10" t="s">
        <v>45</v>
      </c>
      <c r="J5031" s="10" t="s">
        <v>901</v>
      </c>
      <c r="K5031" s="12">
        <v>46028</v>
      </c>
      <c r="L5031" s="28" t="s">
        <v>11</v>
      </c>
      <c r="M5031" s="14"/>
      <c r="N5031" s="10" t="s">
        <v>1096</v>
      </c>
    </row>
    <row r="5032" spans="1:14" ht="22.5" customHeight="1">
      <c r="A5032" s="8">
        <v>46028.557831157406</v>
      </c>
      <c r="B5032" s="9" t="s">
        <v>14</v>
      </c>
      <c r="C5032" s="9" t="s">
        <v>15</v>
      </c>
      <c r="D5032" s="10" t="s">
        <v>10973</v>
      </c>
      <c r="E5032" s="9" t="s">
        <v>17</v>
      </c>
      <c r="F5032" s="10">
        <v>26</v>
      </c>
      <c r="G5032" s="11">
        <v>8144398635</v>
      </c>
      <c r="H5032" s="10" t="s">
        <v>10974</v>
      </c>
      <c r="I5032" s="10" t="s">
        <v>202</v>
      </c>
      <c r="J5032" s="10" t="s">
        <v>1839</v>
      </c>
      <c r="K5032" s="12">
        <v>46028</v>
      </c>
      <c r="L5032" s="28" t="s">
        <v>11</v>
      </c>
      <c r="M5032" s="14"/>
      <c r="N5032" s="10" t="s">
        <v>1028</v>
      </c>
    </row>
    <row r="5033" spans="1:14" ht="22.5" customHeight="1">
      <c r="A5033" s="8">
        <v>46028.558351064814</v>
      </c>
      <c r="B5033" s="9" t="s">
        <v>14</v>
      </c>
      <c r="C5033" s="9" t="s">
        <v>15</v>
      </c>
      <c r="D5033" s="10" t="s">
        <v>10975</v>
      </c>
      <c r="E5033" s="9" t="s">
        <v>22</v>
      </c>
      <c r="F5033" s="10">
        <v>30</v>
      </c>
      <c r="G5033" s="11">
        <v>8144922602</v>
      </c>
      <c r="H5033" s="10" t="s">
        <v>10976</v>
      </c>
      <c r="I5033" s="10" t="s">
        <v>31</v>
      </c>
      <c r="J5033" s="10" t="s">
        <v>32</v>
      </c>
      <c r="K5033" s="12">
        <v>46028</v>
      </c>
      <c r="L5033" s="28" t="s">
        <v>11</v>
      </c>
      <c r="M5033" s="14"/>
      <c r="N5033" s="10" t="s">
        <v>1028</v>
      </c>
    </row>
    <row r="5034" spans="1:14" ht="22.5" customHeight="1">
      <c r="A5034" s="8">
        <v>46028.558601203702</v>
      </c>
      <c r="B5034" s="9" t="s">
        <v>14</v>
      </c>
      <c r="C5034" s="9" t="s">
        <v>15</v>
      </c>
      <c r="D5034" s="10" t="s">
        <v>10977</v>
      </c>
      <c r="E5034" s="9" t="s">
        <v>22</v>
      </c>
      <c r="F5034" s="10">
        <v>25</v>
      </c>
      <c r="G5034" s="11">
        <v>7030680642</v>
      </c>
      <c r="H5034" s="10" t="s">
        <v>10978</v>
      </c>
      <c r="I5034" s="10" t="s">
        <v>202</v>
      </c>
      <c r="J5034" s="10" t="s">
        <v>4174</v>
      </c>
      <c r="K5034" s="12">
        <v>46028</v>
      </c>
      <c r="L5034" s="28" t="s">
        <v>11</v>
      </c>
      <c r="M5034" s="14"/>
      <c r="N5034" s="10" t="s">
        <v>1028</v>
      </c>
    </row>
    <row r="5035" spans="1:14" ht="22.5" customHeight="1">
      <c r="A5035" s="8">
        <v>46028.559222951386</v>
      </c>
      <c r="B5035" s="9" t="s">
        <v>14</v>
      </c>
      <c r="C5035" s="9" t="s">
        <v>15</v>
      </c>
      <c r="D5035" s="10" t="s">
        <v>10979</v>
      </c>
      <c r="E5035" s="9" t="s">
        <v>17</v>
      </c>
      <c r="F5035" s="10">
        <v>24</v>
      </c>
      <c r="G5035" s="11">
        <v>8100277030</v>
      </c>
      <c r="H5035" s="10" t="s">
        <v>10980</v>
      </c>
      <c r="I5035" s="10" t="s">
        <v>45</v>
      </c>
      <c r="J5035" s="10" t="s">
        <v>509</v>
      </c>
      <c r="K5035" s="12">
        <v>46028</v>
      </c>
      <c r="L5035" s="28" t="s">
        <v>11</v>
      </c>
      <c r="M5035" s="14"/>
      <c r="N5035" s="10" t="s">
        <v>1028</v>
      </c>
    </row>
    <row r="5036" spans="1:14" ht="22.5" customHeight="1">
      <c r="A5036" s="8">
        <v>46028.560285358792</v>
      </c>
      <c r="B5036" s="9" t="s">
        <v>14</v>
      </c>
      <c r="C5036" s="9" t="s">
        <v>15</v>
      </c>
      <c r="D5036" s="10" t="s">
        <v>10981</v>
      </c>
      <c r="E5036" s="9" t="s">
        <v>17</v>
      </c>
      <c r="F5036" s="10">
        <v>34</v>
      </c>
      <c r="G5036" s="11">
        <f t="shared" ref="G5036" si="139">2348130026810</f>
        <v>2348130026810</v>
      </c>
      <c r="H5036" s="10" t="s">
        <v>10982</v>
      </c>
      <c r="I5036" s="10" t="s">
        <v>27</v>
      </c>
      <c r="J5036" s="10" t="s">
        <v>28</v>
      </c>
      <c r="K5036" s="12">
        <v>46028</v>
      </c>
      <c r="L5036" s="28" t="s">
        <v>11</v>
      </c>
      <c r="M5036" s="14"/>
      <c r="N5036" s="10" t="s">
        <v>1096</v>
      </c>
    </row>
    <row r="5037" spans="1:14" ht="22.5" customHeight="1">
      <c r="A5037" s="8">
        <v>46028.564106377315</v>
      </c>
      <c r="B5037" s="9" t="s">
        <v>14</v>
      </c>
      <c r="C5037" s="9" t="s">
        <v>15</v>
      </c>
      <c r="D5037" s="10" t="s">
        <v>10983</v>
      </c>
      <c r="E5037" s="9" t="s">
        <v>17</v>
      </c>
      <c r="F5037" s="10">
        <v>24</v>
      </c>
      <c r="G5037" s="11">
        <v>7069328403</v>
      </c>
      <c r="H5037" s="10" t="s">
        <v>10984</v>
      </c>
      <c r="I5037" s="10" t="s">
        <v>27</v>
      </c>
      <c r="J5037" s="10" t="s">
        <v>10985</v>
      </c>
      <c r="K5037" s="12">
        <v>46028</v>
      </c>
      <c r="L5037" s="28" t="s">
        <v>11</v>
      </c>
      <c r="M5037" s="14"/>
      <c r="N5037" s="10" t="s">
        <v>1028</v>
      </c>
    </row>
    <row r="5038" spans="1:14" ht="22.5" customHeight="1">
      <c r="A5038" s="8">
        <v>46028.567288217593</v>
      </c>
      <c r="B5038" s="9" t="s">
        <v>14</v>
      </c>
      <c r="C5038" s="9" t="s">
        <v>15</v>
      </c>
      <c r="D5038" s="10" t="s">
        <v>10986</v>
      </c>
      <c r="E5038" s="9" t="s">
        <v>22</v>
      </c>
      <c r="F5038" s="10">
        <v>28</v>
      </c>
      <c r="G5038" s="11">
        <v>9026256574</v>
      </c>
      <c r="H5038" s="10" t="s">
        <v>10987</v>
      </c>
      <c r="I5038" s="10" t="s">
        <v>45</v>
      </c>
      <c r="J5038" s="10" t="s">
        <v>46</v>
      </c>
      <c r="K5038" s="12">
        <v>46028</v>
      </c>
      <c r="L5038" s="28" t="s">
        <v>11</v>
      </c>
      <c r="M5038" s="14"/>
      <c r="N5038" s="10" t="s">
        <v>1028</v>
      </c>
    </row>
    <row r="5039" spans="1:14" ht="22.5" customHeight="1">
      <c r="A5039" s="8">
        <v>46028.568995567126</v>
      </c>
      <c r="B5039" s="9" t="s">
        <v>14</v>
      </c>
      <c r="C5039" s="9" t="s">
        <v>15</v>
      </c>
      <c r="D5039" s="10" t="s">
        <v>10988</v>
      </c>
      <c r="E5039" s="9" t="s">
        <v>17</v>
      </c>
      <c r="F5039" s="10">
        <v>35</v>
      </c>
      <c r="G5039" s="11">
        <v>9078271114</v>
      </c>
      <c r="H5039" s="10" t="s">
        <v>10989</v>
      </c>
      <c r="I5039" s="10" t="s">
        <v>145</v>
      </c>
      <c r="J5039" s="10" t="s">
        <v>530</v>
      </c>
      <c r="K5039" s="12">
        <v>46028</v>
      </c>
      <c r="L5039" s="28" t="s">
        <v>11</v>
      </c>
      <c r="M5039" s="14"/>
      <c r="N5039" s="10" t="s">
        <v>1028</v>
      </c>
    </row>
    <row r="5040" spans="1:14" ht="22.5" customHeight="1">
      <c r="A5040" s="8">
        <v>46028.570764745367</v>
      </c>
      <c r="B5040" s="9" t="s">
        <v>14</v>
      </c>
      <c r="C5040" s="9" t="s">
        <v>15</v>
      </c>
      <c r="D5040" s="10" t="s">
        <v>10990</v>
      </c>
      <c r="E5040" s="9" t="s">
        <v>17</v>
      </c>
      <c r="F5040" s="10">
        <v>25</v>
      </c>
      <c r="G5040" s="11">
        <v>9037733412</v>
      </c>
      <c r="H5040" s="10" t="s">
        <v>10991</v>
      </c>
      <c r="I5040" s="10" t="s">
        <v>45</v>
      </c>
      <c r="J5040" s="10" t="s">
        <v>10992</v>
      </c>
      <c r="K5040" s="12">
        <v>46028</v>
      </c>
      <c r="L5040" s="28" t="s">
        <v>11</v>
      </c>
      <c r="M5040" s="14"/>
      <c r="N5040" s="10" t="s">
        <v>1028</v>
      </c>
    </row>
    <row r="5041" spans="1:14" ht="22.5" customHeight="1">
      <c r="A5041" s="8">
        <v>46028.571088067125</v>
      </c>
      <c r="B5041" s="9" t="s">
        <v>14</v>
      </c>
      <c r="C5041" s="9" t="s">
        <v>15</v>
      </c>
      <c r="D5041" s="10" t="s">
        <v>10993</v>
      </c>
      <c r="E5041" s="9" t="s">
        <v>22</v>
      </c>
      <c r="F5041" s="10">
        <v>24</v>
      </c>
      <c r="G5041" s="11">
        <f t="shared" ref="G5041" si="140">250780049940</f>
        <v>250780049940</v>
      </c>
      <c r="H5041" s="10" t="s">
        <v>10994</v>
      </c>
      <c r="I5041" s="10" t="s">
        <v>31</v>
      </c>
      <c r="J5041" s="10" t="s">
        <v>10995</v>
      </c>
      <c r="K5041" s="12">
        <v>46028</v>
      </c>
      <c r="L5041" s="28" t="s">
        <v>11</v>
      </c>
      <c r="M5041" s="14"/>
      <c r="N5041" s="10" t="s">
        <v>1096</v>
      </c>
    </row>
    <row r="5042" spans="1:14" ht="22.5" customHeight="1">
      <c r="A5042" s="8">
        <v>46028.572324270834</v>
      </c>
      <c r="B5042" s="9" t="s">
        <v>14</v>
      </c>
      <c r="C5042" s="9" t="s">
        <v>15</v>
      </c>
      <c r="D5042" s="10" t="s">
        <v>10996</v>
      </c>
      <c r="E5042" s="9" t="s">
        <v>17</v>
      </c>
      <c r="F5042" s="10">
        <v>39</v>
      </c>
      <c r="G5042" s="11">
        <v>7037829968</v>
      </c>
      <c r="H5042" s="10" t="s">
        <v>10997</v>
      </c>
      <c r="I5042" s="10" t="s">
        <v>145</v>
      </c>
      <c r="J5042" s="10" t="s">
        <v>7732</v>
      </c>
      <c r="K5042" s="12">
        <v>46028</v>
      </c>
      <c r="L5042" s="28" t="s">
        <v>11</v>
      </c>
      <c r="M5042" s="14"/>
      <c r="N5042" s="10" t="s">
        <v>1028</v>
      </c>
    </row>
    <row r="5043" spans="1:14" ht="22.5" customHeight="1">
      <c r="A5043" s="8">
        <v>46028.577648738428</v>
      </c>
      <c r="B5043" s="9" t="s">
        <v>14</v>
      </c>
      <c r="C5043" s="9" t="s">
        <v>15</v>
      </c>
      <c r="D5043" s="10" t="s">
        <v>10998</v>
      </c>
      <c r="E5043" s="9" t="s">
        <v>22</v>
      </c>
      <c r="F5043" s="18">
        <v>25</v>
      </c>
      <c r="G5043" s="11">
        <v>8159100817</v>
      </c>
      <c r="H5043" s="10" t="s">
        <v>10999</v>
      </c>
      <c r="I5043" s="10" t="s">
        <v>145</v>
      </c>
      <c r="J5043" s="10" t="s">
        <v>11000</v>
      </c>
      <c r="K5043" s="12">
        <v>46028</v>
      </c>
      <c r="L5043" s="28" t="s">
        <v>11</v>
      </c>
      <c r="M5043" s="14"/>
      <c r="N5043" s="10" t="s">
        <v>1028</v>
      </c>
    </row>
    <row r="5044" spans="1:14" ht="22.5" customHeight="1">
      <c r="A5044" s="8">
        <v>46028.578131724542</v>
      </c>
      <c r="B5044" s="9" t="s">
        <v>14</v>
      </c>
      <c r="C5044" s="9" t="s">
        <v>15</v>
      </c>
      <c r="D5044" s="10" t="s">
        <v>11001</v>
      </c>
      <c r="E5044" s="9" t="s">
        <v>17</v>
      </c>
      <c r="F5044" s="10">
        <v>29</v>
      </c>
      <c r="G5044" s="11">
        <v>9023693961</v>
      </c>
      <c r="H5044" s="10" t="s">
        <v>11002</v>
      </c>
      <c r="I5044" s="10" t="s">
        <v>45</v>
      </c>
      <c r="J5044" s="10" t="s">
        <v>5507</v>
      </c>
      <c r="K5044" s="12">
        <v>46028</v>
      </c>
      <c r="L5044" s="28" t="s">
        <v>11</v>
      </c>
      <c r="M5044" s="10"/>
      <c r="N5044" s="10" t="s">
        <v>4132</v>
      </c>
    </row>
    <row r="5045" spans="1:14" ht="22.5" customHeight="1">
      <c r="A5045" s="8">
        <v>46028.580975844903</v>
      </c>
      <c r="B5045" s="9" t="s">
        <v>14</v>
      </c>
      <c r="C5045" s="9" t="s">
        <v>15</v>
      </c>
      <c r="D5045" s="10" t="s">
        <v>11003</v>
      </c>
      <c r="E5045" s="9" t="s">
        <v>17</v>
      </c>
      <c r="F5045" s="10">
        <v>22</v>
      </c>
      <c r="G5045" s="11">
        <v>9126140105</v>
      </c>
      <c r="H5045" s="10" t="s">
        <v>11004</v>
      </c>
      <c r="I5045" s="10" t="s">
        <v>27</v>
      </c>
      <c r="J5045" s="10" t="s">
        <v>4419</v>
      </c>
      <c r="K5045" s="12">
        <v>46028</v>
      </c>
      <c r="L5045" s="28" t="s">
        <v>11</v>
      </c>
      <c r="M5045" s="14"/>
      <c r="N5045" s="10" t="s">
        <v>1028</v>
      </c>
    </row>
    <row r="5046" spans="1:14" ht="22.5" customHeight="1">
      <c r="A5046" s="8">
        <v>46028.583125428238</v>
      </c>
      <c r="B5046" s="9" t="s">
        <v>14</v>
      </c>
      <c r="C5046" s="9" t="s">
        <v>15</v>
      </c>
      <c r="D5046" s="10" t="s">
        <v>11005</v>
      </c>
      <c r="E5046" s="9" t="s">
        <v>17</v>
      </c>
      <c r="F5046" s="10">
        <v>28</v>
      </c>
      <c r="G5046" s="11">
        <f t="shared" ref="G5046" si="141">251942744720</f>
        <v>251942744720</v>
      </c>
      <c r="H5046" s="10" t="s">
        <v>11006</v>
      </c>
      <c r="I5046" s="10" t="s">
        <v>202</v>
      </c>
      <c r="J5046" s="10" t="s">
        <v>2809</v>
      </c>
      <c r="K5046" s="12">
        <v>46028</v>
      </c>
      <c r="L5046" s="28" t="s">
        <v>11</v>
      </c>
      <c r="M5046" s="14"/>
      <c r="N5046" s="10" t="s">
        <v>1140</v>
      </c>
    </row>
    <row r="5047" spans="1:14" ht="22.5" hidden="1" customHeight="1">
      <c r="A5047" s="8">
        <v>46028.584099120373</v>
      </c>
      <c r="B5047" s="9" t="s">
        <v>14</v>
      </c>
      <c r="C5047" s="9" t="s">
        <v>15</v>
      </c>
      <c r="D5047" s="10" t="s">
        <v>11007</v>
      </c>
      <c r="E5047" s="9" t="s">
        <v>22</v>
      </c>
      <c r="F5047" s="19">
        <v>20</v>
      </c>
      <c r="G5047" s="11">
        <v>9137227726</v>
      </c>
      <c r="H5047" s="10" t="s">
        <v>11008</v>
      </c>
      <c r="I5047" s="10" t="s">
        <v>19</v>
      </c>
      <c r="J5047" s="10" t="s">
        <v>3495</v>
      </c>
      <c r="K5047" s="12">
        <v>46028</v>
      </c>
      <c r="L5047" s="10" t="s">
        <v>441</v>
      </c>
      <c r="M5047" s="14"/>
      <c r="N5047" s="10" t="s">
        <v>1028</v>
      </c>
    </row>
    <row r="5048" spans="1:14" ht="22.5" customHeight="1">
      <c r="A5048" s="8">
        <v>46028.585573263888</v>
      </c>
      <c r="B5048" s="9" t="s">
        <v>14</v>
      </c>
      <c r="C5048" s="9" t="s">
        <v>15</v>
      </c>
      <c r="D5048" s="10" t="s">
        <v>11009</v>
      </c>
      <c r="E5048" s="9" t="s">
        <v>17</v>
      </c>
      <c r="F5048" s="10">
        <v>37</v>
      </c>
      <c r="G5048" s="11">
        <v>7068584434</v>
      </c>
      <c r="H5048" s="10" t="s">
        <v>11010</v>
      </c>
      <c r="I5048" s="10" t="s">
        <v>27</v>
      </c>
      <c r="J5048" s="10" t="s">
        <v>94</v>
      </c>
      <c r="K5048" s="12">
        <v>46028</v>
      </c>
      <c r="L5048" s="28" t="s">
        <v>11</v>
      </c>
      <c r="M5048" s="14"/>
      <c r="N5048" s="10" t="s">
        <v>1028</v>
      </c>
    </row>
    <row r="5049" spans="1:14" ht="22.5" customHeight="1">
      <c r="A5049" s="8">
        <v>46028.59048003472</v>
      </c>
      <c r="B5049" s="9" t="s">
        <v>14</v>
      </c>
      <c r="C5049" s="9" t="s">
        <v>15</v>
      </c>
      <c r="D5049" s="10" t="s">
        <v>11011</v>
      </c>
      <c r="E5049" s="9" t="s">
        <v>17</v>
      </c>
      <c r="F5049" s="10">
        <v>19</v>
      </c>
      <c r="G5049" s="11">
        <v>7031987872</v>
      </c>
      <c r="H5049" s="10" t="s">
        <v>11012</v>
      </c>
      <c r="I5049" s="10" t="s">
        <v>145</v>
      </c>
      <c r="J5049" s="10" t="s">
        <v>530</v>
      </c>
      <c r="K5049" s="12">
        <v>46028</v>
      </c>
      <c r="L5049" s="28" t="s">
        <v>11</v>
      </c>
      <c r="M5049" s="14"/>
      <c r="N5049" s="10" t="s">
        <v>1028</v>
      </c>
    </row>
    <row r="5050" spans="1:14" ht="22.5" customHeight="1">
      <c r="A5050" s="8">
        <v>46028.591301886576</v>
      </c>
      <c r="B5050" s="9" t="s">
        <v>14</v>
      </c>
      <c r="C5050" s="9" t="s">
        <v>15</v>
      </c>
      <c r="D5050" s="10" t="s">
        <v>11013</v>
      </c>
      <c r="E5050" s="9" t="s">
        <v>17</v>
      </c>
      <c r="F5050" s="10">
        <v>32</v>
      </c>
      <c r="G5050" s="11">
        <v>7030200219</v>
      </c>
      <c r="H5050" s="10" t="s">
        <v>11014</v>
      </c>
      <c r="I5050" s="10" t="s">
        <v>27</v>
      </c>
      <c r="J5050" s="10" t="s">
        <v>11015</v>
      </c>
      <c r="K5050" s="12">
        <v>46028</v>
      </c>
      <c r="L5050" s="28" t="s">
        <v>11</v>
      </c>
      <c r="M5050" s="14"/>
      <c r="N5050" s="10" t="s">
        <v>1096</v>
      </c>
    </row>
    <row r="5051" spans="1:14" ht="22.5" customHeight="1">
      <c r="A5051" s="8">
        <v>46028.591825972224</v>
      </c>
      <c r="B5051" s="9" t="s">
        <v>14</v>
      </c>
      <c r="C5051" s="9" t="s">
        <v>15</v>
      </c>
      <c r="D5051" s="10" t="s">
        <v>11016</v>
      </c>
      <c r="E5051" s="9" t="s">
        <v>17</v>
      </c>
      <c r="F5051" s="10">
        <v>32</v>
      </c>
      <c r="G5051" s="11">
        <v>8104641664</v>
      </c>
      <c r="H5051" s="10" t="s">
        <v>11017</v>
      </c>
      <c r="I5051" s="10" t="s">
        <v>45</v>
      </c>
      <c r="J5051" s="10" t="s">
        <v>100</v>
      </c>
      <c r="K5051" s="12">
        <v>46028</v>
      </c>
      <c r="L5051" s="28" t="s">
        <v>11</v>
      </c>
      <c r="M5051" s="14"/>
      <c r="N5051" s="10" t="s">
        <v>1028</v>
      </c>
    </row>
    <row r="5052" spans="1:14" ht="22.5" customHeight="1">
      <c r="A5052" s="8">
        <v>46028.592704768518</v>
      </c>
      <c r="B5052" s="9" t="s">
        <v>14</v>
      </c>
      <c r="C5052" s="9" t="s">
        <v>15</v>
      </c>
      <c r="D5052" s="10" t="s">
        <v>11018</v>
      </c>
      <c r="E5052" s="9" t="s">
        <v>17</v>
      </c>
      <c r="F5052" s="10">
        <v>25</v>
      </c>
      <c r="G5052" s="11">
        <v>9035119472</v>
      </c>
      <c r="H5052" s="10" t="s">
        <v>11019</v>
      </c>
      <c r="I5052" s="10" t="s">
        <v>45</v>
      </c>
      <c r="J5052" s="10" t="s">
        <v>901</v>
      </c>
      <c r="K5052" s="12">
        <v>46028</v>
      </c>
      <c r="L5052" s="28" t="s">
        <v>11</v>
      </c>
      <c r="M5052" s="14"/>
      <c r="N5052" s="10" t="s">
        <v>1096</v>
      </c>
    </row>
    <row r="5053" spans="1:14" ht="22.5" customHeight="1">
      <c r="A5053" s="8">
        <v>46028.593191863431</v>
      </c>
      <c r="B5053" s="9" t="s">
        <v>14</v>
      </c>
      <c r="C5053" s="9" t="s">
        <v>15</v>
      </c>
      <c r="D5053" s="10" t="s">
        <v>11020</v>
      </c>
      <c r="E5053" s="9" t="s">
        <v>22</v>
      </c>
      <c r="F5053" s="10">
        <v>26</v>
      </c>
      <c r="G5053" s="11">
        <v>9016088484</v>
      </c>
      <c r="H5053" s="10" t="s">
        <v>11021</v>
      </c>
      <c r="I5053" s="10" t="s">
        <v>45</v>
      </c>
      <c r="J5053" s="10" t="s">
        <v>287</v>
      </c>
      <c r="K5053" s="12">
        <v>46028</v>
      </c>
      <c r="L5053" s="28" t="s">
        <v>11</v>
      </c>
      <c r="M5053" s="14"/>
      <c r="N5053" s="10" t="s">
        <v>1028</v>
      </c>
    </row>
    <row r="5054" spans="1:14" ht="22.5" customHeight="1">
      <c r="A5054" s="8">
        <v>46028.594745648152</v>
      </c>
      <c r="B5054" s="9" t="s">
        <v>14</v>
      </c>
      <c r="C5054" s="9" t="s">
        <v>15</v>
      </c>
      <c r="D5054" s="10" t="s">
        <v>11022</v>
      </c>
      <c r="E5054" s="9" t="s">
        <v>17</v>
      </c>
      <c r="F5054" s="10">
        <v>23</v>
      </c>
      <c r="G5054" s="11">
        <v>8066690981</v>
      </c>
      <c r="H5054" s="10" t="s">
        <v>11023</v>
      </c>
      <c r="I5054" s="10" t="s">
        <v>45</v>
      </c>
      <c r="J5054" s="10" t="s">
        <v>11024</v>
      </c>
      <c r="K5054" s="12">
        <v>46028</v>
      </c>
      <c r="L5054" s="28" t="s">
        <v>11</v>
      </c>
      <c r="M5054" s="14"/>
      <c r="N5054" s="10" t="s">
        <v>1035</v>
      </c>
    </row>
    <row r="5055" spans="1:14" ht="22.5" customHeight="1">
      <c r="A5055" s="8">
        <v>46028.601816956019</v>
      </c>
      <c r="B5055" s="9" t="s">
        <v>14</v>
      </c>
      <c r="C5055" s="9" t="s">
        <v>15</v>
      </c>
      <c r="D5055" s="10" t="s">
        <v>11025</v>
      </c>
      <c r="E5055" s="9" t="s">
        <v>17</v>
      </c>
      <c r="F5055" s="10">
        <v>22</v>
      </c>
      <c r="G5055" s="11">
        <v>7049787440</v>
      </c>
      <c r="H5055" s="10" t="s">
        <v>11026</v>
      </c>
      <c r="I5055" s="10" t="s">
        <v>27</v>
      </c>
      <c r="J5055" s="10" t="s">
        <v>1456</v>
      </c>
      <c r="K5055" s="12">
        <v>46028</v>
      </c>
      <c r="L5055" s="28" t="s">
        <v>11</v>
      </c>
      <c r="M5055" s="14"/>
      <c r="N5055" s="10" t="s">
        <v>1096</v>
      </c>
    </row>
    <row r="5056" spans="1:14" ht="22.5" customHeight="1">
      <c r="A5056" s="8">
        <v>46028.604749467588</v>
      </c>
      <c r="B5056" s="9" t="s">
        <v>14</v>
      </c>
      <c r="C5056" s="9" t="s">
        <v>15</v>
      </c>
      <c r="D5056" s="10" t="s">
        <v>11027</v>
      </c>
      <c r="E5056" s="9" t="s">
        <v>17</v>
      </c>
      <c r="F5056" s="10">
        <v>33</v>
      </c>
      <c r="G5056" s="11">
        <v>8026452353</v>
      </c>
      <c r="H5056" s="10" t="s">
        <v>11028</v>
      </c>
      <c r="I5056" s="10" t="s">
        <v>45</v>
      </c>
      <c r="J5056" s="10" t="s">
        <v>2761</v>
      </c>
      <c r="K5056" s="12">
        <v>46028</v>
      </c>
      <c r="L5056" s="28" t="s">
        <v>11</v>
      </c>
      <c r="M5056" s="14"/>
      <c r="N5056" s="10" t="s">
        <v>1028</v>
      </c>
    </row>
    <row r="5057" spans="1:14" ht="22.5" customHeight="1">
      <c r="A5057" s="8">
        <v>46028.605066365737</v>
      </c>
      <c r="B5057" s="9" t="s">
        <v>14</v>
      </c>
      <c r="C5057" s="9" t="s">
        <v>15</v>
      </c>
      <c r="D5057" s="10" t="s">
        <v>11029</v>
      </c>
      <c r="E5057" s="9" t="s">
        <v>22</v>
      </c>
      <c r="F5057" s="10">
        <v>27</v>
      </c>
      <c r="G5057" s="11">
        <v>8105033139</v>
      </c>
      <c r="H5057" s="10" t="s">
        <v>11030</v>
      </c>
      <c r="I5057" s="10" t="s">
        <v>19</v>
      </c>
      <c r="J5057" s="10" t="s">
        <v>11031</v>
      </c>
      <c r="K5057" s="12">
        <v>46028</v>
      </c>
      <c r="L5057" s="28" t="s">
        <v>11</v>
      </c>
      <c r="M5057" s="14"/>
      <c r="N5057" s="10" t="s">
        <v>1028</v>
      </c>
    </row>
    <row r="5058" spans="1:14" ht="22.5" hidden="1" customHeight="1">
      <c r="A5058" s="8">
        <v>46028.606820520828</v>
      </c>
      <c r="B5058" s="9" t="s">
        <v>14</v>
      </c>
      <c r="C5058" s="9" t="s">
        <v>15</v>
      </c>
      <c r="D5058" s="10" t="s">
        <v>11032</v>
      </c>
      <c r="E5058" s="9" t="s">
        <v>17</v>
      </c>
      <c r="F5058" s="10">
        <v>16</v>
      </c>
      <c r="G5058" s="11">
        <v>8088156155</v>
      </c>
      <c r="H5058" s="10" t="s">
        <v>11033</v>
      </c>
      <c r="I5058" s="10" t="s">
        <v>27</v>
      </c>
      <c r="J5058" s="10" t="s">
        <v>9185</v>
      </c>
      <c r="K5058" s="12">
        <v>46028</v>
      </c>
      <c r="L5058" s="10" t="s">
        <v>441</v>
      </c>
      <c r="M5058" s="10" t="s">
        <v>1827</v>
      </c>
      <c r="N5058" s="10" t="s">
        <v>1096</v>
      </c>
    </row>
    <row r="5059" spans="1:14" ht="22.5" customHeight="1">
      <c r="A5059" s="8">
        <v>46028.617367673607</v>
      </c>
      <c r="B5059" s="9" t="s">
        <v>14</v>
      </c>
      <c r="C5059" s="9" t="s">
        <v>15</v>
      </c>
      <c r="D5059" s="10" t="s">
        <v>11034</v>
      </c>
      <c r="E5059" s="9" t="s">
        <v>17</v>
      </c>
      <c r="F5059" s="10">
        <v>25</v>
      </c>
      <c r="G5059" s="11">
        <v>7072197112</v>
      </c>
      <c r="H5059" s="10" t="s">
        <v>11035</v>
      </c>
      <c r="I5059" s="10" t="s">
        <v>49</v>
      </c>
      <c r="J5059" s="10" t="s">
        <v>181</v>
      </c>
      <c r="K5059" s="12">
        <v>46028</v>
      </c>
      <c r="L5059" s="28" t="s">
        <v>11</v>
      </c>
      <c r="M5059" s="14"/>
      <c r="N5059" s="10" t="s">
        <v>1096</v>
      </c>
    </row>
    <row r="5060" spans="1:14" ht="22.5" customHeight="1">
      <c r="A5060" s="8">
        <v>46028.622720659725</v>
      </c>
      <c r="B5060" s="9" t="s">
        <v>14</v>
      </c>
      <c r="C5060" s="9" t="s">
        <v>15</v>
      </c>
      <c r="D5060" s="10" t="s">
        <v>11036</v>
      </c>
      <c r="E5060" s="9" t="s">
        <v>17</v>
      </c>
      <c r="F5060" s="10">
        <v>30</v>
      </c>
      <c r="G5060" s="11">
        <v>9054224787</v>
      </c>
      <c r="H5060" s="10" t="s">
        <v>11037</v>
      </c>
      <c r="I5060" s="10" t="s">
        <v>27</v>
      </c>
      <c r="J5060" s="10" t="s">
        <v>372</v>
      </c>
      <c r="K5060" s="12">
        <v>46028</v>
      </c>
      <c r="L5060" s="28" t="s">
        <v>11</v>
      </c>
      <c r="M5060" s="14"/>
      <c r="N5060" s="10" t="s">
        <v>1028</v>
      </c>
    </row>
    <row r="5061" spans="1:14" ht="22.5" customHeight="1">
      <c r="A5061" s="8">
        <v>46028.627552708334</v>
      </c>
      <c r="B5061" s="9" t="s">
        <v>14</v>
      </c>
      <c r="C5061" s="9" t="s">
        <v>15</v>
      </c>
      <c r="D5061" s="10" t="s">
        <v>11038</v>
      </c>
      <c r="E5061" s="9" t="s">
        <v>22</v>
      </c>
      <c r="F5061" s="10">
        <v>26</v>
      </c>
      <c r="G5061" s="11">
        <v>8104498870</v>
      </c>
      <c r="H5061" s="10" t="s">
        <v>11039</v>
      </c>
      <c r="I5061" s="10" t="s">
        <v>45</v>
      </c>
      <c r="J5061" s="10" t="s">
        <v>169</v>
      </c>
      <c r="K5061" s="12">
        <v>46028</v>
      </c>
      <c r="L5061" s="28" t="s">
        <v>11</v>
      </c>
      <c r="M5061" s="14"/>
      <c r="N5061" s="10" t="s">
        <v>1028</v>
      </c>
    </row>
    <row r="5062" spans="1:14" ht="22.5" customHeight="1">
      <c r="A5062" s="8">
        <v>46028.627732280089</v>
      </c>
      <c r="B5062" s="9" t="s">
        <v>14</v>
      </c>
      <c r="C5062" s="9" t="s">
        <v>15</v>
      </c>
      <c r="D5062" s="10" t="s">
        <v>11040</v>
      </c>
      <c r="E5062" s="9" t="s">
        <v>17</v>
      </c>
      <c r="F5062" s="10">
        <v>18</v>
      </c>
      <c r="G5062" s="11">
        <v>7026514331</v>
      </c>
      <c r="H5062" s="10" t="s">
        <v>11041</v>
      </c>
      <c r="I5062" s="10" t="s">
        <v>27</v>
      </c>
      <c r="J5062" s="10" t="s">
        <v>1456</v>
      </c>
      <c r="K5062" s="12">
        <v>46028</v>
      </c>
      <c r="L5062" s="28" t="s">
        <v>11</v>
      </c>
      <c r="M5062" s="14"/>
      <c r="N5062" s="10" t="s">
        <v>1096</v>
      </c>
    </row>
    <row r="5063" spans="1:14" ht="22.5" customHeight="1">
      <c r="A5063" s="8">
        <v>46028.629114027775</v>
      </c>
      <c r="B5063" s="9" t="s">
        <v>14</v>
      </c>
      <c r="C5063" s="9" t="s">
        <v>15</v>
      </c>
      <c r="D5063" s="10" t="s">
        <v>11042</v>
      </c>
      <c r="E5063" s="9" t="s">
        <v>22</v>
      </c>
      <c r="F5063" s="10">
        <v>23</v>
      </c>
      <c r="G5063" s="11">
        <v>8124364662</v>
      </c>
      <c r="H5063" s="10" t="s">
        <v>11043</v>
      </c>
      <c r="I5063" s="10" t="s">
        <v>49</v>
      </c>
      <c r="J5063" s="10" t="s">
        <v>106</v>
      </c>
      <c r="K5063" s="12">
        <v>46028</v>
      </c>
      <c r="L5063" s="28" t="s">
        <v>11</v>
      </c>
      <c r="M5063" s="14"/>
      <c r="N5063" s="10" t="s">
        <v>1096</v>
      </c>
    </row>
    <row r="5064" spans="1:14" ht="22.5" customHeight="1">
      <c r="A5064" s="8">
        <v>46028.630073946755</v>
      </c>
      <c r="B5064" s="9" t="s">
        <v>14</v>
      </c>
      <c r="C5064" s="9" t="s">
        <v>15</v>
      </c>
      <c r="D5064" s="10" t="s">
        <v>11044</v>
      </c>
      <c r="E5064" s="9" t="s">
        <v>22</v>
      </c>
      <c r="F5064" s="10">
        <v>26</v>
      </c>
      <c r="G5064" s="11">
        <v>8123244190</v>
      </c>
      <c r="H5064" s="10" t="s">
        <v>11045</v>
      </c>
      <c r="I5064" s="10" t="s">
        <v>45</v>
      </c>
      <c r="J5064" s="10" t="s">
        <v>439</v>
      </c>
      <c r="K5064" s="12">
        <v>46028</v>
      </c>
      <c r="L5064" s="28" t="s">
        <v>11</v>
      </c>
      <c r="M5064" s="14"/>
      <c r="N5064" s="10" t="s">
        <v>11046</v>
      </c>
    </row>
    <row r="5065" spans="1:14" ht="22.5" customHeight="1">
      <c r="A5065" s="8">
        <v>46028.632726076394</v>
      </c>
      <c r="B5065" s="9" t="s">
        <v>14</v>
      </c>
      <c r="C5065" s="9" t="s">
        <v>15</v>
      </c>
      <c r="D5065" s="10" t="s">
        <v>11047</v>
      </c>
      <c r="E5065" s="9" t="s">
        <v>17</v>
      </c>
      <c r="F5065" s="10">
        <v>26</v>
      </c>
      <c r="G5065" s="11">
        <v>8073068350</v>
      </c>
      <c r="H5065" s="10" t="s">
        <v>11048</v>
      </c>
      <c r="I5065" s="10" t="s">
        <v>202</v>
      </c>
      <c r="J5065" s="10" t="s">
        <v>3396</v>
      </c>
      <c r="K5065" s="12">
        <v>46028</v>
      </c>
      <c r="L5065" s="28" t="s">
        <v>11</v>
      </c>
      <c r="M5065" s="14"/>
      <c r="N5065" s="10" t="s">
        <v>1028</v>
      </c>
    </row>
    <row r="5066" spans="1:14" ht="22.5" customHeight="1">
      <c r="A5066" s="8">
        <v>46028.643137314815</v>
      </c>
      <c r="B5066" s="9" t="s">
        <v>14</v>
      </c>
      <c r="C5066" s="9" t="s">
        <v>15</v>
      </c>
      <c r="D5066" s="10" t="s">
        <v>11049</v>
      </c>
      <c r="E5066" s="9" t="s">
        <v>17</v>
      </c>
      <c r="F5066" s="10">
        <v>28</v>
      </c>
      <c r="G5066" s="11">
        <v>8099352152</v>
      </c>
      <c r="H5066" s="10" t="s">
        <v>11050</v>
      </c>
      <c r="I5066" s="10" t="s">
        <v>202</v>
      </c>
      <c r="J5066" s="10" t="s">
        <v>4651</v>
      </c>
      <c r="K5066" s="12">
        <v>46028</v>
      </c>
      <c r="L5066" s="28" t="s">
        <v>11</v>
      </c>
      <c r="M5066" s="14"/>
      <c r="N5066" s="10" t="s">
        <v>1028</v>
      </c>
    </row>
    <row r="5067" spans="1:14" ht="22.5" customHeight="1">
      <c r="A5067" s="8">
        <v>46028.645283333331</v>
      </c>
      <c r="B5067" s="9" t="s">
        <v>14</v>
      </c>
      <c r="C5067" s="9" t="s">
        <v>15</v>
      </c>
      <c r="D5067" s="10" t="s">
        <v>11051</v>
      </c>
      <c r="E5067" s="9" t="s">
        <v>17</v>
      </c>
      <c r="F5067" s="10">
        <v>30</v>
      </c>
      <c r="G5067" s="11">
        <v>8107208648</v>
      </c>
      <c r="H5067" s="10" t="s">
        <v>11052</v>
      </c>
      <c r="I5067" s="10" t="s">
        <v>45</v>
      </c>
      <c r="J5067" s="10" t="s">
        <v>11053</v>
      </c>
      <c r="K5067" s="12">
        <v>46028</v>
      </c>
      <c r="L5067" s="28" t="s">
        <v>11</v>
      </c>
      <c r="M5067" s="10"/>
      <c r="N5067" s="10" t="s">
        <v>1028</v>
      </c>
    </row>
    <row r="5068" spans="1:14" ht="22.5" customHeight="1">
      <c r="A5068" s="8">
        <v>46028.649297442127</v>
      </c>
      <c r="B5068" s="9" t="s">
        <v>14</v>
      </c>
      <c r="C5068" s="9" t="s">
        <v>15</v>
      </c>
      <c r="D5068" s="10" t="s">
        <v>11054</v>
      </c>
      <c r="E5068" s="9" t="s">
        <v>22</v>
      </c>
      <c r="F5068" s="10">
        <v>46</v>
      </c>
      <c r="G5068" s="11">
        <v>2290197081410</v>
      </c>
      <c r="H5068" s="10" t="s">
        <v>11055</v>
      </c>
      <c r="I5068" s="10" t="s">
        <v>19</v>
      </c>
      <c r="J5068" s="10" t="s">
        <v>11056</v>
      </c>
      <c r="K5068" s="12">
        <v>46028</v>
      </c>
      <c r="L5068" s="28" t="s">
        <v>11</v>
      </c>
      <c r="M5068" s="14"/>
      <c r="N5068" s="10" t="s">
        <v>11057</v>
      </c>
    </row>
    <row r="5069" spans="1:14" ht="22.5" customHeight="1">
      <c r="A5069" s="8">
        <v>46028.650913657402</v>
      </c>
      <c r="B5069" s="9" t="s">
        <v>14</v>
      </c>
      <c r="C5069" s="9" t="s">
        <v>15</v>
      </c>
      <c r="D5069" s="10" t="s">
        <v>11058</v>
      </c>
      <c r="E5069" s="9" t="s">
        <v>17</v>
      </c>
      <c r="F5069" s="10">
        <v>37</v>
      </c>
      <c r="G5069" s="11">
        <v>9018989530</v>
      </c>
      <c r="H5069" s="10" t="s">
        <v>11059</v>
      </c>
      <c r="I5069" s="10" t="s">
        <v>19</v>
      </c>
      <c r="J5069" s="10" t="s">
        <v>11060</v>
      </c>
      <c r="K5069" s="12">
        <v>46028</v>
      </c>
      <c r="L5069" s="28" t="s">
        <v>11</v>
      </c>
      <c r="M5069" s="14"/>
      <c r="N5069" s="10" t="s">
        <v>1028</v>
      </c>
    </row>
    <row r="5070" spans="1:14" ht="22.5" customHeight="1">
      <c r="A5070" s="8">
        <v>46028.653511261575</v>
      </c>
      <c r="B5070" s="9" t="s">
        <v>14</v>
      </c>
      <c r="C5070" s="9" t="s">
        <v>15</v>
      </c>
      <c r="D5070" s="10" t="s">
        <v>11061</v>
      </c>
      <c r="E5070" s="9" t="s">
        <v>22</v>
      </c>
      <c r="F5070" s="10">
        <v>28</v>
      </c>
      <c r="G5070" s="11">
        <v>7034345314</v>
      </c>
      <c r="H5070" s="10" t="s">
        <v>11062</v>
      </c>
      <c r="I5070" s="10" t="s">
        <v>19</v>
      </c>
      <c r="J5070" s="10" t="s">
        <v>812</v>
      </c>
      <c r="K5070" s="12">
        <v>46028</v>
      </c>
      <c r="L5070" s="28" t="s">
        <v>11</v>
      </c>
      <c r="M5070" s="14"/>
      <c r="N5070" s="10" t="s">
        <v>1028</v>
      </c>
    </row>
    <row r="5071" spans="1:14" ht="22.5" customHeight="1">
      <c r="A5071" s="8">
        <v>46028.654228796295</v>
      </c>
      <c r="B5071" s="9" t="s">
        <v>14</v>
      </c>
      <c r="C5071" s="9" t="s">
        <v>15</v>
      </c>
      <c r="D5071" s="10" t="s">
        <v>11063</v>
      </c>
      <c r="E5071" s="9" t="s">
        <v>17</v>
      </c>
      <c r="F5071" s="10">
        <v>24</v>
      </c>
      <c r="G5071" s="11">
        <v>8118337475</v>
      </c>
      <c r="H5071" s="10" t="s">
        <v>11064</v>
      </c>
      <c r="I5071" s="10" t="s">
        <v>45</v>
      </c>
      <c r="J5071" s="10" t="s">
        <v>521</v>
      </c>
      <c r="K5071" s="12">
        <v>46028</v>
      </c>
      <c r="L5071" s="28" t="s">
        <v>11</v>
      </c>
      <c r="M5071" s="10"/>
      <c r="N5071" s="10" t="s">
        <v>1096</v>
      </c>
    </row>
    <row r="5072" spans="1:14" ht="22.5" customHeight="1">
      <c r="A5072" s="8">
        <v>46028.658819004631</v>
      </c>
      <c r="B5072" s="9" t="s">
        <v>14</v>
      </c>
      <c r="C5072" s="9" t="s">
        <v>15</v>
      </c>
      <c r="D5072" s="10" t="s">
        <v>11065</v>
      </c>
      <c r="E5072" s="9" t="s">
        <v>17</v>
      </c>
      <c r="F5072" s="10">
        <v>33</v>
      </c>
      <c r="G5072" s="11">
        <v>8074995984</v>
      </c>
      <c r="H5072" s="10" t="s">
        <v>11066</v>
      </c>
      <c r="I5072" s="10" t="s">
        <v>49</v>
      </c>
      <c r="J5072" s="10" t="s">
        <v>1853</v>
      </c>
      <c r="K5072" s="12">
        <v>46028</v>
      </c>
      <c r="L5072" s="28" t="s">
        <v>11</v>
      </c>
      <c r="M5072" s="14"/>
      <c r="N5072" s="10" t="s">
        <v>1028</v>
      </c>
    </row>
    <row r="5073" spans="1:14" ht="22.5" customHeight="1">
      <c r="A5073" s="8">
        <v>46028.672562569445</v>
      </c>
      <c r="B5073" s="9" t="s">
        <v>14</v>
      </c>
      <c r="C5073" s="9" t="s">
        <v>15</v>
      </c>
      <c r="D5073" s="10" t="s">
        <v>2024</v>
      </c>
      <c r="E5073" s="9" t="s">
        <v>17</v>
      </c>
      <c r="F5073" s="10">
        <v>22</v>
      </c>
      <c r="G5073" s="11">
        <v>9076368412</v>
      </c>
      <c r="H5073" s="10" t="s">
        <v>2025</v>
      </c>
      <c r="I5073" s="10" t="s">
        <v>45</v>
      </c>
      <c r="J5073" s="10" t="s">
        <v>1191</v>
      </c>
      <c r="K5073" s="12">
        <v>46028</v>
      </c>
      <c r="L5073" s="28" t="s">
        <v>11</v>
      </c>
      <c r="M5073" s="14"/>
      <c r="N5073" s="10" t="s">
        <v>1028</v>
      </c>
    </row>
    <row r="5074" spans="1:14" ht="22.5" customHeight="1">
      <c r="A5074" s="8">
        <v>46028.678641261577</v>
      </c>
      <c r="B5074" s="9" t="s">
        <v>14</v>
      </c>
      <c r="C5074" s="9" t="s">
        <v>15</v>
      </c>
      <c r="D5074" s="10" t="s">
        <v>11067</v>
      </c>
      <c r="E5074" s="9" t="s">
        <v>22</v>
      </c>
      <c r="F5074" s="10">
        <v>26</v>
      </c>
      <c r="G5074" s="11">
        <v>7067464498</v>
      </c>
      <c r="H5074" s="10" t="s">
        <v>11068</v>
      </c>
      <c r="I5074" s="10" t="s">
        <v>45</v>
      </c>
      <c r="J5074" s="10" t="s">
        <v>11069</v>
      </c>
      <c r="K5074" s="12">
        <v>46028</v>
      </c>
      <c r="L5074" s="28" t="s">
        <v>11</v>
      </c>
      <c r="M5074" s="14"/>
      <c r="N5074" s="10" t="s">
        <v>1028</v>
      </c>
    </row>
    <row r="5075" spans="1:14" ht="22.5" customHeight="1">
      <c r="A5075" s="8">
        <v>46028.680969537032</v>
      </c>
      <c r="B5075" s="9" t="s">
        <v>14</v>
      </c>
      <c r="C5075" s="9" t="s">
        <v>15</v>
      </c>
      <c r="D5075" s="10" t="s">
        <v>11070</v>
      </c>
      <c r="E5075" s="9" t="s">
        <v>17</v>
      </c>
      <c r="F5075" s="10">
        <v>24</v>
      </c>
      <c r="G5075" s="11">
        <v>2347037139077</v>
      </c>
      <c r="H5075" s="10" t="s">
        <v>11071</v>
      </c>
      <c r="I5075" s="10" t="s">
        <v>45</v>
      </c>
      <c r="J5075" s="10" t="s">
        <v>84</v>
      </c>
      <c r="K5075" s="12">
        <v>46028</v>
      </c>
      <c r="L5075" s="28" t="s">
        <v>11</v>
      </c>
      <c r="M5075" s="14"/>
      <c r="N5075" s="10" t="s">
        <v>1028</v>
      </c>
    </row>
    <row r="5076" spans="1:14" ht="22.5" customHeight="1">
      <c r="A5076" s="8">
        <v>46028.688644548616</v>
      </c>
      <c r="B5076" s="9" t="s">
        <v>14</v>
      </c>
      <c r="C5076" s="9" t="s">
        <v>15</v>
      </c>
      <c r="D5076" s="10" t="s">
        <v>11072</v>
      </c>
      <c r="E5076" s="9" t="s">
        <v>17</v>
      </c>
      <c r="F5076" s="10">
        <v>31</v>
      </c>
      <c r="G5076" s="11">
        <f>2348103690564</f>
        <v>2348103690564</v>
      </c>
      <c r="H5076" s="10" t="s">
        <v>11073</v>
      </c>
      <c r="I5076" s="10" t="s">
        <v>45</v>
      </c>
      <c r="J5076" s="10" t="s">
        <v>1919</v>
      </c>
      <c r="K5076" s="12">
        <v>46028</v>
      </c>
      <c r="L5076" s="28" t="s">
        <v>11</v>
      </c>
      <c r="M5076" s="14"/>
      <c r="N5076" s="10" t="s">
        <v>1028</v>
      </c>
    </row>
    <row r="5077" spans="1:14" ht="22.5" customHeight="1">
      <c r="A5077" s="8">
        <v>46028.70969398148</v>
      </c>
      <c r="B5077" s="9" t="s">
        <v>14</v>
      </c>
      <c r="C5077" s="9" t="s">
        <v>15</v>
      </c>
      <c r="D5077" s="10" t="s">
        <v>7490</v>
      </c>
      <c r="E5077" s="9" t="s">
        <v>17</v>
      </c>
      <c r="F5077" s="10">
        <v>26</v>
      </c>
      <c r="G5077" s="11">
        <v>9035056417</v>
      </c>
      <c r="H5077" s="10" t="s">
        <v>7491</v>
      </c>
      <c r="I5077" s="10" t="s">
        <v>19</v>
      </c>
      <c r="J5077" s="10" t="s">
        <v>7492</v>
      </c>
      <c r="K5077" s="12">
        <v>46028</v>
      </c>
      <c r="L5077" s="28" t="s">
        <v>11</v>
      </c>
      <c r="M5077" s="14"/>
      <c r="N5077" s="10" t="s">
        <v>1028</v>
      </c>
    </row>
    <row r="5078" spans="1:14" ht="22.5" customHeight="1">
      <c r="A5078" s="8">
        <v>46028.73142517361</v>
      </c>
      <c r="B5078" s="9" t="s">
        <v>14</v>
      </c>
      <c r="C5078" s="9" t="s">
        <v>15</v>
      </c>
      <c r="D5078" s="10" t="s">
        <v>11074</v>
      </c>
      <c r="E5078" s="9" t="s">
        <v>22</v>
      </c>
      <c r="F5078" s="10">
        <v>27</v>
      </c>
      <c r="G5078" s="11">
        <v>7051908103</v>
      </c>
      <c r="H5078" s="10" t="s">
        <v>11075</v>
      </c>
      <c r="I5078" s="10" t="s">
        <v>27</v>
      </c>
      <c r="J5078" s="10" t="s">
        <v>27</v>
      </c>
      <c r="K5078" s="12">
        <v>46028</v>
      </c>
      <c r="L5078" s="28" t="s">
        <v>11</v>
      </c>
      <c r="M5078" s="14"/>
      <c r="N5078" s="10" t="s">
        <v>2482</v>
      </c>
    </row>
    <row r="5079" spans="1:14" ht="22.5" customHeight="1">
      <c r="A5079" s="8">
        <v>46028.737790925923</v>
      </c>
      <c r="B5079" s="9" t="s">
        <v>14</v>
      </c>
      <c r="C5079" s="9" t="s">
        <v>15</v>
      </c>
      <c r="D5079" s="10" t="s">
        <v>11076</v>
      </c>
      <c r="E5079" s="9" t="s">
        <v>17</v>
      </c>
      <c r="F5079" s="10">
        <v>25</v>
      </c>
      <c r="G5079" s="11">
        <v>8104544770</v>
      </c>
      <c r="H5079" s="10" t="s">
        <v>11077</v>
      </c>
      <c r="I5079" s="10" t="s">
        <v>27</v>
      </c>
      <c r="J5079" s="10" t="s">
        <v>3797</v>
      </c>
      <c r="K5079" s="12">
        <v>46028</v>
      </c>
      <c r="L5079" s="28" t="s">
        <v>11</v>
      </c>
      <c r="M5079" s="10"/>
      <c r="N5079" s="10" t="s">
        <v>1028</v>
      </c>
    </row>
    <row r="5080" spans="1:14" ht="22.5" customHeight="1">
      <c r="A5080" s="8">
        <v>46028.740903287035</v>
      </c>
      <c r="B5080" s="9" t="s">
        <v>14</v>
      </c>
      <c r="C5080" s="9" t="s">
        <v>15</v>
      </c>
      <c r="D5080" s="10" t="s">
        <v>11078</v>
      </c>
      <c r="E5080" s="9" t="s">
        <v>17</v>
      </c>
      <c r="F5080" s="10">
        <v>23</v>
      </c>
      <c r="G5080" s="11">
        <v>9136195724</v>
      </c>
      <c r="H5080" s="10" t="s">
        <v>11079</v>
      </c>
      <c r="I5080" s="10" t="s">
        <v>27</v>
      </c>
      <c r="J5080" s="10" t="s">
        <v>703</v>
      </c>
      <c r="K5080" s="12">
        <v>46028</v>
      </c>
      <c r="L5080" s="28" t="s">
        <v>11</v>
      </c>
      <c r="M5080" s="14"/>
      <c r="N5080" s="10" t="s">
        <v>1028</v>
      </c>
    </row>
    <row r="5081" spans="1:14" ht="22.5" hidden="1" customHeight="1">
      <c r="A5081" s="8">
        <v>46028.747712083336</v>
      </c>
      <c r="B5081" s="9" t="s">
        <v>14</v>
      </c>
      <c r="C5081" s="9" t="s">
        <v>15</v>
      </c>
      <c r="D5081" s="10" t="s">
        <v>11080</v>
      </c>
      <c r="E5081" s="9" t="s">
        <v>22</v>
      </c>
      <c r="F5081" s="10">
        <v>23</v>
      </c>
      <c r="G5081" s="11">
        <v>8114570155</v>
      </c>
      <c r="H5081" s="10" t="s">
        <v>11081</v>
      </c>
      <c r="I5081" s="10" t="s">
        <v>27</v>
      </c>
      <c r="J5081" s="10" t="s">
        <v>11082</v>
      </c>
      <c r="K5081" s="12">
        <v>46028</v>
      </c>
      <c r="L5081" s="10" t="s">
        <v>441</v>
      </c>
      <c r="M5081" s="10" t="s">
        <v>11083</v>
      </c>
      <c r="N5081" s="10" t="s">
        <v>1028</v>
      </c>
    </row>
    <row r="5082" spans="1:14" ht="22.5" customHeight="1">
      <c r="A5082" s="8">
        <v>46028.749023298617</v>
      </c>
      <c r="B5082" s="9" t="s">
        <v>14</v>
      </c>
      <c r="C5082" s="9" t="s">
        <v>15</v>
      </c>
      <c r="D5082" s="10" t="s">
        <v>11084</v>
      </c>
      <c r="E5082" s="9" t="s">
        <v>17</v>
      </c>
      <c r="F5082" s="18">
        <v>32</v>
      </c>
      <c r="G5082" s="11">
        <v>8145781398</v>
      </c>
      <c r="H5082" s="10" t="s">
        <v>11085</v>
      </c>
      <c r="I5082" s="10" t="s">
        <v>19</v>
      </c>
      <c r="J5082" s="10" t="s">
        <v>3495</v>
      </c>
      <c r="K5082" s="12">
        <v>46028</v>
      </c>
      <c r="L5082" s="28" t="s">
        <v>11</v>
      </c>
      <c r="M5082" s="14"/>
      <c r="N5082" s="10" t="s">
        <v>1028</v>
      </c>
    </row>
    <row r="5083" spans="1:14" ht="22.5" customHeight="1">
      <c r="A5083" s="8">
        <v>46028.753146782408</v>
      </c>
      <c r="B5083" s="9" t="s">
        <v>14</v>
      </c>
      <c r="C5083" s="9" t="s">
        <v>15</v>
      </c>
      <c r="D5083" s="10" t="s">
        <v>11086</v>
      </c>
      <c r="E5083" s="9" t="s">
        <v>22</v>
      </c>
      <c r="F5083" s="19">
        <v>24</v>
      </c>
      <c r="G5083" s="11">
        <v>8132833008</v>
      </c>
      <c r="H5083" s="10" t="s">
        <v>11087</v>
      </c>
      <c r="I5083" s="10" t="s">
        <v>45</v>
      </c>
      <c r="J5083" s="10" t="s">
        <v>287</v>
      </c>
      <c r="K5083" s="12">
        <v>46028</v>
      </c>
      <c r="L5083" s="28" t="s">
        <v>11</v>
      </c>
      <c r="M5083" s="14"/>
      <c r="N5083" s="10" t="s">
        <v>1028</v>
      </c>
    </row>
    <row r="5084" spans="1:14" ht="22.5" customHeight="1">
      <c r="A5084" s="8">
        <v>46028.771931377312</v>
      </c>
      <c r="B5084" s="9" t="s">
        <v>14</v>
      </c>
      <c r="C5084" s="9" t="s">
        <v>15</v>
      </c>
      <c r="D5084" s="10" t="s">
        <v>11088</v>
      </c>
      <c r="E5084" s="9" t="s">
        <v>17</v>
      </c>
      <c r="F5084" s="10">
        <v>22</v>
      </c>
      <c r="G5084" s="11">
        <v>7058380852</v>
      </c>
      <c r="H5084" s="10" t="s">
        <v>11089</v>
      </c>
      <c r="I5084" s="10" t="s">
        <v>45</v>
      </c>
      <c r="J5084" s="10" t="s">
        <v>1919</v>
      </c>
      <c r="K5084" s="12">
        <v>46028</v>
      </c>
      <c r="L5084" s="28" t="s">
        <v>11</v>
      </c>
      <c r="M5084" s="14"/>
      <c r="N5084" s="10" t="s">
        <v>1028</v>
      </c>
    </row>
    <row r="5085" spans="1:14" ht="22.5" customHeight="1">
      <c r="A5085" s="8">
        <v>46028.778828541668</v>
      </c>
      <c r="B5085" s="9" t="s">
        <v>14</v>
      </c>
      <c r="C5085" s="9" t="s">
        <v>15</v>
      </c>
      <c r="D5085" s="10" t="s">
        <v>11090</v>
      </c>
      <c r="E5085" s="9" t="s">
        <v>22</v>
      </c>
      <c r="F5085" s="10">
        <v>32</v>
      </c>
      <c r="G5085" s="11">
        <v>7061382526</v>
      </c>
      <c r="H5085" s="10" t="s">
        <v>11091</v>
      </c>
      <c r="I5085" s="10" t="s">
        <v>202</v>
      </c>
      <c r="J5085" s="10" t="s">
        <v>4020</v>
      </c>
      <c r="K5085" s="12">
        <v>46028</v>
      </c>
      <c r="L5085" s="28" t="s">
        <v>11</v>
      </c>
      <c r="M5085" s="14"/>
      <c r="N5085" s="10" t="s">
        <v>1028</v>
      </c>
    </row>
    <row r="5086" spans="1:14" ht="22.5" customHeight="1">
      <c r="A5086" s="8">
        <v>46028.780091898152</v>
      </c>
      <c r="B5086" s="9" t="s">
        <v>14</v>
      </c>
      <c r="C5086" s="9" t="s">
        <v>15</v>
      </c>
      <c r="D5086" s="10" t="s">
        <v>11092</v>
      </c>
      <c r="E5086" s="9" t="s">
        <v>17</v>
      </c>
      <c r="F5086" s="18">
        <v>23</v>
      </c>
      <c r="G5086" s="11">
        <v>9078811775</v>
      </c>
      <c r="H5086" s="10" t="s">
        <v>11093</v>
      </c>
      <c r="I5086" s="10" t="s">
        <v>19</v>
      </c>
      <c r="J5086" s="10" t="s">
        <v>11094</v>
      </c>
      <c r="K5086" s="12">
        <v>46028</v>
      </c>
      <c r="L5086" s="28" t="s">
        <v>11</v>
      </c>
      <c r="M5086" s="14"/>
      <c r="N5086" s="10" t="s">
        <v>1096</v>
      </c>
    </row>
    <row r="5087" spans="1:14" ht="22.5" customHeight="1">
      <c r="A5087" s="8">
        <v>46028.795865034721</v>
      </c>
      <c r="B5087" s="9" t="s">
        <v>14</v>
      </c>
      <c r="C5087" s="9" t="s">
        <v>15</v>
      </c>
      <c r="D5087" s="10" t="s">
        <v>11095</v>
      </c>
      <c r="E5087" s="9" t="s">
        <v>22</v>
      </c>
      <c r="F5087" s="19">
        <v>27</v>
      </c>
      <c r="G5087" s="11">
        <v>7049391088</v>
      </c>
      <c r="H5087" s="10" t="s">
        <v>11096</v>
      </c>
      <c r="I5087" s="10" t="s">
        <v>49</v>
      </c>
      <c r="J5087" s="10" t="s">
        <v>73</v>
      </c>
      <c r="K5087" s="12">
        <v>46028</v>
      </c>
      <c r="L5087" s="28" t="s">
        <v>11</v>
      </c>
      <c r="M5087" s="14"/>
      <c r="N5087" s="10" t="s">
        <v>11097</v>
      </c>
    </row>
    <row r="5088" spans="1:14" ht="22.5" customHeight="1">
      <c r="A5088" s="8">
        <v>46028.801158912036</v>
      </c>
      <c r="B5088" s="9" t="s">
        <v>14</v>
      </c>
      <c r="C5088" s="9" t="s">
        <v>15</v>
      </c>
      <c r="D5088" s="10" t="s">
        <v>11098</v>
      </c>
      <c r="E5088" s="9" t="s">
        <v>22</v>
      </c>
      <c r="F5088" s="10">
        <v>22</v>
      </c>
      <c r="G5088" s="11">
        <v>9040443638</v>
      </c>
      <c r="H5088" s="10" t="s">
        <v>11099</v>
      </c>
      <c r="I5088" s="10" t="s">
        <v>45</v>
      </c>
      <c r="J5088" s="10" t="s">
        <v>3914</v>
      </c>
      <c r="K5088" s="12">
        <v>37910</v>
      </c>
      <c r="L5088" s="28" t="s">
        <v>11</v>
      </c>
      <c r="M5088" s="14"/>
      <c r="N5088" s="10" t="s">
        <v>1028</v>
      </c>
    </row>
    <row r="5089" spans="1:14" ht="22.5" customHeight="1">
      <c r="A5089" s="8">
        <v>46028.802042453703</v>
      </c>
      <c r="B5089" s="9" t="s">
        <v>14</v>
      </c>
      <c r="C5089" s="9" t="s">
        <v>15</v>
      </c>
      <c r="D5089" s="10" t="s">
        <v>11100</v>
      </c>
      <c r="E5089" s="9" t="s">
        <v>17</v>
      </c>
      <c r="F5089" s="10">
        <v>25</v>
      </c>
      <c r="G5089" s="11">
        <v>9033183313</v>
      </c>
      <c r="H5089" s="10" t="s">
        <v>11101</v>
      </c>
      <c r="I5089" s="10" t="s">
        <v>19</v>
      </c>
      <c r="J5089" s="10" t="s">
        <v>8560</v>
      </c>
      <c r="K5089" s="12">
        <v>46028</v>
      </c>
      <c r="L5089" s="28" t="s">
        <v>11</v>
      </c>
      <c r="M5089" s="14"/>
      <c r="N5089" s="10" t="s">
        <v>1028</v>
      </c>
    </row>
    <row r="5090" spans="1:14" ht="22.5" customHeight="1">
      <c r="A5090" s="8">
        <v>46028.804109398145</v>
      </c>
      <c r="B5090" s="9" t="s">
        <v>14</v>
      </c>
      <c r="C5090" s="9" t="s">
        <v>15</v>
      </c>
      <c r="D5090" s="10" t="s">
        <v>11102</v>
      </c>
      <c r="E5090" s="9" t="s">
        <v>22</v>
      </c>
      <c r="F5090" s="10">
        <v>40</v>
      </c>
      <c r="G5090" s="11">
        <v>7039783735</v>
      </c>
      <c r="H5090" s="10" t="s">
        <v>11103</v>
      </c>
      <c r="I5090" s="10" t="s">
        <v>145</v>
      </c>
      <c r="J5090" s="10" t="s">
        <v>1717</v>
      </c>
      <c r="K5090" s="12">
        <v>46028</v>
      </c>
      <c r="L5090" s="28" t="s">
        <v>11</v>
      </c>
      <c r="M5090" s="14"/>
      <c r="N5090" s="10" t="s">
        <v>1028</v>
      </c>
    </row>
    <row r="5091" spans="1:14" ht="22.5" customHeight="1">
      <c r="A5091" s="8">
        <v>46028.810742245369</v>
      </c>
      <c r="B5091" s="9" t="s">
        <v>14</v>
      </c>
      <c r="C5091" s="9" t="s">
        <v>15</v>
      </c>
      <c r="D5091" s="10" t="s">
        <v>11104</v>
      </c>
      <c r="E5091" s="9" t="s">
        <v>17</v>
      </c>
      <c r="F5091" s="10">
        <v>37</v>
      </c>
      <c r="G5091" s="11">
        <v>8032116807</v>
      </c>
      <c r="H5091" s="10" t="s">
        <v>11105</v>
      </c>
      <c r="I5091" s="10" t="s">
        <v>31</v>
      </c>
      <c r="J5091" s="10" t="s">
        <v>32</v>
      </c>
      <c r="K5091" s="12">
        <v>46028</v>
      </c>
      <c r="L5091" s="28" t="s">
        <v>11</v>
      </c>
      <c r="M5091" s="14"/>
      <c r="N5091" s="10" t="s">
        <v>1028</v>
      </c>
    </row>
    <row r="5092" spans="1:14" ht="22.5" hidden="1" customHeight="1">
      <c r="A5092" s="8">
        <v>46028.816609733796</v>
      </c>
      <c r="B5092" s="9" t="s">
        <v>14</v>
      </c>
      <c r="C5092" s="9" t="s">
        <v>15</v>
      </c>
      <c r="D5092" s="10" t="s">
        <v>11106</v>
      </c>
      <c r="E5092" s="9" t="s">
        <v>17</v>
      </c>
      <c r="F5092" s="18">
        <v>35</v>
      </c>
      <c r="G5092" s="11">
        <v>7035169807</v>
      </c>
      <c r="H5092" s="10" t="s">
        <v>11107</v>
      </c>
      <c r="I5092" s="10" t="s">
        <v>145</v>
      </c>
      <c r="J5092" s="10" t="s">
        <v>11108</v>
      </c>
      <c r="K5092" s="12">
        <v>46028</v>
      </c>
      <c r="L5092" s="10" t="s">
        <v>441</v>
      </c>
      <c r="M5092" s="10" t="s">
        <v>1827</v>
      </c>
      <c r="N5092" s="10" t="s">
        <v>1028</v>
      </c>
    </row>
    <row r="5093" spans="1:14" ht="22.5" customHeight="1">
      <c r="A5093" s="8">
        <v>46028.820284479167</v>
      </c>
      <c r="B5093" s="9" t="s">
        <v>14</v>
      </c>
      <c r="C5093" s="9" t="s">
        <v>15</v>
      </c>
      <c r="D5093" s="10" t="s">
        <v>11109</v>
      </c>
      <c r="E5093" s="9" t="s">
        <v>22</v>
      </c>
      <c r="F5093" s="10">
        <v>26</v>
      </c>
      <c r="G5093" s="11">
        <v>8164268717</v>
      </c>
      <c r="H5093" s="10" t="s">
        <v>11110</v>
      </c>
      <c r="I5093" s="10" t="s">
        <v>49</v>
      </c>
      <c r="J5093" s="10" t="s">
        <v>50</v>
      </c>
      <c r="K5093" s="12">
        <v>46028</v>
      </c>
      <c r="L5093" s="28" t="s">
        <v>11</v>
      </c>
      <c r="M5093" s="14"/>
      <c r="N5093" s="10" t="s">
        <v>1096</v>
      </c>
    </row>
    <row r="5094" spans="1:14" ht="22.5" customHeight="1">
      <c r="A5094" s="8">
        <v>46028.822349768518</v>
      </c>
      <c r="B5094" s="9" t="s">
        <v>14</v>
      </c>
      <c r="C5094" s="9" t="s">
        <v>15</v>
      </c>
      <c r="D5094" s="10" t="s">
        <v>11111</v>
      </c>
      <c r="E5094" s="9" t="s">
        <v>17</v>
      </c>
      <c r="F5094" s="10">
        <v>29</v>
      </c>
      <c r="G5094" s="11">
        <v>8064684824</v>
      </c>
      <c r="H5094" s="10" t="s">
        <v>11112</v>
      </c>
      <c r="I5094" s="10" t="s">
        <v>27</v>
      </c>
      <c r="J5094" s="10" t="s">
        <v>1559</v>
      </c>
      <c r="K5094" s="12">
        <v>46028</v>
      </c>
      <c r="L5094" s="28" t="s">
        <v>11</v>
      </c>
      <c r="M5094" s="14"/>
      <c r="N5094" s="10" t="s">
        <v>1028</v>
      </c>
    </row>
    <row r="5095" spans="1:14" ht="22.5" customHeight="1">
      <c r="A5095" s="8">
        <v>46028.826920104169</v>
      </c>
      <c r="B5095" s="9" t="s">
        <v>14</v>
      </c>
      <c r="C5095" s="9" t="s">
        <v>15</v>
      </c>
      <c r="D5095" s="10" t="s">
        <v>11113</v>
      </c>
      <c r="E5095" s="9" t="s">
        <v>22</v>
      </c>
      <c r="F5095" s="10">
        <v>32</v>
      </c>
      <c r="G5095" s="11">
        <v>8067779720</v>
      </c>
      <c r="H5095" s="10" t="s">
        <v>11114</v>
      </c>
      <c r="I5095" s="10" t="s">
        <v>145</v>
      </c>
      <c r="J5095" s="10" t="s">
        <v>11115</v>
      </c>
      <c r="K5095" s="12">
        <v>46028</v>
      </c>
      <c r="L5095" s="28" t="s">
        <v>11</v>
      </c>
      <c r="M5095" s="14"/>
      <c r="N5095" s="10" t="s">
        <v>1209</v>
      </c>
    </row>
    <row r="5096" spans="1:14" ht="22.5" customHeight="1">
      <c r="A5096" s="8">
        <v>46028.827572175927</v>
      </c>
      <c r="B5096" s="9" t="s">
        <v>14</v>
      </c>
      <c r="C5096" s="9" t="s">
        <v>15</v>
      </c>
      <c r="D5096" s="10" t="s">
        <v>11116</v>
      </c>
      <c r="E5096" s="9" t="s">
        <v>17</v>
      </c>
      <c r="F5096" s="10">
        <v>28</v>
      </c>
      <c r="G5096" s="11">
        <v>8169799657</v>
      </c>
      <c r="H5096" s="10" t="s">
        <v>11117</v>
      </c>
      <c r="I5096" s="10" t="s">
        <v>145</v>
      </c>
      <c r="J5096" s="10" t="s">
        <v>1607</v>
      </c>
      <c r="K5096" s="12">
        <v>46028</v>
      </c>
      <c r="L5096" s="28" t="s">
        <v>11</v>
      </c>
      <c r="M5096" s="14"/>
      <c r="N5096" s="10" t="s">
        <v>1028</v>
      </c>
    </row>
    <row r="5097" spans="1:14" ht="22.5" customHeight="1">
      <c r="A5097" s="8">
        <v>46028.82915287037</v>
      </c>
      <c r="B5097" s="9" t="s">
        <v>14</v>
      </c>
      <c r="C5097" s="9" t="s">
        <v>15</v>
      </c>
      <c r="D5097" s="10" t="s">
        <v>11118</v>
      </c>
      <c r="E5097" s="9" t="s">
        <v>17</v>
      </c>
      <c r="F5097" s="10">
        <v>27</v>
      </c>
      <c r="G5097" s="11">
        <v>8144346760</v>
      </c>
      <c r="H5097" s="10" t="s">
        <v>11119</v>
      </c>
      <c r="I5097" s="10" t="s">
        <v>202</v>
      </c>
      <c r="J5097" s="10" t="s">
        <v>1619</v>
      </c>
      <c r="K5097" s="12">
        <v>46028</v>
      </c>
      <c r="L5097" s="28" t="s">
        <v>11</v>
      </c>
      <c r="M5097" s="14"/>
      <c r="N5097" s="10" t="s">
        <v>1028</v>
      </c>
    </row>
    <row r="5098" spans="1:14" ht="22.5" customHeight="1">
      <c r="A5098" s="8">
        <v>46028.831976886577</v>
      </c>
      <c r="B5098" s="9" t="s">
        <v>14</v>
      </c>
      <c r="C5098" s="9" t="s">
        <v>15</v>
      </c>
      <c r="D5098" s="10" t="s">
        <v>11120</v>
      </c>
      <c r="E5098" s="9" t="s">
        <v>22</v>
      </c>
      <c r="F5098" s="10">
        <v>25</v>
      </c>
      <c r="G5098" s="11">
        <v>9063097016</v>
      </c>
      <c r="H5098" s="10" t="s">
        <v>11121</v>
      </c>
      <c r="I5098" s="10" t="s">
        <v>202</v>
      </c>
      <c r="J5098" s="10" t="s">
        <v>4020</v>
      </c>
      <c r="K5098" s="12">
        <v>46028</v>
      </c>
      <c r="L5098" s="28" t="s">
        <v>11</v>
      </c>
      <c r="M5098" s="14"/>
      <c r="N5098" s="10" t="s">
        <v>1028</v>
      </c>
    </row>
    <row r="5099" spans="1:14" ht="22.5" customHeight="1">
      <c r="A5099" s="8">
        <v>46028.836876412039</v>
      </c>
      <c r="B5099" s="9" t="s">
        <v>14</v>
      </c>
      <c r="C5099" s="9" t="s">
        <v>15</v>
      </c>
      <c r="D5099" s="10" t="s">
        <v>11122</v>
      </c>
      <c r="E5099" s="9" t="s">
        <v>17</v>
      </c>
      <c r="F5099" s="10">
        <v>32</v>
      </c>
      <c r="G5099" s="11">
        <v>8130372319</v>
      </c>
      <c r="H5099" s="10" t="s">
        <v>11123</v>
      </c>
      <c r="I5099" s="10" t="s">
        <v>27</v>
      </c>
      <c r="J5099" s="10" t="s">
        <v>3186</v>
      </c>
      <c r="K5099" s="12">
        <v>46028</v>
      </c>
      <c r="L5099" s="28" t="s">
        <v>11</v>
      </c>
      <c r="M5099" s="14"/>
      <c r="N5099" s="10" t="s">
        <v>1096</v>
      </c>
    </row>
    <row r="5100" spans="1:14" ht="22.5" customHeight="1">
      <c r="A5100" s="8">
        <v>46028.839558842592</v>
      </c>
      <c r="B5100" s="9" t="s">
        <v>14</v>
      </c>
      <c r="C5100" s="9" t="s">
        <v>15</v>
      </c>
      <c r="D5100" s="10" t="s">
        <v>11124</v>
      </c>
      <c r="E5100" s="9" t="s">
        <v>22</v>
      </c>
      <c r="F5100" s="10">
        <v>24</v>
      </c>
      <c r="G5100" s="11">
        <v>9011073875</v>
      </c>
      <c r="H5100" s="10" t="s">
        <v>11125</v>
      </c>
      <c r="I5100" s="10" t="s">
        <v>19</v>
      </c>
      <c r="J5100" s="10" t="s">
        <v>11126</v>
      </c>
      <c r="K5100" s="12">
        <v>46028</v>
      </c>
      <c r="L5100" s="28" t="s">
        <v>11</v>
      </c>
      <c r="M5100" s="14"/>
      <c r="N5100" s="10" t="s">
        <v>1028</v>
      </c>
    </row>
    <row r="5101" spans="1:14" ht="22.5" customHeight="1">
      <c r="A5101" s="8">
        <v>46028.84783741898</v>
      </c>
      <c r="B5101" s="9" t="s">
        <v>14</v>
      </c>
      <c r="C5101" s="9" t="s">
        <v>15</v>
      </c>
      <c r="D5101" s="10" t="s">
        <v>11127</v>
      </c>
      <c r="E5101" s="9" t="s">
        <v>17</v>
      </c>
      <c r="F5101" s="10">
        <v>34</v>
      </c>
      <c r="G5101" s="11">
        <v>8139212451</v>
      </c>
      <c r="H5101" s="10" t="s">
        <v>11128</v>
      </c>
      <c r="I5101" s="10" t="s">
        <v>31</v>
      </c>
      <c r="J5101" s="10" t="s">
        <v>32</v>
      </c>
      <c r="K5101" s="12">
        <v>46028</v>
      </c>
      <c r="L5101" s="28" t="s">
        <v>11</v>
      </c>
      <c r="M5101" s="14"/>
      <c r="N5101" s="10" t="s">
        <v>1028</v>
      </c>
    </row>
    <row r="5102" spans="1:14" ht="22.5" customHeight="1">
      <c r="A5102" s="8">
        <v>46028.848565451393</v>
      </c>
      <c r="B5102" s="9" t="s">
        <v>14</v>
      </c>
      <c r="C5102" s="9" t="s">
        <v>15</v>
      </c>
      <c r="D5102" s="10" t="s">
        <v>11129</v>
      </c>
      <c r="E5102" s="9" t="s">
        <v>22</v>
      </c>
      <c r="F5102" s="10">
        <v>26</v>
      </c>
      <c r="G5102" s="11">
        <v>8125825031</v>
      </c>
      <c r="H5102" s="10" t="s">
        <v>11130</v>
      </c>
      <c r="I5102" s="10" t="s">
        <v>145</v>
      </c>
      <c r="J5102" s="10" t="s">
        <v>530</v>
      </c>
      <c r="K5102" s="12">
        <v>46028</v>
      </c>
      <c r="L5102" s="28" t="s">
        <v>11</v>
      </c>
      <c r="M5102" s="14"/>
      <c r="N5102" s="10" t="s">
        <v>1028</v>
      </c>
    </row>
    <row r="5103" spans="1:14" ht="22.5" customHeight="1">
      <c r="A5103" s="8">
        <v>46028.848831342591</v>
      </c>
      <c r="B5103" s="9" t="s">
        <v>14</v>
      </c>
      <c r="C5103" s="9" t="s">
        <v>15</v>
      </c>
      <c r="D5103" s="10" t="s">
        <v>11131</v>
      </c>
      <c r="E5103" s="9" t="s">
        <v>22</v>
      </c>
      <c r="F5103" s="10">
        <v>22</v>
      </c>
      <c r="G5103" s="11">
        <v>9064224475</v>
      </c>
      <c r="H5103" s="10" t="s">
        <v>11132</v>
      </c>
      <c r="I5103" s="10" t="s">
        <v>19</v>
      </c>
      <c r="J5103" s="10" t="s">
        <v>11133</v>
      </c>
      <c r="K5103" s="12">
        <v>46028</v>
      </c>
      <c r="L5103" s="28" t="s">
        <v>11</v>
      </c>
      <c r="M5103" s="14"/>
      <c r="N5103" s="10" t="s">
        <v>1096</v>
      </c>
    </row>
    <row r="5104" spans="1:14" ht="22.5" customHeight="1">
      <c r="A5104" s="8">
        <v>46028.853085868061</v>
      </c>
      <c r="B5104" s="9" t="s">
        <v>14</v>
      </c>
      <c r="C5104" s="9" t="s">
        <v>15</v>
      </c>
      <c r="D5104" s="10" t="s">
        <v>11134</v>
      </c>
      <c r="E5104" s="9" t="s">
        <v>22</v>
      </c>
      <c r="F5104" s="10">
        <v>28</v>
      </c>
      <c r="G5104" s="11">
        <v>9030590367</v>
      </c>
      <c r="H5104" s="10" t="s">
        <v>11135</v>
      </c>
      <c r="I5104" s="10" t="s">
        <v>145</v>
      </c>
      <c r="J5104" s="10" t="s">
        <v>11136</v>
      </c>
      <c r="K5104" s="12">
        <v>46028</v>
      </c>
      <c r="L5104" s="28" t="s">
        <v>11</v>
      </c>
      <c r="M5104" s="14"/>
      <c r="N5104" s="10" t="s">
        <v>1028</v>
      </c>
    </row>
    <row r="5105" spans="1:14" ht="22.5" customHeight="1">
      <c r="A5105" s="8">
        <v>46028.870319050926</v>
      </c>
      <c r="B5105" s="9" t="s">
        <v>14</v>
      </c>
      <c r="C5105" s="9" t="s">
        <v>15</v>
      </c>
      <c r="D5105" s="10" t="s">
        <v>11137</v>
      </c>
      <c r="E5105" s="9" t="s">
        <v>17</v>
      </c>
      <c r="F5105" s="10">
        <v>29</v>
      </c>
      <c r="G5105" s="11">
        <v>7061426436</v>
      </c>
      <c r="H5105" s="10" t="s">
        <v>11138</v>
      </c>
      <c r="I5105" s="10" t="s">
        <v>45</v>
      </c>
      <c r="J5105" s="10" t="s">
        <v>1638</v>
      </c>
      <c r="K5105" s="12">
        <v>46028</v>
      </c>
      <c r="L5105" s="28" t="s">
        <v>11</v>
      </c>
      <c r="M5105" s="14"/>
      <c r="N5105" s="10" t="s">
        <v>1028</v>
      </c>
    </row>
    <row r="5106" spans="1:14" ht="22.5" customHeight="1">
      <c r="A5106" s="8">
        <v>46028.872450995375</v>
      </c>
      <c r="B5106" s="9" t="s">
        <v>14</v>
      </c>
      <c r="C5106" s="9" t="s">
        <v>15</v>
      </c>
      <c r="D5106" s="10" t="s">
        <v>11139</v>
      </c>
      <c r="E5106" s="9" t="s">
        <v>17</v>
      </c>
      <c r="F5106" s="10">
        <v>32</v>
      </c>
      <c r="G5106" s="11">
        <v>8163027946</v>
      </c>
      <c r="H5106" s="10" t="s">
        <v>11140</v>
      </c>
      <c r="I5106" s="10" t="s">
        <v>31</v>
      </c>
      <c r="J5106" s="10" t="s">
        <v>2358</v>
      </c>
      <c r="K5106" s="12">
        <v>46028</v>
      </c>
      <c r="L5106" s="28" t="s">
        <v>11</v>
      </c>
      <c r="M5106" s="14"/>
      <c r="N5106" s="10" t="s">
        <v>1028</v>
      </c>
    </row>
    <row r="5107" spans="1:14" ht="22.5" customHeight="1">
      <c r="A5107" s="8">
        <v>46028.875028668983</v>
      </c>
      <c r="B5107" s="9" t="s">
        <v>14</v>
      </c>
      <c r="C5107" s="9" t="s">
        <v>15</v>
      </c>
      <c r="D5107" s="10" t="s">
        <v>11141</v>
      </c>
      <c r="E5107" s="9" t="s">
        <v>22</v>
      </c>
      <c r="F5107" s="10">
        <v>33</v>
      </c>
      <c r="G5107" s="11">
        <v>8136886115</v>
      </c>
      <c r="H5107" s="10" t="s">
        <v>11142</v>
      </c>
      <c r="I5107" s="10" t="s">
        <v>19</v>
      </c>
      <c r="J5107" s="10" t="s">
        <v>2311</v>
      </c>
      <c r="K5107" s="12">
        <v>46028</v>
      </c>
      <c r="L5107" s="28" t="s">
        <v>11</v>
      </c>
      <c r="M5107" s="14"/>
      <c r="N5107" s="10" t="s">
        <v>1028</v>
      </c>
    </row>
    <row r="5108" spans="1:14" ht="22.5" customHeight="1">
      <c r="A5108" s="8">
        <v>46028.887060416666</v>
      </c>
      <c r="B5108" s="9" t="s">
        <v>14</v>
      </c>
      <c r="C5108" s="9" t="s">
        <v>15</v>
      </c>
      <c r="D5108" s="10" t="s">
        <v>11143</v>
      </c>
      <c r="E5108" s="9" t="s">
        <v>22</v>
      </c>
      <c r="F5108" s="10">
        <v>31</v>
      </c>
      <c r="G5108" s="11">
        <v>7031462849</v>
      </c>
      <c r="H5108" s="10" t="s">
        <v>11144</v>
      </c>
      <c r="I5108" s="10" t="s">
        <v>49</v>
      </c>
      <c r="J5108" s="10" t="s">
        <v>11145</v>
      </c>
      <c r="K5108" s="12">
        <v>46028</v>
      </c>
      <c r="L5108" s="28" t="s">
        <v>11</v>
      </c>
      <c r="M5108" s="14"/>
      <c r="N5108" s="10" t="s">
        <v>1096</v>
      </c>
    </row>
    <row r="5109" spans="1:14" ht="22.5" customHeight="1">
      <c r="A5109" s="8">
        <v>46028.888456967594</v>
      </c>
      <c r="B5109" s="9" t="s">
        <v>14</v>
      </c>
      <c r="C5109" s="9" t="s">
        <v>15</v>
      </c>
      <c r="D5109" s="10" t="s">
        <v>11146</v>
      </c>
      <c r="E5109" s="9" t="s">
        <v>17</v>
      </c>
      <c r="F5109" s="10">
        <v>33</v>
      </c>
      <c r="G5109" s="11">
        <v>8034796398</v>
      </c>
      <c r="H5109" s="10" t="s">
        <v>11147</v>
      </c>
      <c r="I5109" s="10" t="s">
        <v>202</v>
      </c>
      <c r="J5109" s="10" t="s">
        <v>4029</v>
      </c>
      <c r="K5109" s="12">
        <v>46028</v>
      </c>
      <c r="L5109" s="28" t="s">
        <v>11</v>
      </c>
      <c r="M5109" s="14"/>
      <c r="N5109" s="10" t="s">
        <v>1028</v>
      </c>
    </row>
    <row r="5110" spans="1:14" ht="22.5" customHeight="1">
      <c r="A5110" s="8">
        <v>46028.897046516198</v>
      </c>
      <c r="B5110" s="9" t="s">
        <v>14</v>
      </c>
      <c r="C5110" s="9" t="s">
        <v>15</v>
      </c>
      <c r="D5110" s="10" t="s">
        <v>11148</v>
      </c>
      <c r="E5110" s="9" t="s">
        <v>17</v>
      </c>
      <c r="F5110" s="10">
        <v>26</v>
      </c>
      <c r="G5110" s="11">
        <v>9053232970</v>
      </c>
      <c r="H5110" s="10" t="s">
        <v>11149</v>
      </c>
      <c r="I5110" s="10" t="s">
        <v>49</v>
      </c>
      <c r="J5110" s="10" t="s">
        <v>362</v>
      </c>
      <c r="K5110" s="12">
        <v>46028</v>
      </c>
      <c r="L5110" s="28" t="s">
        <v>11</v>
      </c>
      <c r="M5110" s="14"/>
      <c r="N5110" s="10" t="s">
        <v>1028</v>
      </c>
    </row>
    <row r="5111" spans="1:14" ht="22.5" customHeight="1">
      <c r="A5111" s="8">
        <v>46028.897529351852</v>
      </c>
      <c r="B5111" s="9" t="s">
        <v>14</v>
      </c>
      <c r="C5111" s="9" t="s">
        <v>15</v>
      </c>
      <c r="D5111" s="10" t="s">
        <v>11150</v>
      </c>
      <c r="E5111" s="9" t="s">
        <v>17</v>
      </c>
      <c r="F5111" s="10">
        <v>35</v>
      </c>
      <c r="G5111" s="11">
        <v>8034642269</v>
      </c>
      <c r="H5111" s="10" t="s">
        <v>11151</v>
      </c>
      <c r="I5111" s="10" t="s">
        <v>27</v>
      </c>
      <c r="J5111" s="10" t="s">
        <v>1559</v>
      </c>
      <c r="K5111" s="12">
        <v>46028</v>
      </c>
      <c r="L5111" s="28" t="s">
        <v>11</v>
      </c>
      <c r="M5111" s="14"/>
      <c r="N5111" s="10" t="s">
        <v>1028</v>
      </c>
    </row>
    <row r="5112" spans="1:14" ht="22.5" customHeight="1">
      <c r="A5112" s="8">
        <v>46028.897991319449</v>
      </c>
      <c r="B5112" s="9" t="s">
        <v>14</v>
      </c>
      <c r="C5112" s="9" t="s">
        <v>15</v>
      </c>
      <c r="D5112" s="10" t="s">
        <v>11152</v>
      </c>
      <c r="E5112" s="9" t="s">
        <v>17</v>
      </c>
      <c r="F5112" s="10">
        <v>34</v>
      </c>
      <c r="G5112" s="11">
        <v>7083871430</v>
      </c>
      <c r="H5112" s="10" t="s">
        <v>11153</v>
      </c>
      <c r="I5112" s="10" t="s">
        <v>202</v>
      </c>
      <c r="J5112" s="10" t="s">
        <v>4005</v>
      </c>
      <c r="K5112" s="12">
        <v>46028</v>
      </c>
      <c r="L5112" s="28" t="s">
        <v>11</v>
      </c>
      <c r="M5112" s="14"/>
      <c r="N5112" s="10" t="s">
        <v>1028</v>
      </c>
    </row>
    <row r="5113" spans="1:14" ht="22.5" customHeight="1">
      <c r="A5113" s="8">
        <v>46028.902148194444</v>
      </c>
      <c r="B5113" s="9" t="s">
        <v>14</v>
      </c>
      <c r="C5113" s="9" t="s">
        <v>15</v>
      </c>
      <c r="D5113" s="10" t="s">
        <v>11154</v>
      </c>
      <c r="E5113" s="9" t="s">
        <v>22</v>
      </c>
      <c r="F5113" s="19">
        <v>32</v>
      </c>
      <c r="G5113" s="11">
        <v>8068478694</v>
      </c>
      <c r="H5113" s="10" t="s">
        <v>11155</v>
      </c>
      <c r="I5113" s="10" t="s">
        <v>145</v>
      </c>
      <c r="J5113" s="10" t="s">
        <v>11156</v>
      </c>
      <c r="K5113" s="12">
        <v>46028</v>
      </c>
      <c r="L5113" s="28" t="s">
        <v>11</v>
      </c>
      <c r="M5113" s="14"/>
      <c r="N5113" s="10" t="s">
        <v>1028</v>
      </c>
    </row>
    <row r="5114" spans="1:14" ht="22.5" customHeight="1">
      <c r="A5114" s="8">
        <v>46028.903923634258</v>
      </c>
      <c r="B5114" s="9" t="s">
        <v>14</v>
      </c>
      <c r="C5114" s="9" t="s">
        <v>15</v>
      </c>
      <c r="D5114" s="10" t="s">
        <v>11157</v>
      </c>
      <c r="E5114" s="9" t="s">
        <v>17</v>
      </c>
      <c r="F5114" s="10">
        <v>20</v>
      </c>
      <c r="G5114" s="11">
        <v>7032912897</v>
      </c>
      <c r="H5114" s="10" t="s">
        <v>11158</v>
      </c>
      <c r="I5114" s="10" t="s">
        <v>45</v>
      </c>
      <c r="J5114" s="10" t="s">
        <v>279</v>
      </c>
      <c r="K5114" s="12">
        <v>46028</v>
      </c>
      <c r="L5114" s="28" t="s">
        <v>11</v>
      </c>
      <c r="M5114" s="14"/>
      <c r="N5114" s="10" t="s">
        <v>1028</v>
      </c>
    </row>
    <row r="5115" spans="1:14" ht="22.5" customHeight="1">
      <c r="A5115" s="8">
        <v>46028.904552939814</v>
      </c>
      <c r="B5115" s="9" t="s">
        <v>14</v>
      </c>
      <c r="C5115" s="9" t="s">
        <v>15</v>
      </c>
      <c r="D5115" s="10" t="s">
        <v>11159</v>
      </c>
      <c r="E5115" s="9" t="s">
        <v>22</v>
      </c>
      <c r="F5115" s="10">
        <v>21</v>
      </c>
      <c r="G5115" s="11">
        <v>8153020187</v>
      </c>
      <c r="H5115" s="10" t="s">
        <v>11160</v>
      </c>
      <c r="I5115" s="10" t="s">
        <v>45</v>
      </c>
      <c r="J5115" s="10" t="s">
        <v>5142</v>
      </c>
      <c r="K5115" s="12">
        <v>46028</v>
      </c>
      <c r="L5115" s="28" t="s">
        <v>11</v>
      </c>
      <c r="M5115" s="14"/>
      <c r="N5115" s="10" t="s">
        <v>1028</v>
      </c>
    </row>
    <row r="5116" spans="1:14" ht="22.5" customHeight="1">
      <c r="A5116" s="8">
        <v>46028.905354097224</v>
      </c>
      <c r="B5116" s="9" t="s">
        <v>14</v>
      </c>
      <c r="C5116" s="9" t="s">
        <v>15</v>
      </c>
      <c r="D5116" s="10" t="s">
        <v>11161</v>
      </c>
      <c r="E5116" s="9" t="s">
        <v>17</v>
      </c>
      <c r="F5116" s="10">
        <v>30</v>
      </c>
      <c r="G5116" s="11">
        <v>7037617365</v>
      </c>
      <c r="H5116" s="10" t="s">
        <v>11162</v>
      </c>
      <c r="I5116" s="10" t="s">
        <v>45</v>
      </c>
      <c r="J5116" s="10" t="s">
        <v>5955</v>
      </c>
      <c r="K5116" s="12">
        <v>46028</v>
      </c>
      <c r="L5116" s="28" t="s">
        <v>11</v>
      </c>
      <c r="M5116" s="14"/>
      <c r="N5116" s="10" t="s">
        <v>1096</v>
      </c>
    </row>
    <row r="5117" spans="1:14" ht="22.5" customHeight="1">
      <c r="A5117" s="8">
        <v>46028.906769050926</v>
      </c>
      <c r="B5117" s="9" t="s">
        <v>14</v>
      </c>
      <c r="C5117" s="9" t="s">
        <v>15</v>
      </c>
      <c r="D5117" s="10" t="s">
        <v>11163</v>
      </c>
      <c r="E5117" s="9" t="s">
        <v>22</v>
      </c>
      <c r="F5117" s="10">
        <v>22</v>
      </c>
      <c r="G5117" s="11">
        <v>8153932384</v>
      </c>
      <c r="H5117" s="10" t="s">
        <v>11164</v>
      </c>
      <c r="I5117" s="10" t="s">
        <v>45</v>
      </c>
      <c r="J5117" s="10" t="s">
        <v>1191</v>
      </c>
      <c r="K5117" s="12">
        <v>46028</v>
      </c>
      <c r="L5117" s="28" t="s">
        <v>11</v>
      </c>
      <c r="M5117" s="14"/>
      <c r="N5117" s="10" t="s">
        <v>1028</v>
      </c>
    </row>
    <row r="5118" spans="1:14" ht="22.5" customHeight="1">
      <c r="A5118" s="8">
        <v>46028.906933865743</v>
      </c>
      <c r="B5118" s="9" t="s">
        <v>14</v>
      </c>
      <c r="C5118" s="9" t="s">
        <v>15</v>
      </c>
      <c r="D5118" s="10" t="s">
        <v>11165</v>
      </c>
      <c r="E5118" s="9" t="s">
        <v>17</v>
      </c>
      <c r="F5118" s="10">
        <v>24</v>
      </c>
      <c r="G5118" s="11">
        <v>8112049256</v>
      </c>
      <c r="H5118" s="10" t="s">
        <v>11166</v>
      </c>
      <c r="I5118" s="10" t="s">
        <v>45</v>
      </c>
      <c r="J5118" s="10" t="s">
        <v>11167</v>
      </c>
      <c r="K5118" s="12">
        <v>46028</v>
      </c>
      <c r="L5118" s="28" t="s">
        <v>11</v>
      </c>
      <c r="M5118" s="14"/>
      <c r="N5118" s="10" t="s">
        <v>1028</v>
      </c>
    </row>
    <row r="5119" spans="1:14" ht="22.5" customHeight="1">
      <c r="A5119" s="8">
        <v>46028.908078506945</v>
      </c>
      <c r="B5119" s="9" t="s">
        <v>14</v>
      </c>
      <c r="C5119" s="9" t="s">
        <v>15</v>
      </c>
      <c r="D5119" s="10" t="s">
        <v>11168</v>
      </c>
      <c r="E5119" s="9" t="s">
        <v>17</v>
      </c>
      <c r="F5119" s="10">
        <v>21</v>
      </c>
      <c r="G5119" s="11">
        <v>9073429609</v>
      </c>
      <c r="H5119" s="10" t="s">
        <v>11169</v>
      </c>
      <c r="I5119" s="10" t="s">
        <v>202</v>
      </c>
      <c r="J5119" s="10" t="s">
        <v>4005</v>
      </c>
      <c r="K5119" s="12">
        <v>46028</v>
      </c>
      <c r="L5119" s="28" t="s">
        <v>11</v>
      </c>
      <c r="M5119" s="14"/>
      <c r="N5119" s="10" t="s">
        <v>1028</v>
      </c>
    </row>
    <row r="5120" spans="1:14" ht="22.5" customHeight="1">
      <c r="A5120" s="8">
        <v>46028.908089849538</v>
      </c>
      <c r="B5120" s="9" t="s">
        <v>14</v>
      </c>
      <c r="C5120" s="9" t="s">
        <v>15</v>
      </c>
      <c r="D5120" s="10" t="s">
        <v>11170</v>
      </c>
      <c r="E5120" s="9" t="s">
        <v>17</v>
      </c>
      <c r="F5120" s="10">
        <v>25</v>
      </c>
      <c r="G5120" s="11">
        <v>8064749422</v>
      </c>
      <c r="H5120" s="10" t="s">
        <v>11171</v>
      </c>
      <c r="I5120" s="10" t="s">
        <v>45</v>
      </c>
      <c r="J5120" s="10" t="s">
        <v>125</v>
      </c>
      <c r="K5120" s="12">
        <v>46028</v>
      </c>
      <c r="L5120" s="28" t="s">
        <v>11</v>
      </c>
      <c r="M5120" s="14"/>
      <c r="N5120" s="10" t="s">
        <v>1028</v>
      </c>
    </row>
    <row r="5121" spans="1:14" ht="22.5" customHeight="1">
      <c r="A5121" s="8">
        <v>46028.909258275467</v>
      </c>
      <c r="B5121" s="9" t="s">
        <v>14</v>
      </c>
      <c r="C5121" s="9" t="s">
        <v>15</v>
      </c>
      <c r="D5121" s="10" t="s">
        <v>11172</v>
      </c>
      <c r="E5121" s="9" t="s">
        <v>17</v>
      </c>
      <c r="F5121" s="10">
        <v>30</v>
      </c>
      <c r="G5121" s="11">
        <v>8127687946</v>
      </c>
      <c r="H5121" s="10" t="s">
        <v>11173</v>
      </c>
      <c r="I5121" s="10" t="s">
        <v>49</v>
      </c>
      <c r="J5121" s="10" t="s">
        <v>103</v>
      </c>
      <c r="K5121" s="12">
        <v>46028</v>
      </c>
      <c r="L5121" s="28" t="s">
        <v>11</v>
      </c>
      <c r="M5121" s="14"/>
      <c r="N5121" s="10" t="s">
        <v>1028</v>
      </c>
    </row>
    <row r="5122" spans="1:14" ht="22.5" customHeight="1">
      <c r="A5122" s="8">
        <v>46028.912218263889</v>
      </c>
      <c r="B5122" s="9" t="s">
        <v>14</v>
      </c>
      <c r="C5122" s="9" t="s">
        <v>15</v>
      </c>
      <c r="D5122" s="10" t="s">
        <v>11174</v>
      </c>
      <c r="E5122" s="9" t="s">
        <v>17</v>
      </c>
      <c r="F5122" s="10">
        <v>22</v>
      </c>
      <c r="G5122" s="11">
        <v>8166191293</v>
      </c>
      <c r="H5122" s="10" t="s">
        <v>11175</v>
      </c>
      <c r="I5122" s="10" t="s">
        <v>27</v>
      </c>
      <c r="J5122" s="10" t="s">
        <v>11176</v>
      </c>
      <c r="K5122" s="12">
        <v>46028</v>
      </c>
      <c r="L5122" s="28" t="s">
        <v>11</v>
      </c>
      <c r="M5122" s="10"/>
      <c r="N5122" s="10" t="s">
        <v>1028</v>
      </c>
    </row>
    <row r="5123" spans="1:14" ht="22.5" customHeight="1">
      <c r="A5123" s="8">
        <v>46028.91422549769</v>
      </c>
      <c r="B5123" s="9" t="s">
        <v>14</v>
      </c>
      <c r="C5123" s="9" t="s">
        <v>15</v>
      </c>
      <c r="D5123" s="10" t="s">
        <v>11177</v>
      </c>
      <c r="E5123" s="9" t="s">
        <v>22</v>
      </c>
      <c r="F5123" s="10">
        <v>31</v>
      </c>
      <c r="G5123" s="11">
        <v>7068131263</v>
      </c>
      <c r="H5123" s="10" t="s">
        <v>11178</v>
      </c>
      <c r="I5123" s="10" t="s">
        <v>145</v>
      </c>
      <c r="J5123" s="10" t="s">
        <v>1607</v>
      </c>
      <c r="K5123" s="12">
        <v>46028</v>
      </c>
      <c r="L5123" s="28" t="s">
        <v>11</v>
      </c>
      <c r="M5123" s="14"/>
      <c r="N5123" s="10" t="s">
        <v>1096</v>
      </c>
    </row>
    <row r="5124" spans="1:14" ht="22.5" customHeight="1">
      <c r="A5124" s="8">
        <v>46028.919671620373</v>
      </c>
      <c r="B5124" s="9" t="s">
        <v>14</v>
      </c>
      <c r="C5124" s="9" t="s">
        <v>15</v>
      </c>
      <c r="D5124" s="10" t="s">
        <v>11179</v>
      </c>
      <c r="E5124" s="9" t="s">
        <v>22</v>
      </c>
      <c r="F5124" s="10">
        <v>25</v>
      </c>
      <c r="G5124" s="11">
        <v>8157099069</v>
      </c>
      <c r="H5124" s="10" t="s">
        <v>11180</v>
      </c>
      <c r="I5124" s="10" t="s">
        <v>19</v>
      </c>
      <c r="J5124" s="10" t="s">
        <v>3466</v>
      </c>
      <c r="K5124" s="12">
        <v>46028</v>
      </c>
      <c r="L5124" s="28" t="s">
        <v>11</v>
      </c>
      <c r="M5124" s="14"/>
      <c r="N5124" s="10" t="s">
        <v>1028</v>
      </c>
    </row>
    <row r="5125" spans="1:14" ht="22.5" customHeight="1">
      <c r="A5125" s="8">
        <v>46028.920228668983</v>
      </c>
      <c r="B5125" s="9" t="s">
        <v>14</v>
      </c>
      <c r="C5125" s="9" t="s">
        <v>15</v>
      </c>
      <c r="D5125" s="10" t="s">
        <v>11181</v>
      </c>
      <c r="E5125" s="9" t="s">
        <v>17</v>
      </c>
      <c r="F5125" s="10">
        <v>27</v>
      </c>
      <c r="G5125" s="11">
        <v>9037916272</v>
      </c>
      <c r="H5125" s="10" t="s">
        <v>11182</v>
      </c>
      <c r="I5125" s="10" t="s">
        <v>45</v>
      </c>
      <c r="J5125" s="10" t="s">
        <v>84</v>
      </c>
      <c r="K5125" s="12">
        <v>46028</v>
      </c>
      <c r="L5125" s="28" t="s">
        <v>11</v>
      </c>
      <c r="M5125" s="14"/>
      <c r="N5125" s="10" t="s">
        <v>1096</v>
      </c>
    </row>
    <row r="5126" spans="1:14" ht="22.5" customHeight="1">
      <c r="A5126" s="8">
        <v>46028.921336319443</v>
      </c>
      <c r="B5126" s="9" t="s">
        <v>14</v>
      </c>
      <c r="C5126" s="9" t="s">
        <v>15</v>
      </c>
      <c r="D5126" s="10" t="s">
        <v>11183</v>
      </c>
      <c r="E5126" s="9" t="s">
        <v>17</v>
      </c>
      <c r="F5126" s="10">
        <v>25</v>
      </c>
      <c r="G5126" s="11">
        <f t="shared" ref="G5126" si="142">2349065055519</f>
        <v>2349065055519</v>
      </c>
      <c r="H5126" s="10" t="s">
        <v>11184</v>
      </c>
      <c r="I5126" s="10" t="s">
        <v>145</v>
      </c>
      <c r="J5126" s="10" t="s">
        <v>1607</v>
      </c>
      <c r="K5126" s="12">
        <v>46028</v>
      </c>
      <c r="L5126" s="28" t="s">
        <v>11</v>
      </c>
      <c r="M5126" s="14"/>
      <c r="N5126" s="10" t="s">
        <v>1028</v>
      </c>
    </row>
    <row r="5127" spans="1:14" ht="22.5" hidden="1" customHeight="1">
      <c r="A5127" s="8">
        <v>46028.921715891207</v>
      </c>
      <c r="B5127" s="9" t="s">
        <v>14</v>
      </c>
      <c r="C5127" s="9" t="s">
        <v>15</v>
      </c>
      <c r="D5127" s="10" t="s">
        <v>6198</v>
      </c>
      <c r="E5127" s="9" t="s">
        <v>22</v>
      </c>
      <c r="F5127" s="10">
        <v>31</v>
      </c>
      <c r="G5127" s="11">
        <v>8169064000</v>
      </c>
      <c r="H5127" s="10" t="s">
        <v>6199</v>
      </c>
      <c r="I5127" s="10" t="s">
        <v>202</v>
      </c>
      <c r="J5127" s="10" t="s">
        <v>1860</v>
      </c>
      <c r="K5127" s="12">
        <v>46028</v>
      </c>
      <c r="L5127" s="10" t="s">
        <v>441</v>
      </c>
      <c r="M5127" s="10" t="s">
        <v>1361</v>
      </c>
      <c r="N5127" s="10" t="s">
        <v>1028</v>
      </c>
    </row>
    <row r="5128" spans="1:14" ht="22.5" customHeight="1">
      <c r="A5128" s="8">
        <v>46028.922240115746</v>
      </c>
      <c r="B5128" s="9" t="s">
        <v>14</v>
      </c>
      <c r="C5128" s="9" t="s">
        <v>15</v>
      </c>
      <c r="D5128" s="10" t="s">
        <v>11185</v>
      </c>
      <c r="E5128" s="9" t="s">
        <v>17</v>
      </c>
      <c r="F5128" s="10">
        <v>31</v>
      </c>
      <c r="G5128" s="11">
        <v>7068510635</v>
      </c>
      <c r="H5128" s="10" t="s">
        <v>11186</v>
      </c>
      <c r="I5128" s="10" t="s">
        <v>45</v>
      </c>
      <c r="J5128" s="10" t="s">
        <v>11187</v>
      </c>
      <c r="K5128" s="12">
        <v>46028</v>
      </c>
      <c r="L5128" s="28" t="s">
        <v>11</v>
      </c>
      <c r="M5128" s="14"/>
      <c r="N5128" s="10" t="s">
        <v>1096</v>
      </c>
    </row>
    <row r="5129" spans="1:14" ht="22.5" customHeight="1">
      <c r="A5129" s="8">
        <v>46028.922662685189</v>
      </c>
      <c r="B5129" s="9" t="s">
        <v>14</v>
      </c>
      <c r="C5129" s="9" t="s">
        <v>15</v>
      </c>
      <c r="D5129" s="10" t="s">
        <v>11188</v>
      </c>
      <c r="E5129" s="9" t="s">
        <v>22</v>
      </c>
      <c r="F5129" s="10">
        <v>36</v>
      </c>
      <c r="G5129" s="11">
        <v>7012519344</v>
      </c>
      <c r="H5129" s="10" t="s">
        <v>11189</v>
      </c>
      <c r="I5129" s="10" t="s">
        <v>202</v>
      </c>
      <c r="J5129" s="10" t="s">
        <v>4020</v>
      </c>
      <c r="K5129" s="12">
        <v>46028</v>
      </c>
      <c r="L5129" s="28" t="s">
        <v>11</v>
      </c>
      <c r="M5129" s="14"/>
      <c r="N5129" s="10" t="s">
        <v>1096</v>
      </c>
    </row>
    <row r="5130" spans="1:14" ht="22.5" customHeight="1">
      <c r="A5130" s="8">
        <v>46028.924417199072</v>
      </c>
      <c r="B5130" s="9" t="s">
        <v>14</v>
      </c>
      <c r="C5130" s="9" t="s">
        <v>15</v>
      </c>
      <c r="D5130" s="10" t="s">
        <v>11190</v>
      </c>
      <c r="E5130" s="9" t="s">
        <v>17</v>
      </c>
      <c r="F5130" s="10">
        <v>28</v>
      </c>
      <c r="G5130" s="11">
        <f t="shared" ref="G5130" si="143">2348100339734</f>
        <v>2348100339734</v>
      </c>
      <c r="H5130" s="10" t="s">
        <v>11191</v>
      </c>
      <c r="I5130" s="10" t="s">
        <v>31</v>
      </c>
      <c r="J5130" s="10" t="s">
        <v>11192</v>
      </c>
      <c r="K5130" s="12">
        <v>46028</v>
      </c>
      <c r="L5130" s="28" t="s">
        <v>11</v>
      </c>
      <c r="M5130" s="10"/>
      <c r="N5130" s="10" t="s">
        <v>1028</v>
      </c>
    </row>
    <row r="5131" spans="1:14" ht="22.5" customHeight="1">
      <c r="A5131" s="8">
        <v>46028.926512349542</v>
      </c>
      <c r="B5131" s="9" t="s">
        <v>14</v>
      </c>
      <c r="C5131" s="9" t="s">
        <v>15</v>
      </c>
      <c r="D5131" s="10" t="s">
        <v>11193</v>
      </c>
      <c r="E5131" s="9" t="s">
        <v>22</v>
      </c>
      <c r="F5131" s="10">
        <v>25</v>
      </c>
      <c r="G5131" s="11">
        <v>9037010028</v>
      </c>
      <c r="H5131" s="10" t="s">
        <v>11194</v>
      </c>
      <c r="I5131" s="10" t="s">
        <v>45</v>
      </c>
      <c r="J5131" s="10" t="s">
        <v>901</v>
      </c>
      <c r="K5131" s="12">
        <v>46028</v>
      </c>
      <c r="L5131" s="28" t="s">
        <v>11</v>
      </c>
      <c r="M5131" s="14"/>
      <c r="N5131" s="10" t="s">
        <v>1028</v>
      </c>
    </row>
    <row r="5132" spans="1:14" ht="22.5" customHeight="1">
      <c r="A5132" s="8">
        <v>46028.927774861106</v>
      </c>
      <c r="B5132" s="9" t="s">
        <v>14</v>
      </c>
      <c r="C5132" s="9" t="s">
        <v>15</v>
      </c>
      <c r="D5132" s="10" t="s">
        <v>11195</v>
      </c>
      <c r="E5132" s="9" t="s">
        <v>22</v>
      </c>
      <c r="F5132" s="10">
        <v>25</v>
      </c>
      <c r="G5132" s="11">
        <v>9064811320</v>
      </c>
      <c r="H5132" s="10" t="s">
        <v>11196</v>
      </c>
      <c r="I5132" s="10" t="s">
        <v>45</v>
      </c>
      <c r="J5132" s="10" t="s">
        <v>11197</v>
      </c>
      <c r="K5132" s="12">
        <v>46028</v>
      </c>
      <c r="L5132" s="28" t="s">
        <v>11</v>
      </c>
      <c r="M5132" s="14"/>
      <c r="N5132" s="10" t="s">
        <v>1028</v>
      </c>
    </row>
    <row r="5133" spans="1:14" ht="22.5" customHeight="1">
      <c r="A5133" s="8">
        <v>46028.928014131947</v>
      </c>
      <c r="B5133" s="9" t="s">
        <v>14</v>
      </c>
      <c r="C5133" s="9" t="s">
        <v>15</v>
      </c>
      <c r="D5133" s="10" t="s">
        <v>11198</v>
      </c>
      <c r="E5133" s="9" t="s">
        <v>17</v>
      </c>
      <c r="F5133" s="10">
        <v>28</v>
      </c>
      <c r="G5133" s="11">
        <v>7033767843</v>
      </c>
      <c r="H5133" s="10" t="s">
        <v>11199</v>
      </c>
      <c r="I5133" s="10" t="s">
        <v>45</v>
      </c>
      <c r="J5133" s="10" t="s">
        <v>2193</v>
      </c>
      <c r="K5133" s="12">
        <v>35585</v>
      </c>
      <c r="L5133" s="28" t="s">
        <v>11</v>
      </c>
      <c r="M5133" s="14"/>
      <c r="N5133" s="10" t="s">
        <v>1028</v>
      </c>
    </row>
    <row r="5134" spans="1:14" ht="22.5" customHeight="1">
      <c r="A5134" s="8">
        <v>46028.930899976855</v>
      </c>
      <c r="B5134" s="9" t="s">
        <v>14</v>
      </c>
      <c r="C5134" s="9" t="s">
        <v>15</v>
      </c>
      <c r="D5134" s="10" t="s">
        <v>11200</v>
      </c>
      <c r="E5134" s="9" t="s">
        <v>17</v>
      </c>
      <c r="F5134" s="10">
        <v>25</v>
      </c>
      <c r="G5134" s="11">
        <v>9060060431</v>
      </c>
      <c r="H5134" s="10" t="s">
        <v>11201</v>
      </c>
      <c r="I5134" s="10" t="s">
        <v>19</v>
      </c>
      <c r="J5134" s="10" t="s">
        <v>11202</v>
      </c>
      <c r="K5134" s="12">
        <v>46028</v>
      </c>
      <c r="L5134" s="28" t="s">
        <v>11</v>
      </c>
      <c r="M5134" s="14"/>
      <c r="N5134" s="10" t="s">
        <v>1096</v>
      </c>
    </row>
    <row r="5135" spans="1:14" ht="22.5" customHeight="1">
      <c r="A5135" s="8">
        <v>46028.935725069445</v>
      </c>
      <c r="B5135" s="9" t="s">
        <v>14</v>
      </c>
      <c r="C5135" s="9" t="s">
        <v>15</v>
      </c>
      <c r="D5135" s="10" t="s">
        <v>11203</v>
      </c>
      <c r="E5135" s="9" t="s">
        <v>17</v>
      </c>
      <c r="F5135" s="10">
        <v>23</v>
      </c>
      <c r="G5135" s="11">
        <v>7038463001</v>
      </c>
      <c r="H5135" s="10" t="s">
        <v>11204</v>
      </c>
      <c r="I5135" s="10" t="s">
        <v>145</v>
      </c>
      <c r="J5135" s="10" t="s">
        <v>145</v>
      </c>
      <c r="K5135" s="12">
        <v>46028</v>
      </c>
      <c r="L5135" s="28" t="s">
        <v>11</v>
      </c>
      <c r="M5135" s="14"/>
      <c r="N5135" s="10" t="s">
        <v>1028</v>
      </c>
    </row>
    <row r="5136" spans="1:14" ht="22.5" customHeight="1">
      <c r="A5136" s="8">
        <v>46028.942368819444</v>
      </c>
      <c r="B5136" s="9" t="s">
        <v>14</v>
      </c>
      <c r="C5136" s="9" t="s">
        <v>15</v>
      </c>
      <c r="D5136" s="10" t="s">
        <v>11205</v>
      </c>
      <c r="E5136" s="9" t="s">
        <v>22</v>
      </c>
      <c r="F5136" s="18">
        <v>27</v>
      </c>
      <c r="G5136" s="11">
        <v>8104458665</v>
      </c>
      <c r="H5136" s="10" t="s">
        <v>11206</v>
      </c>
      <c r="I5136" s="10" t="s">
        <v>27</v>
      </c>
      <c r="J5136" s="10" t="s">
        <v>1585</v>
      </c>
      <c r="K5136" s="12">
        <v>46028</v>
      </c>
      <c r="L5136" s="28" t="s">
        <v>11</v>
      </c>
      <c r="M5136" s="14"/>
      <c r="N5136" s="10" t="s">
        <v>1028</v>
      </c>
    </row>
    <row r="5137" spans="1:14" ht="22.5" customHeight="1">
      <c r="A5137" s="8">
        <v>46028.942444745371</v>
      </c>
      <c r="B5137" s="9" t="s">
        <v>14</v>
      </c>
      <c r="C5137" s="9" t="s">
        <v>15</v>
      </c>
      <c r="D5137" s="10" t="s">
        <v>11207</v>
      </c>
      <c r="E5137" s="9" t="s">
        <v>17</v>
      </c>
      <c r="F5137" s="10">
        <v>29</v>
      </c>
      <c r="G5137" s="11">
        <v>8107204804</v>
      </c>
      <c r="H5137" s="10" t="s">
        <v>11208</v>
      </c>
      <c r="I5137" s="10" t="s">
        <v>27</v>
      </c>
      <c r="J5137" s="10" t="s">
        <v>11209</v>
      </c>
      <c r="K5137" s="12">
        <v>46028</v>
      </c>
      <c r="L5137" s="28" t="s">
        <v>11</v>
      </c>
      <c r="M5137" s="14"/>
      <c r="N5137" s="10" t="s">
        <v>1028</v>
      </c>
    </row>
    <row r="5138" spans="1:14" ht="22.5" customHeight="1">
      <c r="A5138" s="8">
        <v>46028.94457950232</v>
      </c>
      <c r="B5138" s="9" t="s">
        <v>14</v>
      </c>
      <c r="C5138" s="9" t="s">
        <v>15</v>
      </c>
      <c r="D5138" s="10" t="s">
        <v>11210</v>
      </c>
      <c r="E5138" s="9" t="s">
        <v>17</v>
      </c>
      <c r="F5138" s="10">
        <v>30</v>
      </c>
      <c r="G5138" s="11">
        <v>9036626074</v>
      </c>
      <c r="H5138" s="10" t="s">
        <v>11211</v>
      </c>
      <c r="I5138" s="10" t="s">
        <v>45</v>
      </c>
      <c r="J5138" s="10" t="s">
        <v>3611</v>
      </c>
      <c r="K5138" s="12">
        <v>46028</v>
      </c>
      <c r="L5138" s="28" t="s">
        <v>11</v>
      </c>
      <c r="M5138" s="14"/>
      <c r="N5138" s="10" t="s">
        <v>1096</v>
      </c>
    </row>
    <row r="5139" spans="1:14" ht="22.5" customHeight="1">
      <c r="A5139" s="8">
        <v>46028.945636493052</v>
      </c>
      <c r="B5139" s="9" t="s">
        <v>14</v>
      </c>
      <c r="C5139" s="9" t="s">
        <v>15</v>
      </c>
      <c r="D5139" s="10" t="s">
        <v>11212</v>
      </c>
      <c r="E5139" s="9" t="s">
        <v>17</v>
      </c>
      <c r="F5139" s="10">
        <v>38</v>
      </c>
      <c r="G5139" s="11">
        <v>7039242859</v>
      </c>
      <c r="H5139" s="10" t="s">
        <v>11213</v>
      </c>
      <c r="I5139" s="10" t="s">
        <v>27</v>
      </c>
      <c r="J5139" s="10" t="s">
        <v>3066</v>
      </c>
      <c r="K5139" s="12">
        <v>46028</v>
      </c>
      <c r="L5139" s="28" t="s">
        <v>11</v>
      </c>
      <c r="M5139" s="14"/>
      <c r="N5139" s="10" t="s">
        <v>1096</v>
      </c>
    </row>
    <row r="5140" spans="1:14" ht="22.5" customHeight="1">
      <c r="A5140" s="8">
        <v>46028.947538715278</v>
      </c>
      <c r="B5140" s="9" t="s">
        <v>14</v>
      </c>
      <c r="C5140" s="9" t="s">
        <v>15</v>
      </c>
      <c r="D5140" s="10" t="s">
        <v>11214</v>
      </c>
      <c r="E5140" s="9" t="s">
        <v>17</v>
      </c>
      <c r="F5140" s="10">
        <v>27</v>
      </c>
      <c r="G5140" s="11">
        <v>9027497418</v>
      </c>
      <c r="H5140" s="10" t="s">
        <v>10970</v>
      </c>
      <c r="I5140" s="10" t="s">
        <v>27</v>
      </c>
      <c r="J5140" s="10" t="s">
        <v>1456</v>
      </c>
      <c r="K5140" s="12">
        <v>46028</v>
      </c>
      <c r="L5140" s="28" t="s">
        <v>11</v>
      </c>
      <c r="M5140" s="14"/>
      <c r="N5140" s="10" t="s">
        <v>1028</v>
      </c>
    </row>
    <row r="5141" spans="1:14" ht="22.5" customHeight="1">
      <c r="A5141" s="8">
        <v>46028.947978750002</v>
      </c>
      <c r="B5141" s="9" t="s">
        <v>14</v>
      </c>
      <c r="C5141" s="9" t="s">
        <v>15</v>
      </c>
      <c r="D5141" s="10" t="s">
        <v>11215</v>
      </c>
      <c r="E5141" s="9" t="s">
        <v>17</v>
      </c>
      <c r="F5141" s="10">
        <v>26</v>
      </c>
      <c r="G5141" s="11">
        <v>9030052329</v>
      </c>
      <c r="H5141" s="10" t="s">
        <v>11216</v>
      </c>
      <c r="I5141" s="10" t="s">
        <v>27</v>
      </c>
      <c r="J5141" s="10" t="s">
        <v>11217</v>
      </c>
      <c r="K5141" s="12">
        <v>46028</v>
      </c>
      <c r="L5141" s="28" t="s">
        <v>11</v>
      </c>
      <c r="M5141" s="14"/>
      <c r="N5141" s="10" t="s">
        <v>1028</v>
      </c>
    </row>
    <row r="5142" spans="1:14" ht="22.5" customHeight="1">
      <c r="A5142" s="8">
        <v>46028.948994537037</v>
      </c>
      <c r="B5142" s="9" t="s">
        <v>14</v>
      </c>
      <c r="C5142" s="9" t="s">
        <v>15</v>
      </c>
      <c r="D5142" s="10" t="s">
        <v>11218</v>
      </c>
      <c r="E5142" s="9" t="s">
        <v>22</v>
      </c>
      <c r="F5142" s="10">
        <v>27</v>
      </c>
      <c r="G5142" s="11">
        <v>8081054807</v>
      </c>
      <c r="H5142" s="10" t="s">
        <v>11219</v>
      </c>
      <c r="I5142" s="10" t="s">
        <v>45</v>
      </c>
      <c r="J5142" s="10" t="s">
        <v>11220</v>
      </c>
      <c r="K5142" s="12">
        <v>46028</v>
      </c>
      <c r="L5142" s="28" t="s">
        <v>11</v>
      </c>
      <c r="M5142" s="14"/>
      <c r="N5142" s="10" t="s">
        <v>1028</v>
      </c>
    </row>
    <row r="5143" spans="1:14" ht="22.5" customHeight="1">
      <c r="A5143" s="8">
        <v>46028.951266689815</v>
      </c>
      <c r="B5143" s="9" t="s">
        <v>14</v>
      </c>
      <c r="C5143" s="9" t="s">
        <v>15</v>
      </c>
      <c r="D5143" s="10" t="s">
        <v>11221</v>
      </c>
      <c r="E5143" s="9" t="s">
        <v>17</v>
      </c>
      <c r="F5143" s="10">
        <v>29</v>
      </c>
      <c r="G5143" s="11">
        <v>9034453199</v>
      </c>
      <c r="H5143" s="10" t="s">
        <v>11222</v>
      </c>
      <c r="I5143" s="10" t="s">
        <v>27</v>
      </c>
      <c r="J5143" s="10" t="s">
        <v>1577</v>
      </c>
      <c r="K5143" s="12">
        <v>46028</v>
      </c>
      <c r="L5143" s="28" t="s">
        <v>11</v>
      </c>
      <c r="M5143" s="14"/>
      <c r="N5143" s="10" t="s">
        <v>5460</v>
      </c>
    </row>
    <row r="5144" spans="1:14" ht="22.5" customHeight="1">
      <c r="A5144" s="8">
        <v>46028.951464537036</v>
      </c>
      <c r="B5144" s="9" t="s">
        <v>14</v>
      </c>
      <c r="C5144" s="9" t="s">
        <v>15</v>
      </c>
      <c r="D5144" s="10" t="s">
        <v>11223</v>
      </c>
      <c r="E5144" s="9" t="s">
        <v>22</v>
      </c>
      <c r="F5144" s="10">
        <v>29</v>
      </c>
      <c r="G5144" s="11">
        <v>8065547730</v>
      </c>
      <c r="H5144" s="10" t="s">
        <v>11224</v>
      </c>
      <c r="I5144" s="10" t="s">
        <v>31</v>
      </c>
      <c r="J5144" s="10" t="s">
        <v>11225</v>
      </c>
      <c r="K5144" s="12">
        <v>46028</v>
      </c>
      <c r="L5144" s="28" t="s">
        <v>11</v>
      </c>
      <c r="M5144" s="14"/>
      <c r="N5144" s="10" t="s">
        <v>1028</v>
      </c>
    </row>
    <row r="5145" spans="1:14" ht="22.5" customHeight="1">
      <c r="A5145" s="8">
        <v>46028.954036215277</v>
      </c>
      <c r="B5145" s="9" t="s">
        <v>14</v>
      </c>
      <c r="C5145" s="9" t="s">
        <v>15</v>
      </c>
      <c r="D5145" s="10" t="s">
        <v>11226</v>
      </c>
      <c r="E5145" s="9" t="s">
        <v>17</v>
      </c>
      <c r="F5145" s="10">
        <v>25</v>
      </c>
      <c r="G5145" s="11">
        <v>8129195838</v>
      </c>
      <c r="H5145" s="10" t="s">
        <v>11227</v>
      </c>
      <c r="I5145" s="10" t="s">
        <v>45</v>
      </c>
      <c r="J5145" s="10" t="s">
        <v>11228</v>
      </c>
      <c r="K5145" s="12">
        <v>46028</v>
      </c>
      <c r="L5145" s="28" t="s">
        <v>11</v>
      </c>
      <c r="M5145" s="14"/>
      <c r="N5145" s="10" t="s">
        <v>1028</v>
      </c>
    </row>
    <row r="5146" spans="1:14" ht="22.5" customHeight="1">
      <c r="A5146" s="8">
        <v>46028.958536678241</v>
      </c>
      <c r="B5146" s="9" t="s">
        <v>14</v>
      </c>
      <c r="C5146" s="9" t="s">
        <v>15</v>
      </c>
      <c r="D5146" s="10" t="s">
        <v>11229</v>
      </c>
      <c r="E5146" s="9" t="s">
        <v>17</v>
      </c>
      <c r="F5146" s="10">
        <v>30</v>
      </c>
      <c r="G5146" s="11">
        <v>8165594823</v>
      </c>
      <c r="H5146" s="10" t="s">
        <v>11230</v>
      </c>
      <c r="I5146" s="10" t="s">
        <v>45</v>
      </c>
      <c r="J5146" s="10" t="s">
        <v>287</v>
      </c>
      <c r="K5146" s="12">
        <v>46028</v>
      </c>
      <c r="L5146" s="28" t="s">
        <v>11</v>
      </c>
      <c r="M5146" s="14"/>
      <c r="N5146" s="10" t="s">
        <v>1096</v>
      </c>
    </row>
    <row r="5147" spans="1:14" ht="22.5" customHeight="1">
      <c r="A5147" s="8">
        <v>46028.961048611112</v>
      </c>
      <c r="B5147" s="9" t="s">
        <v>14</v>
      </c>
      <c r="C5147" s="9" t="s">
        <v>15</v>
      </c>
      <c r="D5147" s="10" t="s">
        <v>11231</v>
      </c>
      <c r="E5147" s="9" t="s">
        <v>22</v>
      </c>
      <c r="F5147" s="10">
        <v>28</v>
      </c>
      <c r="G5147" s="11">
        <v>9069036273</v>
      </c>
      <c r="H5147" s="10" t="s">
        <v>11232</v>
      </c>
      <c r="I5147" s="10" t="s">
        <v>45</v>
      </c>
      <c r="J5147" s="10" t="s">
        <v>287</v>
      </c>
      <c r="K5147" s="12">
        <v>46028</v>
      </c>
      <c r="L5147" s="28" t="s">
        <v>11</v>
      </c>
      <c r="M5147" s="14"/>
      <c r="N5147" s="10" t="s">
        <v>1028</v>
      </c>
    </row>
    <row r="5148" spans="1:14" ht="22.5" customHeight="1">
      <c r="A5148" s="8">
        <v>46028.970540277776</v>
      </c>
      <c r="B5148" s="9" t="s">
        <v>14</v>
      </c>
      <c r="C5148" s="9" t="s">
        <v>15</v>
      </c>
      <c r="D5148" s="10" t="s">
        <v>11233</v>
      </c>
      <c r="E5148" s="9" t="s">
        <v>17</v>
      </c>
      <c r="F5148" s="10">
        <v>34</v>
      </c>
      <c r="G5148" s="11">
        <v>8134240300</v>
      </c>
      <c r="H5148" s="10" t="s">
        <v>11234</v>
      </c>
      <c r="I5148" s="10" t="s">
        <v>145</v>
      </c>
      <c r="J5148" s="10" t="s">
        <v>1717</v>
      </c>
      <c r="K5148" s="12">
        <v>46028</v>
      </c>
      <c r="L5148" s="28" t="s">
        <v>11</v>
      </c>
      <c r="M5148" s="14"/>
      <c r="N5148" s="10" t="s">
        <v>1096</v>
      </c>
    </row>
    <row r="5149" spans="1:14" ht="22.5" customHeight="1">
      <c r="A5149" s="8">
        <v>46028.973063819445</v>
      </c>
      <c r="B5149" s="9" t="s">
        <v>14</v>
      </c>
      <c r="C5149" s="9" t="s">
        <v>15</v>
      </c>
      <c r="D5149" s="10" t="s">
        <v>7546</v>
      </c>
      <c r="E5149" s="9" t="s">
        <v>17</v>
      </c>
      <c r="F5149" s="10">
        <v>21</v>
      </c>
      <c r="G5149" s="11">
        <v>8137814636</v>
      </c>
      <c r="H5149" s="10" t="s">
        <v>7547</v>
      </c>
      <c r="I5149" s="10" t="s">
        <v>19</v>
      </c>
      <c r="J5149" s="10" t="s">
        <v>7492</v>
      </c>
      <c r="K5149" s="12">
        <v>46028</v>
      </c>
      <c r="L5149" s="28" t="s">
        <v>11</v>
      </c>
      <c r="M5149" s="14"/>
      <c r="N5149" s="10" t="s">
        <v>1028</v>
      </c>
    </row>
    <row r="5150" spans="1:14" ht="22.5" customHeight="1">
      <c r="A5150" s="8">
        <v>46028.974470879628</v>
      </c>
      <c r="B5150" s="9" t="s">
        <v>14</v>
      </c>
      <c r="C5150" s="9" t="s">
        <v>15</v>
      </c>
      <c r="D5150" s="10" t="s">
        <v>11235</v>
      </c>
      <c r="E5150" s="9" t="s">
        <v>17</v>
      </c>
      <c r="F5150" s="10">
        <v>32</v>
      </c>
      <c r="G5150" s="11">
        <v>8060011810</v>
      </c>
      <c r="H5150" s="10" t="s">
        <v>11236</v>
      </c>
      <c r="I5150" s="10" t="s">
        <v>45</v>
      </c>
      <c r="J5150" s="10" t="s">
        <v>1247</v>
      </c>
      <c r="K5150" s="12">
        <v>46028</v>
      </c>
      <c r="L5150" s="28" t="s">
        <v>11</v>
      </c>
      <c r="M5150" s="14"/>
      <c r="N5150" s="10" t="s">
        <v>1096</v>
      </c>
    </row>
    <row r="5151" spans="1:14" ht="22.5" customHeight="1">
      <c r="A5151" s="8">
        <v>46028.975436018518</v>
      </c>
      <c r="B5151" s="9" t="s">
        <v>14</v>
      </c>
      <c r="C5151" s="9" t="s">
        <v>15</v>
      </c>
      <c r="D5151" s="10" t="s">
        <v>11237</v>
      </c>
      <c r="E5151" s="9" t="s">
        <v>17</v>
      </c>
      <c r="F5151" s="10">
        <v>32</v>
      </c>
      <c r="G5151" s="11">
        <f t="shared" ref="G5151" si="144">2347089815994</f>
        <v>2347089815994</v>
      </c>
      <c r="H5151" s="10" t="s">
        <v>11238</v>
      </c>
      <c r="I5151" s="10" t="s">
        <v>45</v>
      </c>
      <c r="J5151" s="10" t="s">
        <v>131</v>
      </c>
      <c r="K5151" s="12">
        <v>46028</v>
      </c>
      <c r="L5151" s="28" t="s">
        <v>11</v>
      </c>
      <c r="M5151" s="14"/>
      <c r="N5151" s="10" t="s">
        <v>1028</v>
      </c>
    </row>
    <row r="5152" spans="1:14" ht="22.5" customHeight="1">
      <c r="A5152" s="8">
        <v>46028.98230635417</v>
      </c>
      <c r="B5152" s="9" t="s">
        <v>14</v>
      </c>
      <c r="C5152" s="9" t="s">
        <v>15</v>
      </c>
      <c r="D5152" s="10" t="s">
        <v>11239</v>
      </c>
      <c r="E5152" s="9" t="s">
        <v>22</v>
      </c>
      <c r="F5152" s="10">
        <v>26</v>
      </c>
      <c r="G5152" s="11">
        <v>8164248263</v>
      </c>
      <c r="H5152" s="10" t="s">
        <v>11240</v>
      </c>
      <c r="I5152" s="10" t="s">
        <v>45</v>
      </c>
      <c r="J5152" s="10" t="s">
        <v>892</v>
      </c>
      <c r="K5152" s="12">
        <v>46028</v>
      </c>
      <c r="L5152" s="28" t="s">
        <v>11</v>
      </c>
      <c r="M5152" s="14"/>
      <c r="N5152" s="10" t="s">
        <v>1028</v>
      </c>
    </row>
    <row r="5153" spans="1:14" ht="22.5" customHeight="1">
      <c r="A5153" s="8">
        <v>46028.983217627319</v>
      </c>
      <c r="B5153" s="9" t="s">
        <v>14</v>
      </c>
      <c r="C5153" s="9" t="s">
        <v>15</v>
      </c>
      <c r="D5153" s="10" t="s">
        <v>11241</v>
      </c>
      <c r="E5153" s="9" t="s">
        <v>17</v>
      </c>
      <c r="F5153" s="19">
        <v>20</v>
      </c>
      <c r="G5153" s="11">
        <v>9114408383</v>
      </c>
      <c r="H5153" s="10" t="s">
        <v>11242</v>
      </c>
      <c r="I5153" s="10" t="s">
        <v>27</v>
      </c>
      <c r="J5153" s="10" t="s">
        <v>11243</v>
      </c>
      <c r="K5153" s="12">
        <v>46028</v>
      </c>
      <c r="L5153" s="28" t="s">
        <v>11</v>
      </c>
      <c r="M5153" s="14"/>
      <c r="N5153" s="10" t="s">
        <v>1028</v>
      </c>
    </row>
    <row r="5154" spans="1:14" ht="22.5" customHeight="1">
      <c r="A5154" s="8">
        <v>46028.983415810188</v>
      </c>
      <c r="B5154" s="9" t="s">
        <v>14</v>
      </c>
      <c r="C5154" s="9" t="s">
        <v>15</v>
      </c>
      <c r="D5154" s="10" t="s">
        <v>11244</v>
      </c>
      <c r="E5154" s="9" t="s">
        <v>17</v>
      </c>
      <c r="F5154" s="10">
        <v>24</v>
      </c>
      <c r="G5154" s="11">
        <v>7051455187</v>
      </c>
      <c r="H5154" s="10" t="s">
        <v>11245</v>
      </c>
      <c r="I5154" s="10" t="s">
        <v>49</v>
      </c>
      <c r="J5154" s="10" t="s">
        <v>109</v>
      </c>
      <c r="K5154" s="12">
        <v>46028</v>
      </c>
      <c r="L5154" s="28" t="s">
        <v>11</v>
      </c>
      <c r="M5154" s="14"/>
      <c r="N5154" s="10" t="s">
        <v>1028</v>
      </c>
    </row>
    <row r="5155" spans="1:14" ht="22.5" customHeight="1">
      <c r="A5155" s="8">
        <v>46028.98584094907</v>
      </c>
      <c r="B5155" s="9" t="s">
        <v>14</v>
      </c>
      <c r="C5155" s="9" t="s">
        <v>15</v>
      </c>
      <c r="D5155" s="10" t="s">
        <v>11246</v>
      </c>
      <c r="E5155" s="9" t="s">
        <v>17</v>
      </c>
      <c r="F5155" s="10">
        <v>39</v>
      </c>
      <c r="G5155" s="11">
        <v>8035543942</v>
      </c>
      <c r="H5155" s="10" t="s">
        <v>1785</v>
      </c>
      <c r="I5155" s="10" t="s">
        <v>31</v>
      </c>
      <c r="J5155" s="10" t="s">
        <v>32</v>
      </c>
      <c r="K5155" s="12">
        <v>46028</v>
      </c>
      <c r="L5155" s="28" t="s">
        <v>11</v>
      </c>
      <c r="M5155" s="14"/>
      <c r="N5155" s="10" t="s">
        <v>1028</v>
      </c>
    </row>
    <row r="5156" spans="1:14" ht="22.5" customHeight="1">
      <c r="A5156" s="8">
        <v>46028.992740185189</v>
      </c>
      <c r="B5156" s="9" t="s">
        <v>14</v>
      </c>
      <c r="C5156" s="9" t="s">
        <v>15</v>
      </c>
      <c r="D5156" s="10" t="s">
        <v>11247</v>
      </c>
      <c r="E5156" s="9" t="s">
        <v>22</v>
      </c>
      <c r="F5156" s="10">
        <v>23</v>
      </c>
      <c r="G5156" s="11">
        <v>7072861643</v>
      </c>
      <c r="H5156" s="10" t="s">
        <v>11248</v>
      </c>
      <c r="I5156" s="10" t="s">
        <v>145</v>
      </c>
      <c r="J5156" s="10" t="s">
        <v>530</v>
      </c>
      <c r="K5156" s="12">
        <v>46028</v>
      </c>
      <c r="L5156" s="28" t="s">
        <v>11</v>
      </c>
      <c r="M5156" s="14"/>
      <c r="N5156" s="10" t="s">
        <v>1028</v>
      </c>
    </row>
    <row r="5157" spans="1:14" ht="22.5" customHeight="1">
      <c r="A5157" s="8">
        <v>46028.998694907408</v>
      </c>
      <c r="B5157" s="9" t="s">
        <v>14</v>
      </c>
      <c r="C5157" s="9" t="s">
        <v>15</v>
      </c>
      <c r="D5157" s="10" t="s">
        <v>11249</v>
      </c>
      <c r="E5157" s="9" t="s">
        <v>17</v>
      </c>
      <c r="F5157" s="10">
        <v>28</v>
      </c>
      <c r="G5157" s="11">
        <v>8137179930</v>
      </c>
      <c r="H5157" s="10" t="s">
        <v>11250</v>
      </c>
      <c r="I5157" s="10" t="s">
        <v>45</v>
      </c>
      <c r="J5157" s="10" t="s">
        <v>521</v>
      </c>
      <c r="K5157" s="12">
        <v>46028</v>
      </c>
      <c r="L5157" s="28" t="s">
        <v>11</v>
      </c>
      <c r="M5157" s="14"/>
      <c r="N5157" s="10" t="s">
        <v>1028</v>
      </c>
    </row>
    <row r="5158" spans="1:14" ht="22.5" customHeight="1">
      <c r="A5158" s="8">
        <v>46029.001197604171</v>
      </c>
      <c r="B5158" s="9" t="s">
        <v>14</v>
      </c>
      <c r="C5158" s="9" t="s">
        <v>15</v>
      </c>
      <c r="D5158" s="10" t="s">
        <v>11251</v>
      </c>
      <c r="E5158" s="9" t="s">
        <v>22</v>
      </c>
      <c r="F5158" s="10">
        <v>37</v>
      </c>
      <c r="G5158" s="11">
        <v>8064244060</v>
      </c>
      <c r="H5158" s="10" t="s">
        <v>11252</v>
      </c>
      <c r="I5158" s="10" t="s">
        <v>19</v>
      </c>
      <c r="J5158" s="10" t="s">
        <v>166</v>
      </c>
      <c r="K5158" s="12">
        <v>46029</v>
      </c>
      <c r="L5158" s="28" t="s">
        <v>11</v>
      </c>
      <c r="M5158" s="14"/>
      <c r="N5158" s="10" t="s">
        <v>1096</v>
      </c>
    </row>
    <row r="5159" spans="1:14" ht="22.5" customHeight="1">
      <c r="A5159" s="8">
        <v>46029.003781215273</v>
      </c>
      <c r="B5159" s="9" t="s">
        <v>14</v>
      </c>
      <c r="C5159" s="9" t="s">
        <v>15</v>
      </c>
      <c r="D5159" s="10" t="s">
        <v>11253</v>
      </c>
      <c r="E5159" s="9" t="s">
        <v>22</v>
      </c>
      <c r="F5159" s="10">
        <v>31</v>
      </c>
      <c r="G5159" s="11">
        <v>9063861941</v>
      </c>
      <c r="H5159" s="10" t="s">
        <v>11254</v>
      </c>
      <c r="I5159" s="10" t="s">
        <v>202</v>
      </c>
      <c r="J5159" s="10" t="s">
        <v>3682</v>
      </c>
      <c r="K5159" s="12">
        <v>46029</v>
      </c>
      <c r="L5159" s="28" t="s">
        <v>11</v>
      </c>
      <c r="M5159" s="14"/>
      <c r="N5159" s="10" t="s">
        <v>1028</v>
      </c>
    </row>
    <row r="5160" spans="1:14" ht="22.5" customHeight="1">
      <c r="A5160" s="8">
        <v>46029.015772233797</v>
      </c>
      <c r="B5160" s="9" t="s">
        <v>14</v>
      </c>
      <c r="C5160" s="9" t="s">
        <v>15</v>
      </c>
      <c r="D5160" s="10" t="s">
        <v>11255</v>
      </c>
      <c r="E5160" s="9" t="s">
        <v>22</v>
      </c>
      <c r="F5160" s="10">
        <v>28</v>
      </c>
      <c r="G5160" s="11">
        <v>7036644462</v>
      </c>
      <c r="H5160" s="10" t="s">
        <v>11256</v>
      </c>
      <c r="I5160" s="10" t="s">
        <v>45</v>
      </c>
      <c r="J5160" s="10" t="s">
        <v>84</v>
      </c>
      <c r="K5160" s="12">
        <v>46029</v>
      </c>
      <c r="L5160" s="28" t="s">
        <v>11</v>
      </c>
      <c r="M5160" s="14"/>
      <c r="N5160" s="10" t="s">
        <v>1028</v>
      </c>
    </row>
    <row r="5161" spans="1:14" ht="22.5" customHeight="1">
      <c r="A5161" s="8">
        <v>46029.02315581018</v>
      </c>
      <c r="B5161" s="9" t="s">
        <v>14</v>
      </c>
      <c r="C5161" s="9" t="s">
        <v>15</v>
      </c>
      <c r="D5161" s="10" t="s">
        <v>11257</v>
      </c>
      <c r="E5161" s="9" t="s">
        <v>17</v>
      </c>
      <c r="F5161" s="10">
        <v>28</v>
      </c>
      <c r="G5161" s="11">
        <v>8104452778</v>
      </c>
      <c r="H5161" s="10" t="s">
        <v>11258</v>
      </c>
      <c r="I5161" s="10" t="s">
        <v>19</v>
      </c>
      <c r="J5161" s="10" t="s">
        <v>8560</v>
      </c>
      <c r="K5161" s="12">
        <v>46029</v>
      </c>
      <c r="L5161" s="28" t="s">
        <v>11</v>
      </c>
      <c r="M5161" s="14"/>
      <c r="N5161" s="10" t="s">
        <v>1096</v>
      </c>
    </row>
    <row r="5162" spans="1:14" ht="22.5" customHeight="1">
      <c r="A5162" s="8">
        <v>46029.023747812498</v>
      </c>
      <c r="B5162" s="9" t="s">
        <v>14</v>
      </c>
      <c r="C5162" s="9" t="s">
        <v>15</v>
      </c>
      <c r="D5162" s="10" t="s">
        <v>11259</v>
      </c>
      <c r="E5162" s="9" t="s">
        <v>22</v>
      </c>
      <c r="F5162" s="10">
        <v>23</v>
      </c>
      <c r="G5162" s="11">
        <v>7014987237</v>
      </c>
      <c r="H5162" s="10" t="s">
        <v>11260</v>
      </c>
      <c r="I5162" s="10" t="s">
        <v>45</v>
      </c>
      <c r="J5162" s="10" t="s">
        <v>287</v>
      </c>
      <c r="K5162" s="12">
        <v>46029</v>
      </c>
      <c r="L5162" s="28" t="s">
        <v>11</v>
      </c>
      <c r="M5162" s="10"/>
      <c r="N5162" s="10" t="s">
        <v>1028</v>
      </c>
    </row>
    <row r="5163" spans="1:14" ht="22.5" customHeight="1">
      <c r="A5163" s="8">
        <v>46029.032243912035</v>
      </c>
      <c r="B5163" s="9" t="s">
        <v>14</v>
      </c>
      <c r="C5163" s="9" t="s">
        <v>15</v>
      </c>
      <c r="D5163" s="10" t="s">
        <v>11261</v>
      </c>
      <c r="E5163" s="9" t="s">
        <v>17</v>
      </c>
      <c r="F5163" s="10">
        <v>30</v>
      </c>
      <c r="G5163" s="11">
        <v>8114443843</v>
      </c>
      <c r="H5163" s="10" t="s">
        <v>11262</v>
      </c>
      <c r="I5163" s="10" t="s">
        <v>45</v>
      </c>
      <c r="J5163" s="10" t="s">
        <v>287</v>
      </c>
      <c r="K5163" s="12">
        <v>46029</v>
      </c>
      <c r="L5163" s="28" t="s">
        <v>11</v>
      </c>
      <c r="M5163" s="14"/>
      <c r="N5163" s="10" t="s">
        <v>1028</v>
      </c>
    </row>
    <row r="5164" spans="1:14" ht="22.5" customHeight="1">
      <c r="A5164" s="8">
        <v>46029.036461504627</v>
      </c>
      <c r="B5164" s="9" t="s">
        <v>14</v>
      </c>
      <c r="C5164" s="9" t="s">
        <v>15</v>
      </c>
      <c r="D5164" s="10" t="s">
        <v>11263</v>
      </c>
      <c r="E5164" s="9" t="s">
        <v>17</v>
      </c>
      <c r="F5164" s="10">
        <v>43</v>
      </c>
      <c r="G5164" s="11">
        <v>8126589344</v>
      </c>
      <c r="H5164" s="10" t="s">
        <v>11264</v>
      </c>
      <c r="I5164" s="10" t="s">
        <v>45</v>
      </c>
      <c r="J5164" s="10" t="s">
        <v>1919</v>
      </c>
      <c r="K5164" s="12">
        <v>46029</v>
      </c>
      <c r="L5164" s="28" t="s">
        <v>11</v>
      </c>
      <c r="M5164" s="14"/>
      <c r="N5164" s="10" t="s">
        <v>1028</v>
      </c>
    </row>
    <row r="5165" spans="1:14" ht="22.5" customHeight="1">
      <c r="A5165" s="8">
        <v>46029.037117210653</v>
      </c>
      <c r="B5165" s="9" t="s">
        <v>14</v>
      </c>
      <c r="C5165" s="9" t="s">
        <v>15</v>
      </c>
      <c r="D5165" s="10" t="s">
        <v>11265</v>
      </c>
      <c r="E5165" s="9" t="s">
        <v>17</v>
      </c>
      <c r="F5165" s="10">
        <v>21</v>
      </c>
      <c r="G5165" s="11">
        <f t="shared" ref="G5165" si="145">2348118651101</f>
        <v>2348118651101</v>
      </c>
      <c r="H5165" s="10" t="s">
        <v>11266</v>
      </c>
      <c r="I5165" s="10" t="s">
        <v>19</v>
      </c>
      <c r="J5165" s="10" t="s">
        <v>11267</v>
      </c>
      <c r="K5165" s="12">
        <v>46029</v>
      </c>
      <c r="L5165" s="28" t="s">
        <v>11</v>
      </c>
      <c r="M5165" s="14"/>
      <c r="N5165" s="10" t="s">
        <v>1096</v>
      </c>
    </row>
    <row r="5166" spans="1:14" ht="22.5" customHeight="1">
      <c r="A5166" s="8">
        <v>46029.041170717595</v>
      </c>
      <c r="B5166" s="9" t="s">
        <v>14</v>
      </c>
      <c r="C5166" s="9" t="s">
        <v>15</v>
      </c>
      <c r="D5166" s="10" t="s">
        <v>11268</v>
      </c>
      <c r="E5166" s="9" t="s">
        <v>22</v>
      </c>
      <c r="F5166" s="10">
        <v>32</v>
      </c>
      <c r="G5166" s="11">
        <v>8055084469</v>
      </c>
      <c r="H5166" s="10" t="s">
        <v>11269</v>
      </c>
      <c r="I5166" s="10" t="s">
        <v>45</v>
      </c>
      <c r="J5166" s="10" t="s">
        <v>932</v>
      </c>
      <c r="K5166" s="12">
        <v>34263</v>
      </c>
      <c r="L5166" s="28" t="s">
        <v>11</v>
      </c>
      <c r="M5166" s="14"/>
      <c r="N5166" s="10" t="s">
        <v>1096</v>
      </c>
    </row>
    <row r="5167" spans="1:14" ht="22.5" customHeight="1">
      <c r="A5167" s="8">
        <v>46029.044601504633</v>
      </c>
      <c r="B5167" s="9" t="s">
        <v>14</v>
      </c>
      <c r="C5167" s="9" t="s">
        <v>15</v>
      </c>
      <c r="D5167" s="10" t="s">
        <v>11270</v>
      </c>
      <c r="E5167" s="9" t="s">
        <v>22</v>
      </c>
      <c r="F5167" s="10">
        <v>26</v>
      </c>
      <c r="G5167" s="11">
        <v>8061764944</v>
      </c>
      <c r="H5167" s="10" t="s">
        <v>11271</v>
      </c>
      <c r="I5167" s="10" t="s">
        <v>19</v>
      </c>
      <c r="J5167" s="10" t="s">
        <v>3466</v>
      </c>
      <c r="K5167" s="12">
        <v>46029</v>
      </c>
      <c r="L5167" s="28" t="s">
        <v>11</v>
      </c>
      <c r="M5167" s="14"/>
      <c r="N5167" s="10" t="s">
        <v>1096</v>
      </c>
    </row>
    <row r="5168" spans="1:14" ht="22.5" customHeight="1">
      <c r="A5168" s="8">
        <v>46029.044874699073</v>
      </c>
      <c r="B5168" s="9" t="s">
        <v>14</v>
      </c>
      <c r="C5168" s="9" t="s">
        <v>15</v>
      </c>
      <c r="D5168" s="10" t="s">
        <v>11272</v>
      </c>
      <c r="E5168" s="9" t="s">
        <v>22</v>
      </c>
      <c r="F5168" s="10">
        <v>18</v>
      </c>
      <c r="G5168" s="11">
        <v>9126825007</v>
      </c>
      <c r="H5168" s="10" t="s">
        <v>11273</v>
      </c>
      <c r="I5168" s="10" t="s">
        <v>45</v>
      </c>
      <c r="J5168" s="10" t="s">
        <v>11274</v>
      </c>
      <c r="K5168" s="12">
        <v>46029</v>
      </c>
      <c r="L5168" s="28" t="s">
        <v>11</v>
      </c>
      <c r="M5168" s="14"/>
      <c r="N5168" s="10" t="s">
        <v>1028</v>
      </c>
    </row>
    <row r="5169" spans="1:14" ht="22.5" customHeight="1">
      <c r="A5169" s="8">
        <v>46029.06016721065</v>
      </c>
      <c r="B5169" s="9" t="s">
        <v>14</v>
      </c>
      <c r="C5169" s="9" t="s">
        <v>15</v>
      </c>
      <c r="D5169" s="10" t="s">
        <v>11275</v>
      </c>
      <c r="E5169" s="9" t="s">
        <v>17</v>
      </c>
      <c r="F5169" s="10">
        <v>27</v>
      </c>
      <c r="G5169" s="11">
        <v>8105770489</v>
      </c>
      <c r="H5169" s="10" t="s">
        <v>11276</v>
      </c>
      <c r="I5169" s="10" t="s">
        <v>145</v>
      </c>
      <c r="J5169" s="10" t="s">
        <v>11277</v>
      </c>
      <c r="K5169" s="12">
        <v>46029</v>
      </c>
      <c r="L5169" s="28" t="s">
        <v>11</v>
      </c>
      <c r="M5169" s="14"/>
      <c r="N5169" s="10" t="s">
        <v>1028</v>
      </c>
    </row>
    <row r="5170" spans="1:14" ht="22.5" customHeight="1">
      <c r="A5170" s="8">
        <v>46029.085096539347</v>
      </c>
      <c r="B5170" s="9" t="s">
        <v>14</v>
      </c>
      <c r="C5170" s="9" t="s">
        <v>15</v>
      </c>
      <c r="D5170" s="10" t="s">
        <v>11278</v>
      </c>
      <c r="E5170" s="9" t="s">
        <v>17</v>
      </c>
      <c r="F5170" s="10">
        <v>24</v>
      </c>
      <c r="G5170" s="11">
        <v>9022033028</v>
      </c>
      <c r="H5170" s="10" t="s">
        <v>11279</v>
      </c>
      <c r="I5170" s="10" t="s">
        <v>45</v>
      </c>
      <c r="J5170" s="10" t="s">
        <v>279</v>
      </c>
      <c r="K5170" s="12">
        <v>46029</v>
      </c>
      <c r="L5170" s="28" t="s">
        <v>11</v>
      </c>
      <c r="M5170" s="14"/>
      <c r="N5170" s="10" t="s">
        <v>1096</v>
      </c>
    </row>
    <row r="5171" spans="1:14" ht="22.5" customHeight="1">
      <c r="A5171" s="8">
        <v>46029.103199687495</v>
      </c>
      <c r="B5171" s="9" t="s">
        <v>14</v>
      </c>
      <c r="C5171" s="9" t="s">
        <v>15</v>
      </c>
      <c r="D5171" s="10" t="s">
        <v>11280</v>
      </c>
      <c r="E5171" s="9" t="s">
        <v>17</v>
      </c>
      <c r="F5171" s="10">
        <v>27</v>
      </c>
      <c r="G5171" s="11">
        <v>551863911</v>
      </c>
      <c r="H5171" s="10" t="s">
        <v>11281</v>
      </c>
      <c r="I5171" s="10" t="s">
        <v>27</v>
      </c>
      <c r="J5171" s="10" t="s">
        <v>27</v>
      </c>
      <c r="K5171" s="12">
        <v>36006</v>
      </c>
      <c r="L5171" s="28" t="s">
        <v>11</v>
      </c>
      <c r="M5171" s="14"/>
      <c r="N5171" s="10" t="s">
        <v>11282</v>
      </c>
    </row>
    <row r="5172" spans="1:14" ht="22.5" customHeight="1">
      <c r="A5172" s="8">
        <v>46029.105351874998</v>
      </c>
      <c r="B5172" s="9" t="s">
        <v>14</v>
      </c>
      <c r="C5172" s="9" t="s">
        <v>15</v>
      </c>
      <c r="D5172" s="10" t="s">
        <v>11283</v>
      </c>
      <c r="E5172" s="9" t="s">
        <v>17</v>
      </c>
      <c r="F5172" s="10">
        <v>16</v>
      </c>
      <c r="G5172" s="11">
        <v>7017509585</v>
      </c>
      <c r="H5172" s="10" t="s">
        <v>11284</v>
      </c>
      <c r="I5172" s="10" t="s">
        <v>145</v>
      </c>
      <c r="J5172" s="10" t="s">
        <v>1607</v>
      </c>
      <c r="K5172" s="12">
        <v>46029</v>
      </c>
      <c r="L5172" s="28" t="s">
        <v>11</v>
      </c>
      <c r="M5172" s="14"/>
      <c r="N5172" s="10" t="s">
        <v>1028</v>
      </c>
    </row>
    <row r="5173" spans="1:14" ht="22.5" customHeight="1">
      <c r="A5173" s="8">
        <v>46029.115597719909</v>
      </c>
      <c r="B5173" s="9" t="s">
        <v>14</v>
      </c>
      <c r="C5173" s="9" t="s">
        <v>15</v>
      </c>
      <c r="D5173" s="10" t="s">
        <v>11285</v>
      </c>
      <c r="E5173" s="9" t="s">
        <v>17</v>
      </c>
      <c r="F5173" s="18">
        <v>34</v>
      </c>
      <c r="G5173" s="11">
        <v>8062217572</v>
      </c>
      <c r="H5173" s="10" t="s">
        <v>11286</v>
      </c>
      <c r="I5173" s="10" t="s">
        <v>145</v>
      </c>
      <c r="J5173" s="10" t="s">
        <v>4100</v>
      </c>
      <c r="K5173" s="12">
        <v>46029</v>
      </c>
      <c r="L5173" s="28" t="s">
        <v>11</v>
      </c>
      <c r="M5173" s="14"/>
      <c r="N5173" s="10" t="s">
        <v>1028</v>
      </c>
    </row>
    <row r="5174" spans="1:14" ht="22.5" customHeight="1">
      <c r="A5174" s="8">
        <v>46029.162211319446</v>
      </c>
      <c r="B5174" s="9" t="s">
        <v>14</v>
      </c>
      <c r="C5174" s="9" t="s">
        <v>15</v>
      </c>
      <c r="D5174" s="10" t="s">
        <v>11287</v>
      </c>
      <c r="E5174" s="9" t="s">
        <v>17</v>
      </c>
      <c r="F5174" s="10">
        <v>36</v>
      </c>
      <c r="G5174" s="11">
        <v>8034593228</v>
      </c>
      <c r="H5174" s="10" t="s">
        <v>11288</v>
      </c>
      <c r="I5174" s="10" t="s">
        <v>45</v>
      </c>
      <c r="J5174" s="10" t="s">
        <v>11289</v>
      </c>
      <c r="K5174" s="12">
        <v>46029</v>
      </c>
      <c r="L5174" s="28" t="s">
        <v>11</v>
      </c>
      <c r="M5174" s="14"/>
      <c r="N5174" s="10" t="s">
        <v>1096</v>
      </c>
    </row>
    <row r="5175" spans="1:14" ht="22.5" customHeight="1">
      <c r="A5175" s="8">
        <v>46029.165381770828</v>
      </c>
      <c r="B5175" s="9" t="s">
        <v>14</v>
      </c>
      <c r="C5175" s="9" t="s">
        <v>15</v>
      </c>
      <c r="D5175" s="10" t="s">
        <v>11290</v>
      </c>
      <c r="E5175" s="9" t="s">
        <v>22</v>
      </c>
      <c r="F5175" s="10">
        <v>35</v>
      </c>
      <c r="G5175" s="11">
        <v>7034867634</v>
      </c>
      <c r="H5175" s="10" t="s">
        <v>11291</v>
      </c>
      <c r="I5175" s="10" t="s">
        <v>31</v>
      </c>
      <c r="J5175" s="10" t="s">
        <v>2358</v>
      </c>
      <c r="K5175" s="12">
        <v>33079</v>
      </c>
      <c r="L5175" s="28" t="s">
        <v>11</v>
      </c>
      <c r="M5175" s="14"/>
      <c r="N5175" s="10" t="s">
        <v>1028</v>
      </c>
    </row>
    <row r="5176" spans="1:14" ht="22.5" customHeight="1">
      <c r="A5176" s="8">
        <v>46029.176386192128</v>
      </c>
      <c r="B5176" s="9" t="s">
        <v>14</v>
      </c>
      <c r="C5176" s="9" t="s">
        <v>15</v>
      </c>
      <c r="D5176" s="10" t="s">
        <v>11292</v>
      </c>
      <c r="E5176" s="9" t="s">
        <v>17</v>
      </c>
      <c r="F5176" s="10">
        <v>32</v>
      </c>
      <c r="G5176" s="11">
        <v>8102497257</v>
      </c>
      <c r="H5176" s="10" t="s">
        <v>11293</v>
      </c>
      <c r="I5176" s="10" t="s">
        <v>145</v>
      </c>
      <c r="J5176" s="10" t="s">
        <v>9968</v>
      </c>
      <c r="K5176" s="12">
        <v>46029</v>
      </c>
      <c r="L5176" s="28" t="s">
        <v>11</v>
      </c>
      <c r="M5176" s="14"/>
      <c r="N5176" s="10" t="s">
        <v>1028</v>
      </c>
    </row>
    <row r="5177" spans="1:14" ht="22.5" customHeight="1">
      <c r="A5177" s="8">
        <v>46029.185714652776</v>
      </c>
      <c r="B5177" s="9" t="s">
        <v>14</v>
      </c>
      <c r="C5177" s="9" t="s">
        <v>15</v>
      </c>
      <c r="D5177" s="10" t="s">
        <v>11294</v>
      </c>
      <c r="E5177" s="9" t="s">
        <v>17</v>
      </c>
      <c r="F5177" s="10">
        <v>25</v>
      </c>
      <c r="G5177" s="11">
        <v>9038706524</v>
      </c>
      <c r="H5177" s="10" t="s">
        <v>11295</v>
      </c>
      <c r="I5177" s="10" t="s">
        <v>27</v>
      </c>
      <c r="J5177" s="10" t="s">
        <v>27</v>
      </c>
      <c r="K5177" s="12">
        <v>46029</v>
      </c>
      <c r="L5177" s="28" t="s">
        <v>11</v>
      </c>
      <c r="M5177" s="14"/>
      <c r="N5177" s="10" t="s">
        <v>1096</v>
      </c>
    </row>
    <row r="5178" spans="1:14" ht="22.5" customHeight="1">
      <c r="A5178" s="8">
        <v>46029.192433206015</v>
      </c>
      <c r="B5178" s="9" t="s">
        <v>14</v>
      </c>
      <c r="C5178" s="9" t="s">
        <v>15</v>
      </c>
      <c r="D5178" s="10" t="s">
        <v>11296</v>
      </c>
      <c r="E5178" s="9" t="s">
        <v>17</v>
      </c>
      <c r="F5178" s="10">
        <v>24</v>
      </c>
      <c r="G5178" s="11">
        <v>8062221197</v>
      </c>
      <c r="H5178" s="10" t="s">
        <v>11297</v>
      </c>
      <c r="I5178" s="10" t="s">
        <v>19</v>
      </c>
      <c r="J5178" s="10" t="s">
        <v>11298</v>
      </c>
      <c r="K5178" s="12">
        <v>46029</v>
      </c>
      <c r="L5178" s="28" t="s">
        <v>11</v>
      </c>
      <c r="M5178" s="14"/>
      <c r="N5178" s="10" t="s">
        <v>1028</v>
      </c>
    </row>
    <row r="5179" spans="1:14" ht="22.5" customHeight="1">
      <c r="A5179" s="8">
        <v>46029.194862847224</v>
      </c>
      <c r="B5179" s="9" t="s">
        <v>14</v>
      </c>
      <c r="C5179" s="9" t="s">
        <v>15</v>
      </c>
      <c r="D5179" s="10" t="s">
        <v>11299</v>
      </c>
      <c r="E5179" s="9" t="s">
        <v>22</v>
      </c>
      <c r="F5179" s="10">
        <v>32</v>
      </c>
      <c r="G5179" s="11">
        <v>7034272399</v>
      </c>
      <c r="H5179" s="10" t="s">
        <v>11300</v>
      </c>
      <c r="I5179" s="10" t="s">
        <v>145</v>
      </c>
      <c r="J5179" s="10" t="s">
        <v>1607</v>
      </c>
      <c r="K5179" s="12">
        <v>46029</v>
      </c>
      <c r="L5179" s="28" t="s">
        <v>11</v>
      </c>
      <c r="M5179" s="14"/>
      <c r="N5179" s="10" t="s">
        <v>1028</v>
      </c>
    </row>
    <row r="5180" spans="1:14" ht="22.5" hidden="1" customHeight="1">
      <c r="A5180" s="8">
        <v>46029.197988912041</v>
      </c>
      <c r="B5180" s="9" t="s">
        <v>14</v>
      </c>
      <c r="C5180" s="9" t="s">
        <v>15</v>
      </c>
      <c r="D5180" s="10" t="s">
        <v>3255</v>
      </c>
      <c r="E5180" s="9" t="s">
        <v>22</v>
      </c>
      <c r="F5180" s="10">
        <v>33</v>
      </c>
      <c r="G5180" s="11">
        <v>9031154329</v>
      </c>
      <c r="H5180" s="10" t="s">
        <v>3256</v>
      </c>
      <c r="I5180" s="10" t="s">
        <v>31</v>
      </c>
      <c r="J5180" s="10" t="s">
        <v>32</v>
      </c>
      <c r="K5180" s="12">
        <v>46029</v>
      </c>
      <c r="L5180" s="10" t="s">
        <v>441</v>
      </c>
      <c r="M5180" s="10" t="s">
        <v>1361</v>
      </c>
      <c r="N5180" s="10" t="s">
        <v>1028</v>
      </c>
    </row>
    <row r="5181" spans="1:14" ht="22.5" customHeight="1">
      <c r="A5181" s="8">
        <v>46029.239513333334</v>
      </c>
      <c r="B5181" s="9" t="s">
        <v>14</v>
      </c>
      <c r="C5181" s="9" t="s">
        <v>15</v>
      </c>
      <c r="D5181" s="10" t="s">
        <v>11301</v>
      </c>
      <c r="E5181" s="9" t="s">
        <v>22</v>
      </c>
      <c r="F5181" s="10">
        <v>25</v>
      </c>
      <c r="G5181" s="11">
        <v>9130364291</v>
      </c>
      <c r="H5181" s="10" t="s">
        <v>11302</v>
      </c>
      <c r="I5181" s="10" t="s">
        <v>19</v>
      </c>
      <c r="J5181" s="10" t="s">
        <v>1845</v>
      </c>
      <c r="K5181" s="12">
        <v>46029</v>
      </c>
      <c r="L5181" s="28" t="s">
        <v>11</v>
      </c>
      <c r="M5181" s="14"/>
      <c r="N5181" s="10" t="s">
        <v>1028</v>
      </c>
    </row>
    <row r="5182" spans="1:14" ht="22.5" customHeight="1">
      <c r="A5182" s="8">
        <v>46029.255607835643</v>
      </c>
      <c r="B5182" s="9" t="s">
        <v>14</v>
      </c>
      <c r="C5182" s="9" t="s">
        <v>15</v>
      </c>
      <c r="D5182" s="10" t="s">
        <v>11303</v>
      </c>
      <c r="E5182" s="9" t="s">
        <v>17</v>
      </c>
      <c r="F5182" s="10">
        <v>32</v>
      </c>
      <c r="G5182" s="11">
        <v>7063206837</v>
      </c>
      <c r="H5182" s="10" t="s">
        <v>11304</v>
      </c>
      <c r="I5182" s="10" t="s">
        <v>19</v>
      </c>
      <c r="J5182" s="10" t="s">
        <v>812</v>
      </c>
      <c r="K5182" s="12">
        <v>46029</v>
      </c>
      <c r="L5182" s="28" t="s">
        <v>11</v>
      </c>
      <c r="M5182" s="14"/>
      <c r="N5182" s="10" t="s">
        <v>1028</v>
      </c>
    </row>
    <row r="5183" spans="1:14" ht="22.5" customHeight="1">
      <c r="A5183" s="8">
        <v>46029.265567361115</v>
      </c>
      <c r="B5183" s="9" t="s">
        <v>14</v>
      </c>
      <c r="C5183" s="9" t="s">
        <v>15</v>
      </c>
      <c r="D5183" s="10" t="s">
        <v>11305</v>
      </c>
      <c r="E5183" s="9" t="s">
        <v>17</v>
      </c>
      <c r="F5183" s="10">
        <v>30</v>
      </c>
      <c r="G5183" s="11">
        <v>8100016813</v>
      </c>
      <c r="H5183" s="10" t="s">
        <v>11306</v>
      </c>
      <c r="I5183" s="10" t="s">
        <v>49</v>
      </c>
      <c r="J5183" s="10" t="s">
        <v>11307</v>
      </c>
      <c r="K5183" s="12">
        <v>46029</v>
      </c>
      <c r="L5183" s="28" t="s">
        <v>11</v>
      </c>
      <c r="M5183" s="14"/>
      <c r="N5183" s="10" t="s">
        <v>1028</v>
      </c>
    </row>
    <row r="5184" spans="1:14" ht="22.5" customHeight="1">
      <c r="A5184" s="8">
        <v>46029.266032326384</v>
      </c>
      <c r="B5184" s="9" t="s">
        <v>14</v>
      </c>
      <c r="C5184" s="9" t="s">
        <v>15</v>
      </c>
      <c r="D5184" s="10" t="s">
        <v>11308</v>
      </c>
      <c r="E5184" s="9" t="s">
        <v>17</v>
      </c>
      <c r="F5184" s="10">
        <v>21</v>
      </c>
      <c r="G5184" s="11">
        <v>9166087602</v>
      </c>
      <c r="H5184" s="10" t="s">
        <v>11309</v>
      </c>
      <c r="I5184" s="10" t="s">
        <v>49</v>
      </c>
      <c r="J5184" s="10" t="s">
        <v>109</v>
      </c>
      <c r="K5184" s="12">
        <v>46029</v>
      </c>
      <c r="L5184" s="28" t="s">
        <v>11</v>
      </c>
      <c r="M5184" s="14"/>
      <c r="N5184" s="10" t="s">
        <v>1028</v>
      </c>
    </row>
    <row r="5185" spans="1:14" ht="22.5" customHeight="1">
      <c r="A5185" s="8">
        <v>46029.269299664353</v>
      </c>
      <c r="B5185" s="9" t="s">
        <v>14</v>
      </c>
      <c r="C5185" s="9" t="s">
        <v>15</v>
      </c>
      <c r="D5185" s="10" t="s">
        <v>11310</v>
      </c>
      <c r="E5185" s="9" t="s">
        <v>22</v>
      </c>
      <c r="F5185" s="10">
        <v>27</v>
      </c>
      <c r="G5185" s="11">
        <v>8135211043</v>
      </c>
      <c r="H5185" s="10" t="s">
        <v>11311</v>
      </c>
      <c r="I5185" s="10" t="s">
        <v>31</v>
      </c>
      <c r="J5185" s="10" t="s">
        <v>32</v>
      </c>
      <c r="K5185" s="12">
        <v>46029</v>
      </c>
      <c r="L5185" s="28" t="s">
        <v>11</v>
      </c>
      <c r="M5185" s="14"/>
      <c r="N5185" s="10" t="s">
        <v>1028</v>
      </c>
    </row>
    <row r="5186" spans="1:14" ht="22.5" customHeight="1">
      <c r="A5186" s="8">
        <v>46029.281015358793</v>
      </c>
      <c r="B5186" s="9" t="s">
        <v>14</v>
      </c>
      <c r="C5186" s="9" t="s">
        <v>15</v>
      </c>
      <c r="D5186" s="10" t="s">
        <v>11312</v>
      </c>
      <c r="E5186" s="9" t="s">
        <v>22</v>
      </c>
      <c r="F5186" s="10">
        <v>23</v>
      </c>
      <c r="G5186" s="11">
        <v>9123223412</v>
      </c>
      <c r="H5186" s="10" t="s">
        <v>11313</v>
      </c>
      <c r="I5186" s="10" t="s">
        <v>145</v>
      </c>
      <c r="J5186" s="10" t="s">
        <v>1607</v>
      </c>
      <c r="K5186" s="12">
        <v>46029</v>
      </c>
      <c r="L5186" s="28" t="s">
        <v>11</v>
      </c>
      <c r="M5186" s="14"/>
      <c r="N5186" s="10" t="s">
        <v>1096</v>
      </c>
    </row>
    <row r="5187" spans="1:14" ht="22.5" customHeight="1">
      <c r="A5187" s="8">
        <v>46029.285587731487</v>
      </c>
      <c r="B5187" s="9" t="s">
        <v>14</v>
      </c>
      <c r="C5187" s="9" t="s">
        <v>15</v>
      </c>
      <c r="D5187" s="10" t="s">
        <v>11314</v>
      </c>
      <c r="E5187" s="9" t="s">
        <v>17</v>
      </c>
      <c r="F5187" s="10">
        <v>22</v>
      </c>
      <c r="G5187" s="11">
        <v>9074322812</v>
      </c>
      <c r="H5187" s="10" t="s">
        <v>11315</v>
      </c>
      <c r="I5187" s="10" t="s">
        <v>27</v>
      </c>
      <c r="J5187" s="10" t="s">
        <v>94</v>
      </c>
      <c r="K5187" s="12">
        <v>46029</v>
      </c>
      <c r="L5187" s="28" t="s">
        <v>11</v>
      </c>
      <c r="M5187" s="14"/>
      <c r="N5187" s="10" t="s">
        <v>1028</v>
      </c>
    </row>
    <row r="5188" spans="1:14" ht="22.5" customHeight="1">
      <c r="A5188" s="8">
        <v>46029.287805856482</v>
      </c>
      <c r="B5188" s="9" t="s">
        <v>14</v>
      </c>
      <c r="C5188" s="9" t="s">
        <v>15</v>
      </c>
      <c r="D5188" s="10" t="s">
        <v>11316</v>
      </c>
      <c r="E5188" s="9" t="s">
        <v>17</v>
      </c>
      <c r="F5188" s="10">
        <v>35</v>
      </c>
      <c r="G5188" s="11">
        <f t="shared" ref="G5188" si="146">2348069041319</f>
        <v>2348069041319</v>
      </c>
      <c r="H5188" s="10" t="s">
        <v>11317</v>
      </c>
      <c r="I5188" s="10" t="s">
        <v>31</v>
      </c>
      <c r="J5188" s="10" t="s">
        <v>32</v>
      </c>
      <c r="K5188" s="12">
        <v>46029</v>
      </c>
      <c r="L5188" s="28" t="s">
        <v>11</v>
      </c>
      <c r="M5188" s="14"/>
      <c r="N5188" s="10" t="s">
        <v>1028</v>
      </c>
    </row>
    <row r="5189" spans="1:14" ht="22.5" customHeight="1">
      <c r="A5189" s="8">
        <v>46029.291360706018</v>
      </c>
      <c r="B5189" s="9" t="s">
        <v>14</v>
      </c>
      <c r="C5189" s="9" t="s">
        <v>15</v>
      </c>
      <c r="D5189" s="10" t="s">
        <v>11318</v>
      </c>
      <c r="E5189" s="9" t="s">
        <v>17</v>
      </c>
      <c r="F5189" s="10">
        <v>27</v>
      </c>
      <c r="G5189" s="11">
        <v>9031448033</v>
      </c>
      <c r="H5189" s="10" t="s">
        <v>11319</v>
      </c>
      <c r="I5189" s="10" t="s">
        <v>45</v>
      </c>
      <c r="J5189" s="10" t="s">
        <v>131</v>
      </c>
      <c r="K5189" s="12">
        <v>46029</v>
      </c>
      <c r="L5189" s="28" t="s">
        <v>11</v>
      </c>
      <c r="M5189" s="14"/>
      <c r="N5189" s="10" t="s">
        <v>1096</v>
      </c>
    </row>
    <row r="5190" spans="1:14" ht="22.5" customHeight="1">
      <c r="A5190" s="8">
        <v>46029.29399017361</v>
      </c>
      <c r="B5190" s="9" t="s">
        <v>14</v>
      </c>
      <c r="C5190" s="9" t="s">
        <v>15</v>
      </c>
      <c r="D5190" s="10" t="s">
        <v>11320</v>
      </c>
      <c r="E5190" s="9" t="s">
        <v>17</v>
      </c>
      <c r="F5190" s="10">
        <v>28</v>
      </c>
      <c r="G5190" s="11">
        <v>9126152589</v>
      </c>
      <c r="H5190" s="10" t="s">
        <v>11321</v>
      </c>
      <c r="I5190" s="10" t="s">
        <v>49</v>
      </c>
      <c r="J5190" s="10" t="s">
        <v>73</v>
      </c>
      <c r="K5190" s="12">
        <v>46029</v>
      </c>
      <c r="L5190" s="28" t="s">
        <v>11</v>
      </c>
      <c r="M5190" s="14"/>
      <c r="N5190" s="10" t="s">
        <v>1028</v>
      </c>
    </row>
    <row r="5191" spans="1:14" ht="22.5" customHeight="1">
      <c r="A5191" s="8">
        <v>46029.296571388884</v>
      </c>
      <c r="B5191" s="9" t="s">
        <v>14</v>
      </c>
      <c r="C5191" s="9" t="s">
        <v>15</v>
      </c>
      <c r="D5191" s="10" t="s">
        <v>11322</v>
      </c>
      <c r="E5191" s="9" t="s">
        <v>22</v>
      </c>
      <c r="F5191" s="10">
        <v>24</v>
      </c>
      <c r="G5191" s="11">
        <v>9061402442</v>
      </c>
      <c r="H5191" s="10" t="s">
        <v>11323</v>
      </c>
      <c r="I5191" s="10" t="s">
        <v>19</v>
      </c>
      <c r="J5191" s="10" t="s">
        <v>1664</v>
      </c>
      <c r="K5191" s="12">
        <v>46029</v>
      </c>
      <c r="L5191" s="28" t="s">
        <v>11</v>
      </c>
      <c r="M5191" s="14"/>
      <c r="N5191" s="10" t="s">
        <v>1028</v>
      </c>
    </row>
    <row r="5192" spans="1:14" ht="22.5" customHeight="1">
      <c r="A5192" s="8">
        <v>46029.298056770829</v>
      </c>
      <c r="B5192" s="9" t="s">
        <v>14</v>
      </c>
      <c r="C5192" s="9" t="s">
        <v>15</v>
      </c>
      <c r="D5192" s="10" t="s">
        <v>11324</v>
      </c>
      <c r="E5192" s="9" t="s">
        <v>22</v>
      </c>
      <c r="F5192" s="10">
        <v>31</v>
      </c>
      <c r="G5192" s="11">
        <v>7063714137</v>
      </c>
      <c r="H5192" s="10" t="s">
        <v>11325</v>
      </c>
      <c r="I5192" s="10" t="s">
        <v>45</v>
      </c>
      <c r="J5192" s="10" t="s">
        <v>901</v>
      </c>
      <c r="K5192" s="12">
        <v>46029</v>
      </c>
      <c r="L5192" s="28" t="s">
        <v>11</v>
      </c>
      <c r="M5192" s="14"/>
      <c r="N5192" s="10" t="s">
        <v>1096</v>
      </c>
    </row>
    <row r="5193" spans="1:14" ht="22.5" customHeight="1">
      <c r="A5193" s="8">
        <v>46029.298223877311</v>
      </c>
      <c r="B5193" s="9" t="s">
        <v>14</v>
      </c>
      <c r="C5193" s="9" t="s">
        <v>15</v>
      </c>
      <c r="D5193" s="10" t="s">
        <v>11326</v>
      </c>
      <c r="E5193" s="9" t="s">
        <v>17</v>
      </c>
      <c r="F5193" s="10">
        <v>30</v>
      </c>
      <c r="G5193" s="11">
        <v>9131281106</v>
      </c>
      <c r="H5193" s="10" t="s">
        <v>11327</v>
      </c>
      <c r="I5193" s="10" t="s">
        <v>45</v>
      </c>
      <c r="J5193" s="10" t="s">
        <v>125</v>
      </c>
      <c r="K5193" s="12">
        <v>34919</v>
      </c>
      <c r="L5193" s="28" t="s">
        <v>11</v>
      </c>
      <c r="M5193" s="14"/>
      <c r="N5193" s="10" t="s">
        <v>1028</v>
      </c>
    </row>
    <row r="5194" spans="1:14" ht="22.5" customHeight="1">
      <c r="A5194" s="8">
        <v>46029.300340821763</v>
      </c>
      <c r="B5194" s="9" t="s">
        <v>14</v>
      </c>
      <c r="C5194" s="9" t="s">
        <v>15</v>
      </c>
      <c r="D5194" s="10" t="s">
        <v>11328</v>
      </c>
      <c r="E5194" s="9" t="s">
        <v>17</v>
      </c>
      <c r="F5194" s="10">
        <v>36</v>
      </c>
      <c r="G5194" s="11">
        <v>8068752778</v>
      </c>
      <c r="H5194" s="10" t="s">
        <v>11329</v>
      </c>
      <c r="I5194" s="10" t="s">
        <v>31</v>
      </c>
      <c r="J5194" s="10" t="s">
        <v>1582</v>
      </c>
      <c r="K5194" s="12">
        <v>46029</v>
      </c>
      <c r="L5194" s="28" t="s">
        <v>11</v>
      </c>
      <c r="M5194" s="14"/>
      <c r="N5194" s="10" t="s">
        <v>1028</v>
      </c>
    </row>
    <row r="5195" spans="1:14" ht="22.5" customHeight="1">
      <c r="A5195" s="8">
        <v>46029.300582164353</v>
      </c>
      <c r="B5195" s="9" t="s">
        <v>14</v>
      </c>
      <c r="C5195" s="9" t="s">
        <v>15</v>
      </c>
      <c r="D5195" s="10" t="s">
        <v>11330</v>
      </c>
      <c r="E5195" s="9" t="s">
        <v>17</v>
      </c>
      <c r="F5195" s="10">
        <v>36</v>
      </c>
      <c r="G5195" s="11">
        <v>7037535755</v>
      </c>
      <c r="H5195" s="10" t="s">
        <v>11331</v>
      </c>
      <c r="I5195" s="10" t="s">
        <v>31</v>
      </c>
      <c r="J5195" s="10" t="s">
        <v>1808</v>
      </c>
      <c r="K5195" s="12">
        <v>46029</v>
      </c>
      <c r="L5195" s="28" t="s">
        <v>11</v>
      </c>
      <c r="M5195" s="14"/>
      <c r="N5195" s="10" t="s">
        <v>1028</v>
      </c>
    </row>
    <row r="5196" spans="1:14" ht="22.5" customHeight="1">
      <c r="A5196" s="8">
        <v>46029.306710416669</v>
      </c>
      <c r="B5196" s="9" t="s">
        <v>14</v>
      </c>
      <c r="C5196" s="9" t="s">
        <v>15</v>
      </c>
      <c r="D5196" s="10" t="s">
        <v>11332</v>
      </c>
      <c r="E5196" s="9" t="s">
        <v>17</v>
      </c>
      <c r="F5196" s="10">
        <v>25</v>
      </c>
      <c r="G5196" s="11">
        <v>8108174163</v>
      </c>
      <c r="H5196" s="10" t="s">
        <v>11333</v>
      </c>
      <c r="I5196" s="10" t="s">
        <v>45</v>
      </c>
      <c r="J5196" s="10" t="s">
        <v>287</v>
      </c>
      <c r="K5196" s="12">
        <v>46029</v>
      </c>
      <c r="L5196" s="28" t="s">
        <v>11</v>
      </c>
      <c r="M5196" s="14"/>
      <c r="N5196" s="10" t="s">
        <v>1096</v>
      </c>
    </row>
    <row r="5197" spans="1:14" ht="22.5" customHeight="1">
      <c r="A5197" s="8">
        <v>46029.315466597225</v>
      </c>
      <c r="B5197" s="9" t="s">
        <v>14</v>
      </c>
      <c r="C5197" s="9" t="s">
        <v>15</v>
      </c>
      <c r="D5197" s="10" t="s">
        <v>11334</v>
      </c>
      <c r="E5197" s="9" t="s">
        <v>17</v>
      </c>
      <c r="F5197" s="10">
        <v>31</v>
      </c>
      <c r="G5197" s="11">
        <v>7038765460</v>
      </c>
      <c r="H5197" s="10" t="s">
        <v>11335</v>
      </c>
      <c r="I5197" s="10" t="s">
        <v>45</v>
      </c>
      <c r="J5197" s="10" t="s">
        <v>11336</v>
      </c>
      <c r="K5197" s="12">
        <v>46029</v>
      </c>
      <c r="L5197" s="28" t="s">
        <v>11</v>
      </c>
      <c r="M5197" s="14"/>
      <c r="N5197" s="10" t="s">
        <v>1096</v>
      </c>
    </row>
    <row r="5198" spans="1:14" ht="22.5" customHeight="1">
      <c r="A5198" s="8">
        <v>46029.31782462963</v>
      </c>
      <c r="B5198" s="9" t="s">
        <v>14</v>
      </c>
      <c r="C5198" s="9" t="s">
        <v>15</v>
      </c>
      <c r="D5198" s="10" t="s">
        <v>11337</v>
      </c>
      <c r="E5198" s="9" t="s">
        <v>17</v>
      </c>
      <c r="F5198" s="10">
        <v>28</v>
      </c>
      <c r="G5198" s="11">
        <v>8028229594</v>
      </c>
      <c r="H5198" s="10" t="s">
        <v>11338</v>
      </c>
      <c r="I5198" s="10" t="s">
        <v>49</v>
      </c>
      <c r="J5198" s="10" t="s">
        <v>106</v>
      </c>
      <c r="K5198" s="12">
        <v>46029</v>
      </c>
      <c r="L5198" s="28" t="s">
        <v>11</v>
      </c>
      <c r="M5198" s="14"/>
      <c r="N5198" s="10" t="s">
        <v>1096</v>
      </c>
    </row>
    <row r="5199" spans="1:14" ht="22.5" customHeight="1">
      <c r="A5199" s="8">
        <v>46029.318923217594</v>
      </c>
      <c r="B5199" s="9" t="s">
        <v>14</v>
      </c>
      <c r="C5199" s="9" t="s">
        <v>15</v>
      </c>
      <c r="D5199" s="10" t="s">
        <v>11339</v>
      </c>
      <c r="E5199" s="9" t="s">
        <v>17</v>
      </c>
      <c r="F5199" s="10">
        <v>27</v>
      </c>
      <c r="G5199" s="11">
        <v>9075911582</v>
      </c>
      <c r="H5199" s="10" t="s">
        <v>11340</v>
      </c>
      <c r="I5199" s="10" t="s">
        <v>31</v>
      </c>
      <c r="J5199" s="10" t="s">
        <v>32</v>
      </c>
      <c r="K5199" s="12">
        <v>46029</v>
      </c>
      <c r="L5199" s="28" t="s">
        <v>11</v>
      </c>
      <c r="M5199" s="14"/>
      <c r="N5199" s="10" t="s">
        <v>1028</v>
      </c>
    </row>
    <row r="5200" spans="1:14" ht="22.5" customHeight="1">
      <c r="A5200" s="8">
        <v>46029.323102152775</v>
      </c>
      <c r="B5200" s="9" t="s">
        <v>14</v>
      </c>
      <c r="C5200" s="9" t="s">
        <v>15</v>
      </c>
      <c r="D5200" s="10" t="s">
        <v>11341</v>
      </c>
      <c r="E5200" s="9" t="s">
        <v>22</v>
      </c>
      <c r="F5200" s="10">
        <v>18</v>
      </c>
      <c r="G5200" s="11">
        <v>8104763732</v>
      </c>
      <c r="H5200" s="10" t="s">
        <v>11342</v>
      </c>
      <c r="I5200" s="10" t="s">
        <v>45</v>
      </c>
      <c r="J5200" s="10" t="s">
        <v>6916</v>
      </c>
      <c r="K5200" s="12">
        <v>46029</v>
      </c>
      <c r="L5200" s="28" t="s">
        <v>11</v>
      </c>
      <c r="M5200" s="14"/>
      <c r="N5200" s="10" t="s">
        <v>1140</v>
      </c>
    </row>
    <row r="5201" spans="1:14" ht="22.5" customHeight="1">
      <c r="A5201" s="8">
        <v>46029.331372916669</v>
      </c>
      <c r="B5201" s="9" t="s">
        <v>14</v>
      </c>
      <c r="C5201" s="9" t="s">
        <v>15</v>
      </c>
      <c r="D5201" s="10" t="s">
        <v>11343</v>
      </c>
      <c r="E5201" s="9" t="s">
        <v>17</v>
      </c>
      <c r="F5201" s="10">
        <v>33</v>
      </c>
      <c r="G5201" s="11">
        <f t="shared" ref="G5201" si="147">2348145254874</f>
        <v>2348145254874</v>
      </c>
      <c r="H5201" s="10" t="s">
        <v>11344</v>
      </c>
      <c r="I5201" s="10" t="s">
        <v>31</v>
      </c>
      <c r="J5201" s="10" t="s">
        <v>11345</v>
      </c>
      <c r="K5201" s="12">
        <v>46029</v>
      </c>
      <c r="L5201" s="28" t="s">
        <v>11</v>
      </c>
      <c r="M5201" s="14"/>
      <c r="N5201" s="10" t="s">
        <v>1028</v>
      </c>
    </row>
    <row r="5202" spans="1:14" ht="22.5" customHeight="1">
      <c r="A5202" s="8">
        <v>46029.336655092593</v>
      </c>
      <c r="B5202" s="9" t="s">
        <v>14</v>
      </c>
      <c r="C5202" s="9" t="s">
        <v>15</v>
      </c>
      <c r="D5202" s="10" t="s">
        <v>11346</v>
      </c>
      <c r="E5202" s="9" t="s">
        <v>22</v>
      </c>
      <c r="F5202" s="10">
        <v>26</v>
      </c>
      <c r="G5202" s="11">
        <v>8065936698</v>
      </c>
      <c r="H5202" s="10" t="s">
        <v>11347</v>
      </c>
      <c r="I5202" s="10" t="s">
        <v>31</v>
      </c>
      <c r="J5202" s="10" t="s">
        <v>1582</v>
      </c>
      <c r="K5202" s="12">
        <v>46028</v>
      </c>
      <c r="L5202" s="28" t="s">
        <v>11</v>
      </c>
      <c r="M5202" s="14"/>
      <c r="N5202" s="10" t="s">
        <v>1028</v>
      </c>
    </row>
    <row r="5203" spans="1:14" ht="22.5" customHeight="1">
      <c r="A5203" s="8">
        <v>46029.337253101854</v>
      </c>
      <c r="B5203" s="9" t="s">
        <v>14</v>
      </c>
      <c r="C5203" s="9" t="s">
        <v>15</v>
      </c>
      <c r="D5203" s="10" t="s">
        <v>11348</v>
      </c>
      <c r="E5203" s="9" t="s">
        <v>17</v>
      </c>
      <c r="F5203" s="10">
        <v>21</v>
      </c>
      <c r="G5203" s="11">
        <v>8157067090</v>
      </c>
      <c r="H5203" s="10" t="s">
        <v>11349</v>
      </c>
      <c r="I5203" s="10" t="s">
        <v>19</v>
      </c>
      <c r="J5203" s="10" t="s">
        <v>812</v>
      </c>
      <c r="K5203" s="12">
        <v>46029</v>
      </c>
      <c r="L5203" s="28" t="s">
        <v>11</v>
      </c>
      <c r="M5203" s="14"/>
      <c r="N5203" s="10" t="s">
        <v>1028</v>
      </c>
    </row>
    <row r="5204" spans="1:14" ht="22.5" customHeight="1">
      <c r="A5204" s="8">
        <v>46029.337606759262</v>
      </c>
      <c r="B5204" s="9" t="s">
        <v>14</v>
      </c>
      <c r="C5204" s="9" t="s">
        <v>15</v>
      </c>
      <c r="D5204" s="10" t="s">
        <v>11350</v>
      </c>
      <c r="E5204" s="9" t="s">
        <v>17</v>
      </c>
      <c r="F5204" s="10">
        <v>18</v>
      </c>
      <c r="G5204" s="11">
        <v>9061150513</v>
      </c>
      <c r="H5204" s="10" t="s">
        <v>11351</v>
      </c>
      <c r="I5204" s="10" t="s">
        <v>19</v>
      </c>
      <c r="J5204" s="10" t="s">
        <v>812</v>
      </c>
      <c r="K5204" s="12">
        <v>46029</v>
      </c>
      <c r="L5204" s="28" t="s">
        <v>11</v>
      </c>
      <c r="M5204" s="14"/>
      <c r="N5204" s="10" t="s">
        <v>1096</v>
      </c>
    </row>
    <row r="5205" spans="1:14" ht="22.5" customHeight="1">
      <c r="A5205" s="8">
        <v>46029.341685624997</v>
      </c>
      <c r="B5205" s="9" t="s">
        <v>14</v>
      </c>
      <c r="C5205" s="9" t="s">
        <v>15</v>
      </c>
      <c r="D5205" s="10" t="s">
        <v>5707</v>
      </c>
      <c r="E5205" s="9" t="s">
        <v>17</v>
      </c>
      <c r="F5205" s="10">
        <v>25</v>
      </c>
      <c r="G5205" s="11">
        <v>8144399250</v>
      </c>
      <c r="H5205" s="10" t="s">
        <v>5708</v>
      </c>
      <c r="I5205" s="10" t="s">
        <v>27</v>
      </c>
      <c r="J5205" s="10" t="s">
        <v>5239</v>
      </c>
      <c r="K5205" s="12">
        <v>46029</v>
      </c>
      <c r="L5205" s="28" t="s">
        <v>11</v>
      </c>
      <c r="M5205" s="14"/>
      <c r="N5205" s="10" t="s">
        <v>1028</v>
      </c>
    </row>
    <row r="5206" spans="1:14" ht="22.5" customHeight="1">
      <c r="A5206" s="8">
        <v>46029.346048622683</v>
      </c>
      <c r="B5206" s="9" t="s">
        <v>14</v>
      </c>
      <c r="C5206" s="9" t="s">
        <v>15</v>
      </c>
      <c r="D5206" s="10" t="s">
        <v>11352</v>
      </c>
      <c r="E5206" s="9" t="s">
        <v>17</v>
      </c>
      <c r="F5206" s="10">
        <v>24</v>
      </c>
      <c r="G5206" s="11">
        <v>7050348088</v>
      </c>
      <c r="H5206" s="10" t="s">
        <v>11353</v>
      </c>
      <c r="I5206" s="10" t="s">
        <v>49</v>
      </c>
      <c r="J5206" s="10" t="s">
        <v>109</v>
      </c>
      <c r="K5206" s="12">
        <v>46029</v>
      </c>
      <c r="L5206" s="28" t="s">
        <v>11</v>
      </c>
      <c r="M5206" s="14"/>
      <c r="N5206" s="10" t="s">
        <v>1028</v>
      </c>
    </row>
    <row r="5207" spans="1:14" ht="22.5" customHeight="1">
      <c r="A5207" s="8">
        <v>46029.346932800923</v>
      </c>
      <c r="B5207" s="9" t="s">
        <v>14</v>
      </c>
      <c r="C5207" s="9" t="s">
        <v>15</v>
      </c>
      <c r="D5207" s="10" t="s">
        <v>11354</v>
      </c>
      <c r="E5207" s="9" t="s">
        <v>22</v>
      </c>
      <c r="F5207" s="10">
        <v>28</v>
      </c>
      <c r="G5207" s="11">
        <v>7045619066</v>
      </c>
      <c r="H5207" s="10" t="s">
        <v>11355</v>
      </c>
      <c r="I5207" s="10" t="s">
        <v>45</v>
      </c>
      <c r="J5207" s="10" t="s">
        <v>901</v>
      </c>
      <c r="K5207" s="12">
        <v>46029</v>
      </c>
      <c r="L5207" s="28" t="s">
        <v>11</v>
      </c>
      <c r="M5207" s="14"/>
      <c r="N5207" s="10" t="s">
        <v>1096</v>
      </c>
    </row>
    <row r="5208" spans="1:14" ht="22.5" hidden="1" customHeight="1">
      <c r="A5208" s="8">
        <v>46029.349223333338</v>
      </c>
      <c r="B5208" s="9" t="s">
        <v>14</v>
      </c>
      <c r="C5208" s="9" t="s">
        <v>15</v>
      </c>
      <c r="D5208" s="10" t="s">
        <v>11356</v>
      </c>
      <c r="E5208" s="9" t="s">
        <v>22</v>
      </c>
      <c r="F5208" s="10">
        <v>34</v>
      </c>
      <c r="G5208" s="11">
        <v>7065586632</v>
      </c>
      <c r="H5208" s="10" t="s">
        <v>11357</v>
      </c>
      <c r="I5208" s="10" t="s">
        <v>49</v>
      </c>
      <c r="J5208" s="10" t="s">
        <v>73</v>
      </c>
      <c r="K5208" s="12">
        <v>46029</v>
      </c>
      <c r="L5208" s="10" t="s">
        <v>441</v>
      </c>
      <c r="M5208" s="10" t="s">
        <v>1361</v>
      </c>
      <c r="N5208" s="10" t="s">
        <v>1035</v>
      </c>
    </row>
    <row r="5209" spans="1:14" ht="22.5" customHeight="1">
      <c r="A5209" s="8">
        <v>46029.350068958331</v>
      </c>
      <c r="B5209" s="9" t="s">
        <v>14</v>
      </c>
      <c r="C5209" s="9" t="s">
        <v>15</v>
      </c>
      <c r="D5209" s="10" t="s">
        <v>11358</v>
      </c>
      <c r="E5209" s="9" t="s">
        <v>22</v>
      </c>
      <c r="F5209" s="10">
        <v>27</v>
      </c>
      <c r="G5209" s="11">
        <v>8109501203</v>
      </c>
      <c r="H5209" s="10" t="s">
        <v>11359</v>
      </c>
      <c r="I5209" s="10" t="s">
        <v>19</v>
      </c>
      <c r="J5209" s="10" t="s">
        <v>2311</v>
      </c>
      <c r="K5209" s="12">
        <v>46029</v>
      </c>
      <c r="L5209" s="28" t="s">
        <v>11</v>
      </c>
      <c r="M5209" s="14"/>
      <c r="N5209" s="10" t="s">
        <v>1028</v>
      </c>
    </row>
    <row r="5210" spans="1:14" ht="22.5" customHeight="1">
      <c r="A5210" s="8">
        <v>46029.351306076387</v>
      </c>
      <c r="B5210" s="9" t="s">
        <v>14</v>
      </c>
      <c r="C5210" s="9" t="s">
        <v>15</v>
      </c>
      <c r="D5210" s="10" t="s">
        <v>11360</v>
      </c>
      <c r="E5210" s="9" t="s">
        <v>22</v>
      </c>
      <c r="F5210" s="10">
        <v>23</v>
      </c>
      <c r="G5210" s="11">
        <v>8053781360</v>
      </c>
      <c r="H5210" s="10" t="s">
        <v>11361</v>
      </c>
      <c r="I5210" s="10" t="s">
        <v>27</v>
      </c>
      <c r="J5210" s="10" t="s">
        <v>703</v>
      </c>
      <c r="K5210" s="12">
        <v>46029</v>
      </c>
      <c r="L5210" s="28" t="s">
        <v>11</v>
      </c>
      <c r="M5210" s="10"/>
      <c r="N5210" s="10" t="s">
        <v>1096</v>
      </c>
    </row>
    <row r="5211" spans="1:14" ht="22.5" customHeight="1">
      <c r="A5211" s="8">
        <v>46029.353391921293</v>
      </c>
      <c r="B5211" s="9" t="s">
        <v>14</v>
      </c>
      <c r="C5211" s="9" t="s">
        <v>15</v>
      </c>
      <c r="D5211" s="10" t="s">
        <v>11362</v>
      </c>
      <c r="E5211" s="9" t="s">
        <v>17</v>
      </c>
      <c r="F5211" s="10">
        <v>28</v>
      </c>
      <c r="G5211" s="11">
        <v>8162880057</v>
      </c>
      <c r="H5211" s="10" t="s">
        <v>11363</v>
      </c>
      <c r="I5211" s="10" t="s">
        <v>202</v>
      </c>
      <c r="J5211" s="10" t="s">
        <v>3437</v>
      </c>
      <c r="K5211" s="12">
        <v>46029</v>
      </c>
      <c r="L5211" s="28" t="s">
        <v>11</v>
      </c>
      <c r="M5211" s="14"/>
      <c r="N5211" s="10" t="s">
        <v>1028</v>
      </c>
    </row>
    <row r="5212" spans="1:14" ht="22.5" customHeight="1">
      <c r="A5212" s="8">
        <v>46029.355719097221</v>
      </c>
      <c r="B5212" s="9" t="s">
        <v>14</v>
      </c>
      <c r="C5212" s="9" t="s">
        <v>15</v>
      </c>
      <c r="D5212" s="10" t="s">
        <v>11364</v>
      </c>
      <c r="E5212" s="9" t="s">
        <v>17</v>
      </c>
      <c r="F5212" s="10">
        <v>25</v>
      </c>
      <c r="G5212" s="11">
        <v>7037264131</v>
      </c>
      <c r="H5212" s="10" t="s">
        <v>11365</v>
      </c>
      <c r="I5212" s="10" t="s">
        <v>27</v>
      </c>
      <c r="J5212" s="10" t="s">
        <v>703</v>
      </c>
      <c r="K5212" s="12">
        <v>46029</v>
      </c>
      <c r="L5212" s="28" t="s">
        <v>11</v>
      </c>
      <c r="M5212" s="14"/>
      <c r="N5212" s="10" t="s">
        <v>1096</v>
      </c>
    </row>
    <row r="5213" spans="1:14" ht="22.5" customHeight="1">
      <c r="A5213" s="8">
        <v>46029.3651675</v>
      </c>
      <c r="B5213" s="9" t="s">
        <v>14</v>
      </c>
      <c r="C5213" s="9" t="s">
        <v>15</v>
      </c>
      <c r="D5213" s="10" t="s">
        <v>11366</v>
      </c>
      <c r="E5213" s="9" t="s">
        <v>17</v>
      </c>
      <c r="F5213" s="10">
        <v>32</v>
      </c>
      <c r="G5213" s="11">
        <v>7011113945</v>
      </c>
      <c r="H5213" s="10" t="s">
        <v>11367</v>
      </c>
      <c r="I5213" s="10" t="s">
        <v>45</v>
      </c>
      <c r="J5213" s="10" t="s">
        <v>932</v>
      </c>
      <c r="K5213" s="12">
        <v>46029</v>
      </c>
      <c r="L5213" s="28" t="s">
        <v>11</v>
      </c>
      <c r="M5213" s="10"/>
      <c r="N5213" s="10" t="s">
        <v>1096</v>
      </c>
    </row>
    <row r="5214" spans="1:14" ht="22.5" customHeight="1">
      <c r="A5214" s="8">
        <v>46029.366366747687</v>
      </c>
      <c r="B5214" s="9" t="s">
        <v>14</v>
      </c>
      <c r="C5214" s="9" t="s">
        <v>15</v>
      </c>
      <c r="D5214" s="10" t="s">
        <v>11368</v>
      </c>
      <c r="E5214" s="9" t="s">
        <v>17</v>
      </c>
      <c r="F5214" s="10">
        <v>26</v>
      </c>
      <c r="G5214" s="11">
        <v>7051953042</v>
      </c>
      <c r="H5214" s="10" t="s">
        <v>11369</v>
      </c>
      <c r="I5214" s="10" t="s">
        <v>45</v>
      </c>
      <c r="J5214" s="10" t="s">
        <v>10054</v>
      </c>
      <c r="K5214" s="12">
        <v>46029</v>
      </c>
      <c r="L5214" s="28" t="s">
        <v>11</v>
      </c>
      <c r="M5214" s="14"/>
      <c r="N5214" s="10" t="s">
        <v>1028</v>
      </c>
    </row>
    <row r="5215" spans="1:14" ht="22.5" customHeight="1">
      <c r="A5215" s="8">
        <v>46029.367252881944</v>
      </c>
      <c r="B5215" s="9" t="s">
        <v>14</v>
      </c>
      <c r="C5215" s="9" t="s">
        <v>15</v>
      </c>
      <c r="D5215" s="10" t="s">
        <v>11370</v>
      </c>
      <c r="E5215" s="9" t="s">
        <v>17</v>
      </c>
      <c r="F5215" s="10">
        <v>25</v>
      </c>
      <c r="G5215" s="11">
        <v>8134729338</v>
      </c>
      <c r="H5215" s="10" t="s">
        <v>11371</v>
      </c>
      <c r="I5215" s="10" t="s">
        <v>27</v>
      </c>
      <c r="J5215" s="10" t="s">
        <v>1907</v>
      </c>
      <c r="K5215" s="12">
        <v>46029</v>
      </c>
      <c r="L5215" s="28" t="s">
        <v>11</v>
      </c>
      <c r="M5215" s="14"/>
      <c r="N5215" s="10" t="s">
        <v>1028</v>
      </c>
    </row>
    <row r="5216" spans="1:14" ht="22.5" customHeight="1">
      <c r="A5216" s="8">
        <v>46029.371335625001</v>
      </c>
      <c r="B5216" s="9" t="s">
        <v>14</v>
      </c>
      <c r="C5216" s="9" t="s">
        <v>15</v>
      </c>
      <c r="D5216" s="10" t="s">
        <v>11372</v>
      </c>
      <c r="E5216" s="9" t="s">
        <v>22</v>
      </c>
      <c r="F5216" s="10">
        <v>23</v>
      </c>
      <c r="G5216" s="11">
        <v>9138379001</v>
      </c>
      <c r="H5216" s="10" t="s">
        <v>11373</v>
      </c>
      <c r="I5216" s="10" t="s">
        <v>27</v>
      </c>
      <c r="J5216" s="10" t="s">
        <v>172</v>
      </c>
      <c r="K5216" s="12">
        <v>46029</v>
      </c>
      <c r="L5216" s="28" t="s">
        <v>11</v>
      </c>
      <c r="M5216" s="14"/>
      <c r="N5216" s="10" t="s">
        <v>1028</v>
      </c>
    </row>
    <row r="5217" spans="1:14" ht="22.5" customHeight="1">
      <c r="A5217" s="8">
        <v>46029.371336689816</v>
      </c>
      <c r="B5217" s="9" t="s">
        <v>14</v>
      </c>
      <c r="C5217" s="9" t="s">
        <v>15</v>
      </c>
      <c r="D5217" s="10" t="s">
        <v>11374</v>
      </c>
      <c r="E5217" s="9" t="s">
        <v>17</v>
      </c>
      <c r="F5217" s="10">
        <v>24</v>
      </c>
      <c r="G5217" s="11">
        <v>9066329301</v>
      </c>
      <c r="H5217" s="10" t="s">
        <v>11375</v>
      </c>
      <c r="I5217" s="10" t="s">
        <v>27</v>
      </c>
      <c r="J5217" s="10" t="s">
        <v>1559</v>
      </c>
      <c r="K5217" s="12">
        <v>46029</v>
      </c>
      <c r="L5217" s="28" t="s">
        <v>11</v>
      </c>
      <c r="M5217" s="14"/>
      <c r="N5217" s="10" t="s">
        <v>1096</v>
      </c>
    </row>
    <row r="5218" spans="1:14" ht="22.5" customHeight="1">
      <c r="A5218" s="8">
        <v>46029.372241064819</v>
      </c>
      <c r="B5218" s="9" t="s">
        <v>14</v>
      </c>
      <c r="C5218" s="9" t="s">
        <v>15</v>
      </c>
      <c r="D5218" s="10" t="s">
        <v>11376</v>
      </c>
      <c r="E5218" s="9" t="s">
        <v>22</v>
      </c>
      <c r="F5218" s="19">
        <v>35</v>
      </c>
      <c r="G5218" s="11">
        <v>8101497300</v>
      </c>
      <c r="H5218" s="10" t="s">
        <v>11377</v>
      </c>
      <c r="I5218" s="10" t="s">
        <v>31</v>
      </c>
      <c r="J5218" s="10" t="s">
        <v>1582</v>
      </c>
      <c r="K5218" s="12">
        <v>46029</v>
      </c>
      <c r="L5218" s="28" t="s">
        <v>11</v>
      </c>
      <c r="M5218" s="14"/>
      <c r="N5218" s="10" t="s">
        <v>1028</v>
      </c>
    </row>
    <row r="5219" spans="1:14" ht="22.5" customHeight="1">
      <c r="A5219" s="8">
        <v>46029.373532754631</v>
      </c>
      <c r="B5219" s="9" t="s">
        <v>14</v>
      </c>
      <c r="C5219" s="9" t="s">
        <v>15</v>
      </c>
      <c r="D5219" s="10" t="s">
        <v>11378</v>
      </c>
      <c r="E5219" s="9" t="s">
        <v>22</v>
      </c>
      <c r="F5219" s="10">
        <v>31</v>
      </c>
      <c r="G5219" s="11">
        <v>7082185428</v>
      </c>
      <c r="H5219" s="10" t="s">
        <v>11379</v>
      </c>
      <c r="I5219" s="10" t="s">
        <v>45</v>
      </c>
      <c r="J5219" s="10" t="s">
        <v>11380</v>
      </c>
      <c r="K5219" s="12">
        <v>34073</v>
      </c>
      <c r="L5219" s="28" t="s">
        <v>11</v>
      </c>
      <c r="M5219" s="14"/>
      <c r="N5219" s="10" t="s">
        <v>1028</v>
      </c>
    </row>
    <row r="5220" spans="1:14" ht="22.5" customHeight="1">
      <c r="A5220" s="8">
        <v>46029.374503159721</v>
      </c>
      <c r="B5220" s="9" t="s">
        <v>14</v>
      </c>
      <c r="C5220" s="9" t="s">
        <v>15</v>
      </c>
      <c r="D5220" s="10" t="s">
        <v>11381</v>
      </c>
      <c r="E5220" s="9" t="s">
        <v>17</v>
      </c>
      <c r="F5220" s="10">
        <v>27</v>
      </c>
      <c r="G5220" s="11">
        <v>8139987854</v>
      </c>
      <c r="H5220" s="10" t="s">
        <v>11382</v>
      </c>
      <c r="I5220" s="10" t="s">
        <v>202</v>
      </c>
      <c r="J5220" s="10" t="s">
        <v>6091</v>
      </c>
      <c r="K5220" s="12">
        <v>46029</v>
      </c>
      <c r="L5220" s="28" t="s">
        <v>11</v>
      </c>
      <c r="M5220" s="14"/>
      <c r="N5220" s="10" t="s">
        <v>1028</v>
      </c>
    </row>
    <row r="5221" spans="1:14" ht="22.5" customHeight="1">
      <c r="A5221" s="8">
        <v>46029.376061585644</v>
      </c>
      <c r="B5221" s="9" t="s">
        <v>14</v>
      </c>
      <c r="C5221" s="9" t="s">
        <v>15</v>
      </c>
      <c r="D5221" s="10" t="s">
        <v>11383</v>
      </c>
      <c r="E5221" s="9" t="s">
        <v>17</v>
      </c>
      <c r="F5221" s="10">
        <v>22</v>
      </c>
      <c r="G5221" s="11">
        <v>7063463399</v>
      </c>
      <c r="H5221" s="10" t="s">
        <v>11384</v>
      </c>
      <c r="I5221" s="10" t="s">
        <v>27</v>
      </c>
      <c r="J5221" s="10" t="s">
        <v>11385</v>
      </c>
      <c r="K5221" s="12">
        <v>46029</v>
      </c>
      <c r="L5221" s="28" t="s">
        <v>11</v>
      </c>
      <c r="M5221" s="14"/>
      <c r="N5221" s="10" t="s">
        <v>1028</v>
      </c>
    </row>
    <row r="5222" spans="1:14" ht="22.5" customHeight="1">
      <c r="A5222" s="8">
        <v>46029.377793703708</v>
      </c>
      <c r="B5222" s="9" t="s">
        <v>14</v>
      </c>
      <c r="C5222" s="9" t="s">
        <v>15</v>
      </c>
      <c r="D5222" s="10" t="s">
        <v>11386</v>
      </c>
      <c r="E5222" s="9" t="s">
        <v>17</v>
      </c>
      <c r="F5222" s="10">
        <v>29</v>
      </c>
      <c r="G5222" s="11">
        <v>9069684309</v>
      </c>
      <c r="H5222" s="10" t="s">
        <v>11387</v>
      </c>
      <c r="I5222" s="10" t="s">
        <v>202</v>
      </c>
      <c r="J5222" s="10" t="s">
        <v>4029</v>
      </c>
      <c r="K5222" s="12">
        <v>46029</v>
      </c>
      <c r="L5222" s="28" t="s">
        <v>11</v>
      </c>
      <c r="M5222" s="14"/>
      <c r="N5222" s="10" t="s">
        <v>1028</v>
      </c>
    </row>
    <row r="5223" spans="1:14" ht="22.5" customHeight="1">
      <c r="A5223" s="8">
        <v>46029.381942164357</v>
      </c>
      <c r="B5223" s="9" t="s">
        <v>14</v>
      </c>
      <c r="C5223" s="9" t="s">
        <v>15</v>
      </c>
      <c r="D5223" s="10" t="s">
        <v>11388</v>
      </c>
      <c r="E5223" s="9" t="s">
        <v>17</v>
      </c>
      <c r="F5223" s="10">
        <v>25</v>
      </c>
      <c r="G5223" s="11">
        <v>9035117539</v>
      </c>
      <c r="H5223" s="10" t="s">
        <v>11389</v>
      </c>
      <c r="I5223" s="10" t="s">
        <v>202</v>
      </c>
      <c r="J5223" s="10" t="s">
        <v>4632</v>
      </c>
      <c r="K5223" s="12">
        <v>46029</v>
      </c>
      <c r="L5223" s="28" t="s">
        <v>11</v>
      </c>
      <c r="M5223" s="14"/>
      <c r="N5223" s="10" t="s">
        <v>1028</v>
      </c>
    </row>
    <row r="5224" spans="1:14" ht="22.5" customHeight="1">
      <c r="A5224" s="8">
        <v>46029.387643159724</v>
      </c>
      <c r="B5224" s="9" t="s">
        <v>14</v>
      </c>
      <c r="C5224" s="9" t="s">
        <v>15</v>
      </c>
      <c r="D5224" s="10" t="s">
        <v>11390</v>
      </c>
      <c r="E5224" s="9" t="s">
        <v>17</v>
      </c>
      <c r="F5224" s="10">
        <v>23</v>
      </c>
      <c r="G5224" s="11">
        <f>2348101609085</f>
        <v>2348101609085</v>
      </c>
      <c r="H5224" s="10" t="s">
        <v>11391</v>
      </c>
      <c r="I5224" s="10" t="s">
        <v>27</v>
      </c>
      <c r="J5224" s="10" t="s">
        <v>27</v>
      </c>
      <c r="K5224" s="12">
        <v>37565</v>
      </c>
      <c r="L5224" s="28" t="s">
        <v>11</v>
      </c>
      <c r="M5224" s="14"/>
      <c r="N5224" s="10" t="s">
        <v>1096</v>
      </c>
    </row>
    <row r="5225" spans="1:14" ht="22.5" customHeight="1">
      <c r="A5225" s="8">
        <v>46029.388936076386</v>
      </c>
      <c r="B5225" s="9" t="s">
        <v>14</v>
      </c>
      <c r="C5225" s="9" t="s">
        <v>15</v>
      </c>
      <c r="D5225" s="10" t="s">
        <v>11392</v>
      </c>
      <c r="E5225" s="9" t="s">
        <v>17</v>
      </c>
      <c r="F5225" s="10">
        <v>33</v>
      </c>
      <c r="G5225" s="11">
        <v>7066674146</v>
      </c>
      <c r="H5225" s="10" t="s">
        <v>11393</v>
      </c>
      <c r="I5225" s="10" t="s">
        <v>145</v>
      </c>
      <c r="J5225" s="10" t="s">
        <v>3584</v>
      </c>
      <c r="K5225" s="12">
        <v>46029</v>
      </c>
      <c r="L5225" s="28" t="s">
        <v>11</v>
      </c>
      <c r="M5225" s="10"/>
      <c r="N5225" s="10" t="s">
        <v>1028</v>
      </c>
    </row>
    <row r="5226" spans="1:14" ht="22.5" customHeight="1">
      <c r="A5226" s="8">
        <v>46029.390115127317</v>
      </c>
      <c r="B5226" s="9" t="s">
        <v>14</v>
      </c>
      <c r="C5226" s="9" t="s">
        <v>15</v>
      </c>
      <c r="D5226" s="10" t="s">
        <v>11394</v>
      </c>
      <c r="E5226" s="9" t="s">
        <v>17</v>
      </c>
      <c r="F5226" s="10">
        <v>27</v>
      </c>
      <c r="G5226" s="11">
        <v>8034328109</v>
      </c>
      <c r="H5226" s="10" t="s">
        <v>11395</v>
      </c>
      <c r="I5226" s="10" t="s">
        <v>27</v>
      </c>
      <c r="J5226" s="10" t="s">
        <v>94</v>
      </c>
      <c r="K5226" s="12">
        <v>46029</v>
      </c>
      <c r="L5226" s="28" t="s">
        <v>11</v>
      </c>
      <c r="M5226" s="14"/>
      <c r="N5226" s="10" t="s">
        <v>1028</v>
      </c>
    </row>
    <row r="5227" spans="1:14" ht="22.5" customHeight="1">
      <c r="A5227" s="8">
        <v>46029.394080775462</v>
      </c>
      <c r="B5227" s="9" t="s">
        <v>14</v>
      </c>
      <c r="C5227" s="9" t="s">
        <v>15</v>
      </c>
      <c r="D5227" s="10" t="s">
        <v>11396</v>
      </c>
      <c r="E5227" s="9" t="s">
        <v>22</v>
      </c>
      <c r="F5227" s="10">
        <v>18</v>
      </c>
      <c r="G5227" s="11">
        <f t="shared" ref="G5227" si="148">2349038205899</f>
        <v>2349038205899</v>
      </c>
      <c r="H5227" s="10" t="s">
        <v>11397</v>
      </c>
      <c r="I5227" s="10" t="s">
        <v>31</v>
      </c>
      <c r="J5227" s="10" t="s">
        <v>32</v>
      </c>
      <c r="K5227" s="12">
        <v>46029</v>
      </c>
      <c r="L5227" s="28" t="s">
        <v>11</v>
      </c>
      <c r="M5227" s="14"/>
      <c r="N5227" s="10" t="s">
        <v>1028</v>
      </c>
    </row>
    <row r="5228" spans="1:14" ht="22.5" customHeight="1">
      <c r="A5228" s="8">
        <v>46029.395724340277</v>
      </c>
      <c r="B5228" s="9" t="s">
        <v>14</v>
      </c>
      <c r="C5228" s="9" t="s">
        <v>15</v>
      </c>
      <c r="D5228" s="10" t="s">
        <v>11398</v>
      </c>
      <c r="E5228" s="9" t="s">
        <v>17</v>
      </c>
      <c r="F5228" s="10">
        <v>30</v>
      </c>
      <c r="G5228" s="11">
        <v>9056042771</v>
      </c>
      <c r="H5228" s="10" t="s">
        <v>11399</v>
      </c>
      <c r="I5228" s="10" t="s">
        <v>19</v>
      </c>
      <c r="J5228" s="10" t="s">
        <v>11400</v>
      </c>
      <c r="K5228" s="12">
        <v>46029</v>
      </c>
      <c r="L5228" s="28" t="s">
        <v>11</v>
      </c>
      <c r="M5228" s="14"/>
      <c r="N5228" s="10" t="s">
        <v>1028</v>
      </c>
    </row>
    <row r="5229" spans="1:14" ht="22.5" customHeight="1">
      <c r="A5229" s="8">
        <v>46029.401584189814</v>
      </c>
      <c r="B5229" s="9" t="s">
        <v>14</v>
      </c>
      <c r="C5229" s="9" t="s">
        <v>15</v>
      </c>
      <c r="D5229" s="10" t="s">
        <v>11401</v>
      </c>
      <c r="E5229" s="9" t="s">
        <v>22</v>
      </c>
      <c r="F5229" s="10">
        <v>25</v>
      </c>
      <c r="G5229" s="11">
        <v>8151880081</v>
      </c>
      <c r="H5229" s="10" t="s">
        <v>11402</v>
      </c>
      <c r="I5229" s="10" t="s">
        <v>31</v>
      </c>
      <c r="J5229" s="10" t="s">
        <v>1582</v>
      </c>
      <c r="K5229" s="12">
        <v>46029</v>
      </c>
      <c r="L5229" s="28" t="s">
        <v>11</v>
      </c>
      <c r="M5229" s="14"/>
      <c r="N5229" s="10" t="s">
        <v>1028</v>
      </c>
    </row>
    <row r="5230" spans="1:14" ht="22.5" customHeight="1">
      <c r="A5230" s="8">
        <v>46029.406870995372</v>
      </c>
      <c r="B5230" s="9" t="s">
        <v>14</v>
      </c>
      <c r="C5230" s="9" t="s">
        <v>15</v>
      </c>
      <c r="D5230" s="10" t="s">
        <v>11403</v>
      </c>
      <c r="E5230" s="9" t="s">
        <v>22</v>
      </c>
      <c r="F5230" s="10">
        <v>29</v>
      </c>
      <c r="G5230" s="11">
        <v>8161608704</v>
      </c>
      <c r="H5230" s="10" t="s">
        <v>11404</v>
      </c>
      <c r="I5230" s="10" t="s">
        <v>27</v>
      </c>
      <c r="J5230" s="10" t="s">
        <v>11405</v>
      </c>
      <c r="K5230" s="12">
        <v>46029</v>
      </c>
      <c r="L5230" s="28" t="s">
        <v>11</v>
      </c>
      <c r="M5230" s="14"/>
      <c r="N5230" s="10" t="s">
        <v>1028</v>
      </c>
    </row>
    <row r="5231" spans="1:14" ht="22.5" customHeight="1">
      <c r="A5231" s="8">
        <v>46029.407948356486</v>
      </c>
      <c r="B5231" s="9" t="s">
        <v>14</v>
      </c>
      <c r="C5231" s="9" t="s">
        <v>15</v>
      </c>
      <c r="D5231" s="10" t="s">
        <v>11406</v>
      </c>
      <c r="E5231" s="9" t="s">
        <v>17</v>
      </c>
      <c r="F5231" s="10">
        <v>25</v>
      </c>
      <c r="G5231" s="11">
        <v>7018080377</v>
      </c>
      <c r="H5231" s="10" t="s">
        <v>11407</v>
      </c>
      <c r="I5231" s="10" t="s">
        <v>145</v>
      </c>
      <c r="J5231" s="10" t="s">
        <v>530</v>
      </c>
      <c r="K5231" s="12">
        <v>46029</v>
      </c>
      <c r="L5231" s="28" t="s">
        <v>11</v>
      </c>
      <c r="M5231" s="14"/>
      <c r="N5231" s="10" t="s">
        <v>1028</v>
      </c>
    </row>
    <row r="5232" spans="1:14" ht="22.5" customHeight="1">
      <c r="A5232" s="8">
        <v>46029.41942362269</v>
      </c>
      <c r="B5232" s="9" t="s">
        <v>14</v>
      </c>
      <c r="C5232" s="9" t="s">
        <v>15</v>
      </c>
      <c r="D5232" s="10" t="s">
        <v>11408</v>
      </c>
      <c r="E5232" s="9" t="s">
        <v>22</v>
      </c>
      <c r="F5232" s="10">
        <v>20</v>
      </c>
      <c r="G5232" s="11">
        <v>8164026758</v>
      </c>
      <c r="H5232" s="10" t="s">
        <v>11409</v>
      </c>
      <c r="I5232" s="10" t="s">
        <v>45</v>
      </c>
      <c r="J5232" s="10" t="s">
        <v>1055</v>
      </c>
      <c r="K5232" s="12">
        <v>46029</v>
      </c>
      <c r="L5232" s="28" t="s">
        <v>11</v>
      </c>
      <c r="M5232" s="14"/>
      <c r="N5232" s="10" t="s">
        <v>1028</v>
      </c>
    </row>
    <row r="5233" spans="1:14" ht="22.5" customHeight="1">
      <c r="A5233" s="8">
        <v>46029.422970011576</v>
      </c>
      <c r="B5233" s="9" t="s">
        <v>14</v>
      </c>
      <c r="C5233" s="9" t="s">
        <v>15</v>
      </c>
      <c r="D5233" s="10" t="s">
        <v>11410</v>
      </c>
      <c r="E5233" s="9" t="s">
        <v>17</v>
      </c>
      <c r="F5233" s="10">
        <v>25</v>
      </c>
      <c r="G5233" s="11">
        <v>9033314968</v>
      </c>
      <c r="H5233" s="10" t="s">
        <v>11411</v>
      </c>
      <c r="I5233" s="10" t="s">
        <v>45</v>
      </c>
      <c r="J5233" s="10" t="s">
        <v>932</v>
      </c>
      <c r="K5233" s="12">
        <v>46029</v>
      </c>
      <c r="L5233" s="28" t="s">
        <v>11</v>
      </c>
      <c r="M5233" s="14"/>
      <c r="N5233" s="10" t="s">
        <v>1096</v>
      </c>
    </row>
    <row r="5234" spans="1:14" ht="22.5" customHeight="1">
      <c r="A5234" s="8">
        <v>46029.425151423609</v>
      </c>
      <c r="B5234" s="9" t="s">
        <v>14</v>
      </c>
      <c r="C5234" s="9" t="s">
        <v>15</v>
      </c>
      <c r="D5234" s="10" t="s">
        <v>11412</v>
      </c>
      <c r="E5234" s="9" t="s">
        <v>22</v>
      </c>
      <c r="F5234" s="10">
        <v>25</v>
      </c>
      <c r="G5234" s="11">
        <v>8144696507</v>
      </c>
      <c r="H5234" s="10" t="s">
        <v>11413</v>
      </c>
      <c r="I5234" s="10" t="s">
        <v>45</v>
      </c>
      <c r="J5234" s="10" t="s">
        <v>3914</v>
      </c>
      <c r="K5234" s="12">
        <v>46029</v>
      </c>
      <c r="L5234" s="28" t="s">
        <v>11</v>
      </c>
      <c r="M5234" s="14"/>
      <c r="N5234" s="10" t="s">
        <v>1096</v>
      </c>
    </row>
    <row r="5235" spans="1:14" ht="22.5" hidden="1" customHeight="1">
      <c r="A5235" s="8">
        <v>46029.426554085643</v>
      </c>
      <c r="B5235" s="9" t="s">
        <v>14</v>
      </c>
      <c r="C5235" s="9" t="s">
        <v>15</v>
      </c>
      <c r="D5235" s="10" t="s">
        <v>11414</v>
      </c>
      <c r="E5235" s="9" t="s">
        <v>17</v>
      </c>
      <c r="F5235" s="10">
        <v>28</v>
      </c>
      <c r="G5235" s="11">
        <v>8158206241</v>
      </c>
      <c r="H5235" s="10" t="s">
        <v>11415</v>
      </c>
      <c r="I5235" s="10" t="s">
        <v>49</v>
      </c>
      <c r="J5235" s="10" t="s">
        <v>181</v>
      </c>
      <c r="K5235" s="12">
        <v>35638</v>
      </c>
      <c r="L5235" s="10" t="s">
        <v>441</v>
      </c>
      <c r="M5235" s="10" t="s">
        <v>1827</v>
      </c>
      <c r="N5235" s="10" t="s">
        <v>1096</v>
      </c>
    </row>
    <row r="5236" spans="1:14" ht="22.5" customHeight="1">
      <c r="A5236" s="8">
        <v>46029.427110648146</v>
      </c>
      <c r="B5236" s="9" t="s">
        <v>14</v>
      </c>
      <c r="C5236" s="9" t="s">
        <v>15</v>
      </c>
      <c r="D5236" s="10" t="s">
        <v>11416</v>
      </c>
      <c r="E5236" s="9" t="s">
        <v>17</v>
      </c>
      <c r="F5236" s="10">
        <v>30</v>
      </c>
      <c r="G5236" s="11">
        <v>8101360314</v>
      </c>
      <c r="H5236" s="10" t="s">
        <v>11417</v>
      </c>
      <c r="I5236" s="10" t="s">
        <v>45</v>
      </c>
      <c r="J5236" s="10" t="s">
        <v>279</v>
      </c>
      <c r="K5236" s="12">
        <v>46029</v>
      </c>
      <c r="L5236" s="28" t="s">
        <v>11</v>
      </c>
      <c r="M5236" s="14"/>
      <c r="N5236" s="10" t="s">
        <v>1028</v>
      </c>
    </row>
    <row r="5237" spans="1:14" ht="22.5" customHeight="1">
      <c r="A5237" s="8">
        <v>46029.427232048612</v>
      </c>
      <c r="B5237" s="9" t="s">
        <v>14</v>
      </c>
      <c r="C5237" s="9" t="s">
        <v>15</v>
      </c>
      <c r="D5237" s="10" t="s">
        <v>11418</v>
      </c>
      <c r="E5237" s="9" t="s">
        <v>22</v>
      </c>
      <c r="F5237" s="10">
        <v>33</v>
      </c>
      <c r="G5237" s="11">
        <v>8133566817</v>
      </c>
      <c r="H5237" s="10" t="s">
        <v>11419</v>
      </c>
      <c r="I5237" s="10" t="s">
        <v>45</v>
      </c>
      <c r="J5237" s="10" t="s">
        <v>11420</v>
      </c>
      <c r="K5237" s="12">
        <v>46029</v>
      </c>
      <c r="L5237" s="28" t="s">
        <v>11</v>
      </c>
      <c r="M5237" s="14"/>
      <c r="N5237" s="10" t="s">
        <v>1028</v>
      </c>
    </row>
    <row r="5238" spans="1:14" ht="22.5" customHeight="1">
      <c r="A5238" s="8">
        <v>46029.429113067134</v>
      </c>
      <c r="B5238" s="9" t="s">
        <v>14</v>
      </c>
      <c r="C5238" s="9" t="s">
        <v>15</v>
      </c>
      <c r="D5238" s="10" t="s">
        <v>11421</v>
      </c>
      <c r="E5238" s="9" t="s">
        <v>17</v>
      </c>
      <c r="F5238" s="10">
        <v>34</v>
      </c>
      <c r="G5238" s="11">
        <v>8062114852</v>
      </c>
      <c r="H5238" s="10" t="s">
        <v>11422</v>
      </c>
      <c r="I5238" s="10" t="s">
        <v>145</v>
      </c>
      <c r="J5238" s="10" t="s">
        <v>11423</v>
      </c>
      <c r="K5238" s="12">
        <v>46029</v>
      </c>
      <c r="L5238" s="28" t="s">
        <v>11</v>
      </c>
      <c r="M5238" s="14"/>
      <c r="N5238" s="10" t="s">
        <v>1096</v>
      </c>
    </row>
    <row r="5239" spans="1:14" ht="22.5" customHeight="1">
      <c r="A5239" s="8">
        <v>46029.429607604165</v>
      </c>
      <c r="B5239" s="9" t="s">
        <v>14</v>
      </c>
      <c r="C5239" s="9" t="s">
        <v>15</v>
      </c>
      <c r="D5239" s="10" t="s">
        <v>11424</v>
      </c>
      <c r="E5239" s="9" t="s">
        <v>17</v>
      </c>
      <c r="F5239" s="10">
        <v>28</v>
      </c>
      <c r="G5239" s="11">
        <v>7048099038</v>
      </c>
      <c r="H5239" s="10" t="s">
        <v>11425</v>
      </c>
      <c r="I5239" s="10" t="s">
        <v>45</v>
      </c>
      <c r="J5239" s="10" t="s">
        <v>901</v>
      </c>
      <c r="K5239" s="12">
        <v>46029</v>
      </c>
      <c r="L5239" s="28" t="s">
        <v>11</v>
      </c>
      <c r="M5239" s="14"/>
      <c r="N5239" s="10" t="s">
        <v>1028</v>
      </c>
    </row>
    <row r="5240" spans="1:14" ht="22.5" customHeight="1">
      <c r="A5240" s="8">
        <v>46029.430605243055</v>
      </c>
      <c r="B5240" s="9" t="s">
        <v>14</v>
      </c>
      <c r="C5240" s="9" t="s">
        <v>15</v>
      </c>
      <c r="D5240" s="10" t="s">
        <v>11426</v>
      </c>
      <c r="E5240" s="9" t="s">
        <v>22</v>
      </c>
      <c r="F5240" s="10">
        <v>25</v>
      </c>
      <c r="G5240" s="11">
        <v>8167362057</v>
      </c>
      <c r="H5240" s="10" t="s">
        <v>11427</v>
      </c>
      <c r="I5240" s="10" t="s">
        <v>45</v>
      </c>
      <c r="J5240" s="10" t="s">
        <v>46</v>
      </c>
      <c r="K5240" s="12">
        <v>46029</v>
      </c>
      <c r="L5240" s="28" t="s">
        <v>11</v>
      </c>
      <c r="M5240" s="14"/>
      <c r="N5240" s="10" t="s">
        <v>1028</v>
      </c>
    </row>
    <row r="5241" spans="1:14" ht="22.5" customHeight="1">
      <c r="A5241" s="8">
        <v>46029.430690335648</v>
      </c>
      <c r="B5241" s="9" t="s">
        <v>14</v>
      </c>
      <c r="C5241" s="9" t="s">
        <v>15</v>
      </c>
      <c r="D5241" s="10" t="s">
        <v>11428</v>
      </c>
      <c r="E5241" s="9" t="s">
        <v>22</v>
      </c>
      <c r="F5241" s="10">
        <v>32</v>
      </c>
      <c r="G5241" s="11">
        <v>7065701096</v>
      </c>
      <c r="H5241" s="10" t="s">
        <v>11429</v>
      </c>
      <c r="I5241" s="10" t="s">
        <v>45</v>
      </c>
      <c r="J5241" s="10" t="s">
        <v>11430</v>
      </c>
      <c r="K5241" s="12">
        <v>46029</v>
      </c>
      <c r="L5241" s="28" t="s">
        <v>11</v>
      </c>
      <c r="M5241" s="14"/>
      <c r="N5241" s="10" t="s">
        <v>1028</v>
      </c>
    </row>
    <row r="5242" spans="1:14" ht="22.5" customHeight="1">
      <c r="A5242" s="8">
        <v>46029.4313621412</v>
      </c>
      <c r="B5242" s="9" t="s">
        <v>14</v>
      </c>
      <c r="C5242" s="9" t="s">
        <v>15</v>
      </c>
      <c r="D5242" s="10" t="s">
        <v>11431</v>
      </c>
      <c r="E5242" s="9" t="s">
        <v>17</v>
      </c>
      <c r="F5242" s="10">
        <v>35</v>
      </c>
      <c r="G5242" s="11">
        <v>8064984414</v>
      </c>
      <c r="H5242" s="10" t="s">
        <v>11432</v>
      </c>
      <c r="I5242" s="10" t="s">
        <v>27</v>
      </c>
      <c r="J5242" s="10" t="s">
        <v>640</v>
      </c>
      <c r="K5242" s="12">
        <v>46029</v>
      </c>
      <c r="L5242" s="28" t="s">
        <v>11</v>
      </c>
      <c r="M5242" s="14"/>
      <c r="N5242" s="10" t="s">
        <v>1028</v>
      </c>
    </row>
    <row r="5243" spans="1:14" ht="22.5" customHeight="1">
      <c r="A5243" s="8">
        <v>46029.431671238424</v>
      </c>
      <c r="B5243" s="9" t="s">
        <v>14</v>
      </c>
      <c r="C5243" s="9" t="s">
        <v>15</v>
      </c>
      <c r="D5243" s="10" t="s">
        <v>11433</v>
      </c>
      <c r="E5243" s="9" t="s">
        <v>22</v>
      </c>
      <c r="F5243" s="10">
        <v>27</v>
      </c>
      <c r="G5243" s="11">
        <v>8106049108</v>
      </c>
      <c r="H5243" s="10" t="s">
        <v>11434</v>
      </c>
      <c r="I5243" s="10" t="s">
        <v>19</v>
      </c>
      <c r="J5243" s="10" t="s">
        <v>1977</v>
      </c>
      <c r="K5243" s="12">
        <v>46029</v>
      </c>
      <c r="L5243" s="28" t="s">
        <v>11</v>
      </c>
      <c r="M5243" s="14"/>
      <c r="N5243" s="10" t="s">
        <v>1096</v>
      </c>
    </row>
    <row r="5244" spans="1:14" ht="22.5" customHeight="1">
      <c r="A5244" s="8">
        <v>46029.431673101848</v>
      </c>
      <c r="B5244" s="9" t="s">
        <v>14</v>
      </c>
      <c r="C5244" s="9" t="s">
        <v>15</v>
      </c>
      <c r="D5244" s="10" t="s">
        <v>11435</v>
      </c>
      <c r="E5244" s="9" t="s">
        <v>17</v>
      </c>
      <c r="F5244" s="10">
        <v>26</v>
      </c>
      <c r="G5244" s="11">
        <v>7061947998</v>
      </c>
      <c r="H5244" s="10" t="s">
        <v>11436</v>
      </c>
      <c r="I5244" s="10" t="s">
        <v>202</v>
      </c>
      <c r="J5244" s="10" t="s">
        <v>2059</v>
      </c>
      <c r="K5244" s="12">
        <v>46029</v>
      </c>
      <c r="L5244" s="28" t="s">
        <v>11</v>
      </c>
      <c r="M5244" s="14"/>
      <c r="N5244" s="10" t="s">
        <v>1028</v>
      </c>
    </row>
    <row r="5245" spans="1:14" ht="22.5" customHeight="1">
      <c r="A5245" s="8">
        <v>46029.432742326389</v>
      </c>
      <c r="B5245" s="9" t="s">
        <v>14</v>
      </c>
      <c r="C5245" s="9" t="s">
        <v>15</v>
      </c>
      <c r="D5245" s="10" t="s">
        <v>11437</v>
      </c>
      <c r="E5245" s="9" t="s">
        <v>17</v>
      </c>
      <c r="F5245" s="10">
        <v>29</v>
      </c>
      <c r="G5245" s="11">
        <v>7067334751</v>
      </c>
      <c r="H5245" s="10" t="s">
        <v>11438</v>
      </c>
      <c r="I5245" s="10" t="s">
        <v>145</v>
      </c>
      <c r="J5245" s="10" t="s">
        <v>4352</v>
      </c>
      <c r="K5245" s="12">
        <v>46029</v>
      </c>
      <c r="L5245" s="28" t="s">
        <v>11</v>
      </c>
      <c r="M5245" s="14"/>
      <c r="N5245" s="10" t="s">
        <v>1028</v>
      </c>
    </row>
    <row r="5246" spans="1:14" ht="22.5" customHeight="1">
      <c r="A5246" s="8">
        <v>46029.434767557876</v>
      </c>
      <c r="B5246" s="9" t="s">
        <v>14</v>
      </c>
      <c r="C5246" s="9" t="s">
        <v>15</v>
      </c>
      <c r="D5246" s="10" t="s">
        <v>11439</v>
      </c>
      <c r="E5246" s="9" t="s">
        <v>22</v>
      </c>
      <c r="F5246" s="10">
        <v>35</v>
      </c>
      <c r="G5246" s="11">
        <v>7060725348</v>
      </c>
      <c r="H5246" s="10" t="s">
        <v>11440</v>
      </c>
      <c r="I5246" s="10" t="s">
        <v>31</v>
      </c>
      <c r="J5246" s="10" t="s">
        <v>39</v>
      </c>
      <c r="K5246" s="12">
        <v>46029</v>
      </c>
      <c r="L5246" s="28" t="s">
        <v>11</v>
      </c>
      <c r="M5246" s="14"/>
      <c r="N5246" s="10" t="s">
        <v>1028</v>
      </c>
    </row>
    <row r="5247" spans="1:14" ht="22.5" customHeight="1">
      <c r="A5247" s="8">
        <v>46029.435252708332</v>
      </c>
      <c r="B5247" s="9" t="s">
        <v>14</v>
      </c>
      <c r="C5247" s="9" t="s">
        <v>15</v>
      </c>
      <c r="D5247" s="10" t="s">
        <v>11441</v>
      </c>
      <c r="E5247" s="9" t="s">
        <v>17</v>
      </c>
      <c r="F5247" s="10">
        <v>26</v>
      </c>
      <c r="G5247" s="11">
        <v>8138861467</v>
      </c>
      <c r="H5247" s="10" t="s">
        <v>11442</v>
      </c>
      <c r="I5247" s="10" t="s">
        <v>27</v>
      </c>
      <c r="J5247" s="10" t="s">
        <v>2931</v>
      </c>
      <c r="K5247" s="12">
        <v>46029</v>
      </c>
      <c r="L5247" s="28" t="s">
        <v>11</v>
      </c>
      <c r="M5247" s="14"/>
      <c r="N5247" s="10" t="s">
        <v>1028</v>
      </c>
    </row>
    <row r="5248" spans="1:14" ht="22.5" customHeight="1">
      <c r="A5248" s="8">
        <v>46029.435353344903</v>
      </c>
      <c r="B5248" s="9" t="s">
        <v>14</v>
      </c>
      <c r="C5248" s="9" t="s">
        <v>15</v>
      </c>
      <c r="D5248" s="10" t="s">
        <v>11443</v>
      </c>
      <c r="E5248" s="9" t="s">
        <v>17</v>
      </c>
      <c r="F5248" s="10">
        <v>29</v>
      </c>
      <c r="G5248" s="11">
        <v>8146464441</v>
      </c>
      <c r="H5248" s="10" t="s">
        <v>11444</v>
      </c>
      <c r="I5248" s="10" t="s">
        <v>19</v>
      </c>
      <c r="J5248" s="10" t="s">
        <v>3495</v>
      </c>
      <c r="K5248" s="12">
        <v>46029</v>
      </c>
      <c r="L5248" s="28" t="s">
        <v>11</v>
      </c>
      <c r="M5248" s="14"/>
      <c r="N5248" s="10" t="s">
        <v>1028</v>
      </c>
    </row>
    <row r="5249" spans="1:14" ht="22.5" customHeight="1">
      <c r="A5249" s="8">
        <v>46029.435818750004</v>
      </c>
      <c r="B5249" s="9" t="s">
        <v>14</v>
      </c>
      <c r="C5249" s="9" t="s">
        <v>15</v>
      </c>
      <c r="D5249" s="10" t="s">
        <v>11445</v>
      </c>
      <c r="E5249" s="9" t="s">
        <v>17</v>
      </c>
      <c r="F5249" s="10">
        <v>28</v>
      </c>
      <c r="G5249" s="11">
        <v>8137019259</v>
      </c>
      <c r="H5249" s="10" t="s">
        <v>11446</v>
      </c>
      <c r="I5249" s="10" t="s">
        <v>45</v>
      </c>
      <c r="J5249" s="10" t="s">
        <v>2761</v>
      </c>
      <c r="K5249" s="12">
        <v>46029</v>
      </c>
      <c r="L5249" s="28" t="s">
        <v>11</v>
      </c>
      <c r="M5249" s="14"/>
      <c r="N5249" s="10" t="s">
        <v>1028</v>
      </c>
    </row>
    <row r="5250" spans="1:14" ht="22.5" customHeight="1">
      <c r="A5250" s="8">
        <v>46029.436530624997</v>
      </c>
      <c r="B5250" s="9" t="s">
        <v>14</v>
      </c>
      <c r="C5250" s="9" t="s">
        <v>15</v>
      </c>
      <c r="D5250" s="10" t="s">
        <v>11447</v>
      </c>
      <c r="E5250" s="9" t="s">
        <v>17</v>
      </c>
      <c r="F5250" s="10">
        <v>30</v>
      </c>
      <c r="G5250" s="11">
        <v>8085680560</v>
      </c>
      <c r="H5250" s="10" t="s">
        <v>11448</v>
      </c>
      <c r="I5250" s="10" t="s">
        <v>31</v>
      </c>
      <c r="J5250" s="10" t="s">
        <v>36</v>
      </c>
      <c r="K5250" s="12">
        <v>46029</v>
      </c>
      <c r="L5250" s="28" t="s">
        <v>11</v>
      </c>
      <c r="M5250" s="14"/>
      <c r="N5250" s="10" t="s">
        <v>1028</v>
      </c>
    </row>
    <row r="5251" spans="1:14" ht="22.5" customHeight="1">
      <c r="A5251" s="8">
        <v>46029.436685208333</v>
      </c>
      <c r="B5251" s="9" t="s">
        <v>14</v>
      </c>
      <c r="C5251" s="9" t="s">
        <v>15</v>
      </c>
      <c r="D5251" s="10" t="s">
        <v>11449</v>
      </c>
      <c r="E5251" s="9" t="s">
        <v>17</v>
      </c>
      <c r="F5251" s="10">
        <v>30</v>
      </c>
      <c r="G5251" s="11">
        <v>9030902808</v>
      </c>
      <c r="H5251" s="10" t="s">
        <v>11450</v>
      </c>
      <c r="I5251" s="10" t="s">
        <v>49</v>
      </c>
      <c r="J5251" s="10" t="s">
        <v>8316</v>
      </c>
      <c r="K5251" s="12">
        <v>46029</v>
      </c>
      <c r="L5251" s="28" t="s">
        <v>11</v>
      </c>
      <c r="M5251" s="14"/>
      <c r="N5251" s="10" t="s">
        <v>1096</v>
      </c>
    </row>
    <row r="5252" spans="1:14" ht="22.5" customHeight="1">
      <c r="A5252" s="8">
        <v>46029.437492372686</v>
      </c>
      <c r="B5252" s="9" t="s">
        <v>14</v>
      </c>
      <c r="C5252" s="9" t="s">
        <v>15</v>
      </c>
      <c r="D5252" s="10" t="s">
        <v>11451</v>
      </c>
      <c r="E5252" s="9" t="s">
        <v>17</v>
      </c>
      <c r="F5252" s="10">
        <v>30</v>
      </c>
      <c r="G5252" s="11">
        <v>9033999574</v>
      </c>
      <c r="H5252" s="10" t="s">
        <v>11452</v>
      </c>
      <c r="I5252" s="10" t="s">
        <v>19</v>
      </c>
      <c r="J5252" s="10" t="s">
        <v>4870</v>
      </c>
      <c r="K5252" s="12">
        <v>46029</v>
      </c>
      <c r="L5252" s="28" t="s">
        <v>11</v>
      </c>
      <c r="M5252" s="14"/>
      <c r="N5252" s="10" t="s">
        <v>1028</v>
      </c>
    </row>
    <row r="5253" spans="1:14" ht="22.5" customHeight="1">
      <c r="A5253" s="8">
        <v>46029.437813217592</v>
      </c>
      <c r="B5253" s="9" t="s">
        <v>14</v>
      </c>
      <c r="C5253" s="9" t="s">
        <v>15</v>
      </c>
      <c r="D5253" s="10" t="s">
        <v>11453</v>
      </c>
      <c r="E5253" s="9" t="s">
        <v>17</v>
      </c>
      <c r="F5253" s="10">
        <v>29</v>
      </c>
      <c r="G5253" s="11">
        <v>8134300114</v>
      </c>
      <c r="H5253" s="10" t="s">
        <v>11454</v>
      </c>
      <c r="I5253" s="10" t="s">
        <v>19</v>
      </c>
      <c r="J5253" s="10" t="s">
        <v>1777</v>
      </c>
      <c r="K5253" s="12">
        <v>46029</v>
      </c>
      <c r="L5253" s="28" t="s">
        <v>11</v>
      </c>
      <c r="M5253" s="14"/>
      <c r="N5253" s="10" t="s">
        <v>1028</v>
      </c>
    </row>
    <row r="5254" spans="1:14" ht="22.5" customHeight="1">
      <c r="A5254" s="8">
        <v>46029.437851493058</v>
      </c>
      <c r="B5254" s="9" t="s">
        <v>14</v>
      </c>
      <c r="C5254" s="9" t="s">
        <v>15</v>
      </c>
      <c r="D5254" s="10" t="s">
        <v>11455</v>
      </c>
      <c r="E5254" s="9" t="s">
        <v>17</v>
      </c>
      <c r="F5254" s="10">
        <v>26</v>
      </c>
      <c r="G5254" s="11">
        <v>8169204874</v>
      </c>
      <c r="H5254" s="10" t="s">
        <v>11456</v>
      </c>
      <c r="I5254" s="10" t="s">
        <v>27</v>
      </c>
      <c r="J5254" s="10" t="s">
        <v>4612</v>
      </c>
      <c r="K5254" s="12">
        <v>46029</v>
      </c>
      <c r="L5254" s="28" t="s">
        <v>11</v>
      </c>
      <c r="M5254" s="14"/>
      <c r="N5254" s="10" t="s">
        <v>1028</v>
      </c>
    </row>
    <row r="5255" spans="1:14" ht="22.5" customHeight="1">
      <c r="A5255" s="8">
        <v>46029.438513761575</v>
      </c>
      <c r="B5255" s="9" t="s">
        <v>14</v>
      </c>
      <c r="C5255" s="9" t="s">
        <v>15</v>
      </c>
      <c r="D5255" s="10" t="s">
        <v>11457</v>
      </c>
      <c r="E5255" s="9" t="s">
        <v>17</v>
      </c>
      <c r="F5255" s="10">
        <v>29</v>
      </c>
      <c r="G5255" s="11">
        <v>9167466403</v>
      </c>
      <c r="H5255" s="10" t="s">
        <v>11458</v>
      </c>
      <c r="I5255" s="10" t="s">
        <v>45</v>
      </c>
      <c r="J5255" s="10" t="s">
        <v>11082</v>
      </c>
      <c r="K5255" s="12">
        <v>46029</v>
      </c>
      <c r="L5255" s="28" t="s">
        <v>11</v>
      </c>
      <c r="M5255" s="14"/>
      <c r="N5255" s="10" t="s">
        <v>1028</v>
      </c>
    </row>
    <row r="5256" spans="1:14" ht="22.5" customHeight="1">
      <c r="A5256" s="8">
        <v>46029.439668865743</v>
      </c>
      <c r="B5256" s="9" t="s">
        <v>14</v>
      </c>
      <c r="C5256" s="9" t="s">
        <v>15</v>
      </c>
      <c r="D5256" s="10" t="s">
        <v>11459</v>
      </c>
      <c r="E5256" s="9" t="s">
        <v>17</v>
      </c>
      <c r="F5256" s="10">
        <v>19</v>
      </c>
      <c r="G5256" s="11">
        <v>9074223243</v>
      </c>
      <c r="H5256" s="10" t="s">
        <v>11460</v>
      </c>
      <c r="I5256" s="10" t="s">
        <v>45</v>
      </c>
      <c r="J5256" s="10" t="s">
        <v>169</v>
      </c>
      <c r="K5256" s="12">
        <v>46029</v>
      </c>
      <c r="L5256" s="28" t="s">
        <v>11</v>
      </c>
      <c r="M5256" s="14"/>
      <c r="N5256" s="10" t="s">
        <v>1028</v>
      </c>
    </row>
    <row r="5257" spans="1:14" ht="22.5" customHeight="1">
      <c r="A5257" s="8">
        <v>46029.440300127317</v>
      </c>
      <c r="B5257" s="9" t="s">
        <v>14</v>
      </c>
      <c r="C5257" s="9" t="s">
        <v>15</v>
      </c>
      <c r="D5257" s="10" t="s">
        <v>11461</v>
      </c>
      <c r="E5257" s="9" t="s">
        <v>17</v>
      </c>
      <c r="F5257" s="10">
        <v>33</v>
      </c>
      <c r="G5257" s="11">
        <v>7064478080</v>
      </c>
      <c r="H5257" s="10" t="s">
        <v>11462</v>
      </c>
      <c r="I5257" s="10" t="s">
        <v>49</v>
      </c>
      <c r="J5257" s="10" t="s">
        <v>11463</v>
      </c>
      <c r="K5257" s="12">
        <v>46029</v>
      </c>
      <c r="L5257" s="28" t="s">
        <v>11</v>
      </c>
      <c r="M5257" s="14"/>
      <c r="N5257" s="10" t="s">
        <v>1096</v>
      </c>
    </row>
    <row r="5258" spans="1:14" ht="22.5" customHeight="1">
      <c r="A5258" s="8">
        <v>46029.441110011576</v>
      </c>
      <c r="B5258" s="9" t="s">
        <v>14</v>
      </c>
      <c r="C5258" s="9" t="s">
        <v>15</v>
      </c>
      <c r="D5258" s="10" t="s">
        <v>11464</v>
      </c>
      <c r="E5258" s="9" t="s">
        <v>17</v>
      </c>
      <c r="F5258" s="10">
        <v>28</v>
      </c>
      <c r="G5258" s="11">
        <v>9022452929</v>
      </c>
      <c r="H5258" s="10" t="s">
        <v>11465</v>
      </c>
      <c r="I5258" s="10" t="s">
        <v>49</v>
      </c>
      <c r="J5258" s="10" t="s">
        <v>50</v>
      </c>
      <c r="K5258" s="12">
        <v>46029</v>
      </c>
      <c r="L5258" s="28" t="s">
        <v>11</v>
      </c>
      <c r="M5258" s="14"/>
      <c r="N5258" s="10" t="s">
        <v>1096</v>
      </c>
    </row>
    <row r="5259" spans="1:14" ht="22.5" customHeight="1">
      <c r="A5259" s="8">
        <v>46029.441888229165</v>
      </c>
      <c r="B5259" s="9" t="s">
        <v>14</v>
      </c>
      <c r="C5259" s="9" t="s">
        <v>15</v>
      </c>
      <c r="D5259" s="10" t="s">
        <v>11466</v>
      </c>
      <c r="E5259" s="9" t="s">
        <v>17</v>
      </c>
      <c r="F5259" s="10">
        <v>25</v>
      </c>
      <c r="G5259" s="11">
        <v>8149697235</v>
      </c>
      <c r="H5259" s="10" t="s">
        <v>11467</v>
      </c>
      <c r="I5259" s="10" t="s">
        <v>145</v>
      </c>
      <c r="J5259" s="10" t="s">
        <v>2680</v>
      </c>
      <c r="K5259" s="12">
        <v>46029</v>
      </c>
      <c r="L5259" s="28" t="s">
        <v>11</v>
      </c>
      <c r="M5259" s="14"/>
      <c r="N5259" s="10" t="s">
        <v>1096</v>
      </c>
    </row>
    <row r="5260" spans="1:14" ht="22.5" customHeight="1">
      <c r="A5260" s="8">
        <v>46029.442434988421</v>
      </c>
      <c r="B5260" s="9" t="s">
        <v>14</v>
      </c>
      <c r="C5260" s="9" t="s">
        <v>15</v>
      </c>
      <c r="D5260" s="10" t="s">
        <v>11468</v>
      </c>
      <c r="E5260" s="9" t="s">
        <v>22</v>
      </c>
      <c r="F5260" s="10">
        <v>33</v>
      </c>
      <c r="G5260" s="11">
        <v>8142209463</v>
      </c>
      <c r="H5260" s="10" t="s">
        <v>11469</v>
      </c>
      <c r="I5260" s="10" t="s">
        <v>45</v>
      </c>
      <c r="J5260" s="10" t="s">
        <v>2193</v>
      </c>
      <c r="K5260" s="12">
        <v>46029</v>
      </c>
      <c r="L5260" s="28" t="s">
        <v>11</v>
      </c>
      <c r="M5260" s="14"/>
      <c r="N5260" s="10" t="s">
        <v>1096</v>
      </c>
    </row>
    <row r="5261" spans="1:14" ht="22.5" customHeight="1">
      <c r="A5261" s="8">
        <v>46029.442445891204</v>
      </c>
      <c r="B5261" s="9" t="s">
        <v>14</v>
      </c>
      <c r="C5261" s="9" t="s">
        <v>15</v>
      </c>
      <c r="D5261" s="10" t="s">
        <v>11470</v>
      </c>
      <c r="E5261" s="9" t="s">
        <v>17</v>
      </c>
      <c r="F5261" s="10">
        <v>33</v>
      </c>
      <c r="G5261" s="11">
        <v>7062785254</v>
      </c>
      <c r="H5261" s="10" t="s">
        <v>11471</v>
      </c>
      <c r="I5261" s="10" t="s">
        <v>45</v>
      </c>
      <c r="J5261" s="10" t="s">
        <v>11472</v>
      </c>
      <c r="K5261" s="12">
        <v>46029</v>
      </c>
      <c r="L5261" s="28" t="s">
        <v>11</v>
      </c>
      <c r="M5261" s="14"/>
      <c r="N5261" s="10" t="s">
        <v>1028</v>
      </c>
    </row>
    <row r="5262" spans="1:14" ht="22.5" customHeight="1">
      <c r="A5262" s="8">
        <v>46029.442544328704</v>
      </c>
      <c r="B5262" s="9" t="s">
        <v>14</v>
      </c>
      <c r="C5262" s="9" t="s">
        <v>15</v>
      </c>
      <c r="D5262" s="10" t="s">
        <v>11473</v>
      </c>
      <c r="E5262" s="9" t="s">
        <v>17</v>
      </c>
      <c r="F5262" s="10">
        <v>25</v>
      </c>
      <c r="G5262" s="11">
        <v>9066437194</v>
      </c>
      <c r="H5262" s="10" t="s">
        <v>11474</v>
      </c>
      <c r="I5262" s="10" t="s">
        <v>49</v>
      </c>
      <c r="J5262" s="10" t="s">
        <v>246</v>
      </c>
      <c r="K5262" s="12">
        <v>46029</v>
      </c>
      <c r="L5262" s="28" t="s">
        <v>11</v>
      </c>
      <c r="M5262" s="14"/>
      <c r="N5262" s="10" t="s">
        <v>1028</v>
      </c>
    </row>
    <row r="5263" spans="1:14" ht="22.5" customHeight="1">
      <c r="A5263" s="8">
        <v>46029.442677418978</v>
      </c>
      <c r="B5263" s="9" t="s">
        <v>14</v>
      </c>
      <c r="C5263" s="9" t="s">
        <v>15</v>
      </c>
      <c r="D5263" s="10" t="s">
        <v>11475</v>
      </c>
      <c r="E5263" s="9" t="s">
        <v>17</v>
      </c>
      <c r="F5263" s="10">
        <v>27</v>
      </c>
      <c r="G5263" s="11">
        <v>7032102932</v>
      </c>
      <c r="H5263" s="10" t="s">
        <v>11476</v>
      </c>
      <c r="I5263" s="10" t="s">
        <v>145</v>
      </c>
      <c r="J5263" s="10" t="s">
        <v>11477</v>
      </c>
      <c r="K5263" s="12">
        <v>46029</v>
      </c>
      <c r="L5263" s="28" t="s">
        <v>11</v>
      </c>
      <c r="M5263" s="14"/>
      <c r="N5263" s="10" t="s">
        <v>1140</v>
      </c>
    </row>
    <row r="5264" spans="1:14" ht="22.5" customHeight="1">
      <c r="A5264" s="8">
        <v>46029.44295675926</v>
      </c>
      <c r="B5264" s="9" t="s">
        <v>14</v>
      </c>
      <c r="C5264" s="9" t="s">
        <v>15</v>
      </c>
      <c r="D5264" s="10" t="s">
        <v>11478</v>
      </c>
      <c r="E5264" s="9" t="s">
        <v>17</v>
      </c>
      <c r="F5264" s="10">
        <v>31</v>
      </c>
      <c r="G5264" s="11">
        <v>8132161914</v>
      </c>
      <c r="H5264" s="10" t="s">
        <v>11479</v>
      </c>
      <c r="I5264" s="10" t="s">
        <v>45</v>
      </c>
      <c r="J5264" s="10" t="s">
        <v>509</v>
      </c>
      <c r="K5264" s="12">
        <v>46029</v>
      </c>
      <c r="L5264" s="28" t="s">
        <v>11</v>
      </c>
      <c r="M5264" s="14"/>
      <c r="N5264" s="10" t="s">
        <v>1028</v>
      </c>
    </row>
    <row r="5265" spans="1:14" ht="22.5" customHeight="1">
      <c r="A5265" s="8">
        <v>46029.443252870369</v>
      </c>
      <c r="B5265" s="9" t="s">
        <v>14</v>
      </c>
      <c r="C5265" s="9" t="s">
        <v>15</v>
      </c>
      <c r="D5265" s="10" t="s">
        <v>11480</v>
      </c>
      <c r="E5265" s="9" t="s">
        <v>17</v>
      </c>
      <c r="F5265" s="10">
        <v>24</v>
      </c>
      <c r="G5265" s="11">
        <v>9027578658</v>
      </c>
      <c r="H5265" s="10" t="s">
        <v>11481</v>
      </c>
      <c r="I5265" s="10" t="s">
        <v>45</v>
      </c>
      <c r="J5265" s="10" t="s">
        <v>11482</v>
      </c>
      <c r="K5265" s="12">
        <v>46029</v>
      </c>
      <c r="L5265" s="28" t="s">
        <v>11</v>
      </c>
      <c r="M5265" s="14"/>
      <c r="N5265" s="10" t="s">
        <v>1028</v>
      </c>
    </row>
    <row r="5266" spans="1:14" ht="22.5" customHeight="1">
      <c r="A5266" s="8">
        <v>46029.443314872682</v>
      </c>
      <c r="B5266" s="9" t="s">
        <v>14</v>
      </c>
      <c r="C5266" s="9" t="s">
        <v>15</v>
      </c>
      <c r="D5266" s="10" t="s">
        <v>11483</v>
      </c>
      <c r="E5266" s="9" t="s">
        <v>17</v>
      </c>
      <c r="F5266" s="10">
        <v>28</v>
      </c>
      <c r="G5266" s="11">
        <v>8165549130</v>
      </c>
      <c r="H5266" s="10" t="s">
        <v>11484</v>
      </c>
      <c r="I5266" s="10" t="s">
        <v>49</v>
      </c>
      <c r="J5266" s="10" t="s">
        <v>50</v>
      </c>
      <c r="K5266" s="12">
        <v>46029</v>
      </c>
      <c r="L5266" s="28" t="s">
        <v>11</v>
      </c>
      <c r="M5266" s="14"/>
      <c r="N5266" s="10" t="s">
        <v>1028</v>
      </c>
    </row>
    <row r="5267" spans="1:14" ht="22.5" customHeight="1">
      <c r="A5267" s="8">
        <v>46029.443834745369</v>
      </c>
      <c r="B5267" s="9" t="s">
        <v>14</v>
      </c>
      <c r="C5267" s="9" t="s">
        <v>15</v>
      </c>
      <c r="D5267" s="10" t="s">
        <v>11485</v>
      </c>
      <c r="E5267" s="9" t="s">
        <v>22</v>
      </c>
      <c r="F5267" s="10">
        <v>32</v>
      </c>
      <c r="G5267" s="11">
        <v>8076112722</v>
      </c>
      <c r="H5267" s="10" t="s">
        <v>11486</v>
      </c>
      <c r="I5267" s="10" t="s">
        <v>45</v>
      </c>
      <c r="J5267" s="10" t="s">
        <v>11487</v>
      </c>
      <c r="K5267" s="12">
        <v>46029</v>
      </c>
      <c r="L5267" s="28" t="s">
        <v>11</v>
      </c>
      <c r="M5267" s="14"/>
      <c r="N5267" s="10" t="s">
        <v>1096</v>
      </c>
    </row>
    <row r="5268" spans="1:14" ht="22.5" customHeight="1">
      <c r="A5268" s="8">
        <v>46029.4438390625</v>
      </c>
      <c r="B5268" s="9" t="s">
        <v>14</v>
      </c>
      <c r="C5268" s="9" t="s">
        <v>15</v>
      </c>
      <c r="D5268" s="10" t="s">
        <v>11488</v>
      </c>
      <c r="E5268" s="9" t="s">
        <v>22</v>
      </c>
      <c r="F5268" s="10">
        <v>18</v>
      </c>
      <c r="G5268" s="11">
        <v>8160322251</v>
      </c>
      <c r="H5268" s="10" t="s">
        <v>11489</v>
      </c>
      <c r="I5268" s="10" t="s">
        <v>19</v>
      </c>
      <c r="J5268" s="10" t="s">
        <v>11490</v>
      </c>
      <c r="K5268" s="12">
        <v>46029</v>
      </c>
      <c r="L5268" s="28" t="s">
        <v>11</v>
      </c>
      <c r="M5268" s="14"/>
      <c r="N5268" s="10" t="s">
        <v>1028</v>
      </c>
    </row>
    <row r="5269" spans="1:14" ht="22.5" customHeight="1">
      <c r="A5269" s="8">
        <v>46029.446892280088</v>
      </c>
      <c r="B5269" s="9" t="s">
        <v>14</v>
      </c>
      <c r="C5269" s="9" t="s">
        <v>15</v>
      </c>
      <c r="D5269" s="10" t="s">
        <v>11491</v>
      </c>
      <c r="E5269" s="9" t="s">
        <v>22</v>
      </c>
      <c r="F5269" s="10">
        <v>29</v>
      </c>
      <c r="G5269" s="11">
        <v>7061331407</v>
      </c>
      <c r="H5269" s="10" t="s">
        <v>11492</v>
      </c>
      <c r="I5269" s="10" t="s">
        <v>27</v>
      </c>
      <c r="J5269" s="10" t="s">
        <v>11493</v>
      </c>
      <c r="K5269" s="12">
        <v>46029</v>
      </c>
      <c r="L5269" s="28" t="s">
        <v>11</v>
      </c>
      <c r="M5269" s="14"/>
      <c r="N5269" s="10" t="s">
        <v>1028</v>
      </c>
    </row>
    <row r="5270" spans="1:14" ht="22.5" customHeight="1">
      <c r="A5270" s="8">
        <v>46029.44696818287</v>
      </c>
      <c r="B5270" s="9" t="s">
        <v>14</v>
      </c>
      <c r="C5270" s="9" t="s">
        <v>15</v>
      </c>
      <c r="D5270" s="10" t="s">
        <v>11494</v>
      </c>
      <c r="E5270" s="9" t="s">
        <v>17</v>
      </c>
      <c r="F5270" s="10">
        <v>26</v>
      </c>
      <c r="G5270" s="11">
        <v>8158698821</v>
      </c>
      <c r="H5270" s="10" t="s">
        <v>11495</v>
      </c>
      <c r="I5270" s="10" t="s">
        <v>19</v>
      </c>
      <c r="J5270" s="10" t="s">
        <v>812</v>
      </c>
      <c r="K5270" s="12">
        <v>36241</v>
      </c>
      <c r="L5270" s="28" t="s">
        <v>11</v>
      </c>
      <c r="M5270" s="14"/>
      <c r="N5270" s="10" t="s">
        <v>1096</v>
      </c>
    </row>
    <row r="5271" spans="1:14" ht="22.5" customHeight="1">
      <c r="A5271" s="8">
        <v>46029.447806412034</v>
      </c>
      <c r="B5271" s="9" t="s">
        <v>14</v>
      </c>
      <c r="C5271" s="9" t="s">
        <v>15</v>
      </c>
      <c r="D5271" s="10" t="s">
        <v>11496</v>
      </c>
      <c r="E5271" s="9" t="s">
        <v>17</v>
      </c>
      <c r="F5271" s="10">
        <v>27</v>
      </c>
      <c r="G5271" s="11">
        <v>7045091238</v>
      </c>
      <c r="H5271" s="10" t="s">
        <v>11497</v>
      </c>
      <c r="I5271" s="10" t="s">
        <v>27</v>
      </c>
      <c r="J5271" s="10" t="s">
        <v>11498</v>
      </c>
      <c r="K5271" s="12">
        <v>46029</v>
      </c>
      <c r="L5271" s="28" t="s">
        <v>11</v>
      </c>
      <c r="M5271" s="14"/>
      <c r="N5271" s="10" t="s">
        <v>1096</v>
      </c>
    </row>
    <row r="5272" spans="1:14" ht="22.5" hidden="1" customHeight="1">
      <c r="A5272" s="8">
        <v>46029.448493252319</v>
      </c>
      <c r="B5272" s="9" t="s">
        <v>14</v>
      </c>
      <c r="C5272" s="9" t="s">
        <v>15</v>
      </c>
      <c r="D5272" s="10" t="s">
        <v>11499</v>
      </c>
      <c r="E5272" s="9" t="s">
        <v>17</v>
      </c>
      <c r="F5272" s="10">
        <v>31</v>
      </c>
      <c r="G5272" s="11">
        <v>7063344897</v>
      </c>
      <c r="H5272" s="10" t="s">
        <v>11500</v>
      </c>
      <c r="I5272" s="10" t="s">
        <v>49</v>
      </c>
      <c r="J5272" s="10" t="s">
        <v>73</v>
      </c>
      <c r="K5272" s="12">
        <v>46029</v>
      </c>
      <c r="L5272" s="10" t="s">
        <v>441</v>
      </c>
      <c r="M5272" s="10" t="s">
        <v>1361</v>
      </c>
      <c r="N5272" s="10" t="s">
        <v>1096</v>
      </c>
    </row>
    <row r="5273" spans="1:14" ht="22.5" customHeight="1">
      <c r="A5273" s="8">
        <v>46029.449526793978</v>
      </c>
      <c r="B5273" s="9" t="s">
        <v>14</v>
      </c>
      <c r="C5273" s="9" t="s">
        <v>15</v>
      </c>
      <c r="D5273" s="10" t="s">
        <v>11501</v>
      </c>
      <c r="E5273" s="9" t="s">
        <v>17</v>
      </c>
      <c r="F5273" s="10">
        <v>28</v>
      </c>
      <c r="G5273" s="11">
        <v>7051585244</v>
      </c>
      <c r="H5273" s="10" t="s">
        <v>11502</v>
      </c>
      <c r="I5273" s="10" t="s">
        <v>19</v>
      </c>
      <c r="J5273" s="10" t="s">
        <v>3369</v>
      </c>
      <c r="K5273" s="12">
        <v>46029</v>
      </c>
      <c r="L5273" s="28" t="s">
        <v>11</v>
      </c>
      <c r="M5273" s="14"/>
      <c r="N5273" s="10" t="s">
        <v>1028</v>
      </c>
    </row>
    <row r="5274" spans="1:14" ht="22.5" customHeight="1">
      <c r="A5274" s="8">
        <v>46029.449842893519</v>
      </c>
      <c r="B5274" s="9" t="s">
        <v>14</v>
      </c>
      <c r="C5274" s="9" t="s">
        <v>15</v>
      </c>
      <c r="D5274" s="10" t="s">
        <v>11503</v>
      </c>
      <c r="E5274" s="9" t="s">
        <v>17</v>
      </c>
      <c r="F5274" s="10">
        <v>32</v>
      </c>
      <c r="G5274" s="11">
        <v>8065404104</v>
      </c>
      <c r="H5274" s="10" t="s">
        <v>11504</v>
      </c>
      <c r="I5274" s="10" t="s">
        <v>45</v>
      </c>
      <c r="J5274" s="10" t="s">
        <v>417</v>
      </c>
      <c r="K5274" s="12">
        <v>46029</v>
      </c>
      <c r="L5274" s="28" t="s">
        <v>11</v>
      </c>
      <c r="M5274" s="14"/>
      <c r="N5274" s="10" t="s">
        <v>1028</v>
      </c>
    </row>
    <row r="5275" spans="1:14" ht="22.5" customHeight="1">
      <c r="A5275" s="8">
        <v>46029.450500347222</v>
      </c>
      <c r="B5275" s="9" t="s">
        <v>14</v>
      </c>
      <c r="C5275" s="9" t="s">
        <v>15</v>
      </c>
      <c r="D5275" s="10" t="s">
        <v>11505</v>
      </c>
      <c r="E5275" s="9" t="s">
        <v>17</v>
      </c>
      <c r="F5275" s="10">
        <v>33</v>
      </c>
      <c r="G5275" s="11">
        <v>8060718893</v>
      </c>
      <c r="H5275" s="10" t="s">
        <v>11506</v>
      </c>
      <c r="I5275" s="10" t="s">
        <v>19</v>
      </c>
      <c r="J5275" s="10" t="s">
        <v>812</v>
      </c>
      <c r="K5275" s="12">
        <v>46029</v>
      </c>
      <c r="L5275" s="28" t="s">
        <v>11</v>
      </c>
      <c r="M5275" s="14"/>
      <c r="N5275" s="10" t="s">
        <v>1028</v>
      </c>
    </row>
    <row r="5276" spans="1:14" ht="22.5" customHeight="1">
      <c r="A5276" s="8">
        <v>46029.451059293977</v>
      </c>
      <c r="B5276" s="9" t="s">
        <v>14</v>
      </c>
      <c r="C5276" s="9" t="s">
        <v>15</v>
      </c>
      <c r="D5276" s="10" t="s">
        <v>11507</v>
      </c>
      <c r="E5276" s="9" t="s">
        <v>17</v>
      </c>
      <c r="F5276" s="10">
        <v>25</v>
      </c>
      <c r="G5276" s="11">
        <v>7057350559</v>
      </c>
      <c r="H5276" s="10" t="s">
        <v>11508</v>
      </c>
      <c r="I5276" s="10" t="s">
        <v>145</v>
      </c>
      <c r="J5276" s="10" t="s">
        <v>3584</v>
      </c>
      <c r="K5276" s="12">
        <v>46029</v>
      </c>
      <c r="L5276" s="28" t="s">
        <v>11</v>
      </c>
      <c r="M5276" s="14"/>
      <c r="N5276" s="10" t="s">
        <v>1028</v>
      </c>
    </row>
    <row r="5277" spans="1:14" ht="22.5" customHeight="1">
      <c r="A5277" s="8">
        <v>46029.452191192133</v>
      </c>
      <c r="B5277" s="9" t="s">
        <v>14</v>
      </c>
      <c r="C5277" s="9" t="s">
        <v>15</v>
      </c>
      <c r="D5277" s="10" t="s">
        <v>11509</v>
      </c>
      <c r="E5277" s="9" t="s">
        <v>17</v>
      </c>
      <c r="F5277" s="10">
        <v>45</v>
      </c>
      <c r="G5277" s="11">
        <v>8164176247</v>
      </c>
      <c r="H5277" s="10" t="s">
        <v>11510</v>
      </c>
      <c r="I5277" s="10" t="s">
        <v>49</v>
      </c>
      <c r="J5277" s="10" t="s">
        <v>73</v>
      </c>
      <c r="K5277" s="12">
        <v>46029</v>
      </c>
      <c r="L5277" s="28" t="s">
        <v>11</v>
      </c>
      <c r="M5277" s="14"/>
      <c r="N5277" s="10" t="s">
        <v>1028</v>
      </c>
    </row>
    <row r="5278" spans="1:14" ht="22.5" customHeight="1">
      <c r="A5278" s="8">
        <v>46029.453149444445</v>
      </c>
      <c r="B5278" s="9" t="s">
        <v>14</v>
      </c>
      <c r="C5278" s="9" t="s">
        <v>15</v>
      </c>
      <c r="D5278" s="10" t="s">
        <v>11511</v>
      </c>
      <c r="E5278" s="9" t="s">
        <v>17</v>
      </c>
      <c r="F5278" s="10">
        <v>27</v>
      </c>
      <c r="G5278" s="11">
        <v>8185700407</v>
      </c>
      <c r="H5278" s="10" t="s">
        <v>11512</v>
      </c>
      <c r="I5278" s="10" t="s">
        <v>19</v>
      </c>
      <c r="J5278" s="10" t="s">
        <v>11513</v>
      </c>
      <c r="K5278" s="12">
        <v>46029</v>
      </c>
      <c r="L5278" s="28" t="s">
        <v>11</v>
      </c>
      <c r="M5278" s="14"/>
      <c r="N5278" s="10" t="s">
        <v>1028</v>
      </c>
    </row>
    <row r="5279" spans="1:14" ht="22.5" customHeight="1">
      <c r="A5279" s="8">
        <v>46029.45336399306</v>
      </c>
      <c r="B5279" s="9" t="s">
        <v>14</v>
      </c>
      <c r="C5279" s="9" t="s">
        <v>15</v>
      </c>
      <c r="D5279" s="10" t="s">
        <v>11514</v>
      </c>
      <c r="E5279" s="9" t="s">
        <v>17</v>
      </c>
      <c r="F5279" s="10">
        <v>27</v>
      </c>
      <c r="G5279" s="11">
        <v>2347084078717</v>
      </c>
      <c r="H5279" s="10" t="s">
        <v>11515</v>
      </c>
      <c r="I5279" s="10" t="s">
        <v>19</v>
      </c>
      <c r="J5279" s="10" t="s">
        <v>6806</v>
      </c>
      <c r="K5279" s="12">
        <v>46029</v>
      </c>
      <c r="L5279" s="28" t="s">
        <v>11</v>
      </c>
      <c r="M5279" s="14"/>
      <c r="N5279" s="10" t="s">
        <v>1035</v>
      </c>
    </row>
    <row r="5280" spans="1:14" ht="22.5" customHeight="1">
      <c r="A5280" s="8">
        <v>46029.454174409722</v>
      </c>
      <c r="B5280" s="9" t="s">
        <v>14</v>
      </c>
      <c r="C5280" s="9" t="s">
        <v>15</v>
      </c>
      <c r="D5280" s="10" t="s">
        <v>11516</v>
      </c>
      <c r="E5280" s="9" t="s">
        <v>17</v>
      </c>
      <c r="F5280" s="10">
        <v>26</v>
      </c>
      <c r="G5280" s="11">
        <v>8050358613</v>
      </c>
      <c r="H5280" s="10" t="s">
        <v>11517</v>
      </c>
      <c r="I5280" s="10" t="s">
        <v>27</v>
      </c>
      <c r="J5280" s="10" t="s">
        <v>703</v>
      </c>
      <c r="K5280" s="12">
        <v>46029</v>
      </c>
      <c r="L5280" s="28" t="s">
        <v>11</v>
      </c>
      <c r="M5280" s="14"/>
      <c r="N5280" s="10" t="s">
        <v>1096</v>
      </c>
    </row>
    <row r="5281" spans="1:14" ht="22.5" customHeight="1">
      <c r="A5281" s="8">
        <v>46029.455380636573</v>
      </c>
      <c r="B5281" s="9" t="s">
        <v>14</v>
      </c>
      <c r="C5281" s="9" t="s">
        <v>15</v>
      </c>
      <c r="D5281" s="10" t="s">
        <v>11518</v>
      </c>
      <c r="E5281" s="9" t="s">
        <v>17</v>
      </c>
      <c r="F5281" s="10">
        <v>26</v>
      </c>
      <c r="G5281" s="11">
        <v>9011275689</v>
      </c>
      <c r="H5281" s="10" t="s">
        <v>11519</v>
      </c>
      <c r="I5281" s="10" t="s">
        <v>49</v>
      </c>
      <c r="J5281" s="10" t="s">
        <v>73</v>
      </c>
      <c r="K5281" s="12">
        <v>46029</v>
      </c>
      <c r="L5281" s="28" t="s">
        <v>11</v>
      </c>
      <c r="M5281" s="14"/>
      <c r="N5281" s="10" t="s">
        <v>1028</v>
      </c>
    </row>
    <row r="5282" spans="1:14" ht="22.5" customHeight="1">
      <c r="A5282" s="8">
        <v>46029.455762141202</v>
      </c>
      <c r="B5282" s="9" t="s">
        <v>14</v>
      </c>
      <c r="C5282" s="9" t="s">
        <v>15</v>
      </c>
      <c r="D5282" s="10" t="s">
        <v>11520</v>
      </c>
      <c r="E5282" s="9" t="s">
        <v>22</v>
      </c>
      <c r="F5282" s="10">
        <v>26</v>
      </c>
      <c r="G5282" s="11">
        <v>8166181218</v>
      </c>
      <c r="H5282" s="10" t="s">
        <v>11521</v>
      </c>
      <c r="I5282" s="10" t="s">
        <v>45</v>
      </c>
      <c r="J5282" s="10" t="s">
        <v>46</v>
      </c>
      <c r="K5282" s="12">
        <v>46029</v>
      </c>
      <c r="L5282" s="28" t="s">
        <v>11</v>
      </c>
      <c r="M5282" s="14"/>
      <c r="N5282" s="10" t="s">
        <v>1096</v>
      </c>
    </row>
    <row r="5283" spans="1:14" ht="22.5" customHeight="1">
      <c r="A5283" s="8">
        <v>46029.455921180561</v>
      </c>
      <c r="B5283" s="9" t="s">
        <v>14</v>
      </c>
      <c r="C5283" s="9" t="s">
        <v>15</v>
      </c>
      <c r="D5283" s="10" t="s">
        <v>11522</v>
      </c>
      <c r="E5283" s="9" t="s">
        <v>17</v>
      </c>
      <c r="F5283" s="10">
        <v>34</v>
      </c>
      <c r="G5283" s="11">
        <v>8021063331</v>
      </c>
      <c r="H5283" s="10" t="s">
        <v>11523</v>
      </c>
      <c r="I5283" s="10" t="s">
        <v>19</v>
      </c>
      <c r="J5283" s="10" t="s">
        <v>24</v>
      </c>
      <c r="K5283" s="12">
        <v>46029</v>
      </c>
      <c r="L5283" s="28" t="s">
        <v>11</v>
      </c>
      <c r="M5283" s="14"/>
      <c r="N5283" s="10" t="s">
        <v>1028</v>
      </c>
    </row>
    <row r="5284" spans="1:14" ht="22.5" customHeight="1">
      <c r="A5284" s="8">
        <v>46029.456517048609</v>
      </c>
      <c r="B5284" s="9" t="s">
        <v>14</v>
      </c>
      <c r="C5284" s="9" t="s">
        <v>15</v>
      </c>
      <c r="D5284" s="10" t="s">
        <v>11524</v>
      </c>
      <c r="E5284" s="9" t="s">
        <v>22</v>
      </c>
      <c r="F5284" s="10">
        <v>32</v>
      </c>
      <c r="G5284" s="11">
        <v>8068652847</v>
      </c>
      <c r="H5284" s="10" t="s">
        <v>11525</v>
      </c>
      <c r="I5284" s="10" t="s">
        <v>19</v>
      </c>
      <c r="J5284" s="10" t="s">
        <v>11526</v>
      </c>
      <c r="K5284" s="12">
        <v>46029</v>
      </c>
      <c r="L5284" s="28" t="s">
        <v>11</v>
      </c>
      <c r="M5284" s="14"/>
      <c r="N5284" s="10" t="s">
        <v>1096</v>
      </c>
    </row>
    <row r="5285" spans="1:14" ht="22.5" customHeight="1">
      <c r="A5285" s="8">
        <v>46029.458535474536</v>
      </c>
      <c r="B5285" s="9" t="s">
        <v>14</v>
      </c>
      <c r="C5285" s="9" t="s">
        <v>15</v>
      </c>
      <c r="D5285" s="10" t="s">
        <v>11527</v>
      </c>
      <c r="E5285" s="9" t="s">
        <v>17</v>
      </c>
      <c r="F5285" s="10">
        <v>38</v>
      </c>
      <c r="G5285" s="11">
        <v>7032309229</v>
      </c>
      <c r="H5285" s="10" t="s">
        <v>11528</v>
      </c>
      <c r="I5285" s="10" t="s">
        <v>45</v>
      </c>
      <c r="J5285" s="10" t="s">
        <v>11529</v>
      </c>
      <c r="K5285" s="12">
        <v>46029</v>
      </c>
      <c r="L5285" s="28" t="s">
        <v>11</v>
      </c>
      <c r="M5285" s="14"/>
      <c r="N5285" s="10" t="s">
        <v>1096</v>
      </c>
    </row>
    <row r="5286" spans="1:14" ht="22.5" customHeight="1">
      <c r="A5286" s="8">
        <v>46029.459080983797</v>
      </c>
      <c r="B5286" s="9" t="s">
        <v>14</v>
      </c>
      <c r="C5286" s="9" t="s">
        <v>15</v>
      </c>
      <c r="D5286" s="10" t="s">
        <v>11530</v>
      </c>
      <c r="E5286" s="9" t="s">
        <v>17</v>
      </c>
      <c r="F5286" s="18">
        <v>24</v>
      </c>
      <c r="G5286" s="11">
        <f t="shared" ref="G5286" si="149">2347034455399</f>
        <v>2347034455399</v>
      </c>
      <c r="H5286" s="10" t="s">
        <v>11531</v>
      </c>
      <c r="I5286" s="10" t="s">
        <v>202</v>
      </c>
      <c r="J5286" s="10" t="s">
        <v>4005</v>
      </c>
      <c r="K5286" s="12">
        <v>46029</v>
      </c>
      <c r="L5286" s="28" t="s">
        <v>11</v>
      </c>
      <c r="M5286" s="14"/>
      <c r="N5286" s="10" t="s">
        <v>1028</v>
      </c>
    </row>
    <row r="5287" spans="1:14" ht="22.5" customHeight="1">
      <c r="A5287" s="8">
        <v>46029.459548715276</v>
      </c>
      <c r="B5287" s="9" t="s">
        <v>14</v>
      </c>
      <c r="C5287" s="9" t="s">
        <v>15</v>
      </c>
      <c r="D5287" s="10" t="s">
        <v>11532</v>
      </c>
      <c r="E5287" s="9" t="s">
        <v>17</v>
      </c>
      <c r="F5287" s="10">
        <v>18</v>
      </c>
      <c r="G5287" s="11">
        <v>9114058997</v>
      </c>
      <c r="H5287" s="10" t="s">
        <v>11533</v>
      </c>
      <c r="I5287" s="10" t="s">
        <v>27</v>
      </c>
      <c r="J5287" s="10" t="s">
        <v>372</v>
      </c>
      <c r="K5287" s="12">
        <v>46029</v>
      </c>
      <c r="L5287" s="28" t="s">
        <v>11</v>
      </c>
      <c r="M5287" s="14"/>
      <c r="N5287" s="10" t="s">
        <v>1028</v>
      </c>
    </row>
    <row r="5288" spans="1:14" ht="22.5" customHeight="1">
      <c r="A5288" s="8">
        <v>46029.460907858796</v>
      </c>
      <c r="B5288" s="9" t="s">
        <v>14</v>
      </c>
      <c r="C5288" s="9" t="s">
        <v>15</v>
      </c>
      <c r="D5288" s="10" t="s">
        <v>11534</v>
      </c>
      <c r="E5288" s="9" t="s">
        <v>17</v>
      </c>
      <c r="F5288" s="10">
        <v>28</v>
      </c>
      <c r="G5288" s="11">
        <v>8141195257</v>
      </c>
      <c r="H5288" s="10" t="s">
        <v>11535</v>
      </c>
      <c r="I5288" s="10" t="s">
        <v>45</v>
      </c>
      <c r="J5288" s="10" t="s">
        <v>2193</v>
      </c>
      <c r="K5288" s="12">
        <v>46029</v>
      </c>
      <c r="L5288" s="28" t="s">
        <v>11</v>
      </c>
      <c r="M5288" s="14"/>
      <c r="N5288" s="10" t="s">
        <v>1096</v>
      </c>
    </row>
    <row r="5289" spans="1:14" ht="22.5" customHeight="1">
      <c r="A5289" s="8">
        <v>46029.461410844902</v>
      </c>
      <c r="B5289" s="9" t="s">
        <v>14</v>
      </c>
      <c r="C5289" s="9" t="s">
        <v>15</v>
      </c>
      <c r="D5289" s="10" t="s">
        <v>11536</v>
      </c>
      <c r="E5289" s="9" t="s">
        <v>22</v>
      </c>
      <c r="F5289" s="10">
        <v>35</v>
      </c>
      <c r="G5289" s="11">
        <v>7037694561</v>
      </c>
      <c r="H5289" s="10" t="s">
        <v>11537</v>
      </c>
      <c r="I5289" s="10" t="s">
        <v>27</v>
      </c>
      <c r="J5289" s="10" t="s">
        <v>3101</v>
      </c>
      <c r="K5289" s="12">
        <v>46029</v>
      </c>
      <c r="L5289" s="28" t="s">
        <v>11</v>
      </c>
      <c r="M5289" s="14"/>
      <c r="N5289" s="10" t="s">
        <v>1096</v>
      </c>
    </row>
    <row r="5290" spans="1:14" ht="22.5" customHeight="1">
      <c r="A5290" s="8">
        <v>46029.463616921297</v>
      </c>
      <c r="B5290" s="9" t="s">
        <v>14</v>
      </c>
      <c r="C5290" s="9" t="s">
        <v>15</v>
      </c>
      <c r="D5290" s="10" t="s">
        <v>11538</v>
      </c>
      <c r="E5290" s="9" t="s">
        <v>17</v>
      </c>
      <c r="F5290" s="10">
        <v>27</v>
      </c>
      <c r="G5290" s="11">
        <v>9026826562</v>
      </c>
      <c r="H5290" s="10" t="s">
        <v>11539</v>
      </c>
      <c r="I5290" s="10" t="s">
        <v>19</v>
      </c>
      <c r="J5290" s="10" t="s">
        <v>11540</v>
      </c>
      <c r="K5290" s="12">
        <v>46029</v>
      </c>
      <c r="L5290" s="28" t="s">
        <v>11</v>
      </c>
      <c r="M5290" s="14"/>
      <c r="N5290" s="10" t="s">
        <v>1028</v>
      </c>
    </row>
    <row r="5291" spans="1:14" ht="22.5" customHeight="1">
      <c r="A5291" s="8">
        <v>46029.46366115741</v>
      </c>
      <c r="B5291" s="9" t="s">
        <v>14</v>
      </c>
      <c r="C5291" s="9" t="s">
        <v>15</v>
      </c>
      <c r="D5291" s="10" t="s">
        <v>11541</v>
      </c>
      <c r="E5291" s="9" t="s">
        <v>22</v>
      </c>
      <c r="F5291" s="10">
        <v>25</v>
      </c>
      <c r="G5291" s="11">
        <v>8136417018</v>
      </c>
      <c r="H5291" s="10" t="s">
        <v>11542</v>
      </c>
      <c r="I5291" s="10" t="s">
        <v>49</v>
      </c>
      <c r="J5291" s="10" t="s">
        <v>73</v>
      </c>
      <c r="K5291" s="12">
        <v>46029</v>
      </c>
      <c r="L5291" s="28" t="s">
        <v>11</v>
      </c>
      <c r="M5291" s="14"/>
      <c r="N5291" s="10" t="s">
        <v>1028</v>
      </c>
    </row>
    <row r="5292" spans="1:14" ht="22.5" customHeight="1">
      <c r="A5292" s="8">
        <v>46029.4639297338</v>
      </c>
      <c r="B5292" s="9" t="s">
        <v>14</v>
      </c>
      <c r="C5292" s="9" t="s">
        <v>15</v>
      </c>
      <c r="D5292" s="10" t="s">
        <v>11543</v>
      </c>
      <c r="E5292" s="9" t="s">
        <v>17</v>
      </c>
      <c r="F5292" s="10">
        <v>27</v>
      </c>
      <c r="G5292" s="11">
        <v>9075083378</v>
      </c>
      <c r="H5292" s="10" t="s">
        <v>11544</v>
      </c>
      <c r="I5292" s="10" t="s">
        <v>45</v>
      </c>
      <c r="J5292" s="10" t="s">
        <v>11545</v>
      </c>
      <c r="K5292" s="12">
        <v>46029</v>
      </c>
      <c r="L5292" s="28" t="s">
        <v>11</v>
      </c>
      <c r="M5292" s="14"/>
      <c r="N5292" s="10" t="s">
        <v>1096</v>
      </c>
    </row>
    <row r="5293" spans="1:14" ht="22.5" customHeight="1">
      <c r="A5293" s="8">
        <v>46029.464326956018</v>
      </c>
      <c r="B5293" s="9" t="s">
        <v>14</v>
      </c>
      <c r="C5293" s="9" t="s">
        <v>15</v>
      </c>
      <c r="D5293" s="10" t="s">
        <v>11546</v>
      </c>
      <c r="E5293" s="9" t="s">
        <v>17</v>
      </c>
      <c r="F5293" s="10">
        <v>28</v>
      </c>
      <c r="G5293" s="11">
        <v>8153119548</v>
      </c>
      <c r="H5293" s="10" t="s">
        <v>11547</v>
      </c>
      <c r="I5293" s="10" t="s">
        <v>45</v>
      </c>
      <c r="J5293" s="10" t="s">
        <v>11548</v>
      </c>
      <c r="K5293" s="12">
        <v>35728</v>
      </c>
      <c r="L5293" s="28" t="s">
        <v>11</v>
      </c>
      <c r="M5293" s="14"/>
      <c r="N5293" s="10" t="s">
        <v>1096</v>
      </c>
    </row>
    <row r="5294" spans="1:14" ht="22.5" customHeight="1">
      <c r="A5294" s="8">
        <v>46029.465845312501</v>
      </c>
      <c r="B5294" s="9" t="s">
        <v>14</v>
      </c>
      <c r="C5294" s="9" t="s">
        <v>15</v>
      </c>
      <c r="D5294" s="10" t="s">
        <v>11549</v>
      </c>
      <c r="E5294" s="9" t="s">
        <v>17</v>
      </c>
      <c r="F5294" s="10">
        <v>27</v>
      </c>
      <c r="G5294" s="11">
        <v>8165508553</v>
      </c>
      <c r="H5294" s="10" t="s">
        <v>11550</v>
      </c>
      <c r="I5294" s="10" t="s">
        <v>45</v>
      </c>
      <c r="J5294" s="10" t="s">
        <v>11551</v>
      </c>
      <c r="K5294" s="12">
        <v>46029</v>
      </c>
      <c r="L5294" s="28" t="s">
        <v>11</v>
      </c>
      <c r="M5294" s="14"/>
      <c r="N5294" s="10" t="s">
        <v>1096</v>
      </c>
    </row>
    <row r="5295" spans="1:14" ht="22.5" customHeight="1">
      <c r="A5295" s="8">
        <v>46029.466572430552</v>
      </c>
      <c r="B5295" s="9" t="s">
        <v>14</v>
      </c>
      <c r="C5295" s="9" t="s">
        <v>15</v>
      </c>
      <c r="D5295" s="10" t="s">
        <v>11552</v>
      </c>
      <c r="E5295" s="9" t="s">
        <v>17</v>
      </c>
      <c r="F5295" s="10">
        <v>31</v>
      </c>
      <c r="G5295" s="11">
        <v>7063903272</v>
      </c>
      <c r="H5295" s="10" t="s">
        <v>11553</v>
      </c>
      <c r="I5295" s="10" t="s">
        <v>19</v>
      </c>
      <c r="J5295" s="10" t="s">
        <v>9247</v>
      </c>
      <c r="K5295" s="12">
        <v>46029</v>
      </c>
      <c r="L5295" s="28" t="s">
        <v>11</v>
      </c>
      <c r="M5295" s="14"/>
      <c r="N5295" s="10" t="s">
        <v>1096</v>
      </c>
    </row>
    <row r="5296" spans="1:14" ht="22.5" customHeight="1">
      <c r="A5296" s="8">
        <v>46029.46833935185</v>
      </c>
      <c r="B5296" s="9" t="s">
        <v>14</v>
      </c>
      <c r="C5296" s="9" t="s">
        <v>15</v>
      </c>
      <c r="D5296" s="10" t="s">
        <v>11554</v>
      </c>
      <c r="E5296" s="9" t="s">
        <v>22</v>
      </c>
      <c r="F5296" s="10">
        <v>35</v>
      </c>
      <c r="G5296" s="11">
        <v>8168670896</v>
      </c>
      <c r="H5296" s="10" t="s">
        <v>11555</v>
      </c>
      <c r="I5296" s="10" t="s">
        <v>27</v>
      </c>
      <c r="J5296" s="10" t="s">
        <v>28</v>
      </c>
      <c r="K5296" s="12">
        <v>46225</v>
      </c>
      <c r="L5296" s="28" t="s">
        <v>11</v>
      </c>
      <c r="M5296" s="10"/>
      <c r="N5296" s="10" t="s">
        <v>1028</v>
      </c>
    </row>
    <row r="5297" spans="1:14" ht="22.5" customHeight="1">
      <c r="A5297" s="8">
        <v>46029.468584942129</v>
      </c>
      <c r="B5297" s="9" t="s">
        <v>14</v>
      </c>
      <c r="C5297" s="9" t="s">
        <v>15</v>
      </c>
      <c r="D5297" s="10" t="s">
        <v>11556</v>
      </c>
      <c r="E5297" s="9" t="s">
        <v>22</v>
      </c>
      <c r="F5297" s="10">
        <v>28</v>
      </c>
      <c r="G5297" s="11">
        <v>9069056954</v>
      </c>
      <c r="H5297" s="10" t="s">
        <v>11557</v>
      </c>
      <c r="I5297" s="10" t="s">
        <v>202</v>
      </c>
      <c r="J5297" s="10" t="s">
        <v>11558</v>
      </c>
      <c r="K5297" s="12">
        <v>46029</v>
      </c>
      <c r="L5297" s="28" t="s">
        <v>11</v>
      </c>
      <c r="M5297" s="14"/>
      <c r="N5297" s="10" t="s">
        <v>1028</v>
      </c>
    </row>
    <row r="5298" spans="1:14" ht="22.5" customHeight="1">
      <c r="A5298" s="8">
        <v>46029.470079837964</v>
      </c>
      <c r="B5298" s="9" t="s">
        <v>14</v>
      </c>
      <c r="C5298" s="9" t="s">
        <v>15</v>
      </c>
      <c r="D5298" s="10" t="s">
        <v>11559</v>
      </c>
      <c r="E5298" s="9" t="s">
        <v>22</v>
      </c>
      <c r="F5298" s="10">
        <v>25</v>
      </c>
      <c r="G5298" s="11">
        <v>7032026902</v>
      </c>
      <c r="H5298" s="10" t="s">
        <v>11560</v>
      </c>
      <c r="I5298" s="10" t="s">
        <v>49</v>
      </c>
      <c r="J5298" s="10" t="s">
        <v>282</v>
      </c>
      <c r="K5298" s="12">
        <v>46029</v>
      </c>
      <c r="L5298" s="28" t="s">
        <v>11</v>
      </c>
      <c r="M5298" s="14"/>
      <c r="N5298" s="10" t="s">
        <v>1028</v>
      </c>
    </row>
    <row r="5299" spans="1:14" ht="22.5" customHeight="1">
      <c r="A5299" s="8">
        <v>46029.470506875005</v>
      </c>
      <c r="B5299" s="9" t="s">
        <v>14</v>
      </c>
      <c r="C5299" s="9" t="s">
        <v>15</v>
      </c>
      <c r="D5299" s="10" t="s">
        <v>11561</v>
      </c>
      <c r="E5299" s="9" t="s">
        <v>22</v>
      </c>
      <c r="F5299" s="19">
        <v>24</v>
      </c>
      <c r="G5299" s="11">
        <v>8127340369</v>
      </c>
      <c r="H5299" s="10" t="s">
        <v>11562</v>
      </c>
      <c r="I5299" s="10" t="s">
        <v>31</v>
      </c>
      <c r="J5299" s="10" t="s">
        <v>32</v>
      </c>
      <c r="K5299" s="12">
        <v>46029</v>
      </c>
      <c r="L5299" s="28" t="s">
        <v>11</v>
      </c>
      <c r="M5299" s="14"/>
      <c r="N5299" s="10" t="s">
        <v>1028</v>
      </c>
    </row>
    <row r="5300" spans="1:14" ht="22.5" customHeight="1">
      <c r="A5300" s="8">
        <v>46029.471193171295</v>
      </c>
      <c r="B5300" s="9" t="s">
        <v>14</v>
      </c>
      <c r="C5300" s="9" t="s">
        <v>15</v>
      </c>
      <c r="D5300" s="10" t="s">
        <v>11563</v>
      </c>
      <c r="E5300" s="9" t="s">
        <v>17</v>
      </c>
      <c r="F5300" s="10">
        <v>25</v>
      </c>
      <c r="G5300" s="11">
        <v>8105037584</v>
      </c>
      <c r="H5300" s="10" t="s">
        <v>11564</v>
      </c>
      <c r="I5300" s="10" t="s">
        <v>49</v>
      </c>
      <c r="J5300" s="10" t="s">
        <v>109</v>
      </c>
      <c r="K5300" s="12">
        <v>46029</v>
      </c>
      <c r="L5300" s="28" t="s">
        <v>11</v>
      </c>
      <c r="M5300" s="14"/>
      <c r="N5300" s="10" t="s">
        <v>1096</v>
      </c>
    </row>
    <row r="5301" spans="1:14" ht="22.5" customHeight="1">
      <c r="A5301" s="8">
        <v>46029.476430671297</v>
      </c>
      <c r="B5301" s="9" t="s">
        <v>14</v>
      </c>
      <c r="C5301" s="9" t="s">
        <v>15</v>
      </c>
      <c r="D5301" s="10" t="s">
        <v>11565</v>
      </c>
      <c r="E5301" s="9" t="s">
        <v>17</v>
      </c>
      <c r="F5301" s="10">
        <v>29</v>
      </c>
      <c r="G5301" s="11">
        <v>8062975994</v>
      </c>
      <c r="H5301" s="10" t="s">
        <v>11566</v>
      </c>
      <c r="I5301" s="10" t="s">
        <v>45</v>
      </c>
      <c r="J5301" s="10" t="s">
        <v>688</v>
      </c>
      <c r="K5301" s="12">
        <v>46029</v>
      </c>
      <c r="L5301" s="28" t="s">
        <v>11</v>
      </c>
      <c r="M5301" s="14"/>
      <c r="N5301" s="10" t="s">
        <v>1028</v>
      </c>
    </row>
    <row r="5302" spans="1:14" ht="22.5" customHeight="1">
      <c r="A5302" s="8">
        <v>46029.478118969906</v>
      </c>
      <c r="B5302" s="9" t="s">
        <v>14</v>
      </c>
      <c r="C5302" s="9" t="s">
        <v>15</v>
      </c>
      <c r="D5302" s="10" t="s">
        <v>11567</v>
      </c>
      <c r="E5302" s="9" t="s">
        <v>17</v>
      </c>
      <c r="F5302" s="10">
        <v>25</v>
      </c>
      <c r="G5302" s="11">
        <v>9030864875</v>
      </c>
      <c r="H5302" s="10" t="s">
        <v>11568</v>
      </c>
      <c r="I5302" s="10" t="s">
        <v>145</v>
      </c>
      <c r="J5302" s="10" t="s">
        <v>7539</v>
      </c>
      <c r="K5302" s="12">
        <v>46029</v>
      </c>
      <c r="L5302" s="28" t="s">
        <v>11</v>
      </c>
      <c r="M5302" s="14"/>
      <c r="N5302" s="10" t="s">
        <v>1028</v>
      </c>
    </row>
    <row r="5303" spans="1:14" ht="22.5" customHeight="1">
      <c r="A5303" s="8">
        <v>46029.479350416666</v>
      </c>
      <c r="B5303" s="9" t="s">
        <v>14</v>
      </c>
      <c r="C5303" s="9" t="s">
        <v>15</v>
      </c>
      <c r="D5303" s="10" t="s">
        <v>11569</v>
      </c>
      <c r="E5303" s="9" t="s">
        <v>22</v>
      </c>
      <c r="F5303" s="10">
        <v>29</v>
      </c>
      <c r="G5303" s="11">
        <v>8068896320</v>
      </c>
      <c r="H5303" s="10" t="s">
        <v>11570</v>
      </c>
      <c r="I5303" s="10" t="s">
        <v>202</v>
      </c>
      <c r="J5303" s="10" t="s">
        <v>3437</v>
      </c>
      <c r="K5303" s="12">
        <v>46029</v>
      </c>
      <c r="L5303" s="28" t="s">
        <v>11</v>
      </c>
      <c r="M5303" s="14"/>
      <c r="N5303" s="10" t="s">
        <v>1028</v>
      </c>
    </row>
    <row r="5304" spans="1:14" ht="22.5" hidden="1" customHeight="1">
      <c r="A5304" s="8">
        <v>46029.479879340273</v>
      </c>
      <c r="B5304" s="9" t="s">
        <v>14</v>
      </c>
      <c r="C5304" s="9" t="s">
        <v>15</v>
      </c>
      <c r="D5304" s="10" t="s">
        <v>11571</v>
      </c>
      <c r="E5304" s="9" t="s">
        <v>17</v>
      </c>
      <c r="F5304" s="10">
        <v>31</v>
      </c>
      <c r="G5304" s="11">
        <v>8107871961</v>
      </c>
      <c r="H5304" s="10" t="s">
        <v>11572</v>
      </c>
      <c r="I5304" s="10" t="s">
        <v>31</v>
      </c>
      <c r="J5304" s="10" t="s">
        <v>1582</v>
      </c>
      <c r="K5304" s="12">
        <v>46029</v>
      </c>
      <c r="L5304" s="10" t="s">
        <v>441</v>
      </c>
      <c r="M5304" s="10" t="s">
        <v>1827</v>
      </c>
      <c r="N5304" s="10" t="s">
        <v>1028</v>
      </c>
    </row>
    <row r="5305" spans="1:14" ht="22.5" customHeight="1">
      <c r="A5305" s="8">
        <v>46029.481007499999</v>
      </c>
      <c r="B5305" s="9" t="s">
        <v>14</v>
      </c>
      <c r="C5305" s="9" t="s">
        <v>15</v>
      </c>
      <c r="D5305" s="10" t="s">
        <v>11573</v>
      </c>
      <c r="E5305" s="9" t="s">
        <v>17</v>
      </c>
      <c r="F5305" s="10">
        <v>24</v>
      </c>
      <c r="G5305" s="11">
        <v>8148616701</v>
      </c>
      <c r="H5305" s="10" t="s">
        <v>11574</v>
      </c>
      <c r="I5305" s="10" t="s">
        <v>45</v>
      </c>
      <c r="J5305" s="10" t="s">
        <v>11575</v>
      </c>
      <c r="K5305" s="12">
        <v>46029</v>
      </c>
      <c r="L5305" s="28" t="s">
        <v>11</v>
      </c>
      <c r="M5305" s="14"/>
      <c r="N5305" s="10" t="s">
        <v>1096</v>
      </c>
    </row>
    <row r="5306" spans="1:14" ht="22.5" customHeight="1">
      <c r="A5306" s="8">
        <v>46029.482351412036</v>
      </c>
      <c r="B5306" s="9" t="s">
        <v>14</v>
      </c>
      <c r="C5306" s="9" t="s">
        <v>15</v>
      </c>
      <c r="D5306" s="10" t="s">
        <v>11576</v>
      </c>
      <c r="E5306" s="9" t="s">
        <v>17</v>
      </c>
      <c r="F5306" s="10">
        <v>26</v>
      </c>
      <c r="G5306" s="11">
        <v>8131383371</v>
      </c>
      <c r="H5306" s="10" t="s">
        <v>11577</v>
      </c>
      <c r="I5306" s="10" t="s">
        <v>27</v>
      </c>
      <c r="J5306" s="10" t="s">
        <v>1559</v>
      </c>
      <c r="K5306" s="12">
        <v>46029</v>
      </c>
      <c r="L5306" s="28" t="s">
        <v>11</v>
      </c>
      <c r="M5306" s="14"/>
      <c r="N5306" s="10" t="s">
        <v>1028</v>
      </c>
    </row>
    <row r="5307" spans="1:14" ht="22.5" customHeight="1">
      <c r="A5307" s="8">
        <v>46029.482632175925</v>
      </c>
      <c r="B5307" s="9" t="s">
        <v>14</v>
      </c>
      <c r="C5307" s="9" t="s">
        <v>15</v>
      </c>
      <c r="D5307" s="10" t="s">
        <v>11578</v>
      </c>
      <c r="E5307" s="9" t="s">
        <v>22</v>
      </c>
      <c r="F5307" s="10">
        <v>29</v>
      </c>
      <c r="G5307" s="11">
        <v>9034692665</v>
      </c>
      <c r="H5307" s="10" t="s">
        <v>11579</v>
      </c>
      <c r="I5307" s="10" t="s">
        <v>45</v>
      </c>
      <c r="J5307" s="10" t="s">
        <v>932</v>
      </c>
      <c r="K5307" s="12">
        <v>46029</v>
      </c>
      <c r="L5307" s="28" t="s">
        <v>11</v>
      </c>
      <c r="M5307" s="14"/>
      <c r="N5307" s="10" t="s">
        <v>1028</v>
      </c>
    </row>
    <row r="5308" spans="1:14" ht="22.5" customHeight="1">
      <c r="A5308" s="8">
        <v>46029.48441232639</v>
      </c>
      <c r="B5308" s="9" t="s">
        <v>14</v>
      </c>
      <c r="C5308" s="9" t="s">
        <v>15</v>
      </c>
      <c r="D5308" s="10" t="s">
        <v>11580</v>
      </c>
      <c r="E5308" s="9" t="s">
        <v>22</v>
      </c>
      <c r="F5308" s="10">
        <v>25</v>
      </c>
      <c r="G5308" s="11">
        <v>8066712890</v>
      </c>
      <c r="H5308" s="10" t="s">
        <v>11581</v>
      </c>
      <c r="I5308" s="10" t="s">
        <v>27</v>
      </c>
      <c r="J5308" s="10" t="s">
        <v>28</v>
      </c>
      <c r="K5308" s="12">
        <v>46029</v>
      </c>
      <c r="L5308" s="28" t="s">
        <v>11</v>
      </c>
      <c r="M5308" s="14"/>
      <c r="N5308" s="10" t="s">
        <v>1096</v>
      </c>
    </row>
    <row r="5309" spans="1:14" ht="22.5" customHeight="1">
      <c r="A5309" s="8">
        <v>46029.48487818287</v>
      </c>
      <c r="B5309" s="9" t="s">
        <v>14</v>
      </c>
      <c r="C5309" s="9" t="s">
        <v>15</v>
      </c>
      <c r="D5309" s="10" t="s">
        <v>11582</v>
      </c>
      <c r="E5309" s="9" t="s">
        <v>22</v>
      </c>
      <c r="F5309" s="10">
        <v>26</v>
      </c>
      <c r="G5309" s="11">
        <v>9059758256</v>
      </c>
      <c r="H5309" s="10" t="s">
        <v>11583</v>
      </c>
      <c r="I5309" s="10" t="s">
        <v>45</v>
      </c>
      <c r="J5309" s="10" t="s">
        <v>1191</v>
      </c>
      <c r="K5309" s="12">
        <v>46029</v>
      </c>
      <c r="L5309" s="28" t="s">
        <v>11</v>
      </c>
      <c r="M5309" s="14"/>
      <c r="N5309" s="10" t="s">
        <v>1028</v>
      </c>
    </row>
    <row r="5310" spans="1:14" ht="22.5" customHeight="1">
      <c r="A5310" s="8">
        <v>46029.484904432873</v>
      </c>
      <c r="B5310" s="9" t="s">
        <v>14</v>
      </c>
      <c r="C5310" s="9" t="s">
        <v>15</v>
      </c>
      <c r="D5310" s="10" t="s">
        <v>11584</v>
      </c>
      <c r="E5310" s="9" t="s">
        <v>17</v>
      </c>
      <c r="F5310" s="10">
        <v>37</v>
      </c>
      <c r="G5310" s="11">
        <v>7068611455</v>
      </c>
      <c r="H5310" s="10" t="s">
        <v>11585</v>
      </c>
      <c r="I5310" s="10" t="s">
        <v>45</v>
      </c>
      <c r="J5310" s="10" t="s">
        <v>932</v>
      </c>
      <c r="K5310" s="12">
        <v>46029</v>
      </c>
      <c r="L5310" s="28" t="s">
        <v>11</v>
      </c>
      <c r="M5310" s="14"/>
      <c r="N5310" s="10" t="s">
        <v>1028</v>
      </c>
    </row>
    <row r="5311" spans="1:14" ht="22.5" customHeight="1">
      <c r="A5311" s="8">
        <v>46029.485084675922</v>
      </c>
      <c r="B5311" s="9" t="s">
        <v>14</v>
      </c>
      <c r="C5311" s="9" t="s">
        <v>15</v>
      </c>
      <c r="D5311" s="10" t="s">
        <v>11586</v>
      </c>
      <c r="E5311" s="9" t="s">
        <v>22</v>
      </c>
      <c r="F5311" s="10">
        <v>26</v>
      </c>
      <c r="G5311" s="11">
        <v>9129744110</v>
      </c>
      <c r="H5311" s="10" t="s">
        <v>11587</v>
      </c>
      <c r="I5311" s="10" t="s">
        <v>145</v>
      </c>
      <c r="J5311" s="10" t="s">
        <v>11588</v>
      </c>
      <c r="K5311" s="12">
        <v>46029</v>
      </c>
      <c r="L5311" s="28" t="s">
        <v>11</v>
      </c>
      <c r="M5311" s="14"/>
      <c r="N5311" s="10" t="s">
        <v>1028</v>
      </c>
    </row>
    <row r="5312" spans="1:14" ht="22.5" customHeight="1">
      <c r="A5312" s="8">
        <v>46029.48665269676</v>
      </c>
      <c r="B5312" s="9" t="s">
        <v>14</v>
      </c>
      <c r="C5312" s="9" t="s">
        <v>15</v>
      </c>
      <c r="D5312" s="10" t="s">
        <v>11589</v>
      </c>
      <c r="E5312" s="9" t="s">
        <v>22</v>
      </c>
      <c r="F5312" s="10">
        <v>28</v>
      </c>
      <c r="G5312" s="11">
        <v>8100116505</v>
      </c>
      <c r="H5312" s="10" t="s">
        <v>11590</v>
      </c>
      <c r="I5312" s="10" t="s">
        <v>45</v>
      </c>
      <c r="J5312" s="10" t="s">
        <v>1919</v>
      </c>
      <c r="K5312" s="12">
        <v>46029</v>
      </c>
      <c r="L5312" s="28" t="s">
        <v>11</v>
      </c>
      <c r="M5312" s="14"/>
      <c r="N5312" s="10" t="s">
        <v>1028</v>
      </c>
    </row>
    <row r="5313" spans="1:14" ht="22.5" customHeight="1">
      <c r="A5313" s="8">
        <v>46029.486709571764</v>
      </c>
      <c r="B5313" s="9" t="s">
        <v>14</v>
      </c>
      <c r="C5313" s="9" t="s">
        <v>15</v>
      </c>
      <c r="D5313" s="10" t="s">
        <v>11591</v>
      </c>
      <c r="E5313" s="9" t="s">
        <v>17</v>
      </c>
      <c r="F5313" s="10">
        <v>29</v>
      </c>
      <c r="G5313" s="11">
        <v>8107778910</v>
      </c>
      <c r="H5313" s="10" t="s">
        <v>11592</v>
      </c>
      <c r="I5313" s="10" t="s">
        <v>45</v>
      </c>
      <c r="J5313" s="10" t="s">
        <v>11593</v>
      </c>
      <c r="K5313" s="12">
        <v>46029</v>
      </c>
      <c r="L5313" s="28" t="s">
        <v>11</v>
      </c>
      <c r="M5313" s="14"/>
      <c r="N5313" s="10" t="s">
        <v>1028</v>
      </c>
    </row>
    <row r="5314" spans="1:14" ht="22.5" customHeight="1">
      <c r="A5314" s="8">
        <v>46029.487196307869</v>
      </c>
      <c r="B5314" s="9" t="s">
        <v>14</v>
      </c>
      <c r="C5314" s="9" t="s">
        <v>15</v>
      </c>
      <c r="D5314" s="10" t="s">
        <v>11594</v>
      </c>
      <c r="E5314" s="9" t="s">
        <v>17</v>
      </c>
      <c r="F5314" s="10">
        <v>31</v>
      </c>
      <c r="G5314" s="11">
        <v>7066869626</v>
      </c>
      <c r="H5314" s="10" t="s">
        <v>11595</v>
      </c>
      <c r="I5314" s="10" t="s">
        <v>45</v>
      </c>
      <c r="J5314" s="10" t="s">
        <v>932</v>
      </c>
      <c r="K5314" s="12">
        <v>46029</v>
      </c>
      <c r="L5314" s="28" t="s">
        <v>11</v>
      </c>
      <c r="M5314" s="14"/>
      <c r="N5314" s="10" t="s">
        <v>11596</v>
      </c>
    </row>
    <row r="5315" spans="1:14" ht="22.5" customHeight="1">
      <c r="A5315" s="8">
        <v>46029.49002331018</v>
      </c>
      <c r="B5315" s="9" t="s">
        <v>14</v>
      </c>
      <c r="C5315" s="9" t="s">
        <v>15</v>
      </c>
      <c r="D5315" s="10" t="s">
        <v>11597</v>
      </c>
      <c r="E5315" s="9" t="s">
        <v>17</v>
      </c>
      <c r="F5315" s="10">
        <v>28</v>
      </c>
      <c r="G5315" s="11">
        <v>9071772479</v>
      </c>
      <c r="H5315" s="10" t="s">
        <v>11598</v>
      </c>
      <c r="I5315" s="10" t="s">
        <v>19</v>
      </c>
      <c r="J5315" s="10" t="s">
        <v>7492</v>
      </c>
      <c r="K5315" s="12">
        <v>46029</v>
      </c>
      <c r="L5315" s="28" t="s">
        <v>11</v>
      </c>
      <c r="M5315" s="14"/>
      <c r="N5315" s="10" t="s">
        <v>1028</v>
      </c>
    </row>
    <row r="5316" spans="1:14" ht="22.5" hidden="1" customHeight="1">
      <c r="A5316" s="8">
        <v>46029.491299930552</v>
      </c>
      <c r="B5316" s="9" t="s">
        <v>14</v>
      </c>
      <c r="C5316" s="9" t="s">
        <v>15</v>
      </c>
      <c r="D5316" s="10" t="s">
        <v>11599</v>
      </c>
      <c r="E5316" s="9" t="s">
        <v>22</v>
      </c>
      <c r="F5316" s="10">
        <v>32</v>
      </c>
      <c r="G5316" s="11">
        <v>9124386339</v>
      </c>
      <c r="H5316" s="10" t="s">
        <v>11600</v>
      </c>
      <c r="I5316" s="10" t="s">
        <v>27</v>
      </c>
      <c r="J5316" s="10" t="s">
        <v>11601</v>
      </c>
      <c r="K5316" s="12">
        <v>46029</v>
      </c>
      <c r="L5316" s="10" t="s">
        <v>441</v>
      </c>
      <c r="M5316" s="10" t="s">
        <v>1361</v>
      </c>
      <c r="N5316" s="10" t="s">
        <v>1096</v>
      </c>
    </row>
    <row r="5317" spans="1:14" ht="22.5" customHeight="1">
      <c r="A5317" s="8">
        <v>46029.493976550926</v>
      </c>
      <c r="B5317" s="9" t="s">
        <v>14</v>
      </c>
      <c r="C5317" s="9" t="s">
        <v>15</v>
      </c>
      <c r="D5317" s="10" t="s">
        <v>11602</v>
      </c>
      <c r="E5317" s="9" t="s">
        <v>22</v>
      </c>
      <c r="F5317" s="10">
        <v>27</v>
      </c>
      <c r="G5317" s="11">
        <f>2348106629562</f>
        <v>2348106629562</v>
      </c>
      <c r="H5317" s="10" t="s">
        <v>11603</v>
      </c>
      <c r="I5317" s="10" t="s">
        <v>45</v>
      </c>
      <c r="J5317" s="10" t="s">
        <v>287</v>
      </c>
      <c r="K5317" s="12">
        <v>46029</v>
      </c>
      <c r="L5317" s="28" t="s">
        <v>11</v>
      </c>
      <c r="M5317" s="14"/>
      <c r="N5317" s="10" t="s">
        <v>1028</v>
      </c>
    </row>
    <row r="5318" spans="1:14" ht="22.5" customHeight="1">
      <c r="A5318" s="8">
        <v>46029.495465</v>
      </c>
      <c r="B5318" s="9" t="s">
        <v>14</v>
      </c>
      <c r="C5318" s="9" t="s">
        <v>15</v>
      </c>
      <c r="D5318" s="10" t="s">
        <v>11604</v>
      </c>
      <c r="E5318" s="9" t="s">
        <v>17</v>
      </c>
      <c r="F5318" s="10">
        <v>24</v>
      </c>
      <c r="G5318" s="11">
        <v>9033214508</v>
      </c>
      <c r="H5318" s="10" t="s">
        <v>11605</v>
      </c>
      <c r="I5318" s="10" t="s">
        <v>19</v>
      </c>
      <c r="J5318" s="10" t="s">
        <v>11606</v>
      </c>
      <c r="K5318" s="12">
        <v>46029</v>
      </c>
      <c r="L5318" s="28" t="s">
        <v>11</v>
      </c>
      <c r="M5318" s="14"/>
      <c r="N5318" s="10" t="s">
        <v>1028</v>
      </c>
    </row>
    <row r="5319" spans="1:14" ht="22.5" customHeight="1">
      <c r="A5319" s="8">
        <v>46029.495629270838</v>
      </c>
      <c r="B5319" s="9" t="s">
        <v>14</v>
      </c>
      <c r="C5319" s="9" t="s">
        <v>15</v>
      </c>
      <c r="D5319" s="10" t="s">
        <v>11607</v>
      </c>
      <c r="E5319" s="9" t="s">
        <v>17</v>
      </c>
      <c r="F5319" s="10">
        <v>34</v>
      </c>
      <c r="G5319" s="11">
        <v>8168371558</v>
      </c>
      <c r="H5319" s="10" t="s">
        <v>11608</v>
      </c>
      <c r="I5319" s="10" t="s">
        <v>45</v>
      </c>
      <c r="J5319" s="10" t="s">
        <v>46</v>
      </c>
      <c r="K5319" s="12">
        <v>46029</v>
      </c>
      <c r="L5319" s="28" t="s">
        <v>11</v>
      </c>
      <c r="M5319" s="14"/>
      <c r="N5319" s="10" t="s">
        <v>1096</v>
      </c>
    </row>
    <row r="5320" spans="1:14" ht="22.5" customHeight="1">
      <c r="A5320" s="8">
        <v>46029.496107812505</v>
      </c>
      <c r="B5320" s="9" t="s">
        <v>14</v>
      </c>
      <c r="C5320" s="9" t="s">
        <v>15</v>
      </c>
      <c r="D5320" s="10" t="s">
        <v>11609</v>
      </c>
      <c r="E5320" s="9" t="s">
        <v>22</v>
      </c>
      <c r="F5320" s="10">
        <v>22</v>
      </c>
      <c r="G5320" s="11">
        <v>8076769344</v>
      </c>
      <c r="H5320" s="10" t="s">
        <v>11610</v>
      </c>
      <c r="I5320" s="10" t="s">
        <v>45</v>
      </c>
      <c r="J5320" s="10" t="s">
        <v>11611</v>
      </c>
      <c r="K5320" s="12">
        <v>46029</v>
      </c>
      <c r="L5320" s="28" t="s">
        <v>11</v>
      </c>
      <c r="M5320" s="14"/>
      <c r="N5320" s="10" t="s">
        <v>1028</v>
      </c>
    </row>
    <row r="5321" spans="1:14" ht="22.5" customHeight="1">
      <c r="A5321" s="8">
        <v>46029.496413923611</v>
      </c>
      <c r="B5321" s="9" t="s">
        <v>14</v>
      </c>
      <c r="C5321" s="9" t="s">
        <v>15</v>
      </c>
      <c r="D5321" s="10" t="s">
        <v>11612</v>
      </c>
      <c r="E5321" s="9" t="s">
        <v>17</v>
      </c>
      <c r="F5321" s="10">
        <v>23</v>
      </c>
      <c r="G5321" s="11">
        <v>9167891431</v>
      </c>
      <c r="H5321" s="10" t="s">
        <v>11613</v>
      </c>
      <c r="I5321" s="10" t="s">
        <v>45</v>
      </c>
      <c r="J5321" s="10" t="s">
        <v>339</v>
      </c>
      <c r="K5321" s="12">
        <v>46029</v>
      </c>
      <c r="L5321" s="28" t="s">
        <v>11</v>
      </c>
      <c r="M5321" s="14"/>
      <c r="N5321" s="10" t="s">
        <v>1028</v>
      </c>
    </row>
    <row r="5322" spans="1:14" ht="22.5" customHeight="1">
      <c r="A5322" s="8">
        <v>46029.496638715282</v>
      </c>
      <c r="B5322" s="9" t="s">
        <v>14</v>
      </c>
      <c r="C5322" s="9" t="s">
        <v>15</v>
      </c>
      <c r="D5322" s="10" t="s">
        <v>11614</v>
      </c>
      <c r="E5322" s="9" t="s">
        <v>17</v>
      </c>
      <c r="F5322" s="10">
        <v>30</v>
      </c>
      <c r="G5322" s="11">
        <v>8067475184</v>
      </c>
      <c r="H5322" s="10" t="s">
        <v>11615</v>
      </c>
      <c r="I5322" s="10" t="s">
        <v>49</v>
      </c>
      <c r="J5322" s="10" t="s">
        <v>106</v>
      </c>
      <c r="K5322" s="12">
        <v>46029</v>
      </c>
      <c r="L5322" s="28" t="s">
        <v>11</v>
      </c>
      <c r="M5322" s="14"/>
      <c r="N5322" s="10" t="s">
        <v>1028</v>
      </c>
    </row>
    <row r="5323" spans="1:14" ht="22.5" customHeight="1">
      <c r="A5323" s="8">
        <v>46029.496793750004</v>
      </c>
      <c r="B5323" s="9" t="s">
        <v>14</v>
      </c>
      <c r="C5323" s="9" t="s">
        <v>15</v>
      </c>
      <c r="D5323" s="10" t="s">
        <v>11616</v>
      </c>
      <c r="E5323" s="9" t="s">
        <v>17</v>
      </c>
      <c r="F5323" s="10">
        <v>25</v>
      </c>
      <c r="G5323" s="11">
        <v>8137840158</v>
      </c>
      <c r="H5323" s="10" t="s">
        <v>11617</v>
      </c>
      <c r="I5323" s="10" t="s">
        <v>19</v>
      </c>
      <c r="J5323" s="10" t="s">
        <v>3495</v>
      </c>
      <c r="K5323" s="12">
        <v>46029</v>
      </c>
      <c r="L5323" s="28" t="s">
        <v>11</v>
      </c>
      <c r="M5323" s="14"/>
      <c r="N5323" s="10" t="s">
        <v>1028</v>
      </c>
    </row>
    <row r="5324" spans="1:14" ht="22.5" customHeight="1">
      <c r="A5324" s="8">
        <v>46029.498143865741</v>
      </c>
      <c r="B5324" s="9" t="s">
        <v>14</v>
      </c>
      <c r="C5324" s="9" t="s">
        <v>15</v>
      </c>
      <c r="D5324" s="10" t="s">
        <v>11618</v>
      </c>
      <c r="E5324" s="9" t="s">
        <v>22</v>
      </c>
      <c r="F5324" s="10">
        <v>30</v>
      </c>
      <c r="G5324" s="11">
        <v>8130508683</v>
      </c>
      <c r="H5324" s="10" t="s">
        <v>11619</v>
      </c>
      <c r="I5324" s="10" t="s">
        <v>45</v>
      </c>
      <c r="J5324" s="10" t="s">
        <v>11620</v>
      </c>
      <c r="K5324" s="12">
        <v>46029</v>
      </c>
      <c r="L5324" s="28" t="s">
        <v>11</v>
      </c>
      <c r="M5324" s="14"/>
      <c r="N5324" s="10" t="s">
        <v>1028</v>
      </c>
    </row>
    <row r="5325" spans="1:14" ht="22.5" customHeight="1">
      <c r="A5325" s="8">
        <v>46029.498699317133</v>
      </c>
      <c r="B5325" s="9" t="s">
        <v>14</v>
      </c>
      <c r="C5325" s="9" t="s">
        <v>15</v>
      </c>
      <c r="D5325" s="10" t="s">
        <v>11621</v>
      </c>
      <c r="E5325" s="9" t="s">
        <v>17</v>
      </c>
      <c r="F5325" s="10">
        <v>29</v>
      </c>
      <c r="G5325" s="11">
        <v>8053653299</v>
      </c>
      <c r="H5325" s="10" t="s">
        <v>11622</v>
      </c>
      <c r="I5325" s="10" t="s">
        <v>45</v>
      </c>
      <c r="J5325" s="10" t="s">
        <v>279</v>
      </c>
      <c r="K5325" s="12">
        <v>46029</v>
      </c>
      <c r="L5325" s="28" t="s">
        <v>11</v>
      </c>
      <c r="M5325" s="14"/>
      <c r="N5325" s="10" t="s">
        <v>1028</v>
      </c>
    </row>
    <row r="5326" spans="1:14" ht="22.5" customHeight="1">
      <c r="A5326" s="8">
        <v>46029.499950046295</v>
      </c>
      <c r="B5326" s="9" t="s">
        <v>14</v>
      </c>
      <c r="C5326" s="9" t="s">
        <v>15</v>
      </c>
      <c r="D5326" s="10" t="s">
        <v>11623</v>
      </c>
      <c r="E5326" s="9" t="s">
        <v>17</v>
      </c>
      <c r="F5326" s="10">
        <v>25</v>
      </c>
      <c r="G5326" s="11">
        <v>7025854596</v>
      </c>
      <c r="H5326" s="10" t="s">
        <v>11624</v>
      </c>
      <c r="I5326" s="10" t="s">
        <v>45</v>
      </c>
      <c r="J5326" s="10" t="s">
        <v>5955</v>
      </c>
      <c r="K5326" s="12">
        <v>46029</v>
      </c>
      <c r="L5326" s="28" t="s">
        <v>11</v>
      </c>
      <c r="M5326" s="14"/>
      <c r="N5326" s="10" t="s">
        <v>1028</v>
      </c>
    </row>
    <row r="5327" spans="1:14" ht="22.5" customHeight="1">
      <c r="A5327" s="8">
        <v>46029.499981724541</v>
      </c>
      <c r="B5327" s="9" t="s">
        <v>14</v>
      </c>
      <c r="C5327" s="9" t="s">
        <v>15</v>
      </c>
      <c r="D5327" s="10" t="s">
        <v>11625</v>
      </c>
      <c r="E5327" s="9" t="s">
        <v>17</v>
      </c>
      <c r="F5327" s="10">
        <v>27</v>
      </c>
      <c r="G5327" s="11">
        <v>8168983728</v>
      </c>
      <c r="H5327" s="10" t="s">
        <v>11626</v>
      </c>
      <c r="I5327" s="10" t="s">
        <v>19</v>
      </c>
      <c r="J5327" s="10" t="s">
        <v>166</v>
      </c>
      <c r="K5327" s="12">
        <v>46029</v>
      </c>
      <c r="L5327" s="28" t="s">
        <v>11</v>
      </c>
      <c r="M5327" s="14"/>
      <c r="N5327" s="10" t="s">
        <v>1028</v>
      </c>
    </row>
    <row r="5328" spans="1:14" ht="22.5" customHeight="1">
      <c r="A5328" s="8">
        <v>46029.50080050926</v>
      </c>
      <c r="B5328" s="9" t="s">
        <v>14</v>
      </c>
      <c r="C5328" s="9" t="s">
        <v>15</v>
      </c>
      <c r="D5328" s="10" t="s">
        <v>11627</v>
      </c>
      <c r="E5328" s="9" t="s">
        <v>17</v>
      </c>
      <c r="F5328" s="10">
        <v>27</v>
      </c>
      <c r="G5328" s="11">
        <v>8168118577</v>
      </c>
      <c r="H5328" s="10" t="s">
        <v>11628</v>
      </c>
      <c r="I5328" s="10" t="s">
        <v>145</v>
      </c>
      <c r="J5328" s="10" t="s">
        <v>11629</v>
      </c>
      <c r="K5328" s="12">
        <v>46029</v>
      </c>
      <c r="L5328" s="28" t="s">
        <v>11</v>
      </c>
      <c r="M5328" s="14"/>
      <c r="N5328" s="10" t="s">
        <v>1096</v>
      </c>
    </row>
    <row r="5329" spans="1:14" ht="22.5" customHeight="1">
      <c r="A5329" s="8">
        <v>46029.503003275458</v>
      </c>
      <c r="B5329" s="9" t="s">
        <v>14</v>
      </c>
      <c r="C5329" s="9" t="s">
        <v>15</v>
      </c>
      <c r="D5329" s="10" t="s">
        <v>11630</v>
      </c>
      <c r="E5329" s="9" t="s">
        <v>22</v>
      </c>
      <c r="F5329" s="10">
        <v>28</v>
      </c>
      <c r="G5329" s="11">
        <v>9030084486</v>
      </c>
      <c r="H5329" s="10" t="s">
        <v>11631</v>
      </c>
      <c r="I5329" s="10" t="s">
        <v>145</v>
      </c>
      <c r="J5329" s="10" t="s">
        <v>11632</v>
      </c>
      <c r="K5329" s="12">
        <v>46029</v>
      </c>
      <c r="L5329" s="28" t="s">
        <v>11</v>
      </c>
      <c r="M5329" s="14"/>
      <c r="N5329" s="10" t="s">
        <v>1096</v>
      </c>
    </row>
    <row r="5330" spans="1:14" ht="22.5" customHeight="1">
      <c r="A5330" s="8">
        <v>46029.503269062501</v>
      </c>
      <c r="B5330" s="9" t="s">
        <v>14</v>
      </c>
      <c r="C5330" s="9" t="s">
        <v>15</v>
      </c>
      <c r="D5330" s="10" t="s">
        <v>11633</v>
      </c>
      <c r="E5330" s="9" t="s">
        <v>17</v>
      </c>
      <c r="F5330" s="10">
        <v>26</v>
      </c>
      <c r="G5330" s="11">
        <v>8088576735</v>
      </c>
      <c r="H5330" s="10" t="s">
        <v>11634</v>
      </c>
      <c r="I5330" s="10" t="s">
        <v>27</v>
      </c>
      <c r="J5330" s="10" t="s">
        <v>3189</v>
      </c>
      <c r="K5330" s="12">
        <v>46029</v>
      </c>
      <c r="L5330" s="28" t="s">
        <v>11</v>
      </c>
      <c r="M5330" s="14"/>
      <c r="N5330" s="10" t="s">
        <v>1489</v>
      </c>
    </row>
    <row r="5331" spans="1:14" ht="22.5" customHeight="1">
      <c r="A5331" s="8">
        <v>46029.505058379626</v>
      </c>
      <c r="B5331" s="9" t="s">
        <v>14</v>
      </c>
      <c r="C5331" s="9" t="s">
        <v>15</v>
      </c>
      <c r="D5331" s="10" t="s">
        <v>11635</v>
      </c>
      <c r="E5331" s="9" t="s">
        <v>17</v>
      </c>
      <c r="F5331" s="10">
        <v>29</v>
      </c>
      <c r="G5331" s="11">
        <v>7050535369</v>
      </c>
      <c r="H5331" s="10" t="s">
        <v>11636</v>
      </c>
      <c r="I5331" s="10" t="s">
        <v>45</v>
      </c>
      <c r="J5331" s="10" t="s">
        <v>11637</v>
      </c>
      <c r="K5331" s="12">
        <v>46029</v>
      </c>
      <c r="L5331" s="28" t="s">
        <v>11</v>
      </c>
      <c r="M5331" s="14"/>
      <c r="N5331" s="10" t="s">
        <v>1096</v>
      </c>
    </row>
    <row r="5332" spans="1:14" ht="22.5" customHeight="1">
      <c r="A5332" s="8">
        <v>46029.506542280091</v>
      </c>
      <c r="B5332" s="9" t="s">
        <v>14</v>
      </c>
      <c r="C5332" s="9" t="s">
        <v>15</v>
      </c>
      <c r="D5332" s="10" t="s">
        <v>11638</v>
      </c>
      <c r="E5332" s="9" t="s">
        <v>22</v>
      </c>
      <c r="F5332" s="18">
        <v>25</v>
      </c>
      <c r="G5332" s="11">
        <v>9066758508</v>
      </c>
      <c r="H5332" s="10" t="s">
        <v>11639</v>
      </c>
      <c r="I5332" s="10" t="s">
        <v>45</v>
      </c>
      <c r="J5332" s="10" t="s">
        <v>521</v>
      </c>
      <c r="K5332" s="12">
        <v>46029</v>
      </c>
      <c r="L5332" s="28" t="s">
        <v>11</v>
      </c>
      <c r="M5332" s="14"/>
      <c r="N5332" s="10" t="s">
        <v>1096</v>
      </c>
    </row>
    <row r="5333" spans="1:14" ht="22.5" customHeight="1">
      <c r="A5333" s="8">
        <v>46029.507246967594</v>
      </c>
      <c r="B5333" s="9" t="s">
        <v>14</v>
      </c>
      <c r="C5333" s="9" t="s">
        <v>15</v>
      </c>
      <c r="D5333" s="10" t="s">
        <v>11640</v>
      </c>
      <c r="E5333" s="9" t="s">
        <v>17</v>
      </c>
      <c r="F5333" s="10">
        <v>33</v>
      </c>
      <c r="G5333" s="11">
        <v>9033134814</v>
      </c>
      <c r="H5333" s="10" t="s">
        <v>11641</v>
      </c>
      <c r="I5333" s="10" t="s">
        <v>45</v>
      </c>
      <c r="J5333" s="10" t="s">
        <v>5606</v>
      </c>
      <c r="K5333" s="12">
        <v>46029</v>
      </c>
      <c r="L5333" s="28" t="s">
        <v>11</v>
      </c>
      <c r="M5333" s="14"/>
      <c r="N5333" s="10" t="s">
        <v>1028</v>
      </c>
    </row>
    <row r="5334" spans="1:14" ht="22.5" customHeight="1">
      <c r="A5334" s="8">
        <v>46029.507317083335</v>
      </c>
      <c r="B5334" s="9" t="s">
        <v>14</v>
      </c>
      <c r="C5334" s="9" t="s">
        <v>15</v>
      </c>
      <c r="D5334" s="10" t="s">
        <v>11642</v>
      </c>
      <c r="E5334" s="9" t="s">
        <v>17</v>
      </c>
      <c r="F5334" s="10">
        <v>33</v>
      </c>
      <c r="G5334" s="11">
        <v>7035549778</v>
      </c>
      <c r="H5334" s="10" t="s">
        <v>11643</v>
      </c>
      <c r="I5334" s="10" t="s">
        <v>49</v>
      </c>
      <c r="J5334" s="10" t="s">
        <v>666</v>
      </c>
      <c r="K5334" s="12">
        <v>46029</v>
      </c>
      <c r="L5334" s="28" t="s">
        <v>11</v>
      </c>
      <c r="M5334" s="14"/>
      <c r="N5334" s="10" t="s">
        <v>1096</v>
      </c>
    </row>
    <row r="5335" spans="1:14" ht="22.5" customHeight="1">
      <c r="A5335" s="8">
        <v>46029.507854687501</v>
      </c>
      <c r="B5335" s="9" t="s">
        <v>14</v>
      </c>
      <c r="C5335" s="9" t="s">
        <v>15</v>
      </c>
      <c r="D5335" s="10" t="s">
        <v>11644</v>
      </c>
      <c r="E5335" s="9" t="s">
        <v>17</v>
      </c>
      <c r="F5335" s="10">
        <v>26</v>
      </c>
      <c r="G5335" s="11">
        <v>8144536522</v>
      </c>
      <c r="H5335" s="10" t="s">
        <v>11645</v>
      </c>
      <c r="I5335" s="10" t="s">
        <v>31</v>
      </c>
      <c r="J5335" s="10" t="s">
        <v>1786</v>
      </c>
      <c r="K5335" s="12">
        <v>46029</v>
      </c>
      <c r="L5335" s="28" t="s">
        <v>11</v>
      </c>
      <c r="M5335" s="14"/>
      <c r="N5335" s="10" t="s">
        <v>1028</v>
      </c>
    </row>
    <row r="5336" spans="1:14" ht="22.5" customHeight="1">
      <c r="A5336" s="8">
        <v>46029.509378159724</v>
      </c>
      <c r="B5336" s="9" t="s">
        <v>14</v>
      </c>
      <c r="C5336" s="9" t="s">
        <v>15</v>
      </c>
      <c r="D5336" s="10" t="s">
        <v>11646</v>
      </c>
      <c r="E5336" s="9" t="s">
        <v>22</v>
      </c>
      <c r="F5336" s="10">
        <v>25</v>
      </c>
      <c r="G5336" s="11">
        <v>8125190458</v>
      </c>
      <c r="H5336" s="10" t="s">
        <v>11647</v>
      </c>
      <c r="I5336" s="10" t="s">
        <v>19</v>
      </c>
      <c r="J5336" s="10" t="s">
        <v>11648</v>
      </c>
      <c r="K5336" s="12">
        <v>46029</v>
      </c>
      <c r="L5336" s="28" t="s">
        <v>11</v>
      </c>
      <c r="M5336" s="14"/>
      <c r="N5336" s="10" t="s">
        <v>1096</v>
      </c>
    </row>
    <row r="5337" spans="1:14" ht="22.5" customHeight="1">
      <c r="A5337" s="8">
        <v>46029.509937291667</v>
      </c>
      <c r="B5337" s="9" t="s">
        <v>14</v>
      </c>
      <c r="C5337" s="9" t="s">
        <v>15</v>
      </c>
      <c r="D5337" s="10" t="s">
        <v>11649</v>
      </c>
      <c r="E5337" s="9" t="s">
        <v>17</v>
      </c>
      <c r="F5337" s="10">
        <v>30</v>
      </c>
      <c r="G5337" s="11">
        <v>8135654985</v>
      </c>
      <c r="H5337" s="10" t="s">
        <v>11650</v>
      </c>
      <c r="I5337" s="10" t="s">
        <v>45</v>
      </c>
      <c r="J5337" s="10" t="s">
        <v>131</v>
      </c>
      <c r="K5337" s="12">
        <v>46029</v>
      </c>
      <c r="L5337" s="28" t="s">
        <v>11</v>
      </c>
      <c r="M5337" s="14"/>
      <c r="N5337" s="10" t="s">
        <v>1096</v>
      </c>
    </row>
    <row r="5338" spans="1:14" ht="22.5" customHeight="1">
      <c r="A5338" s="8">
        <v>46029.510760023149</v>
      </c>
      <c r="B5338" s="9" t="s">
        <v>14</v>
      </c>
      <c r="C5338" s="9" t="s">
        <v>15</v>
      </c>
      <c r="D5338" s="10" t="s">
        <v>11651</v>
      </c>
      <c r="E5338" s="9" t="s">
        <v>22</v>
      </c>
      <c r="F5338" s="10">
        <v>23</v>
      </c>
      <c r="G5338" s="11">
        <v>9030361375</v>
      </c>
      <c r="H5338" s="10" t="s">
        <v>11652</v>
      </c>
      <c r="I5338" s="10" t="s">
        <v>45</v>
      </c>
      <c r="J5338" s="10" t="s">
        <v>901</v>
      </c>
      <c r="K5338" s="12">
        <v>46029</v>
      </c>
      <c r="L5338" s="28" t="s">
        <v>11</v>
      </c>
      <c r="M5338" s="14"/>
      <c r="N5338" s="10" t="s">
        <v>1028</v>
      </c>
    </row>
    <row r="5339" spans="1:14" ht="22.5" customHeight="1">
      <c r="A5339" s="8">
        <v>46029.510854305554</v>
      </c>
      <c r="B5339" s="9" t="s">
        <v>14</v>
      </c>
      <c r="C5339" s="9" t="s">
        <v>15</v>
      </c>
      <c r="D5339" s="10" t="s">
        <v>11653</v>
      </c>
      <c r="E5339" s="9" t="s">
        <v>22</v>
      </c>
      <c r="F5339" s="10">
        <v>30</v>
      </c>
      <c r="G5339" s="11">
        <v>8104800281</v>
      </c>
      <c r="H5339" s="10" t="s">
        <v>11654</v>
      </c>
      <c r="I5339" s="10" t="s">
        <v>19</v>
      </c>
      <c r="J5339" s="10" t="s">
        <v>1977</v>
      </c>
      <c r="K5339" s="12">
        <v>46029</v>
      </c>
      <c r="L5339" s="28" t="s">
        <v>11</v>
      </c>
      <c r="M5339" s="14"/>
      <c r="N5339" s="10" t="s">
        <v>1028</v>
      </c>
    </row>
    <row r="5340" spans="1:14" ht="22.5" customHeight="1">
      <c r="A5340" s="8">
        <v>46029.510949131945</v>
      </c>
      <c r="B5340" s="9" t="s">
        <v>14</v>
      </c>
      <c r="C5340" s="9" t="s">
        <v>15</v>
      </c>
      <c r="D5340" s="10" t="s">
        <v>11655</v>
      </c>
      <c r="E5340" s="9" t="s">
        <v>17</v>
      </c>
      <c r="F5340" s="10">
        <v>29</v>
      </c>
      <c r="G5340" s="11">
        <v>7044744012</v>
      </c>
      <c r="H5340" s="10" t="s">
        <v>11656</v>
      </c>
      <c r="I5340" s="10" t="s">
        <v>202</v>
      </c>
      <c r="J5340" s="10" t="s">
        <v>3437</v>
      </c>
      <c r="K5340" s="12">
        <v>46029</v>
      </c>
      <c r="L5340" s="28" t="s">
        <v>11</v>
      </c>
      <c r="M5340" s="14"/>
      <c r="N5340" s="10" t="s">
        <v>1028</v>
      </c>
    </row>
    <row r="5341" spans="1:14" ht="22.5" customHeight="1">
      <c r="A5341" s="8">
        <v>46029.511002928237</v>
      </c>
      <c r="B5341" s="9" t="s">
        <v>14</v>
      </c>
      <c r="C5341" s="9" t="s">
        <v>15</v>
      </c>
      <c r="D5341" s="10" t="s">
        <v>11657</v>
      </c>
      <c r="E5341" s="9" t="s">
        <v>22</v>
      </c>
      <c r="F5341" s="10">
        <v>25</v>
      </c>
      <c r="G5341" s="11">
        <v>9023821372</v>
      </c>
      <c r="H5341" s="10" t="s">
        <v>11658</v>
      </c>
      <c r="I5341" s="10" t="s">
        <v>19</v>
      </c>
      <c r="J5341" s="10" t="s">
        <v>4870</v>
      </c>
      <c r="K5341" s="12">
        <v>46029</v>
      </c>
      <c r="L5341" s="28" t="s">
        <v>11</v>
      </c>
      <c r="M5341" s="14"/>
      <c r="N5341" s="10" t="s">
        <v>1028</v>
      </c>
    </row>
    <row r="5342" spans="1:14" ht="22.5" customHeight="1">
      <c r="A5342" s="8">
        <v>46029.511174328705</v>
      </c>
      <c r="B5342" s="9" t="s">
        <v>14</v>
      </c>
      <c r="C5342" s="9" t="s">
        <v>15</v>
      </c>
      <c r="D5342" s="10" t="s">
        <v>11659</v>
      </c>
      <c r="E5342" s="9" t="s">
        <v>17</v>
      </c>
      <c r="F5342" s="10">
        <v>30</v>
      </c>
      <c r="G5342" s="11">
        <v>7049971332</v>
      </c>
      <c r="H5342" s="10" t="s">
        <v>11660</v>
      </c>
      <c r="I5342" s="10" t="s">
        <v>45</v>
      </c>
      <c r="J5342" s="10" t="s">
        <v>521</v>
      </c>
      <c r="K5342" s="12">
        <v>46029</v>
      </c>
      <c r="L5342" s="28" t="s">
        <v>11</v>
      </c>
      <c r="M5342" s="14"/>
      <c r="N5342" s="10" t="s">
        <v>1028</v>
      </c>
    </row>
    <row r="5343" spans="1:14" ht="22.5" customHeight="1">
      <c r="A5343" s="8">
        <v>46029.511422812502</v>
      </c>
      <c r="B5343" s="9" t="s">
        <v>14</v>
      </c>
      <c r="C5343" s="9" t="s">
        <v>15</v>
      </c>
      <c r="D5343" s="10" t="s">
        <v>11661</v>
      </c>
      <c r="E5343" s="9" t="s">
        <v>22</v>
      </c>
      <c r="F5343" s="10">
        <v>28</v>
      </c>
      <c r="G5343" s="11">
        <v>9150700686</v>
      </c>
      <c r="H5343" s="10" t="s">
        <v>11662</v>
      </c>
      <c r="I5343" s="10" t="s">
        <v>45</v>
      </c>
      <c r="J5343" s="10" t="s">
        <v>11663</v>
      </c>
      <c r="K5343" s="12">
        <v>46029</v>
      </c>
      <c r="L5343" s="28" t="s">
        <v>11</v>
      </c>
      <c r="M5343" s="14"/>
      <c r="N5343" s="10" t="s">
        <v>1028</v>
      </c>
    </row>
    <row r="5344" spans="1:14" ht="22.5" customHeight="1">
      <c r="A5344" s="8">
        <v>46029.513571979165</v>
      </c>
      <c r="B5344" s="9" t="s">
        <v>14</v>
      </c>
      <c r="C5344" s="9" t="s">
        <v>15</v>
      </c>
      <c r="D5344" s="10" t="s">
        <v>11664</v>
      </c>
      <c r="E5344" s="9" t="s">
        <v>22</v>
      </c>
      <c r="F5344" s="10">
        <v>25</v>
      </c>
      <c r="G5344" s="11">
        <f t="shared" ref="G5344" si="150">2348166400874</f>
        <v>2348166400874</v>
      </c>
      <c r="H5344" s="10" t="s">
        <v>11665</v>
      </c>
      <c r="I5344" s="10" t="s">
        <v>145</v>
      </c>
      <c r="J5344" s="10" t="s">
        <v>11666</v>
      </c>
      <c r="K5344" s="12">
        <v>46029</v>
      </c>
      <c r="L5344" s="28" t="s">
        <v>11</v>
      </c>
      <c r="M5344" s="14"/>
      <c r="N5344" s="10" t="s">
        <v>1028</v>
      </c>
    </row>
    <row r="5345" spans="1:14" ht="22.5" customHeight="1">
      <c r="A5345" s="8">
        <v>46029.513687407409</v>
      </c>
      <c r="B5345" s="9" t="s">
        <v>14</v>
      </c>
      <c r="C5345" s="9" t="s">
        <v>15</v>
      </c>
      <c r="D5345" s="10" t="s">
        <v>11667</v>
      </c>
      <c r="E5345" s="9" t="s">
        <v>17</v>
      </c>
      <c r="F5345" s="10">
        <v>30</v>
      </c>
      <c r="G5345" s="11">
        <v>7054333180</v>
      </c>
      <c r="H5345" s="10" t="s">
        <v>11668</v>
      </c>
      <c r="I5345" s="10" t="s">
        <v>45</v>
      </c>
      <c r="J5345" s="10" t="s">
        <v>509</v>
      </c>
      <c r="K5345" s="12">
        <v>46029</v>
      </c>
      <c r="L5345" s="28" t="s">
        <v>11</v>
      </c>
      <c r="M5345" s="14"/>
      <c r="N5345" s="10" t="s">
        <v>1028</v>
      </c>
    </row>
    <row r="5346" spans="1:14" ht="22.5" customHeight="1">
      <c r="A5346" s="8">
        <v>46029.513771076388</v>
      </c>
      <c r="B5346" s="9" t="s">
        <v>14</v>
      </c>
      <c r="C5346" s="9" t="s">
        <v>15</v>
      </c>
      <c r="D5346" s="10" t="s">
        <v>11669</v>
      </c>
      <c r="E5346" s="9" t="s">
        <v>22</v>
      </c>
      <c r="F5346" s="10">
        <v>28</v>
      </c>
      <c r="G5346" s="11">
        <v>8039481270</v>
      </c>
      <c r="H5346" s="10" t="s">
        <v>11670</v>
      </c>
      <c r="I5346" s="10" t="s">
        <v>49</v>
      </c>
      <c r="J5346" s="10" t="s">
        <v>106</v>
      </c>
      <c r="K5346" s="12">
        <v>46029</v>
      </c>
      <c r="L5346" s="28" t="s">
        <v>11</v>
      </c>
      <c r="M5346" s="14"/>
      <c r="N5346" s="10" t="s">
        <v>1028</v>
      </c>
    </row>
    <row r="5347" spans="1:14" ht="22.5" customHeight="1">
      <c r="A5347" s="8">
        <v>46029.516272743058</v>
      </c>
      <c r="B5347" s="9" t="s">
        <v>14</v>
      </c>
      <c r="C5347" s="9" t="s">
        <v>15</v>
      </c>
      <c r="D5347" s="10" t="s">
        <v>11671</v>
      </c>
      <c r="E5347" s="9" t="s">
        <v>17</v>
      </c>
      <c r="F5347" s="10">
        <v>30</v>
      </c>
      <c r="G5347" s="11">
        <v>7066434362</v>
      </c>
      <c r="H5347" s="10" t="s">
        <v>11672</v>
      </c>
      <c r="I5347" s="10" t="s">
        <v>27</v>
      </c>
      <c r="J5347" s="10" t="s">
        <v>11673</v>
      </c>
      <c r="K5347" s="12">
        <v>46029</v>
      </c>
      <c r="L5347" s="28" t="s">
        <v>11</v>
      </c>
      <c r="M5347" s="14"/>
      <c r="N5347" s="10" t="s">
        <v>1028</v>
      </c>
    </row>
    <row r="5348" spans="1:14" ht="22.5" customHeight="1">
      <c r="A5348" s="8">
        <v>46029.518242152779</v>
      </c>
      <c r="B5348" s="9" t="s">
        <v>14</v>
      </c>
      <c r="C5348" s="9" t="s">
        <v>15</v>
      </c>
      <c r="D5348" s="10" t="s">
        <v>11674</v>
      </c>
      <c r="E5348" s="9" t="s">
        <v>17</v>
      </c>
      <c r="F5348" s="10">
        <v>32</v>
      </c>
      <c r="G5348" s="11">
        <v>8102518931</v>
      </c>
      <c r="H5348" s="10" t="s">
        <v>11675</v>
      </c>
      <c r="I5348" s="10" t="s">
        <v>45</v>
      </c>
      <c r="J5348" s="10" t="s">
        <v>6776</v>
      </c>
      <c r="K5348" s="12">
        <v>46029</v>
      </c>
      <c r="L5348" s="28" t="s">
        <v>11</v>
      </c>
      <c r="M5348" s="14"/>
      <c r="N5348" s="10" t="s">
        <v>1028</v>
      </c>
    </row>
    <row r="5349" spans="1:14" ht="22.5" customHeight="1">
      <c r="A5349" s="8">
        <v>46029.519990219909</v>
      </c>
      <c r="B5349" s="9" t="s">
        <v>14</v>
      </c>
      <c r="C5349" s="9" t="s">
        <v>15</v>
      </c>
      <c r="D5349" s="10" t="s">
        <v>11676</v>
      </c>
      <c r="E5349" s="9" t="s">
        <v>22</v>
      </c>
      <c r="F5349" s="10">
        <v>31</v>
      </c>
      <c r="G5349" s="11">
        <v>7035346148</v>
      </c>
      <c r="H5349" s="10" t="s">
        <v>11677</v>
      </c>
      <c r="I5349" s="10" t="s">
        <v>202</v>
      </c>
      <c r="J5349" s="10" t="s">
        <v>1619</v>
      </c>
      <c r="K5349" s="12">
        <v>46029</v>
      </c>
      <c r="L5349" s="28" t="s">
        <v>11</v>
      </c>
      <c r="M5349" s="14"/>
      <c r="N5349" s="10" t="s">
        <v>1028</v>
      </c>
    </row>
    <row r="5350" spans="1:14" ht="22.5" customHeight="1">
      <c r="A5350" s="8">
        <v>46029.522400358794</v>
      </c>
      <c r="B5350" s="9" t="s">
        <v>14</v>
      </c>
      <c r="C5350" s="9" t="s">
        <v>15</v>
      </c>
      <c r="D5350" s="10" t="s">
        <v>11678</v>
      </c>
      <c r="E5350" s="9" t="s">
        <v>22</v>
      </c>
      <c r="F5350" s="10">
        <v>25</v>
      </c>
      <c r="G5350" s="11">
        <v>7031024386</v>
      </c>
      <c r="H5350" s="10" t="s">
        <v>11679</v>
      </c>
      <c r="I5350" s="10" t="s">
        <v>45</v>
      </c>
      <c r="J5350" s="10" t="s">
        <v>932</v>
      </c>
      <c r="K5350" s="12">
        <v>46029</v>
      </c>
      <c r="L5350" s="28" t="s">
        <v>11</v>
      </c>
      <c r="M5350" s="14"/>
      <c r="N5350" s="10" t="s">
        <v>1028</v>
      </c>
    </row>
    <row r="5351" spans="1:14" ht="22.5" customHeight="1">
      <c r="A5351" s="8">
        <v>46029.522450717588</v>
      </c>
      <c r="B5351" s="9" t="s">
        <v>14</v>
      </c>
      <c r="C5351" s="9" t="s">
        <v>15</v>
      </c>
      <c r="D5351" s="10" t="s">
        <v>11680</v>
      </c>
      <c r="E5351" s="9" t="s">
        <v>17</v>
      </c>
      <c r="F5351" s="10">
        <v>35</v>
      </c>
      <c r="G5351" s="11">
        <v>8061696794</v>
      </c>
      <c r="H5351" s="10" t="s">
        <v>11681</v>
      </c>
      <c r="I5351" s="10" t="s">
        <v>49</v>
      </c>
      <c r="J5351" s="10" t="s">
        <v>73</v>
      </c>
      <c r="K5351" s="12">
        <v>46029</v>
      </c>
      <c r="L5351" s="28" t="s">
        <v>11</v>
      </c>
      <c r="M5351" s="14"/>
      <c r="N5351" s="10" t="s">
        <v>1096</v>
      </c>
    </row>
    <row r="5352" spans="1:14" ht="22.5" customHeight="1">
      <c r="A5352" s="8">
        <v>46029.525475868053</v>
      </c>
      <c r="B5352" s="9" t="s">
        <v>14</v>
      </c>
      <c r="C5352" s="9" t="s">
        <v>15</v>
      </c>
      <c r="D5352" s="10" t="s">
        <v>11682</v>
      </c>
      <c r="E5352" s="9" t="s">
        <v>17</v>
      </c>
      <c r="F5352" s="10">
        <v>27</v>
      </c>
      <c r="G5352" s="11">
        <v>8144217586</v>
      </c>
      <c r="H5352" s="10" t="s">
        <v>11683</v>
      </c>
      <c r="I5352" s="10" t="s">
        <v>45</v>
      </c>
      <c r="J5352" s="10" t="s">
        <v>11684</v>
      </c>
      <c r="K5352" s="12">
        <v>46029</v>
      </c>
      <c r="L5352" s="28" t="s">
        <v>11</v>
      </c>
      <c r="M5352" s="14"/>
      <c r="N5352" s="10" t="s">
        <v>1028</v>
      </c>
    </row>
    <row r="5353" spans="1:14" ht="22.5" customHeight="1">
      <c r="A5353" s="8">
        <v>46029.526485706017</v>
      </c>
      <c r="B5353" s="9" t="s">
        <v>14</v>
      </c>
      <c r="C5353" s="9" t="s">
        <v>15</v>
      </c>
      <c r="D5353" s="10" t="s">
        <v>11685</v>
      </c>
      <c r="E5353" s="9" t="s">
        <v>17</v>
      </c>
      <c r="F5353" s="10">
        <v>31</v>
      </c>
      <c r="G5353" s="11">
        <v>8060362840</v>
      </c>
      <c r="H5353" s="10" t="s">
        <v>1254</v>
      </c>
      <c r="I5353" s="10" t="s">
        <v>145</v>
      </c>
      <c r="J5353" s="10" t="s">
        <v>4352</v>
      </c>
      <c r="K5353" s="12">
        <v>46029</v>
      </c>
      <c r="L5353" s="28" t="s">
        <v>11</v>
      </c>
      <c r="M5353" s="14"/>
      <c r="N5353" s="10" t="s">
        <v>1028</v>
      </c>
    </row>
    <row r="5354" spans="1:14" ht="22.5" customHeight="1">
      <c r="A5354" s="8">
        <v>46029.53101958333</v>
      </c>
      <c r="B5354" s="9" t="s">
        <v>14</v>
      </c>
      <c r="C5354" s="9" t="s">
        <v>15</v>
      </c>
      <c r="D5354" s="10" t="s">
        <v>11686</v>
      </c>
      <c r="E5354" s="9" t="s">
        <v>17</v>
      </c>
      <c r="F5354" s="10">
        <v>30</v>
      </c>
      <c r="G5354" s="11">
        <v>8036708088</v>
      </c>
      <c r="H5354" s="10" t="s">
        <v>11687</v>
      </c>
      <c r="I5354" s="10" t="s">
        <v>31</v>
      </c>
      <c r="J5354" s="10" t="s">
        <v>39</v>
      </c>
      <c r="K5354" s="12">
        <v>34947</v>
      </c>
      <c r="L5354" s="28" t="s">
        <v>11</v>
      </c>
      <c r="M5354" s="14"/>
      <c r="N5354" s="10" t="s">
        <v>1028</v>
      </c>
    </row>
    <row r="5355" spans="1:14" ht="22.5" customHeight="1">
      <c r="A5355" s="8">
        <v>46029.531452835647</v>
      </c>
      <c r="B5355" s="9" t="s">
        <v>14</v>
      </c>
      <c r="C5355" s="9" t="s">
        <v>15</v>
      </c>
      <c r="D5355" s="10" t="s">
        <v>11688</v>
      </c>
      <c r="E5355" s="9" t="s">
        <v>17</v>
      </c>
      <c r="F5355" s="10">
        <v>28</v>
      </c>
      <c r="G5355" s="11">
        <v>8138315149</v>
      </c>
      <c r="H5355" s="10" t="s">
        <v>11689</v>
      </c>
      <c r="I5355" s="10" t="s">
        <v>45</v>
      </c>
      <c r="J5355" s="10" t="s">
        <v>11690</v>
      </c>
      <c r="K5355" s="12">
        <v>46029</v>
      </c>
      <c r="L5355" s="28" t="s">
        <v>11</v>
      </c>
      <c r="M5355" s="14"/>
      <c r="N5355" s="10" t="s">
        <v>1096</v>
      </c>
    </row>
    <row r="5356" spans="1:14" ht="22.5" customHeight="1">
      <c r="A5356" s="8">
        <v>46029.532305694447</v>
      </c>
      <c r="B5356" s="9" t="s">
        <v>14</v>
      </c>
      <c r="C5356" s="9" t="s">
        <v>15</v>
      </c>
      <c r="D5356" s="10" t="s">
        <v>11691</v>
      </c>
      <c r="E5356" s="9" t="s">
        <v>17</v>
      </c>
      <c r="F5356" s="10">
        <v>29</v>
      </c>
      <c r="G5356" s="11">
        <v>8133138931</v>
      </c>
      <c r="H5356" s="10" t="s">
        <v>11692</v>
      </c>
      <c r="I5356" s="10" t="s">
        <v>27</v>
      </c>
      <c r="J5356" s="10" t="s">
        <v>11693</v>
      </c>
      <c r="K5356" s="12">
        <v>35706</v>
      </c>
      <c r="L5356" s="28" t="s">
        <v>11</v>
      </c>
      <c r="M5356" s="14"/>
      <c r="N5356" s="10" t="s">
        <v>1028</v>
      </c>
    </row>
    <row r="5357" spans="1:14" ht="22.5" customHeight="1">
      <c r="A5357" s="8">
        <v>46029.533167951391</v>
      </c>
      <c r="B5357" s="9" t="s">
        <v>14</v>
      </c>
      <c r="C5357" s="9" t="s">
        <v>15</v>
      </c>
      <c r="D5357" s="10" t="s">
        <v>11694</v>
      </c>
      <c r="E5357" s="9" t="s">
        <v>17</v>
      </c>
      <c r="F5357" s="10">
        <v>25</v>
      </c>
      <c r="G5357" s="11">
        <v>8129274012</v>
      </c>
      <c r="H5357" s="10" t="s">
        <v>11695</v>
      </c>
      <c r="I5357" s="10" t="s">
        <v>145</v>
      </c>
      <c r="J5357" s="10" t="s">
        <v>11696</v>
      </c>
      <c r="K5357" s="12" t="s">
        <v>11697</v>
      </c>
      <c r="L5357" s="28" t="s">
        <v>11</v>
      </c>
      <c r="M5357" s="14"/>
      <c r="N5357" s="10" t="s">
        <v>1028</v>
      </c>
    </row>
    <row r="5358" spans="1:14" ht="22.5" customHeight="1">
      <c r="A5358" s="8">
        <v>46029.534900752318</v>
      </c>
      <c r="B5358" s="9" t="s">
        <v>14</v>
      </c>
      <c r="C5358" s="9" t="s">
        <v>15</v>
      </c>
      <c r="D5358" s="10" t="s">
        <v>11698</v>
      </c>
      <c r="E5358" s="9" t="s">
        <v>17</v>
      </c>
      <c r="F5358" s="10">
        <v>26</v>
      </c>
      <c r="G5358" s="11">
        <v>8118555633</v>
      </c>
      <c r="H5358" s="10" t="s">
        <v>11699</v>
      </c>
      <c r="I5358" s="10" t="s">
        <v>45</v>
      </c>
      <c r="J5358" s="10" t="s">
        <v>11700</v>
      </c>
      <c r="K5358" s="12">
        <v>46029</v>
      </c>
      <c r="L5358" s="28" t="s">
        <v>11</v>
      </c>
      <c r="M5358" s="10"/>
      <c r="N5358" s="10" t="s">
        <v>1028</v>
      </c>
    </row>
    <row r="5359" spans="1:14" ht="22.5" customHeight="1">
      <c r="A5359" s="8">
        <v>46029.535610694445</v>
      </c>
      <c r="B5359" s="9" t="s">
        <v>14</v>
      </c>
      <c r="C5359" s="9" t="s">
        <v>15</v>
      </c>
      <c r="D5359" s="10" t="s">
        <v>11701</v>
      </c>
      <c r="E5359" s="9" t="s">
        <v>22</v>
      </c>
      <c r="F5359" s="10">
        <v>53</v>
      </c>
      <c r="G5359" s="11">
        <v>2348068407282</v>
      </c>
      <c r="H5359" s="10" t="s">
        <v>11702</v>
      </c>
      <c r="I5359" s="10" t="s">
        <v>19</v>
      </c>
      <c r="J5359" s="10" t="s">
        <v>1664</v>
      </c>
      <c r="K5359" s="12">
        <v>46029</v>
      </c>
      <c r="L5359" s="28" t="s">
        <v>11</v>
      </c>
      <c r="M5359" s="14"/>
      <c r="N5359" s="10" t="s">
        <v>1028</v>
      </c>
    </row>
    <row r="5360" spans="1:14" ht="22.5" customHeight="1">
      <c r="A5360" s="8">
        <v>46029.535817870375</v>
      </c>
      <c r="B5360" s="9" t="s">
        <v>14</v>
      </c>
      <c r="C5360" s="9" t="s">
        <v>15</v>
      </c>
      <c r="D5360" s="10" t="s">
        <v>11703</v>
      </c>
      <c r="E5360" s="9" t="s">
        <v>17</v>
      </c>
      <c r="F5360" s="10">
        <v>27</v>
      </c>
      <c r="G5360" s="11">
        <v>9067263561</v>
      </c>
      <c r="H5360" s="10" t="s">
        <v>11704</v>
      </c>
      <c r="I5360" s="10" t="s">
        <v>19</v>
      </c>
      <c r="J5360" s="10" t="s">
        <v>24</v>
      </c>
      <c r="K5360" s="12">
        <v>46029</v>
      </c>
      <c r="L5360" s="28" t="s">
        <v>11</v>
      </c>
      <c r="M5360" s="14"/>
      <c r="N5360" s="10" t="s">
        <v>1028</v>
      </c>
    </row>
    <row r="5361" spans="1:14" ht="22.5" customHeight="1">
      <c r="A5361" s="8">
        <v>46029.540213541666</v>
      </c>
      <c r="B5361" s="9" t="s">
        <v>14</v>
      </c>
      <c r="C5361" s="9" t="s">
        <v>15</v>
      </c>
      <c r="D5361" s="10" t="s">
        <v>11705</v>
      </c>
      <c r="E5361" s="9" t="s">
        <v>17</v>
      </c>
      <c r="F5361" s="10">
        <v>32</v>
      </c>
      <c r="G5361" s="11">
        <v>7064314012</v>
      </c>
      <c r="H5361" s="10" t="s">
        <v>11706</v>
      </c>
      <c r="I5361" s="10" t="s">
        <v>27</v>
      </c>
      <c r="J5361" s="10" t="s">
        <v>2639</v>
      </c>
      <c r="K5361" s="12">
        <v>46029</v>
      </c>
      <c r="L5361" s="28" t="s">
        <v>11</v>
      </c>
      <c r="M5361" s="14"/>
      <c r="N5361" s="10" t="s">
        <v>1096</v>
      </c>
    </row>
    <row r="5362" spans="1:14" ht="22.5" customHeight="1">
      <c r="A5362" s="8">
        <v>46029.541169027776</v>
      </c>
      <c r="B5362" s="9" t="s">
        <v>14</v>
      </c>
      <c r="C5362" s="9" t="s">
        <v>15</v>
      </c>
      <c r="D5362" s="10" t="s">
        <v>11707</v>
      </c>
      <c r="E5362" s="9" t="s">
        <v>22</v>
      </c>
      <c r="F5362" s="10">
        <v>29</v>
      </c>
      <c r="G5362" s="11">
        <v>8069475284</v>
      </c>
      <c r="H5362" s="10" t="s">
        <v>11708</v>
      </c>
      <c r="I5362" s="10" t="s">
        <v>202</v>
      </c>
      <c r="J5362" s="10" t="s">
        <v>4177</v>
      </c>
      <c r="K5362" s="12">
        <v>46029</v>
      </c>
      <c r="L5362" s="28" t="s">
        <v>11</v>
      </c>
      <c r="M5362" s="14"/>
      <c r="N5362" s="10" t="s">
        <v>1028</v>
      </c>
    </row>
    <row r="5363" spans="1:14" ht="22.5" customHeight="1">
      <c r="A5363" s="8">
        <v>46029.543344641206</v>
      </c>
      <c r="B5363" s="9" t="s">
        <v>14</v>
      </c>
      <c r="C5363" s="9" t="s">
        <v>15</v>
      </c>
      <c r="D5363" s="10" t="s">
        <v>11709</v>
      </c>
      <c r="E5363" s="9" t="s">
        <v>17</v>
      </c>
      <c r="F5363" s="10">
        <v>30</v>
      </c>
      <c r="G5363" s="11">
        <f>2348063158707</f>
        <v>2348063158707</v>
      </c>
      <c r="H5363" s="10" t="s">
        <v>11710</v>
      </c>
      <c r="I5363" s="10" t="s">
        <v>45</v>
      </c>
      <c r="J5363" s="10" t="s">
        <v>11711</v>
      </c>
      <c r="K5363" s="12">
        <v>46029</v>
      </c>
      <c r="L5363" s="28" t="s">
        <v>11</v>
      </c>
      <c r="M5363" s="14"/>
      <c r="N5363" s="10" t="s">
        <v>1028</v>
      </c>
    </row>
    <row r="5364" spans="1:14" ht="22.5" customHeight="1">
      <c r="A5364" s="8">
        <v>46029.544695300923</v>
      </c>
      <c r="B5364" s="9" t="s">
        <v>14</v>
      </c>
      <c r="C5364" s="9" t="s">
        <v>15</v>
      </c>
      <c r="D5364" s="10" t="s">
        <v>11712</v>
      </c>
      <c r="E5364" s="9" t="s">
        <v>17</v>
      </c>
      <c r="F5364" s="10">
        <v>35</v>
      </c>
      <c r="G5364" s="11">
        <v>8060596832</v>
      </c>
      <c r="H5364" s="10" t="s">
        <v>11713</v>
      </c>
      <c r="I5364" s="10" t="s">
        <v>19</v>
      </c>
      <c r="J5364" s="10" t="s">
        <v>5064</v>
      </c>
      <c r="K5364" s="12">
        <v>46029</v>
      </c>
      <c r="L5364" s="28" t="s">
        <v>11</v>
      </c>
      <c r="M5364" s="14"/>
      <c r="N5364" s="10" t="s">
        <v>1028</v>
      </c>
    </row>
    <row r="5365" spans="1:14" ht="22.5" customHeight="1">
      <c r="A5365" s="8">
        <v>46029.54485791667</v>
      </c>
      <c r="B5365" s="9" t="s">
        <v>14</v>
      </c>
      <c r="C5365" s="9" t="s">
        <v>15</v>
      </c>
      <c r="D5365" s="10" t="s">
        <v>11714</v>
      </c>
      <c r="E5365" s="9" t="s">
        <v>17</v>
      </c>
      <c r="F5365" s="10">
        <v>34</v>
      </c>
      <c r="G5365" s="11">
        <f t="shared" ref="G5365" si="151">2348065435321</f>
        <v>2348065435321</v>
      </c>
      <c r="H5365" s="10" t="s">
        <v>11715</v>
      </c>
      <c r="I5365" s="10" t="s">
        <v>145</v>
      </c>
      <c r="J5365" s="10" t="s">
        <v>8279</v>
      </c>
      <c r="K5365" s="12">
        <v>46029</v>
      </c>
      <c r="L5365" s="28" t="s">
        <v>11</v>
      </c>
      <c r="M5365" s="14"/>
      <c r="N5365" s="10" t="s">
        <v>1028</v>
      </c>
    </row>
    <row r="5366" spans="1:14" ht="22.5" customHeight="1">
      <c r="A5366" s="8">
        <v>46029.547787997682</v>
      </c>
      <c r="B5366" s="9" t="s">
        <v>14</v>
      </c>
      <c r="C5366" s="9" t="s">
        <v>15</v>
      </c>
      <c r="D5366" s="10" t="s">
        <v>11716</v>
      </c>
      <c r="E5366" s="9" t="s">
        <v>17</v>
      </c>
      <c r="F5366" s="10">
        <v>35</v>
      </c>
      <c r="G5366" s="11">
        <v>8069067929</v>
      </c>
      <c r="H5366" s="10" t="s">
        <v>11717</v>
      </c>
      <c r="I5366" s="10" t="s">
        <v>27</v>
      </c>
      <c r="J5366" s="10" t="s">
        <v>1949</v>
      </c>
      <c r="K5366" s="12">
        <v>46029</v>
      </c>
      <c r="L5366" s="28" t="s">
        <v>11</v>
      </c>
      <c r="M5366" s="14"/>
      <c r="N5366" s="10" t="s">
        <v>1028</v>
      </c>
    </row>
    <row r="5367" spans="1:14" ht="22.5" customHeight="1">
      <c r="A5367" s="8">
        <v>46029.550369583332</v>
      </c>
      <c r="B5367" s="9" t="s">
        <v>14</v>
      </c>
      <c r="C5367" s="9" t="s">
        <v>15</v>
      </c>
      <c r="D5367" s="10" t="s">
        <v>5631</v>
      </c>
      <c r="E5367" s="9" t="s">
        <v>22</v>
      </c>
      <c r="F5367" s="10">
        <v>24</v>
      </c>
      <c r="G5367" s="11">
        <v>7064375576</v>
      </c>
      <c r="H5367" s="10" t="s">
        <v>5632</v>
      </c>
      <c r="I5367" s="10" t="s">
        <v>145</v>
      </c>
      <c r="J5367" s="10" t="s">
        <v>4100</v>
      </c>
      <c r="K5367" s="12">
        <v>46029</v>
      </c>
      <c r="L5367" s="28" t="s">
        <v>11</v>
      </c>
      <c r="M5367" s="14"/>
      <c r="N5367" s="10" t="s">
        <v>1028</v>
      </c>
    </row>
    <row r="5368" spans="1:14" ht="22.5" customHeight="1">
      <c r="A5368" s="8">
        <v>46029.552006504629</v>
      </c>
      <c r="B5368" s="9" t="s">
        <v>14</v>
      </c>
      <c r="C5368" s="9" t="s">
        <v>15</v>
      </c>
      <c r="D5368" s="10" t="s">
        <v>11718</v>
      </c>
      <c r="E5368" s="9" t="s">
        <v>17</v>
      </c>
      <c r="F5368" s="19">
        <v>29</v>
      </c>
      <c r="G5368" s="11">
        <v>8135102118</v>
      </c>
      <c r="H5368" s="10" t="s">
        <v>11719</v>
      </c>
      <c r="I5368" s="10" t="s">
        <v>145</v>
      </c>
      <c r="J5368" s="10" t="s">
        <v>11720</v>
      </c>
      <c r="K5368" s="12">
        <v>46029</v>
      </c>
      <c r="L5368" s="28" t="s">
        <v>11</v>
      </c>
      <c r="M5368" s="14"/>
      <c r="N5368" s="10" t="s">
        <v>1028</v>
      </c>
    </row>
    <row r="5369" spans="1:14" ht="22.5" customHeight="1">
      <c r="A5369" s="8">
        <v>46029.552818773147</v>
      </c>
      <c r="B5369" s="9" t="s">
        <v>14</v>
      </c>
      <c r="C5369" s="9" t="s">
        <v>15</v>
      </c>
      <c r="D5369" s="10" t="s">
        <v>11721</v>
      </c>
      <c r="E5369" s="9" t="s">
        <v>17</v>
      </c>
      <c r="F5369" s="10">
        <v>26</v>
      </c>
      <c r="G5369" s="11">
        <v>7050275994</v>
      </c>
      <c r="H5369" s="10" t="s">
        <v>11722</v>
      </c>
      <c r="I5369" s="10" t="s">
        <v>45</v>
      </c>
      <c r="J5369" s="10" t="s">
        <v>7218</v>
      </c>
      <c r="K5369" s="12">
        <v>46029</v>
      </c>
      <c r="L5369" s="28" t="s">
        <v>11</v>
      </c>
      <c r="M5369" s="14"/>
      <c r="N5369" s="10" t="s">
        <v>1028</v>
      </c>
    </row>
    <row r="5370" spans="1:14" ht="22.5" customHeight="1">
      <c r="A5370" s="8">
        <v>46029.556223541666</v>
      </c>
      <c r="B5370" s="9" t="s">
        <v>14</v>
      </c>
      <c r="C5370" s="9" t="s">
        <v>15</v>
      </c>
      <c r="D5370" s="10" t="s">
        <v>11723</v>
      </c>
      <c r="E5370" s="9" t="s">
        <v>22</v>
      </c>
      <c r="F5370" s="10">
        <v>33</v>
      </c>
      <c r="G5370" s="11">
        <v>8164267540</v>
      </c>
      <c r="H5370" s="10" t="s">
        <v>11724</v>
      </c>
      <c r="I5370" s="10" t="s">
        <v>45</v>
      </c>
      <c r="J5370" s="10" t="s">
        <v>11637</v>
      </c>
      <c r="K5370" s="12">
        <v>46029</v>
      </c>
      <c r="L5370" s="28" t="s">
        <v>11</v>
      </c>
      <c r="M5370" s="10"/>
      <c r="N5370" s="10" t="s">
        <v>1096</v>
      </c>
    </row>
    <row r="5371" spans="1:14" ht="22.5" customHeight="1">
      <c r="A5371" s="8">
        <v>46029.557573020837</v>
      </c>
      <c r="B5371" s="9" t="s">
        <v>14</v>
      </c>
      <c r="C5371" s="9" t="s">
        <v>15</v>
      </c>
      <c r="D5371" s="10" t="s">
        <v>11725</v>
      </c>
      <c r="E5371" s="9" t="s">
        <v>17</v>
      </c>
      <c r="F5371" s="10">
        <v>31</v>
      </c>
      <c r="G5371" s="11">
        <f t="shared" ref="G5371" si="152">2348169173385</f>
        <v>2348169173385</v>
      </c>
      <c r="H5371" s="10" t="s">
        <v>11726</v>
      </c>
      <c r="I5371" s="10" t="s">
        <v>145</v>
      </c>
      <c r="J5371" s="10" t="s">
        <v>1607</v>
      </c>
      <c r="K5371" s="12">
        <v>46029</v>
      </c>
      <c r="L5371" s="28" t="s">
        <v>11</v>
      </c>
      <c r="M5371" s="14"/>
      <c r="N5371" s="10" t="s">
        <v>1096</v>
      </c>
    </row>
    <row r="5372" spans="1:14" ht="22.5" customHeight="1">
      <c r="A5372" s="8">
        <v>46029.561724027779</v>
      </c>
      <c r="B5372" s="9" t="s">
        <v>14</v>
      </c>
      <c r="C5372" s="9" t="s">
        <v>15</v>
      </c>
      <c r="D5372" s="10" t="s">
        <v>11727</v>
      </c>
      <c r="E5372" s="9" t="s">
        <v>22</v>
      </c>
      <c r="F5372" s="10">
        <v>24</v>
      </c>
      <c r="G5372" s="11">
        <v>9033276125</v>
      </c>
      <c r="H5372" s="10" t="s">
        <v>11728</v>
      </c>
      <c r="I5372" s="10" t="s">
        <v>45</v>
      </c>
      <c r="J5372" s="10" t="s">
        <v>84</v>
      </c>
      <c r="K5372" s="12">
        <v>46029</v>
      </c>
      <c r="L5372" s="28" t="s">
        <v>11</v>
      </c>
      <c r="M5372" s="10"/>
      <c r="N5372" s="10" t="s">
        <v>1028</v>
      </c>
    </row>
    <row r="5373" spans="1:14" ht="22.5" customHeight="1">
      <c r="A5373" s="8">
        <v>46029.56285425926</v>
      </c>
      <c r="B5373" s="9" t="s">
        <v>14</v>
      </c>
      <c r="C5373" s="9" t="s">
        <v>15</v>
      </c>
      <c r="D5373" s="10" t="s">
        <v>11729</v>
      </c>
      <c r="E5373" s="9" t="s">
        <v>17</v>
      </c>
      <c r="F5373" s="10">
        <v>26</v>
      </c>
      <c r="G5373" s="11">
        <v>9078525987</v>
      </c>
      <c r="H5373" s="10" t="s">
        <v>11730</v>
      </c>
      <c r="I5373" s="10" t="s">
        <v>49</v>
      </c>
      <c r="J5373" s="10" t="s">
        <v>160</v>
      </c>
      <c r="K5373" s="12">
        <v>46029</v>
      </c>
      <c r="L5373" s="28" t="s">
        <v>11</v>
      </c>
      <c r="M5373" s="14"/>
      <c r="N5373" s="10" t="s">
        <v>1028</v>
      </c>
    </row>
    <row r="5374" spans="1:14" ht="22.5" customHeight="1">
      <c r="A5374" s="8">
        <v>46029.56472289352</v>
      </c>
      <c r="B5374" s="9" t="s">
        <v>14</v>
      </c>
      <c r="C5374" s="9" t="s">
        <v>15</v>
      </c>
      <c r="D5374" s="10" t="s">
        <v>11731</v>
      </c>
      <c r="E5374" s="9" t="s">
        <v>17</v>
      </c>
      <c r="F5374" s="10">
        <v>38</v>
      </c>
      <c r="G5374" s="11">
        <v>7035300878</v>
      </c>
      <c r="H5374" s="10" t="s">
        <v>11732</v>
      </c>
      <c r="I5374" s="10" t="s">
        <v>31</v>
      </c>
      <c r="J5374" s="10" t="s">
        <v>11733</v>
      </c>
      <c r="K5374" s="12">
        <v>46029</v>
      </c>
      <c r="L5374" s="28" t="s">
        <v>11</v>
      </c>
      <c r="M5374" s="14"/>
      <c r="N5374" s="10" t="s">
        <v>1028</v>
      </c>
    </row>
    <row r="5375" spans="1:14" ht="22.5" customHeight="1">
      <c r="A5375" s="8">
        <v>46029.564971423606</v>
      </c>
      <c r="B5375" s="9" t="s">
        <v>14</v>
      </c>
      <c r="C5375" s="9" t="s">
        <v>15</v>
      </c>
      <c r="D5375" s="10" t="s">
        <v>11734</v>
      </c>
      <c r="E5375" s="9" t="s">
        <v>17</v>
      </c>
      <c r="F5375" s="10">
        <v>25</v>
      </c>
      <c r="G5375" s="11">
        <v>9163021194</v>
      </c>
      <c r="H5375" s="10" t="s">
        <v>11735</v>
      </c>
      <c r="I5375" s="10" t="s">
        <v>45</v>
      </c>
      <c r="J5375" s="10" t="s">
        <v>1919</v>
      </c>
      <c r="K5375" s="12">
        <v>46029</v>
      </c>
      <c r="L5375" s="28" t="s">
        <v>11</v>
      </c>
      <c r="M5375" s="14"/>
      <c r="N5375" s="10" t="s">
        <v>1028</v>
      </c>
    </row>
    <row r="5376" spans="1:14" ht="22.5" customHeight="1">
      <c r="A5376" s="8">
        <v>46029.569539849537</v>
      </c>
      <c r="B5376" s="9" t="s">
        <v>14</v>
      </c>
      <c r="C5376" s="9" t="s">
        <v>15</v>
      </c>
      <c r="D5376" s="10" t="s">
        <v>11736</v>
      </c>
      <c r="E5376" s="9" t="s">
        <v>17</v>
      </c>
      <c r="F5376" s="10">
        <v>26</v>
      </c>
      <c r="G5376" s="11">
        <v>7034366528</v>
      </c>
      <c r="H5376" s="10" t="s">
        <v>11737</v>
      </c>
      <c r="I5376" s="10" t="s">
        <v>19</v>
      </c>
      <c r="J5376" s="10" t="s">
        <v>5434</v>
      </c>
      <c r="K5376" s="12">
        <v>46029</v>
      </c>
      <c r="L5376" s="28" t="s">
        <v>11</v>
      </c>
      <c r="M5376" s="14"/>
      <c r="N5376" s="10" t="s">
        <v>1096</v>
      </c>
    </row>
    <row r="5377" spans="1:14" ht="22.5" customHeight="1">
      <c r="A5377" s="8">
        <v>46029.575001226855</v>
      </c>
      <c r="B5377" s="9" t="s">
        <v>14</v>
      </c>
      <c r="C5377" s="9" t="s">
        <v>15</v>
      </c>
      <c r="D5377" s="10" t="s">
        <v>11738</v>
      </c>
      <c r="E5377" s="9" t="s">
        <v>17</v>
      </c>
      <c r="F5377" s="10">
        <v>32</v>
      </c>
      <c r="G5377" s="11">
        <v>8134195717</v>
      </c>
      <c r="H5377" s="10" t="s">
        <v>11739</v>
      </c>
      <c r="I5377" s="10" t="s">
        <v>19</v>
      </c>
      <c r="J5377" s="10" t="s">
        <v>1664</v>
      </c>
      <c r="K5377" s="12">
        <v>46029</v>
      </c>
      <c r="L5377" s="28" t="s">
        <v>11</v>
      </c>
      <c r="M5377" s="14"/>
      <c r="N5377" s="10" t="s">
        <v>1489</v>
      </c>
    </row>
    <row r="5378" spans="1:14" ht="22.5" customHeight="1">
      <c r="A5378" s="8">
        <v>46029.575161620371</v>
      </c>
      <c r="B5378" s="9" t="s">
        <v>14</v>
      </c>
      <c r="C5378" s="9" t="s">
        <v>15</v>
      </c>
      <c r="D5378" s="10" t="s">
        <v>11740</v>
      </c>
      <c r="E5378" s="9" t="s">
        <v>17</v>
      </c>
      <c r="F5378" s="10">
        <v>24</v>
      </c>
      <c r="G5378" s="11">
        <f t="shared" ref="G5378" si="153">2349039630769</f>
        <v>2349039630769</v>
      </c>
      <c r="H5378" s="10" t="s">
        <v>11741</v>
      </c>
      <c r="I5378" s="10" t="s">
        <v>27</v>
      </c>
      <c r="J5378" s="10" t="s">
        <v>3399</v>
      </c>
      <c r="K5378" s="12">
        <v>46029</v>
      </c>
      <c r="L5378" s="28" t="s">
        <v>11</v>
      </c>
      <c r="M5378" s="14"/>
      <c r="N5378" s="10" t="s">
        <v>1096</v>
      </c>
    </row>
    <row r="5379" spans="1:14" ht="22.5" customHeight="1">
      <c r="A5379" s="8">
        <v>46029.576024108799</v>
      </c>
      <c r="B5379" s="9" t="s">
        <v>14</v>
      </c>
      <c r="C5379" s="9" t="s">
        <v>15</v>
      </c>
      <c r="D5379" s="10" t="s">
        <v>11742</v>
      </c>
      <c r="E5379" s="9" t="s">
        <v>22</v>
      </c>
      <c r="F5379" s="10">
        <v>24</v>
      </c>
      <c r="G5379" s="11">
        <v>9157657566</v>
      </c>
      <c r="H5379" s="10" t="s">
        <v>11743</v>
      </c>
      <c r="I5379" s="10" t="s">
        <v>145</v>
      </c>
      <c r="J5379" s="10" t="s">
        <v>11744</v>
      </c>
      <c r="K5379" s="12">
        <v>46029</v>
      </c>
      <c r="L5379" s="28" t="s">
        <v>11</v>
      </c>
      <c r="M5379" s="14"/>
      <c r="N5379" s="10" t="s">
        <v>1028</v>
      </c>
    </row>
    <row r="5380" spans="1:14" ht="22.5" customHeight="1">
      <c r="A5380" s="8">
        <v>46029.579180138884</v>
      </c>
      <c r="B5380" s="9" t="s">
        <v>14</v>
      </c>
      <c r="C5380" s="9" t="s">
        <v>15</v>
      </c>
      <c r="D5380" s="10" t="s">
        <v>11745</v>
      </c>
      <c r="E5380" s="9" t="s">
        <v>17</v>
      </c>
      <c r="F5380" s="10">
        <v>27</v>
      </c>
      <c r="G5380" s="11">
        <v>8141173749</v>
      </c>
      <c r="H5380" s="10" t="s">
        <v>11746</v>
      </c>
      <c r="I5380" s="10" t="s">
        <v>45</v>
      </c>
      <c r="J5380" s="10" t="s">
        <v>4998</v>
      </c>
      <c r="K5380" s="12">
        <v>46029</v>
      </c>
      <c r="L5380" s="28" t="s">
        <v>11</v>
      </c>
      <c r="M5380" s="14"/>
      <c r="N5380" s="10" t="s">
        <v>1028</v>
      </c>
    </row>
    <row r="5381" spans="1:14" ht="22.5" customHeight="1">
      <c r="A5381" s="8">
        <v>46029.58013037037</v>
      </c>
      <c r="B5381" s="9" t="s">
        <v>14</v>
      </c>
      <c r="C5381" s="9" t="s">
        <v>15</v>
      </c>
      <c r="D5381" s="10" t="s">
        <v>11747</v>
      </c>
      <c r="E5381" s="9" t="s">
        <v>22</v>
      </c>
      <c r="F5381" s="10">
        <v>28</v>
      </c>
      <c r="G5381" s="11">
        <v>7065653198</v>
      </c>
      <c r="H5381" s="10" t="s">
        <v>11748</v>
      </c>
      <c r="I5381" s="10" t="s">
        <v>49</v>
      </c>
      <c r="J5381" s="10" t="s">
        <v>106</v>
      </c>
      <c r="K5381" s="12">
        <v>46029</v>
      </c>
      <c r="L5381" s="28" t="s">
        <v>11</v>
      </c>
      <c r="M5381" s="14"/>
      <c r="N5381" s="10" t="s">
        <v>1028</v>
      </c>
    </row>
    <row r="5382" spans="1:14" ht="22.5" customHeight="1">
      <c r="A5382" s="8">
        <v>46029.580170694448</v>
      </c>
      <c r="B5382" s="9" t="s">
        <v>14</v>
      </c>
      <c r="C5382" s="9" t="s">
        <v>15</v>
      </c>
      <c r="D5382" s="10" t="s">
        <v>11749</v>
      </c>
      <c r="E5382" s="9" t="s">
        <v>17</v>
      </c>
      <c r="F5382" s="10">
        <v>23</v>
      </c>
      <c r="G5382" s="11">
        <v>8146576552</v>
      </c>
      <c r="H5382" s="10" t="s">
        <v>11750</v>
      </c>
      <c r="I5382" s="10" t="s">
        <v>19</v>
      </c>
      <c r="J5382" s="10" t="s">
        <v>3466</v>
      </c>
      <c r="K5382" s="12">
        <v>46029</v>
      </c>
      <c r="L5382" s="28" t="s">
        <v>11</v>
      </c>
      <c r="M5382" s="14"/>
      <c r="N5382" s="10" t="s">
        <v>1028</v>
      </c>
    </row>
    <row r="5383" spans="1:14" ht="22.5" customHeight="1">
      <c r="A5383" s="8">
        <v>46029.581748657409</v>
      </c>
      <c r="B5383" s="9" t="s">
        <v>14</v>
      </c>
      <c r="C5383" s="9" t="s">
        <v>15</v>
      </c>
      <c r="D5383" s="10" t="s">
        <v>11751</v>
      </c>
      <c r="E5383" s="9" t="s">
        <v>17</v>
      </c>
      <c r="F5383" s="10">
        <v>38</v>
      </c>
      <c r="G5383" s="11">
        <v>8032620254</v>
      </c>
      <c r="H5383" s="10" t="s">
        <v>11752</v>
      </c>
      <c r="I5383" s="10" t="s">
        <v>19</v>
      </c>
      <c r="J5383" s="10" t="s">
        <v>3495</v>
      </c>
      <c r="K5383" s="12">
        <v>46029</v>
      </c>
      <c r="L5383" s="28" t="s">
        <v>11</v>
      </c>
      <c r="M5383" s="14"/>
      <c r="N5383" s="10" t="s">
        <v>1028</v>
      </c>
    </row>
    <row r="5384" spans="1:14" ht="22.5" customHeight="1">
      <c r="A5384" s="8">
        <v>46029.582442418978</v>
      </c>
      <c r="B5384" s="9" t="s">
        <v>14</v>
      </c>
      <c r="C5384" s="9" t="s">
        <v>15</v>
      </c>
      <c r="D5384" s="10" t="s">
        <v>11753</v>
      </c>
      <c r="E5384" s="9" t="s">
        <v>22</v>
      </c>
      <c r="F5384" s="18">
        <v>27</v>
      </c>
      <c r="G5384" s="11">
        <v>9027863281</v>
      </c>
      <c r="H5384" s="10" t="s">
        <v>11754</v>
      </c>
      <c r="I5384" s="10" t="s">
        <v>45</v>
      </c>
      <c r="J5384" s="10" t="s">
        <v>125</v>
      </c>
      <c r="K5384" s="12">
        <v>46029</v>
      </c>
      <c r="L5384" s="28" t="s">
        <v>11</v>
      </c>
      <c r="M5384" s="14"/>
      <c r="N5384" s="10" t="s">
        <v>1028</v>
      </c>
    </row>
    <row r="5385" spans="1:14" ht="22.5" customHeight="1">
      <c r="A5385" s="8">
        <v>46029.582603807867</v>
      </c>
      <c r="B5385" s="9" t="s">
        <v>14</v>
      </c>
      <c r="C5385" s="9" t="s">
        <v>15</v>
      </c>
      <c r="D5385" s="10" t="s">
        <v>11755</v>
      </c>
      <c r="E5385" s="9" t="s">
        <v>22</v>
      </c>
      <c r="F5385" s="10">
        <v>25</v>
      </c>
      <c r="G5385" s="11">
        <f>2348063592119</f>
        <v>2348063592119</v>
      </c>
      <c r="H5385" s="10" t="s">
        <v>11756</v>
      </c>
      <c r="I5385" s="10" t="s">
        <v>45</v>
      </c>
      <c r="J5385" s="10" t="s">
        <v>1247</v>
      </c>
      <c r="K5385" s="12">
        <v>46029</v>
      </c>
      <c r="L5385" s="28" t="s">
        <v>11</v>
      </c>
      <c r="M5385" s="14"/>
      <c r="N5385" s="10" t="s">
        <v>1028</v>
      </c>
    </row>
    <row r="5386" spans="1:14" ht="22.5" customHeight="1">
      <c r="A5386" s="8">
        <v>46029.582732048613</v>
      </c>
      <c r="B5386" s="9" t="s">
        <v>14</v>
      </c>
      <c r="C5386" s="9" t="s">
        <v>15</v>
      </c>
      <c r="D5386" s="10" t="s">
        <v>11757</v>
      </c>
      <c r="E5386" s="9" t="s">
        <v>17</v>
      </c>
      <c r="F5386" s="10">
        <v>28</v>
      </c>
      <c r="G5386" s="11">
        <v>7068296797</v>
      </c>
      <c r="H5386" s="10" t="s">
        <v>11758</v>
      </c>
      <c r="I5386" s="10" t="s">
        <v>45</v>
      </c>
      <c r="J5386" s="10" t="s">
        <v>11759</v>
      </c>
      <c r="K5386" s="12">
        <v>46029</v>
      </c>
      <c r="L5386" s="28" t="s">
        <v>11</v>
      </c>
      <c r="M5386" s="14"/>
      <c r="N5386" s="10" t="s">
        <v>1096</v>
      </c>
    </row>
    <row r="5387" spans="1:14" ht="22.5" customHeight="1">
      <c r="A5387" s="8">
        <v>46029.588407187504</v>
      </c>
      <c r="B5387" s="9" t="s">
        <v>14</v>
      </c>
      <c r="C5387" s="9" t="s">
        <v>15</v>
      </c>
      <c r="D5387" s="10" t="s">
        <v>11760</v>
      </c>
      <c r="E5387" s="9" t="s">
        <v>17</v>
      </c>
      <c r="F5387" s="10">
        <v>31</v>
      </c>
      <c r="G5387" s="11">
        <v>8137937231</v>
      </c>
      <c r="H5387" s="10" t="s">
        <v>11761</v>
      </c>
      <c r="I5387" s="10" t="s">
        <v>49</v>
      </c>
      <c r="J5387" s="10" t="s">
        <v>11762</v>
      </c>
      <c r="K5387" s="12">
        <v>46029</v>
      </c>
      <c r="L5387" s="28" t="s">
        <v>11</v>
      </c>
      <c r="M5387" s="14"/>
      <c r="N5387" s="10" t="s">
        <v>1028</v>
      </c>
    </row>
    <row r="5388" spans="1:14" ht="22.5" customHeight="1">
      <c r="A5388" s="8">
        <v>46029.589598749997</v>
      </c>
      <c r="B5388" s="9" t="s">
        <v>14</v>
      </c>
      <c r="C5388" s="9" t="s">
        <v>15</v>
      </c>
      <c r="D5388" s="10" t="s">
        <v>11763</v>
      </c>
      <c r="E5388" s="9" t="s">
        <v>17</v>
      </c>
      <c r="F5388" s="10">
        <v>32</v>
      </c>
      <c r="G5388" s="11">
        <v>9082444312</v>
      </c>
      <c r="H5388" s="10" t="s">
        <v>11764</v>
      </c>
      <c r="I5388" s="10" t="s">
        <v>19</v>
      </c>
      <c r="J5388" s="10" t="s">
        <v>3466</v>
      </c>
      <c r="K5388" s="12">
        <v>46029</v>
      </c>
      <c r="L5388" s="28" t="s">
        <v>11</v>
      </c>
      <c r="M5388" s="14"/>
      <c r="N5388" s="10" t="s">
        <v>1028</v>
      </c>
    </row>
    <row r="5389" spans="1:14" ht="22.5" customHeight="1">
      <c r="A5389" s="8">
        <v>46029.592215671291</v>
      </c>
      <c r="B5389" s="9" t="s">
        <v>14</v>
      </c>
      <c r="C5389" s="9" t="s">
        <v>15</v>
      </c>
      <c r="D5389" s="10" t="s">
        <v>11765</v>
      </c>
      <c r="E5389" s="9" t="s">
        <v>17</v>
      </c>
      <c r="F5389" s="10">
        <v>26</v>
      </c>
      <c r="G5389" s="11">
        <v>535494392</v>
      </c>
      <c r="H5389" s="10" t="s">
        <v>11766</v>
      </c>
      <c r="I5389" s="10" t="s">
        <v>49</v>
      </c>
      <c r="J5389" s="10" t="s">
        <v>106</v>
      </c>
      <c r="K5389" s="12">
        <v>46029</v>
      </c>
      <c r="L5389" s="28" t="s">
        <v>11</v>
      </c>
      <c r="M5389" s="14"/>
      <c r="N5389" s="10" t="s">
        <v>1563</v>
      </c>
    </row>
    <row r="5390" spans="1:14" ht="22.5" customHeight="1">
      <c r="A5390" s="8">
        <v>46029.592740208333</v>
      </c>
      <c r="B5390" s="9" t="s">
        <v>14</v>
      </c>
      <c r="C5390" s="9" t="s">
        <v>15</v>
      </c>
      <c r="D5390" s="10" t="s">
        <v>11767</v>
      </c>
      <c r="E5390" s="9" t="s">
        <v>17</v>
      </c>
      <c r="F5390" s="10">
        <v>35</v>
      </c>
      <c r="G5390" s="11">
        <v>8164851090</v>
      </c>
      <c r="H5390" s="10" t="s">
        <v>11768</v>
      </c>
      <c r="I5390" s="10" t="s">
        <v>45</v>
      </c>
      <c r="J5390" s="10" t="s">
        <v>509</v>
      </c>
      <c r="K5390" s="12">
        <v>46029</v>
      </c>
      <c r="L5390" s="28" t="s">
        <v>11</v>
      </c>
      <c r="M5390" s="14"/>
      <c r="N5390" s="10" t="s">
        <v>1096</v>
      </c>
    </row>
    <row r="5391" spans="1:14" ht="22.5" customHeight="1">
      <c r="A5391" s="8">
        <v>46029.592882928242</v>
      </c>
      <c r="B5391" s="9" t="s">
        <v>14</v>
      </c>
      <c r="C5391" s="9" t="s">
        <v>15</v>
      </c>
      <c r="D5391" s="10" t="s">
        <v>11769</v>
      </c>
      <c r="E5391" s="9" t="s">
        <v>17</v>
      </c>
      <c r="F5391" s="10">
        <v>23</v>
      </c>
      <c r="G5391" s="11">
        <f t="shared" ref="G5391" si="154">22673907511</f>
        <v>22673907511</v>
      </c>
      <c r="H5391" s="10" t="s">
        <v>11770</v>
      </c>
      <c r="I5391" s="10" t="s">
        <v>49</v>
      </c>
      <c r="J5391" s="35" t="s">
        <v>11771</v>
      </c>
      <c r="K5391" s="12">
        <v>46204</v>
      </c>
      <c r="L5391" s="28" t="s">
        <v>11</v>
      </c>
      <c r="M5391" s="14"/>
      <c r="N5391" s="10" t="s">
        <v>1028</v>
      </c>
    </row>
    <row r="5392" spans="1:14" ht="22.5" customHeight="1">
      <c r="A5392" s="8">
        <v>46029.596980590279</v>
      </c>
      <c r="B5392" s="9" t="s">
        <v>14</v>
      </c>
      <c r="C5392" s="9" t="s">
        <v>15</v>
      </c>
      <c r="D5392" s="10" t="s">
        <v>11772</v>
      </c>
      <c r="E5392" s="9" t="s">
        <v>17</v>
      </c>
      <c r="F5392" s="10">
        <v>26</v>
      </c>
      <c r="G5392" s="11">
        <v>9067590481</v>
      </c>
      <c r="H5392" s="10" t="s">
        <v>11773</v>
      </c>
      <c r="I5392" s="10" t="s">
        <v>145</v>
      </c>
      <c r="J5392" s="10" t="s">
        <v>3614</v>
      </c>
      <c r="K5392" s="12">
        <v>46029</v>
      </c>
      <c r="L5392" s="28" t="s">
        <v>11</v>
      </c>
      <c r="M5392" s="14"/>
      <c r="N5392" s="10" t="s">
        <v>1096</v>
      </c>
    </row>
    <row r="5393" spans="1:14" ht="22.5" customHeight="1">
      <c r="A5393" s="8">
        <v>46029.597568333338</v>
      </c>
      <c r="B5393" s="9" t="s">
        <v>14</v>
      </c>
      <c r="C5393" s="9" t="s">
        <v>15</v>
      </c>
      <c r="D5393" s="10" t="s">
        <v>11774</v>
      </c>
      <c r="E5393" s="9" t="s">
        <v>22</v>
      </c>
      <c r="F5393" s="10">
        <v>26</v>
      </c>
      <c r="G5393" s="11">
        <f t="shared" ref="G5393" si="155">250788987789</f>
        <v>250788987789</v>
      </c>
      <c r="H5393" s="10" t="s">
        <v>11775</v>
      </c>
      <c r="I5393" s="10" t="s">
        <v>202</v>
      </c>
      <c r="J5393" s="10" t="s">
        <v>1839</v>
      </c>
      <c r="K5393" s="12">
        <v>46029</v>
      </c>
      <c r="L5393" s="28" t="s">
        <v>11</v>
      </c>
      <c r="M5393" s="14"/>
      <c r="N5393" s="10" t="s">
        <v>1563</v>
      </c>
    </row>
    <row r="5394" spans="1:14" ht="22.5" customHeight="1">
      <c r="A5394" s="8">
        <v>46029.598658750001</v>
      </c>
      <c r="B5394" s="9" t="s">
        <v>14</v>
      </c>
      <c r="C5394" s="9" t="s">
        <v>15</v>
      </c>
      <c r="D5394" s="10" t="s">
        <v>11776</v>
      </c>
      <c r="E5394" s="9" t="s">
        <v>17</v>
      </c>
      <c r="F5394" s="10">
        <v>25</v>
      </c>
      <c r="G5394" s="11">
        <v>8110893483</v>
      </c>
      <c r="H5394" s="10" t="s">
        <v>11777</v>
      </c>
      <c r="I5394" s="10" t="s">
        <v>49</v>
      </c>
      <c r="J5394" s="10" t="s">
        <v>11778</v>
      </c>
      <c r="K5394" s="12">
        <v>46029</v>
      </c>
      <c r="L5394" s="28" t="s">
        <v>11</v>
      </c>
      <c r="M5394" s="14"/>
      <c r="N5394" s="10" t="s">
        <v>1028</v>
      </c>
    </row>
    <row r="5395" spans="1:14" ht="22.5" customHeight="1">
      <c r="A5395" s="8">
        <v>46029.600084039354</v>
      </c>
      <c r="B5395" s="9" t="s">
        <v>14</v>
      </c>
      <c r="C5395" s="9" t="s">
        <v>15</v>
      </c>
      <c r="D5395" s="10" t="s">
        <v>11779</v>
      </c>
      <c r="E5395" s="9" t="s">
        <v>17</v>
      </c>
      <c r="F5395" s="10">
        <v>26</v>
      </c>
      <c r="G5395" s="11">
        <v>8146325863</v>
      </c>
      <c r="H5395" s="10" t="s">
        <v>11780</v>
      </c>
      <c r="I5395" s="10" t="s">
        <v>27</v>
      </c>
      <c r="J5395" s="10" t="s">
        <v>1288</v>
      </c>
      <c r="K5395" s="12">
        <v>46029</v>
      </c>
      <c r="L5395" s="28" t="s">
        <v>11</v>
      </c>
      <c r="M5395" s="14"/>
      <c r="N5395" s="10" t="s">
        <v>1028</v>
      </c>
    </row>
    <row r="5396" spans="1:14" ht="22.5" customHeight="1">
      <c r="A5396" s="8">
        <v>46029.600434583335</v>
      </c>
      <c r="B5396" s="9" t="s">
        <v>14</v>
      </c>
      <c r="C5396" s="9" t="s">
        <v>15</v>
      </c>
      <c r="D5396" s="10" t="s">
        <v>11781</v>
      </c>
      <c r="E5396" s="9" t="s">
        <v>22</v>
      </c>
      <c r="F5396" s="10">
        <v>26</v>
      </c>
      <c r="G5396" s="11">
        <v>9033235281</v>
      </c>
      <c r="H5396" s="10" t="s">
        <v>11782</v>
      </c>
      <c r="I5396" s="10" t="s">
        <v>202</v>
      </c>
      <c r="J5396" s="10" t="s">
        <v>4020</v>
      </c>
      <c r="K5396" s="12">
        <v>46029</v>
      </c>
      <c r="L5396" s="28" t="s">
        <v>11</v>
      </c>
      <c r="M5396" s="14"/>
      <c r="N5396" s="10" t="s">
        <v>1096</v>
      </c>
    </row>
    <row r="5397" spans="1:14" ht="22.5" customHeight="1">
      <c r="A5397" s="8">
        <v>46029.60107315972</v>
      </c>
      <c r="B5397" s="9" t="s">
        <v>14</v>
      </c>
      <c r="C5397" s="9" t="s">
        <v>15</v>
      </c>
      <c r="D5397" s="10" t="s">
        <v>11783</v>
      </c>
      <c r="E5397" s="9" t="s">
        <v>22</v>
      </c>
      <c r="F5397" s="10">
        <v>28</v>
      </c>
      <c r="G5397" s="11">
        <v>8106096766</v>
      </c>
      <c r="H5397" s="10" t="s">
        <v>11784</v>
      </c>
      <c r="I5397" s="10" t="s">
        <v>31</v>
      </c>
      <c r="J5397" s="10" t="s">
        <v>32</v>
      </c>
      <c r="K5397" s="12">
        <v>46029</v>
      </c>
      <c r="L5397" s="28" t="s">
        <v>11</v>
      </c>
      <c r="M5397" s="14"/>
      <c r="N5397" s="10" t="s">
        <v>1028</v>
      </c>
    </row>
    <row r="5398" spans="1:14" ht="22.5" customHeight="1">
      <c r="A5398" s="8">
        <v>46029.604530925921</v>
      </c>
      <c r="B5398" s="9" t="s">
        <v>14</v>
      </c>
      <c r="C5398" s="9" t="s">
        <v>15</v>
      </c>
      <c r="D5398" s="10" t="s">
        <v>11785</v>
      </c>
      <c r="E5398" s="9" t="s">
        <v>22</v>
      </c>
      <c r="F5398" s="10">
        <v>25</v>
      </c>
      <c r="G5398" s="11">
        <v>8142227239</v>
      </c>
      <c r="H5398" s="10" t="s">
        <v>11786</v>
      </c>
      <c r="I5398" s="10" t="s">
        <v>27</v>
      </c>
      <c r="J5398" s="10" t="s">
        <v>67</v>
      </c>
      <c r="K5398" s="12">
        <v>46029</v>
      </c>
      <c r="L5398" s="28" t="s">
        <v>11</v>
      </c>
      <c r="M5398" s="14"/>
      <c r="N5398" s="10" t="s">
        <v>1028</v>
      </c>
    </row>
    <row r="5399" spans="1:14" ht="22.5" customHeight="1">
      <c r="A5399" s="8">
        <v>46029.605576388887</v>
      </c>
      <c r="B5399" s="9" t="s">
        <v>14</v>
      </c>
      <c r="C5399" s="9" t="s">
        <v>15</v>
      </c>
      <c r="D5399" s="10" t="s">
        <v>11787</v>
      </c>
      <c r="E5399" s="9" t="s">
        <v>17</v>
      </c>
      <c r="F5399" s="10">
        <v>30</v>
      </c>
      <c r="G5399" s="11">
        <v>8101012698</v>
      </c>
      <c r="H5399" s="10" t="s">
        <v>11788</v>
      </c>
      <c r="I5399" s="10" t="s">
        <v>19</v>
      </c>
      <c r="J5399" s="10" t="s">
        <v>11789</v>
      </c>
      <c r="K5399" s="12">
        <v>46029</v>
      </c>
      <c r="L5399" s="28" t="s">
        <v>11</v>
      </c>
      <c r="M5399" s="14"/>
      <c r="N5399" s="10" t="s">
        <v>1028</v>
      </c>
    </row>
    <row r="5400" spans="1:14" ht="22.5" customHeight="1">
      <c r="A5400" s="8">
        <v>46029.610847534721</v>
      </c>
      <c r="B5400" s="9" t="s">
        <v>14</v>
      </c>
      <c r="C5400" s="9" t="s">
        <v>15</v>
      </c>
      <c r="D5400" s="10" t="s">
        <v>11790</v>
      </c>
      <c r="E5400" s="9" t="s">
        <v>17</v>
      </c>
      <c r="F5400" s="10">
        <v>27</v>
      </c>
      <c r="G5400" s="11">
        <v>8035007531</v>
      </c>
      <c r="H5400" s="10" t="s">
        <v>11791</v>
      </c>
      <c r="I5400" s="10" t="s">
        <v>202</v>
      </c>
      <c r="J5400" s="10" t="s">
        <v>4020</v>
      </c>
      <c r="K5400" s="12">
        <v>46029</v>
      </c>
      <c r="L5400" s="28" t="s">
        <v>11</v>
      </c>
      <c r="M5400" s="14"/>
      <c r="N5400" s="10" t="s">
        <v>1028</v>
      </c>
    </row>
    <row r="5401" spans="1:14" ht="22.5" customHeight="1">
      <c r="A5401" s="8">
        <v>46029.613781377317</v>
      </c>
      <c r="B5401" s="9" t="s">
        <v>14</v>
      </c>
      <c r="C5401" s="9" t="s">
        <v>15</v>
      </c>
      <c r="D5401" s="10" t="s">
        <v>11792</v>
      </c>
      <c r="E5401" s="9" t="s">
        <v>22</v>
      </c>
      <c r="F5401" s="10">
        <v>26</v>
      </c>
      <c r="G5401" s="11">
        <v>9066105214</v>
      </c>
      <c r="H5401" s="10" t="s">
        <v>11793</v>
      </c>
      <c r="I5401" s="10" t="s">
        <v>145</v>
      </c>
      <c r="J5401" s="10" t="s">
        <v>145</v>
      </c>
      <c r="K5401" s="12">
        <v>46029</v>
      </c>
      <c r="L5401" s="28" t="s">
        <v>11</v>
      </c>
      <c r="M5401" s="14"/>
      <c r="N5401" s="10" t="s">
        <v>1028</v>
      </c>
    </row>
    <row r="5402" spans="1:14" ht="22.5" customHeight="1">
      <c r="A5402" s="8">
        <v>46029.616240405092</v>
      </c>
      <c r="B5402" s="9" t="s">
        <v>14</v>
      </c>
      <c r="C5402" s="9" t="s">
        <v>15</v>
      </c>
      <c r="D5402" s="10" t="s">
        <v>11794</v>
      </c>
      <c r="E5402" s="9" t="s">
        <v>17</v>
      </c>
      <c r="F5402" s="10">
        <v>20</v>
      </c>
      <c r="G5402" s="11">
        <v>9049578683</v>
      </c>
      <c r="H5402" s="10" t="s">
        <v>11795</v>
      </c>
      <c r="I5402" s="10" t="s">
        <v>49</v>
      </c>
      <c r="J5402" s="10" t="s">
        <v>109</v>
      </c>
      <c r="K5402" s="12">
        <v>46029</v>
      </c>
      <c r="L5402" s="28" t="s">
        <v>11</v>
      </c>
      <c r="M5402" s="10"/>
      <c r="N5402" s="10" t="s">
        <v>11796</v>
      </c>
    </row>
    <row r="5403" spans="1:14" ht="22.5" customHeight="1">
      <c r="A5403" s="8">
        <v>46029.617004965279</v>
      </c>
      <c r="B5403" s="9" t="s">
        <v>14</v>
      </c>
      <c r="C5403" s="9" t="s">
        <v>15</v>
      </c>
      <c r="D5403" s="10" t="s">
        <v>11797</v>
      </c>
      <c r="E5403" s="9" t="s">
        <v>17</v>
      </c>
      <c r="F5403" s="10">
        <v>32</v>
      </c>
      <c r="G5403" s="11">
        <v>8164476093</v>
      </c>
      <c r="H5403" s="10" t="s">
        <v>11798</v>
      </c>
      <c r="I5403" s="10" t="s">
        <v>27</v>
      </c>
      <c r="J5403" s="10" t="s">
        <v>2669</v>
      </c>
      <c r="K5403" s="12">
        <v>46029</v>
      </c>
      <c r="L5403" s="28" t="s">
        <v>11</v>
      </c>
      <c r="M5403" s="14"/>
      <c r="N5403" s="10" t="s">
        <v>1028</v>
      </c>
    </row>
    <row r="5404" spans="1:14" ht="22.5" customHeight="1">
      <c r="A5404" s="8">
        <v>46029.619043171297</v>
      </c>
      <c r="B5404" s="9" t="s">
        <v>14</v>
      </c>
      <c r="C5404" s="9" t="s">
        <v>15</v>
      </c>
      <c r="D5404" s="10" t="s">
        <v>11799</v>
      </c>
      <c r="E5404" s="9" t="s">
        <v>22</v>
      </c>
      <c r="F5404" s="10">
        <v>26</v>
      </c>
      <c r="G5404" s="11">
        <v>9075050861</v>
      </c>
      <c r="H5404" s="10" t="s">
        <v>11800</v>
      </c>
      <c r="I5404" s="10" t="s">
        <v>49</v>
      </c>
      <c r="J5404" s="10" t="s">
        <v>109</v>
      </c>
      <c r="K5404" s="12">
        <v>46029</v>
      </c>
      <c r="L5404" s="28" t="s">
        <v>11</v>
      </c>
      <c r="M5404" s="14"/>
      <c r="N5404" s="10" t="s">
        <v>1096</v>
      </c>
    </row>
    <row r="5405" spans="1:14" ht="22.5" customHeight="1">
      <c r="A5405" s="8">
        <v>46029.620780231482</v>
      </c>
      <c r="B5405" s="9" t="s">
        <v>14</v>
      </c>
      <c r="C5405" s="9" t="s">
        <v>15</v>
      </c>
      <c r="D5405" s="10" t="s">
        <v>11801</v>
      </c>
      <c r="E5405" s="9" t="s">
        <v>17</v>
      </c>
      <c r="F5405" s="10">
        <v>26</v>
      </c>
      <c r="G5405" s="11">
        <v>9060910192</v>
      </c>
      <c r="H5405" s="10" t="s">
        <v>11802</v>
      </c>
      <c r="I5405" s="10" t="s">
        <v>27</v>
      </c>
      <c r="J5405" s="10" t="s">
        <v>27</v>
      </c>
      <c r="K5405" s="12">
        <v>46204</v>
      </c>
      <c r="L5405" s="28" t="s">
        <v>11</v>
      </c>
      <c r="M5405" s="14"/>
      <c r="N5405" s="10" t="s">
        <v>1035</v>
      </c>
    </row>
    <row r="5406" spans="1:14" ht="22.5" customHeight="1">
      <c r="A5406" s="8">
        <v>46029.624003229168</v>
      </c>
      <c r="B5406" s="9" t="s">
        <v>14</v>
      </c>
      <c r="C5406" s="9" t="s">
        <v>15</v>
      </c>
      <c r="D5406" s="10" t="s">
        <v>11803</v>
      </c>
      <c r="E5406" s="9" t="s">
        <v>22</v>
      </c>
      <c r="F5406" s="10">
        <v>19</v>
      </c>
      <c r="G5406" s="11">
        <v>7019305616</v>
      </c>
      <c r="H5406" s="10" t="s">
        <v>11804</v>
      </c>
      <c r="I5406" s="10" t="s">
        <v>45</v>
      </c>
      <c r="J5406" s="10" t="s">
        <v>6827</v>
      </c>
      <c r="K5406" s="12">
        <v>46029</v>
      </c>
      <c r="L5406" s="28" t="s">
        <v>11</v>
      </c>
      <c r="M5406" s="14"/>
      <c r="N5406" s="10" t="s">
        <v>1028</v>
      </c>
    </row>
    <row r="5407" spans="1:14" ht="22.5" customHeight="1">
      <c r="A5407" s="8">
        <v>46029.624122731482</v>
      </c>
      <c r="B5407" s="9" t="s">
        <v>14</v>
      </c>
      <c r="C5407" s="9" t="s">
        <v>15</v>
      </c>
      <c r="D5407" s="10" t="s">
        <v>11805</v>
      </c>
      <c r="E5407" s="9" t="s">
        <v>17</v>
      </c>
      <c r="F5407" s="10">
        <v>40</v>
      </c>
      <c r="G5407" s="11">
        <v>8068574772</v>
      </c>
      <c r="H5407" s="10" t="s">
        <v>11806</v>
      </c>
      <c r="I5407" s="10" t="s">
        <v>202</v>
      </c>
      <c r="J5407" s="10" t="s">
        <v>3437</v>
      </c>
      <c r="K5407" s="12">
        <v>46029</v>
      </c>
      <c r="L5407" s="28" t="s">
        <v>11</v>
      </c>
      <c r="M5407" s="14"/>
      <c r="N5407" s="10" t="s">
        <v>1028</v>
      </c>
    </row>
    <row r="5408" spans="1:14" ht="22.5" customHeight="1">
      <c r="A5408" s="8">
        <v>46029.627428113425</v>
      </c>
      <c r="B5408" s="9" t="s">
        <v>14</v>
      </c>
      <c r="C5408" s="9" t="s">
        <v>15</v>
      </c>
      <c r="D5408" s="10" t="s">
        <v>11807</v>
      </c>
      <c r="E5408" s="9" t="s">
        <v>17</v>
      </c>
      <c r="F5408" s="10">
        <v>29</v>
      </c>
      <c r="G5408" s="11">
        <v>9035974971</v>
      </c>
      <c r="H5408" s="10" t="s">
        <v>11808</v>
      </c>
      <c r="I5408" s="10" t="s">
        <v>31</v>
      </c>
      <c r="J5408" s="10" t="s">
        <v>1582</v>
      </c>
      <c r="K5408" s="12">
        <v>46029</v>
      </c>
      <c r="L5408" s="28" t="s">
        <v>11</v>
      </c>
      <c r="M5408" s="14"/>
      <c r="N5408" s="10" t="s">
        <v>1028</v>
      </c>
    </row>
    <row r="5409" spans="1:14" ht="22.5" customHeight="1">
      <c r="A5409" s="8">
        <v>46029.62947782407</v>
      </c>
      <c r="B5409" s="9" t="s">
        <v>14</v>
      </c>
      <c r="C5409" s="9" t="s">
        <v>15</v>
      </c>
      <c r="D5409" s="10" t="s">
        <v>11809</v>
      </c>
      <c r="E5409" s="9" t="s">
        <v>22</v>
      </c>
      <c r="F5409" s="10">
        <v>29</v>
      </c>
      <c r="G5409" s="11">
        <v>8165641711</v>
      </c>
      <c r="H5409" s="10" t="s">
        <v>11810</v>
      </c>
      <c r="I5409" s="10" t="s">
        <v>19</v>
      </c>
      <c r="J5409" s="10" t="s">
        <v>8651</v>
      </c>
      <c r="K5409" s="12">
        <v>46029</v>
      </c>
      <c r="L5409" s="28" t="s">
        <v>11</v>
      </c>
      <c r="M5409" s="14"/>
      <c r="N5409" s="10" t="s">
        <v>1028</v>
      </c>
    </row>
    <row r="5410" spans="1:14" ht="22.5" customHeight="1">
      <c r="A5410" s="8">
        <v>46029.63122836806</v>
      </c>
      <c r="B5410" s="9" t="s">
        <v>14</v>
      </c>
      <c r="C5410" s="9" t="s">
        <v>15</v>
      </c>
      <c r="D5410" s="10" t="s">
        <v>11811</v>
      </c>
      <c r="E5410" s="9" t="s">
        <v>17</v>
      </c>
      <c r="F5410" s="10">
        <v>32</v>
      </c>
      <c r="G5410" s="11">
        <v>8030617387</v>
      </c>
      <c r="H5410" s="10" t="s">
        <v>11812</v>
      </c>
      <c r="I5410" s="10" t="s">
        <v>19</v>
      </c>
      <c r="J5410" s="10" t="s">
        <v>3495</v>
      </c>
      <c r="K5410" s="12">
        <v>46029</v>
      </c>
      <c r="L5410" s="28" t="s">
        <v>11</v>
      </c>
      <c r="M5410" s="14"/>
      <c r="N5410" s="10" t="s">
        <v>1028</v>
      </c>
    </row>
    <row r="5411" spans="1:14" ht="22.5" customHeight="1">
      <c r="A5411" s="8">
        <v>46029.632051516208</v>
      </c>
      <c r="B5411" s="9" t="s">
        <v>14</v>
      </c>
      <c r="C5411" s="9" t="s">
        <v>15</v>
      </c>
      <c r="D5411" s="10" t="s">
        <v>11813</v>
      </c>
      <c r="E5411" s="9" t="s">
        <v>17</v>
      </c>
      <c r="F5411" s="10">
        <v>32</v>
      </c>
      <c r="G5411" s="11">
        <v>7062848915</v>
      </c>
      <c r="H5411" s="10" t="s">
        <v>11814</v>
      </c>
      <c r="I5411" s="10" t="s">
        <v>19</v>
      </c>
      <c r="J5411" s="10" t="s">
        <v>11815</v>
      </c>
      <c r="K5411" s="12">
        <v>46029</v>
      </c>
      <c r="L5411" s="28" t="s">
        <v>11</v>
      </c>
      <c r="M5411" s="14"/>
      <c r="N5411" s="10" t="s">
        <v>1028</v>
      </c>
    </row>
    <row r="5412" spans="1:14" ht="22.5" customHeight="1">
      <c r="A5412" s="8">
        <v>46029.632203368055</v>
      </c>
      <c r="B5412" s="9" t="s">
        <v>14</v>
      </c>
      <c r="C5412" s="9" t="s">
        <v>15</v>
      </c>
      <c r="D5412" s="10" t="s">
        <v>11816</v>
      </c>
      <c r="E5412" s="9" t="s">
        <v>17</v>
      </c>
      <c r="F5412" s="10">
        <v>28</v>
      </c>
      <c r="G5412" s="11">
        <v>8119852508</v>
      </c>
      <c r="H5412" s="10" t="s">
        <v>11817</v>
      </c>
      <c r="I5412" s="10" t="s">
        <v>27</v>
      </c>
      <c r="J5412" s="10" t="s">
        <v>94</v>
      </c>
      <c r="K5412" s="12">
        <v>46029</v>
      </c>
      <c r="L5412" s="28" t="s">
        <v>11</v>
      </c>
      <c r="M5412" s="14"/>
      <c r="N5412" s="10" t="s">
        <v>1028</v>
      </c>
    </row>
    <row r="5413" spans="1:14" ht="22.5" customHeight="1">
      <c r="A5413" s="8">
        <v>46029.632958090282</v>
      </c>
      <c r="B5413" s="9" t="s">
        <v>14</v>
      </c>
      <c r="C5413" s="9" t="s">
        <v>15</v>
      </c>
      <c r="D5413" s="10" t="s">
        <v>11818</v>
      </c>
      <c r="E5413" s="9" t="s">
        <v>17</v>
      </c>
      <c r="F5413" s="10">
        <v>33</v>
      </c>
      <c r="G5413" s="11">
        <v>8139984324</v>
      </c>
      <c r="H5413" s="10" t="s">
        <v>11819</v>
      </c>
      <c r="I5413" s="10" t="s">
        <v>202</v>
      </c>
      <c r="J5413" s="10" t="s">
        <v>3482</v>
      </c>
      <c r="K5413" s="12">
        <v>46029</v>
      </c>
      <c r="L5413" s="28" t="s">
        <v>11</v>
      </c>
      <c r="M5413" s="14"/>
      <c r="N5413" s="10" t="s">
        <v>1028</v>
      </c>
    </row>
    <row r="5414" spans="1:14" ht="22.5" customHeight="1">
      <c r="A5414" s="8">
        <v>46029.634446643518</v>
      </c>
      <c r="B5414" s="9" t="s">
        <v>14</v>
      </c>
      <c r="C5414" s="9" t="s">
        <v>15</v>
      </c>
      <c r="D5414" s="10" t="s">
        <v>11820</v>
      </c>
      <c r="E5414" s="9" t="s">
        <v>17</v>
      </c>
      <c r="F5414" s="10">
        <v>28</v>
      </c>
      <c r="G5414" s="11">
        <v>9045174330</v>
      </c>
      <c r="H5414" s="10" t="s">
        <v>11821</v>
      </c>
      <c r="I5414" s="10" t="s">
        <v>31</v>
      </c>
      <c r="J5414" s="10" t="s">
        <v>32</v>
      </c>
      <c r="K5414" s="12">
        <v>46029</v>
      </c>
      <c r="L5414" s="28" t="s">
        <v>11</v>
      </c>
      <c r="M5414" s="14"/>
      <c r="N5414" s="10" t="s">
        <v>1028</v>
      </c>
    </row>
    <row r="5415" spans="1:14" ht="22.5" customHeight="1">
      <c r="A5415" s="8">
        <v>46029.635620972222</v>
      </c>
      <c r="B5415" s="9" t="s">
        <v>14</v>
      </c>
      <c r="C5415" s="9" t="s">
        <v>15</v>
      </c>
      <c r="D5415" s="10" t="s">
        <v>11822</v>
      </c>
      <c r="E5415" s="9" t="s">
        <v>17</v>
      </c>
      <c r="F5415" s="10">
        <v>35</v>
      </c>
      <c r="G5415" s="11">
        <v>7066702879</v>
      </c>
      <c r="H5415" s="10" t="s">
        <v>11823</v>
      </c>
      <c r="I5415" s="10" t="s">
        <v>31</v>
      </c>
      <c r="J5415" s="10" t="s">
        <v>2358</v>
      </c>
      <c r="K5415" s="12">
        <v>46029</v>
      </c>
      <c r="L5415" s="28" t="s">
        <v>11</v>
      </c>
      <c r="M5415" s="14"/>
      <c r="N5415" s="10" t="s">
        <v>1028</v>
      </c>
    </row>
    <row r="5416" spans="1:14" ht="22.5" customHeight="1">
      <c r="A5416" s="8">
        <v>46029.636251273143</v>
      </c>
      <c r="B5416" s="9" t="s">
        <v>14</v>
      </c>
      <c r="C5416" s="9" t="s">
        <v>15</v>
      </c>
      <c r="D5416" s="10" t="s">
        <v>11824</v>
      </c>
      <c r="E5416" s="9" t="s">
        <v>22</v>
      </c>
      <c r="F5416" s="10">
        <v>32</v>
      </c>
      <c r="G5416" s="11">
        <v>8131836520</v>
      </c>
      <c r="H5416" s="10" t="s">
        <v>11825</v>
      </c>
      <c r="I5416" s="10" t="s">
        <v>145</v>
      </c>
      <c r="J5416" s="10" t="s">
        <v>11826</v>
      </c>
      <c r="K5416" s="12">
        <v>46029</v>
      </c>
      <c r="L5416" s="28" t="s">
        <v>11</v>
      </c>
      <c r="M5416" s="14"/>
      <c r="N5416" s="10" t="s">
        <v>1028</v>
      </c>
    </row>
    <row r="5417" spans="1:14" ht="22.5" customHeight="1">
      <c r="A5417" s="8">
        <v>46029.637069131946</v>
      </c>
      <c r="B5417" s="9" t="s">
        <v>14</v>
      </c>
      <c r="C5417" s="9" t="s">
        <v>15</v>
      </c>
      <c r="D5417" s="10" t="s">
        <v>11827</v>
      </c>
      <c r="E5417" s="9" t="s">
        <v>22</v>
      </c>
      <c r="F5417" s="10">
        <v>21</v>
      </c>
      <c r="G5417" s="11">
        <v>9052213484</v>
      </c>
      <c r="H5417" s="10" t="s">
        <v>11828</v>
      </c>
      <c r="I5417" s="10" t="s">
        <v>45</v>
      </c>
      <c r="J5417" s="10" t="s">
        <v>11829</v>
      </c>
      <c r="K5417" s="12">
        <v>46029</v>
      </c>
      <c r="L5417" s="28" t="s">
        <v>11</v>
      </c>
      <c r="M5417" s="14"/>
      <c r="N5417" s="10" t="s">
        <v>1028</v>
      </c>
    </row>
    <row r="5418" spans="1:14" ht="22.5" customHeight="1">
      <c r="A5418" s="8">
        <v>46029.637474143514</v>
      </c>
      <c r="B5418" s="9" t="s">
        <v>14</v>
      </c>
      <c r="C5418" s="9" t="s">
        <v>15</v>
      </c>
      <c r="D5418" s="10" t="s">
        <v>11830</v>
      </c>
      <c r="E5418" s="9" t="s">
        <v>17</v>
      </c>
      <c r="F5418" s="10">
        <v>18</v>
      </c>
      <c r="G5418" s="11">
        <v>9024593946</v>
      </c>
      <c r="H5418" s="10" t="s">
        <v>11831</v>
      </c>
      <c r="I5418" s="10" t="s">
        <v>45</v>
      </c>
      <c r="J5418" s="10" t="s">
        <v>932</v>
      </c>
      <c r="K5418" s="12">
        <v>46029</v>
      </c>
      <c r="L5418" s="28" t="s">
        <v>11</v>
      </c>
      <c r="M5418" s="14"/>
      <c r="N5418" s="10" t="s">
        <v>1028</v>
      </c>
    </row>
    <row r="5419" spans="1:14" ht="22.5" customHeight="1">
      <c r="A5419" s="8">
        <v>46029.64038813657</v>
      </c>
      <c r="B5419" s="9" t="s">
        <v>14</v>
      </c>
      <c r="C5419" s="9" t="s">
        <v>15</v>
      </c>
      <c r="D5419" s="10" t="s">
        <v>11832</v>
      </c>
      <c r="E5419" s="9" t="s">
        <v>17</v>
      </c>
      <c r="F5419" s="10">
        <v>24</v>
      </c>
      <c r="G5419" s="11">
        <v>9038951863</v>
      </c>
      <c r="H5419" s="10" t="s">
        <v>11833</v>
      </c>
      <c r="I5419" s="10" t="s">
        <v>27</v>
      </c>
      <c r="J5419" s="10" t="s">
        <v>94</v>
      </c>
      <c r="K5419" s="12">
        <v>46029</v>
      </c>
      <c r="L5419" s="28" t="s">
        <v>11</v>
      </c>
      <c r="M5419" s="14"/>
      <c r="N5419" s="10" t="s">
        <v>1209</v>
      </c>
    </row>
    <row r="5420" spans="1:14" ht="22.5" customHeight="1">
      <c r="A5420" s="8">
        <v>46029.6414243287</v>
      </c>
      <c r="B5420" s="9" t="s">
        <v>14</v>
      </c>
      <c r="C5420" s="9" t="s">
        <v>15</v>
      </c>
      <c r="D5420" s="10" t="s">
        <v>11834</v>
      </c>
      <c r="E5420" s="9" t="s">
        <v>22</v>
      </c>
      <c r="F5420" s="10">
        <v>24</v>
      </c>
      <c r="G5420" s="11">
        <v>8034565257</v>
      </c>
      <c r="H5420" s="10" t="s">
        <v>11835</v>
      </c>
      <c r="I5420" s="10" t="s">
        <v>45</v>
      </c>
      <c r="J5420" s="10" t="s">
        <v>169</v>
      </c>
      <c r="K5420" s="12">
        <v>46029</v>
      </c>
      <c r="L5420" s="28" t="s">
        <v>11</v>
      </c>
      <c r="M5420" s="10"/>
      <c r="N5420" s="10" t="s">
        <v>2186</v>
      </c>
    </row>
    <row r="5421" spans="1:14" ht="22.5" customHeight="1">
      <c r="A5421" s="8">
        <v>46029.64148056713</v>
      </c>
      <c r="B5421" s="9" t="s">
        <v>14</v>
      </c>
      <c r="C5421" s="9" t="s">
        <v>15</v>
      </c>
      <c r="D5421" s="10" t="s">
        <v>11836</v>
      </c>
      <c r="E5421" s="9" t="s">
        <v>17</v>
      </c>
      <c r="F5421" s="10">
        <v>29</v>
      </c>
      <c r="G5421" s="11">
        <v>9133835550</v>
      </c>
      <c r="H5421" s="10" t="s">
        <v>11837</v>
      </c>
      <c r="I5421" s="10" t="s">
        <v>19</v>
      </c>
      <c r="J5421" s="10" t="s">
        <v>3495</v>
      </c>
      <c r="K5421" s="12">
        <v>46029</v>
      </c>
      <c r="L5421" s="28" t="s">
        <v>11</v>
      </c>
      <c r="M5421" s="14"/>
      <c r="N5421" s="10" t="s">
        <v>1028</v>
      </c>
    </row>
    <row r="5422" spans="1:14" ht="22.5" customHeight="1">
      <c r="A5422" s="8">
        <v>46029.641840706019</v>
      </c>
      <c r="B5422" s="9" t="s">
        <v>14</v>
      </c>
      <c r="C5422" s="9" t="s">
        <v>15</v>
      </c>
      <c r="D5422" s="10" t="s">
        <v>11838</v>
      </c>
      <c r="E5422" s="9" t="s">
        <v>17</v>
      </c>
      <c r="F5422" s="10">
        <v>32</v>
      </c>
      <c r="G5422" s="11">
        <v>8039248613</v>
      </c>
      <c r="H5422" s="10" t="s">
        <v>11839</v>
      </c>
      <c r="I5422" s="10" t="s">
        <v>31</v>
      </c>
      <c r="J5422" s="10" t="s">
        <v>2358</v>
      </c>
      <c r="K5422" s="12">
        <v>46029</v>
      </c>
      <c r="L5422" s="28" t="s">
        <v>11</v>
      </c>
      <c r="M5422" s="14"/>
      <c r="N5422" s="10" t="s">
        <v>1028</v>
      </c>
    </row>
    <row r="5423" spans="1:14" ht="22.5" customHeight="1">
      <c r="A5423" s="8">
        <v>46029.64202186343</v>
      </c>
      <c r="B5423" s="9" t="s">
        <v>14</v>
      </c>
      <c r="C5423" s="9" t="s">
        <v>15</v>
      </c>
      <c r="D5423" s="10" t="s">
        <v>11840</v>
      </c>
      <c r="E5423" s="9" t="s">
        <v>17</v>
      </c>
      <c r="F5423" s="10">
        <v>23</v>
      </c>
      <c r="G5423" s="11">
        <v>9064578678</v>
      </c>
      <c r="H5423" s="10" t="s">
        <v>11841</v>
      </c>
      <c r="I5423" s="10" t="s">
        <v>202</v>
      </c>
      <c r="J5423" s="10" t="s">
        <v>4020</v>
      </c>
      <c r="K5423" s="12">
        <v>46029</v>
      </c>
      <c r="L5423" s="28" t="s">
        <v>11</v>
      </c>
      <c r="M5423" s="14"/>
      <c r="N5423" s="10" t="s">
        <v>1028</v>
      </c>
    </row>
    <row r="5424" spans="1:14" ht="22.5" customHeight="1">
      <c r="A5424" s="8">
        <v>46029.642915833334</v>
      </c>
      <c r="B5424" s="9" t="s">
        <v>14</v>
      </c>
      <c r="C5424" s="9" t="s">
        <v>15</v>
      </c>
      <c r="D5424" s="10" t="s">
        <v>11842</v>
      </c>
      <c r="E5424" s="9" t="s">
        <v>17</v>
      </c>
      <c r="F5424" s="10">
        <v>37</v>
      </c>
      <c r="G5424" s="11">
        <v>8123347863</v>
      </c>
      <c r="H5424" s="10" t="s">
        <v>11843</v>
      </c>
      <c r="I5424" s="10" t="s">
        <v>45</v>
      </c>
      <c r="J5424" s="10" t="s">
        <v>11844</v>
      </c>
      <c r="K5424" s="12">
        <v>46029</v>
      </c>
      <c r="L5424" s="28" t="s">
        <v>11</v>
      </c>
      <c r="M5424" s="10"/>
      <c r="N5424" s="10" t="s">
        <v>11845</v>
      </c>
    </row>
    <row r="5425" spans="1:14" ht="22.5" customHeight="1">
      <c r="A5425" s="8">
        <v>46029.644917708334</v>
      </c>
      <c r="B5425" s="9" t="s">
        <v>14</v>
      </c>
      <c r="C5425" s="9" t="s">
        <v>15</v>
      </c>
      <c r="D5425" s="10" t="s">
        <v>11846</v>
      </c>
      <c r="E5425" s="9" t="s">
        <v>17</v>
      </c>
      <c r="F5425" s="10">
        <v>35</v>
      </c>
      <c r="G5425" s="11">
        <v>8064908591</v>
      </c>
      <c r="H5425" s="10" t="s">
        <v>11847</v>
      </c>
      <c r="I5425" s="10" t="s">
        <v>19</v>
      </c>
      <c r="J5425" s="10" t="s">
        <v>3466</v>
      </c>
      <c r="K5425" s="12">
        <v>46029</v>
      </c>
      <c r="L5425" s="28" t="s">
        <v>11</v>
      </c>
      <c r="M5425" s="14"/>
      <c r="N5425" s="10" t="s">
        <v>1028</v>
      </c>
    </row>
    <row r="5426" spans="1:14" ht="22.5" customHeight="1">
      <c r="A5426" s="8">
        <v>46029.64977625</v>
      </c>
      <c r="B5426" s="9" t="s">
        <v>14</v>
      </c>
      <c r="C5426" s="9" t="s">
        <v>15</v>
      </c>
      <c r="D5426" s="10" t="s">
        <v>11848</v>
      </c>
      <c r="E5426" s="9" t="s">
        <v>17</v>
      </c>
      <c r="F5426" s="10">
        <v>32</v>
      </c>
      <c r="G5426" s="11">
        <v>9066643478</v>
      </c>
      <c r="H5426" s="10" t="s">
        <v>11849</v>
      </c>
      <c r="I5426" s="10" t="s">
        <v>27</v>
      </c>
      <c r="J5426" s="10" t="s">
        <v>172</v>
      </c>
      <c r="K5426" s="12">
        <v>46029</v>
      </c>
      <c r="L5426" s="28" t="s">
        <v>11</v>
      </c>
      <c r="M5426" s="14"/>
      <c r="N5426" s="10" t="s">
        <v>1028</v>
      </c>
    </row>
    <row r="5427" spans="1:14" ht="22.5" customHeight="1">
      <c r="A5427" s="8">
        <v>46029.65028710648</v>
      </c>
      <c r="B5427" s="9" t="s">
        <v>14</v>
      </c>
      <c r="C5427" s="9" t="s">
        <v>15</v>
      </c>
      <c r="D5427" s="10" t="s">
        <v>11850</v>
      </c>
      <c r="E5427" s="9" t="s">
        <v>17</v>
      </c>
      <c r="F5427" s="10">
        <v>24</v>
      </c>
      <c r="G5427" s="11">
        <v>9067840593</v>
      </c>
      <c r="H5427" s="10" t="s">
        <v>11851</v>
      </c>
      <c r="I5427" s="10" t="s">
        <v>145</v>
      </c>
      <c r="J5427" s="10" t="s">
        <v>530</v>
      </c>
      <c r="K5427" s="12">
        <v>46029</v>
      </c>
      <c r="L5427" s="28" t="s">
        <v>11</v>
      </c>
      <c r="M5427" s="14"/>
      <c r="N5427" s="10" t="s">
        <v>1028</v>
      </c>
    </row>
    <row r="5428" spans="1:14" ht="22.5" customHeight="1">
      <c r="A5428" s="8">
        <v>46029.653360925928</v>
      </c>
      <c r="B5428" s="9" t="s">
        <v>14</v>
      </c>
      <c r="C5428" s="9" t="s">
        <v>15</v>
      </c>
      <c r="D5428" s="10" t="s">
        <v>11852</v>
      </c>
      <c r="E5428" s="9" t="s">
        <v>22</v>
      </c>
      <c r="F5428" s="10">
        <v>32</v>
      </c>
      <c r="G5428" s="11">
        <v>7036587468</v>
      </c>
      <c r="H5428" s="10" t="s">
        <v>11853</v>
      </c>
      <c r="I5428" s="10" t="s">
        <v>27</v>
      </c>
      <c r="J5428" s="10" t="s">
        <v>42</v>
      </c>
      <c r="K5428" s="12">
        <v>46029</v>
      </c>
      <c r="L5428" s="28" t="s">
        <v>11</v>
      </c>
      <c r="M5428" s="14"/>
      <c r="N5428" s="10" t="s">
        <v>1028</v>
      </c>
    </row>
    <row r="5429" spans="1:14" ht="22.5" customHeight="1">
      <c r="A5429" s="8">
        <v>46029.653534097219</v>
      </c>
      <c r="B5429" s="9" t="s">
        <v>14</v>
      </c>
      <c r="C5429" s="9" t="s">
        <v>15</v>
      </c>
      <c r="D5429" s="10" t="s">
        <v>11854</v>
      </c>
      <c r="E5429" s="9" t="s">
        <v>17</v>
      </c>
      <c r="F5429" s="10">
        <v>34</v>
      </c>
      <c r="G5429" s="11">
        <v>7052000821</v>
      </c>
      <c r="H5429" s="10" t="s">
        <v>11855</v>
      </c>
      <c r="I5429" s="10" t="s">
        <v>27</v>
      </c>
      <c r="J5429" s="10" t="s">
        <v>4338</v>
      </c>
      <c r="K5429" s="12">
        <v>46029</v>
      </c>
      <c r="L5429" s="28" t="s">
        <v>11</v>
      </c>
      <c r="M5429" s="14"/>
      <c r="N5429" s="10" t="s">
        <v>1028</v>
      </c>
    </row>
    <row r="5430" spans="1:14" ht="22.5" customHeight="1">
      <c r="A5430" s="8">
        <v>46029.653717881942</v>
      </c>
      <c r="B5430" s="9" t="s">
        <v>14</v>
      </c>
      <c r="C5430" s="9" t="s">
        <v>15</v>
      </c>
      <c r="D5430" s="10" t="s">
        <v>11856</v>
      </c>
      <c r="E5430" s="9" t="s">
        <v>17</v>
      </c>
      <c r="F5430" s="10">
        <v>27</v>
      </c>
      <c r="G5430" s="11">
        <v>7058472282</v>
      </c>
      <c r="H5430" s="10" t="s">
        <v>11857</v>
      </c>
      <c r="I5430" s="10" t="s">
        <v>19</v>
      </c>
      <c r="J5430" s="10" t="s">
        <v>812</v>
      </c>
      <c r="K5430" s="12">
        <v>46029</v>
      </c>
      <c r="L5430" s="28" t="s">
        <v>11</v>
      </c>
      <c r="M5430" s="14"/>
      <c r="N5430" s="10" t="s">
        <v>1028</v>
      </c>
    </row>
    <row r="5431" spans="1:14" ht="22.5" customHeight="1">
      <c r="A5431" s="8">
        <v>46029.65699596065</v>
      </c>
      <c r="B5431" s="9" t="s">
        <v>14</v>
      </c>
      <c r="C5431" s="9" t="s">
        <v>15</v>
      </c>
      <c r="D5431" s="10" t="s">
        <v>11858</v>
      </c>
      <c r="E5431" s="9" t="s">
        <v>17</v>
      </c>
      <c r="F5431" s="10">
        <v>35</v>
      </c>
      <c r="G5431" s="11">
        <v>8165679998</v>
      </c>
      <c r="H5431" s="10" t="s">
        <v>11859</v>
      </c>
      <c r="I5431" s="10" t="s">
        <v>145</v>
      </c>
      <c r="J5431" s="10" t="s">
        <v>530</v>
      </c>
      <c r="K5431" s="12">
        <v>46029</v>
      </c>
      <c r="L5431" s="28" t="s">
        <v>11</v>
      </c>
      <c r="M5431" s="14"/>
      <c r="N5431" s="10" t="s">
        <v>1028</v>
      </c>
    </row>
    <row r="5432" spans="1:14" ht="22.5" customHeight="1">
      <c r="A5432" s="8">
        <v>46029.657663645834</v>
      </c>
      <c r="B5432" s="9" t="s">
        <v>14</v>
      </c>
      <c r="C5432" s="9" t="s">
        <v>15</v>
      </c>
      <c r="D5432" s="10" t="s">
        <v>11860</v>
      </c>
      <c r="E5432" s="9" t="s">
        <v>17</v>
      </c>
      <c r="F5432" s="10">
        <v>25</v>
      </c>
      <c r="G5432" s="11">
        <v>9137159889</v>
      </c>
      <c r="H5432" s="10" t="s">
        <v>11861</v>
      </c>
      <c r="I5432" s="10" t="s">
        <v>145</v>
      </c>
      <c r="J5432" s="10" t="s">
        <v>530</v>
      </c>
      <c r="K5432" s="12">
        <v>46029</v>
      </c>
      <c r="L5432" s="28" t="s">
        <v>11</v>
      </c>
      <c r="M5432" s="14"/>
      <c r="N5432" s="10" t="s">
        <v>1028</v>
      </c>
    </row>
    <row r="5433" spans="1:14" ht="22.5" customHeight="1">
      <c r="A5433" s="8">
        <v>46029.657791365738</v>
      </c>
      <c r="B5433" s="9" t="s">
        <v>14</v>
      </c>
      <c r="C5433" s="9" t="s">
        <v>15</v>
      </c>
      <c r="D5433" s="10" t="s">
        <v>11862</v>
      </c>
      <c r="E5433" s="9" t="s">
        <v>17</v>
      </c>
      <c r="F5433" s="10">
        <v>25</v>
      </c>
      <c r="G5433" s="11">
        <v>7032891610</v>
      </c>
      <c r="H5433" s="10" t="s">
        <v>11863</v>
      </c>
      <c r="I5433" s="10" t="s">
        <v>49</v>
      </c>
      <c r="J5433" s="10" t="s">
        <v>160</v>
      </c>
      <c r="K5433" s="12">
        <v>46029</v>
      </c>
      <c r="L5433" s="28" t="s">
        <v>11</v>
      </c>
      <c r="M5433" s="14"/>
      <c r="N5433" s="10" t="s">
        <v>1028</v>
      </c>
    </row>
    <row r="5434" spans="1:14" ht="22.5" customHeight="1">
      <c r="A5434" s="8">
        <v>46029.659036203702</v>
      </c>
      <c r="B5434" s="9" t="s">
        <v>14</v>
      </c>
      <c r="C5434" s="9" t="s">
        <v>15</v>
      </c>
      <c r="D5434" s="10" t="s">
        <v>11864</v>
      </c>
      <c r="E5434" s="9" t="s">
        <v>17</v>
      </c>
      <c r="F5434" s="10">
        <v>36</v>
      </c>
      <c r="G5434" s="11">
        <v>7036675028</v>
      </c>
      <c r="H5434" s="10" t="s">
        <v>11865</v>
      </c>
      <c r="I5434" s="10" t="s">
        <v>202</v>
      </c>
      <c r="J5434" s="10" t="s">
        <v>3482</v>
      </c>
      <c r="K5434" s="12">
        <v>46029</v>
      </c>
      <c r="L5434" s="28" t="s">
        <v>11</v>
      </c>
      <c r="M5434" s="14"/>
      <c r="N5434" s="10" t="s">
        <v>1028</v>
      </c>
    </row>
    <row r="5435" spans="1:14" ht="22.5" customHeight="1">
      <c r="A5435" s="8">
        <v>46029.659631400464</v>
      </c>
      <c r="B5435" s="9" t="s">
        <v>14</v>
      </c>
      <c r="C5435" s="9" t="s">
        <v>15</v>
      </c>
      <c r="D5435" s="10" t="s">
        <v>11866</v>
      </c>
      <c r="E5435" s="9" t="s">
        <v>17</v>
      </c>
      <c r="F5435" s="10">
        <v>33</v>
      </c>
      <c r="G5435" s="11">
        <v>8070452291</v>
      </c>
      <c r="H5435" s="10" t="s">
        <v>11867</v>
      </c>
      <c r="I5435" s="10" t="s">
        <v>19</v>
      </c>
      <c r="J5435" s="10" t="s">
        <v>11868</v>
      </c>
      <c r="K5435" s="12">
        <v>46029</v>
      </c>
      <c r="L5435" s="28" t="s">
        <v>11</v>
      </c>
      <c r="M5435" s="14"/>
      <c r="N5435" s="10" t="s">
        <v>1028</v>
      </c>
    </row>
    <row r="5436" spans="1:14" ht="22.5" hidden="1" customHeight="1">
      <c r="A5436" s="8">
        <v>46029.660418807871</v>
      </c>
      <c r="B5436" s="9" t="s">
        <v>14</v>
      </c>
      <c r="C5436" s="9" t="s">
        <v>15</v>
      </c>
      <c r="D5436" s="10" t="s">
        <v>11869</v>
      </c>
      <c r="E5436" s="9" t="s">
        <v>17</v>
      </c>
      <c r="F5436" s="10">
        <v>31</v>
      </c>
      <c r="G5436" s="11">
        <v>8169395122</v>
      </c>
      <c r="H5436" s="10" t="s">
        <v>11870</v>
      </c>
      <c r="I5436" s="10" t="s">
        <v>202</v>
      </c>
      <c r="J5436" s="10" t="s">
        <v>3062</v>
      </c>
      <c r="K5436" s="12">
        <v>46029</v>
      </c>
      <c r="L5436" s="10" t="s">
        <v>441</v>
      </c>
      <c r="M5436" s="10" t="s">
        <v>1361</v>
      </c>
      <c r="N5436" s="10" t="s">
        <v>1028</v>
      </c>
    </row>
    <row r="5437" spans="1:14" ht="22.5" customHeight="1">
      <c r="A5437" s="8">
        <v>46029.664855324074</v>
      </c>
      <c r="B5437" s="9" t="s">
        <v>14</v>
      </c>
      <c r="C5437" s="9" t="s">
        <v>15</v>
      </c>
      <c r="D5437" s="10" t="s">
        <v>11871</v>
      </c>
      <c r="E5437" s="9" t="s">
        <v>17</v>
      </c>
      <c r="F5437" s="10">
        <v>29</v>
      </c>
      <c r="G5437" s="11">
        <v>8107683144</v>
      </c>
      <c r="H5437" s="10" t="s">
        <v>11872</v>
      </c>
      <c r="I5437" s="10" t="s">
        <v>31</v>
      </c>
      <c r="J5437" s="10" t="s">
        <v>2358</v>
      </c>
      <c r="K5437" s="12">
        <v>46029</v>
      </c>
      <c r="L5437" s="28" t="s">
        <v>11</v>
      </c>
      <c r="M5437" s="14"/>
      <c r="N5437" s="10" t="s">
        <v>1028</v>
      </c>
    </row>
    <row r="5438" spans="1:14" ht="22.5" customHeight="1">
      <c r="A5438" s="8">
        <v>46029.666084131946</v>
      </c>
      <c r="B5438" s="9" t="s">
        <v>14</v>
      </c>
      <c r="C5438" s="9" t="s">
        <v>15</v>
      </c>
      <c r="D5438" s="10" t="s">
        <v>11873</v>
      </c>
      <c r="E5438" s="9" t="s">
        <v>22</v>
      </c>
      <c r="F5438" s="10">
        <v>20</v>
      </c>
      <c r="G5438" s="11">
        <v>8162452401</v>
      </c>
      <c r="H5438" s="10" t="s">
        <v>11874</v>
      </c>
      <c r="I5438" s="10" t="s">
        <v>19</v>
      </c>
      <c r="J5438" s="10" t="s">
        <v>4182</v>
      </c>
      <c r="K5438" s="12">
        <v>46029</v>
      </c>
      <c r="L5438" s="28" t="s">
        <v>11</v>
      </c>
      <c r="M5438" s="14"/>
      <c r="N5438" s="10" t="s">
        <v>1028</v>
      </c>
    </row>
    <row r="5439" spans="1:14" ht="22.5" customHeight="1">
      <c r="A5439" s="8">
        <v>46029.667398344907</v>
      </c>
      <c r="B5439" s="9" t="s">
        <v>14</v>
      </c>
      <c r="C5439" s="9" t="s">
        <v>15</v>
      </c>
      <c r="D5439" s="10" t="s">
        <v>11875</v>
      </c>
      <c r="E5439" s="9" t="s">
        <v>22</v>
      </c>
      <c r="F5439" s="10">
        <v>18</v>
      </c>
      <c r="G5439" s="11">
        <v>7049787834</v>
      </c>
      <c r="H5439" s="10" t="s">
        <v>11876</v>
      </c>
      <c r="I5439" s="10" t="s">
        <v>45</v>
      </c>
      <c r="J5439" s="10" t="s">
        <v>11877</v>
      </c>
      <c r="K5439" s="12">
        <v>46029</v>
      </c>
      <c r="L5439" s="28" t="s">
        <v>11</v>
      </c>
      <c r="M5439" s="14"/>
      <c r="N5439" s="10" t="s">
        <v>1028</v>
      </c>
    </row>
    <row r="5440" spans="1:14" ht="22.5" customHeight="1">
      <c r="A5440" s="8">
        <v>46029.668532280091</v>
      </c>
      <c r="B5440" s="9" t="s">
        <v>14</v>
      </c>
      <c r="C5440" s="9" t="s">
        <v>15</v>
      </c>
      <c r="D5440" s="10" t="s">
        <v>11878</v>
      </c>
      <c r="E5440" s="9" t="s">
        <v>22</v>
      </c>
      <c r="F5440" s="10">
        <v>33</v>
      </c>
      <c r="G5440" s="11">
        <v>8088973511</v>
      </c>
      <c r="H5440" s="10" t="s">
        <v>11879</v>
      </c>
      <c r="I5440" s="10" t="s">
        <v>19</v>
      </c>
      <c r="J5440" s="10" t="s">
        <v>1777</v>
      </c>
      <c r="K5440" s="12">
        <v>46029</v>
      </c>
      <c r="L5440" s="28" t="s">
        <v>11</v>
      </c>
      <c r="M5440" s="14"/>
      <c r="N5440" s="10" t="s">
        <v>1096</v>
      </c>
    </row>
    <row r="5441" spans="1:14" ht="22.5" customHeight="1">
      <c r="A5441" s="8">
        <v>46029.669289375001</v>
      </c>
      <c r="B5441" s="9" t="s">
        <v>14</v>
      </c>
      <c r="C5441" s="9" t="s">
        <v>15</v>
      </c>
      <c r="D5441" s="10" t="s">
        <v>11880</v>
      </c>
      <c r="E5441" s="9" t="s">
        <v>17</v>
      </c>
      <c r="F5441" s="10">
        <v>30</v>
      </c>
      <c r="G5441" s="11">
        <v>8166400218</v>
      </c>
      <c r="H5441" s="10" t="s">
        <v>11881</v>
      </c>
      <c r="I5441" s="10" t="s">
        <v>145</v>
      </c>
      <c r="J5441" s="10" t="s">
        <v>4352</v>
      </c>
      <c r="K5441" s="12">
        <v>46204</v>
      </c>
      <c r="L5441" s="28" t="s">
        <v>11</v>
      </c>
      <c r="M5441" s="14"/>
      <c r="N5441" s="10" t="s">
        <v>1096</v>
      </c>
    </row>
    <row r="5442" spans="1:14" ht="22.5" customHeight="1">
      <c r="A5442" s="8">
        <v>46029.669930081014</v>
      </c>
      <c r="B5442" s="9" t="s">
        <v>14</v>
      </c>
      <c r="C5442" s="9" t="s">
        <v>15</v>
      </c>
      <c r="D5442" s="10" t="s">
        <v>11882</v>
      </c>
      <c r="E5442" s="9" t="s">
        <v>22</v>
      </c>
      <c r="F5442" s="10">
        <v>26</v>
      </c>
      <c r="G5442" s="11">
        <v>9126672833</v>
      </c>
      <c r="H5442" s="10" t="s">
        <v>11883</v>
      </c>
      <c r="I5442" s="10" t="s">
        <v>45</v>
      </c>
      <c r="J5442" s="10" t="s">
        <v>287</v>
      </c>
      <c r="K5442" s="12">
        <v>46029</v>
      </c>
      <c r="L5442" s="28" t="s">
        <v>11</v>
      </c>
      <c r="M5442" s="14"/>
      <c r="N5442" s="10" t="s">
        <v>1028</v>
      </c>
    </row>
    <row r="5443" spans="1:14" ht="22.5" customHeight="1">
      <c r="A5443" s="8">
        <v>46029.672521678236</v>
      </c>
      <c r="B5443" s="9" t="s">
        <v>14</v>
      </c>
      <c r="C5443" s="9" t="s">
        <v>15</v>
      </c>
      <c r="D5443" s="10" t="s">
        <v>11884</v>
      </c>
      <c r="E5443" s="9" t="s">
        <v>17</v>
      </c>
      <c r="F5443" s="19">
        <v>20</v>
      </c>
      <c r="G5443" s="11">
        <v>9065572789</v>
      </c>
      <c r="H5443" s="10" t="s">
        <v>11885</v>
      </c>
      <c r="I5443" s="10" t="s">
        <v>45</v>
      </c>
      <c r="J5443" s="10" t="s">
        <v>11886</v>
      </c>
      <c r="K5443" s="12">
        <v>46029</v>
      </c>
      <c r="L5443" s="28" t="s">
        <v>11</v>
      </c>
      <c r="M5443" s="14"/>
      <c r="N5443" s="10" t="s">
        <v>1028</v>
      </c>
    </row>
    <row r="5444" spans="1:14" ht="22.5" customHeight="1">
      <c r="A5444" s="8">
        <v>46029.672682824079</v>
      </c>
      <c r="B5444" s="9" t="s">
        <v>14</v>
      </c>
      <c r="C5444" s="9" t="s">
        <v>15</v>
      </c>
      <c r="D5444" s="10" t="s">
        <v>11887</v>
      </c>
      <c r="E5444" s="9" t="s">
        <v>22</v>
      </c>
      <c r="F5444" s="10">
        <v>39</v>
      </c>
      <c r="G5444" s="11">
        <v>7031054529</v>
      </c>
      <c r="H5444" s="10" t="s">
        <v>11888</v>
      </c>
      <c r="I5444" s="10" t="s">
        <v>31</v>
      </c>
      <c r="J5444" s="10" t="s">
        <v>3870</v>
      </c>
      <c r="K5444" s="12">
        <v>46029</v>
      </c>
      <c r="L5444" s="28" t="s">
        <v>11</v>
      </c>
      <c r="M5444" s="14"/>
      <c r="N5444" s="10" t="s">
        <v>1028</v>
      </c>
    </row>
    <row r="5445" spans="1:14" ht="22.5" customHeight="1">
      <c r="A5445" s="8">
        <v>46029.677153877317</v>
      </c>
      <c r="B5445" s="9" t="s">
        <v>14</v>
      </c>
      <c r="C5445" s="9" t="s">
        <v>15</v>
      </c>
      <c r="D5445" s="10" t="s">
        <v>11889</v>
      </c>
      <c r="E5445" s="9" t="s">
        <v>22</v>
      </c>
      <c r="F5445" s="10">
        <v>33</v>
      </c>
      <c r="G5445" s="11">
        <v>8144869823</v>
      </c>
      <c r="H5445" s="10" t="s">
        <v>11890</v>
      </c>
      <c r="I5445" s="10" t="s">
        <v>202</v>
      </c>
      <c r="J5445" s="10" t="s">
        <v>3062</v>
      </c>
      <c r="K5445" s="12">
        <v>46029</v>
      </c>
      <c r="L5445" s="28" t="s">
        <v>11</v>
      </c>
      <c r="M5445" s="14"/>
      <c r="N5445" s="10" t="s">
        <v>1028</v>
      </c>
    </row>
    <row r="5446" spans="1:14" ht="22.5" customHeight="1">
      <c r="A5446" s="8">
        <v>46029.677217118056</v>
      </c>
      <c r="B5446" s="9" t="s">
        <v>14</v>
      </c>
      <c r="C5446" s="9" t="s">
        <v>15</v>
      </c>
      <c r="D5446" s="10" t="s">
        <v>11891</v>
      </c>
      <c r="E5446" s="9" t="s">
        <v>17</v>
      </c>
      <c r="F5446" s="10">
        <v>27</v>
      </c>
      <c r="G5446" s="11">
        <v>8167354124</v>
      </c>
      <c r="H5446" s="10" t="s">
        <v>11892</v>
      </c>
      <c r="I5446" s="10" t="s">
        <v>45</v>
      </c>
      <c r="J5446" s="10" t="s">
        <v>932</v>
      </c>
      <c r="K5446" s="12">
        <v>46029</v>
      </c>
      <c r="L5446" s="28" t="s">
        <v>11</v>
      </c>
      <c r="M5446" s="14"/>
      <c r="N5446" s="10" t="s">
        <v>1028</v>
      </c>
    </row>
    <row r="5447" spans="1:14" ht="22.5" customHeight="1">
      <c r="A5447" s="8">
        <v>46029.678396898147</v>
      </c>
      <c r="B5447" s="9" t="s">
        <v>14</v>
      </c>
      <c r="C5447" s="9" t="s">
        <v>15</v>
      </c>
      <c r="D5447" s="10" t="s">
        <v>11893</v>
      </c>
      <c r="E5447" s="9" t="s">
        <v>17</v>
      </c>
      <c r="F5447" s="10">
        <v>35</v>
      </c>
      <c r="G5447" s="11">
        <v>8160904251</v>
      </c>
      <c r="H5447" s="10" t="s">
        <v>11894</v>
      </c>
      <c r="I5447" s="10" t="s">
        <v>27</v>
      </c>
      <c r="J5447" s="10" t="s">
        <v>1559</v>
      </c>
      <c r="K5447" s="12">
        <v>46029</v>
      </c>
      <c r="L5447" s="28" t="s">
        <v>11</v>
      </c>
      <c r="M5447" s="14"/>
      <c r="N5447" s="10" t="s">
        <v>1028</v>
      </c>
    </row>
    <row r="5448" spans="1:14" ht="22.5" hidden="1" customHeight="1">
      <c r="A5448" s="8">
        <v>46029.679048171296</v>
      </c>
      <c r="B5448" s="9" t="s">
        <v>14</v>
      </c>
      <c r="C5448" s="9" t="s">
        <v>15</v>
      </c>
      <c r="D5448" s="10" t="s">
        <v>11895</v>
      </c>
      <c r="E5448" s="9" t="s">
        <v>22</v>
      </c>
      <c r="F5448" s="10">
        <v>20</v>
      </c>
      <c r="G5448" s="11">
        <v>8123768774</v>
      </c>
      <c r="H5448" s="10" t="s">
        <v>11896</v>
      </c>
      <c r="I5448" s="10" t="s">
        <v>202</v>
      </c>
      <c r="J5448" s="10" t="s">
        <v>11897</v>
      </c>
      <c r="K5448" s="12">
        <v>46029</v>
      </c>
      <c r="L5448" s="10" t="s">
        <v>441</v>
      </c>
      <c r="M5448" s="10" t="s">
        <v>1356</v>
      </c>
      <c r="N5448" s="10" t="s">
        <v>7233</v>
      </c>
    </row>
    <row r="5449" spans="1:14" ht="22.5" customHeight="1">
      <c r="A5449" s="8">
        <v>46029.679152673612</v>
      </c>
      <c r="B5449" s="9" t="s">
        <v>14</v>
      </c>
      <c r="C5449" s="9" t="s">
        <v>15</v>
      </c>
      <c r="D5449" s="10" t="s">
        <v>11898</v>
      </c>
      <c r="E5449" s="9" t="s">
        <v>17</v>
      </c>
      <c r="F5449" s="10">
        <v>33</v>
      </c>
      <c r="G5449" s="11">
        <v>9117477611</v>
      </c>
      <c r="H5449" s="10" t="s">
        <v>11899</v>
      </c>
      <c r="I5449" s="10" t="s">
        <v>27</v>
      </c>
      <c r="J5449" s="10" t="s">
        <v>1570</v>
      </c>
      <c r="K5449" s="12">
        <v>46029</v>
      </c>
      <c r="L5449" s="28" t="s">
        <v>11</v>
      </c>
      <c r="M5449" s="14"/>
      <c r="N5449" s="10" t="s">
        <v>11900</v>
      </c>
    </row>
    <row r="5450" spans="1:14" ht="22.5" customHeight="1">
      <c r="A5450" s="8">
        <v>46029.681879745374</v>
      </c>
      <c r="B5450" s="9" t="s">
        <v>14</v>
      </c>
      <c r="C5450" s="9" t="s">
        <v>15</v>
      </c>
      <c r="D5450" s="10" t="s">
        <v>11901</v>
      </c>
      <c r="E5450" s="9" t="s">
        <v>22</v>
      </c>
      <c r="F5450" s="10">
        <v>32</v>
      </c>
      <c r="G5450" s="11">
        <f>254113778548</f>
        <v>254113778548</v>
      </c>
      <c r="H5450" s="10" t="s">
        <v>11902</v>
      </c>
      <c r="I5450" s="10" t="s">
        <v>19</v>
      </c>
      <c r="J5450" s="10" t="s">
        <v>2167</v>
      </c>
      <c r="K5450" s="12">
        <v>46029</v>
      </c>
      <c r="L5450" s="28" t="s">
        <v>11</v>
      </c>
      <c r="M5450" s="14"/>
      <c r="N5450" s="10" t="s">
        <v>11903</v>
      </c>
    </row>
    <row r="5451" spans="1:14" ht="22.5" customHeight="1">
      <c r="A5451" s="8">
        <v>46029.683725706018</v>
      </c>
      <c r="B5451" s="9" t="s">
        <v>14</v>
      </c>
      <c r="C5451" s="9" t="s">
        <v>15</v>
      </c>
      <c r="D5451" s="10" t="s">
        <v>11904</v>
      </c>
      <c r="E5451" s="9" t="s">
        <v>22</v>
      </c>
      <c r="F5451" s="10">
        <v>33</v>
      </c>
      <c r="G5451" s="11">
        <v>9014303541</v>
      </c>
      <c r="H5451" s="10" t="s">
        <v>11905</v>
      </c>
      <c r="I5451" s="10" t="s">
        <v>19</v>
      </c>
      <c r="J5451" s="10" t="s">
        <v>24</v>
      </c>
      <c r="K5451" s="12">
        <v>46029</v>
      </c>
      <c r="L5451" s="28" t="s">
        <v>11</v>
      </c>
      <c r="M5451" s="14"/>
      <c r="N5451" s="10" t="s">
        <v>1028</v>
      </c>
    </row>
    <row r="5452" spans="1:14" ht="22.5" hidden="1" customHeight="1">
      <c r="A5452" s="8">
        <v>46029.685090648149</v>
      </c>
      <c r="B5452" s="9" t="s">
        <v>14</v>
      </c>
      <c r="C5452" s="9" t="s">
        <v>15</v>
      </c>
      <c r="D5452" s="10" t="s">
        <v>11895</v>
      </c>
      <c r="E5452" s="9" t="s">
        <v>22</v>
      </c>
      <c r="F5452" s="10">
        <v>20</v>
      </c>
      <c r="G5452" s="11">
        <v>8123768774</v>
      </c>
      <c r="H5452" s="10" t="s">
        <v>11896</v>
      </c>
      <c r="I5452" s="10" t="s">
        <v>202</v>
      </c>
      <c r="J5452" s="10" t="s">
        <v>11906</v>
      </c>
      <c r="K5452" s="12">
        <v>46029</v>
      </c>
      <c r="L5452" s="10" t="s">
        <v>441</v>
      </c>
      <c r="M5452" s="10" t="s">
        <v>1356</v>
      </c>
      <c r="N5452" s="10" t="s">
        <v>11907</v>
      </c>
    </row>
    <row r="5453" spans="1:14" ht="22.5" customHeight="1">
      <c r="A5453" s="8">
        <v>46029.68618128472</v>
      </c>
      <c r="B5453" s="9" t="s">
        <v>14</v>
      </c>
      <c r="C5453" s="9" t="s">
        <v>15</v>
      </c>
      <c r="D5453" s="10" t="s">
        <v>11908</v>
      </c>
      <c r="E5453" s="9" t="s">
        <v>17</v>
      </c>
      <c r="F5453" s="10">
        <v>29</v>
      </c>
      <c r="G5453" s="11">
        <v>8059323505</v>
      </c>
      <c r="H5453" s="10" t="s">
        <v>11909</v>
      </c>
      <c r="I5453" s="10" t="s">
        <v>19</v>
      </c>
      <c r="J5453" s="10" t="s">
        <v>1664</v>
      </c>
      <c r="K5453" s="12">
        <v>46029</v>
      </c>
      <c r="L5453" s="28" t="s">
        <v>11</v>
      </c>
      <c r="M5453" s="14"/>
      <c r="N5453" s="10" t="s">
        <v>1028</v>
      </c>
    </row>
    <row r="5454" spans="1:14" ht="22.5" customHeight="1">
      <c r="A5454" s="8">
        <v>46029.689413252316</v>
      </c>
      <c r="B5454" s="9" t="s">
        <v>14</v>
      </c>
      <c r="C5454" s="9" t="s">
        <v>15</v>
      </c>
      <c r="D5454" s="10" t="s">
        <v>11910</v>
      </c>
      <c r="E5454" s="9" t="s">
        <v>22</v>
      </c>
      <c r="F5454" s="10">
        <v>25</v>
      </c>
      <c r="G5454" s="11">
        <v>8109990200</v>
      </c>
      <c r="H5454" s="10" t="s">
        <v>11911</v>
      </c>
      <c r="I5454" s="10" t="s">
        <v>202</v>
      </c>
      <c r="J5454" s="10" t="s">
        <v>4632</v>
      </c>
      <c r="K5454" s="12">
        <v>46029</v>
      </c>
      <c r="L5454" s="28" t="s">
        <v>11</v>
      </c>
      <c r="M5454" s="14"/>
      <c r="N5454" s="10" t="s">
        <v>1028</v>
      </c>
    </row>
    <row r="5455" spans="1:14" ht="22.5" customHeight="1">
      <c r="A5455" s="8">
        <v>46029.695745289355</v>
      </c>
      <c r="B5455" s="9" t="s">
        <v>14</v>
      </c>
      <c r="C5455" s="9" t="s">
        <v>15</v>
      </c>
      <c r="D5455" s="10" t="s">
        <v>11912</v>
      </c>
      <c r="E5455" s="9" t="s">
        <v>22</v>
      </c>
      <c r="F5455" s="10">
        <v>35</v>
      </c>
      <c r="G5455" s="11">
        <v>7063188422</v>
      </c>
      <c r="H5455" s="10" t="s">
        <v>11913</v>
      </c>
      <c r="I5455" s="10" t="s">
        <v>202</v>
      </c>
      <c r="J5455" s="10" t="s">
        <v>2105</v>
      </c>
      <c r="K5455" s="12">
        <v>46029</v>
      </c>
      <c r="L5455" s="28" t="s">
        <v>11</v>
      </c>
      <c r="M5455" s="14"/>
      <c r="N5455" s="10" t="s">
        <v>1028</v>
      </c>
    </row>
    <row r="5456" spans="1:14" ht="22.5" customHeight="1">
      <c r="A5456" s="8">
        <v>46029.696817442134</v>
      </c>
      <c r="B5456" s="9" t="s">
        <v>14</v>
      </c>
      <c r="C5456" s="9" t="s">
        <v>15</v>
      </c>
      <c r="D5456" s="10" t="s">
        <v>11914</v>
      </c>
      <c r="E5456" s="9" t="s">
        <v>17</v>
      </c>
      <c r="F5456" s="10">
        <v>31</v>
      </c>
      <c r="G5456" s="11">
        <v>8069791873</v>
      </c>
      <c r="H5456" s="10" t="s">
        <v>11915</v>
      </c>
      <c r="I5456" s="10" t="s">
        <v>27</v>
      </c>
      <c r="J5456" s="10" t="s">
        <v>1559</v>
      </c>
      <c r="K5456" s="12">
        <v>46029</v>
      </c>
      <c r="L5456" s="28" t="s">
        <v>11</v>
      </c>
      <c r="M5456" s="14"/>
      <c r="N5456" s="10" t="s">
        <v>1096</v>
      </c>
    </row>
    <row r="5457" spans="1:14" ht="22.5" customHeight="1">
      <c r="A5457" s="8">
        <v>46029.699361724532</v>
      </c>
      <c r="B5457" s="9" t="s">
        <v>14</v>
      </c>
      <c r="C5457" s="9" t="s">
        <v>15</v>
      </c>
      <c r="D5457" s="10" t="s">
        <v>11916</v>
      </c>
      <c r="E5457" s="9" t="s">
        <v>22</v>
      </c>
      <c r="F5457" s="10">
        <v>32</v>
      </c>
      <c r="G5457" s="11">
        <v>8145360085</v>
      </c>
      <c r="H5457" s="10" t="s">
        <v>11917</v>
      </c>
      <c r="I5457" s="10" t="s">
        <v>31</v>
      </c>
      <c r="J5457" s="10" t="s">
        <v>11918</v>
      </c>
      <c r="K5457" s="12">
        <v>46029</v>
      </c>
      <c r="L5457" s="28" t="s">
        <v>11</v>
      </c>
      <c r="M5457" s="14"/>
      <c r="N5457" s="10" t="s">
        <v>1028</v>
      </c>
    </row>
    <row r="5458" spans="1:14" ht="22.5" customHeight="1">
      <c r="A5458" s="8">
        <v>46029.700807384259</v>
      </c>
      <c r="B5458" s="9" t="s">
        <v>14</v>
      </c>
      <c r="C5458" s="9" t="s">
        <v>15</v>
      </c>
      <c r="D5458" s="10" t="s">
        <v>11919</v>
      </c>
      <c r="E5458" s="9" t="s">
        <v>22</v>
      </c>
      <c r="F5458" s="10">
        <v>22</v>
      </c>
      <c r="G5458" s="11">
        <v>9025703066</v>
      </c>
      <c r="H5458" s="10" t="s">
        <v>11920</v>
      </c>
      <c r="I5458" s="10" t="s">
        <v>27</v>
      </c>
      <c r="J5458" s="10" t="s">
        <v>5709</v>
      </c>
      <c r="K5458" s="12">
        <v>46029</v>
      </c>
      <c r="L5458" s="28" t="s">
        <v>11</v>
      </c>
      <c r="M5458" s="14"/>
      <c r="N5458" s="10" t="s">
        <v>11921</v>
      </c>
    </row>
    <row r="5459" spans="1:14" ht="22.5" customHeight="1">
      <c r="A5459" s="8">
        <v>46029.701161423611</v>
      </c>
      <c r="B5459" s="9" t="s">
        <v>14</v>
      </c>
      <c r="C5459" s="9" t="s">
        <v>15</v>
      </c>
      <c r="D5459" s="10" t="s">
        <v>11922</v>
      </c>
      <c r="E5459" s="9" t="s">
        <v>22</v>
      </c>
      <c r="F5459" s="10">
        <v>25</v>
      </c>
      <c r="G5459" s="11">
        <v>8059219767</v>
      </c>
      <c r="H5459" s="10" t="s">
        <v>11923</v>
      </c>
      <c r="I5459" s="10" t="s">
        <v>49</v>
      </c>
      <c r="J5459" s="10" t="s">
        <v>106</v>
      </c>
      <c r="K5459" s="12">
        <v>46029</v>
      </c>
      <c r="L5459" s="28" t="s">
        <v>11</v>
      </c>
      <c r="M5459" s="14"/>
      <c r="N5459" s="10" t="s">
        <v>1096</v>
      </c>
    </row>
    <row r="5460" spans="1:14" ht="22.5" customHeight="1">
      <c r="A5460" s="8">
        <v>46029.701308148149</v>
      </c>
      <c r="B5460" s="9" t="s">
        <v>14</v>
      </c>
      <c r="C5460" s="9" t="s">
        <v>15</v>
      </c>
      <c r="D5460" s="10" t="s">
        <v>11924</v>
      </c>
      <c r="E5460" s="9" t="s">
        <v>17</v>
      </c>
      <c r="F5460" s="18">
        <v>32</v>
      </c>
      <c r="G5460" s="11">
        <v>9032704336</v>
      </c>
      <c r="H5460" s="10" t="s">
        <v>11925</v>
      </c>
      <c r="I5460" s="10" t="s">
        <v>49</v>
      </c>
      <c r="J5460" s="10" t="s">
        <v>11778</v>
      </c>
      <c r="K5460" s="12">
        <v>46029</v>
      </c>
      <c r="L5460" s="28" t="s">
        <v>11</v>
      </c>
      <c r="M5460" s="14"/>
      <c r="N5460" s="10" t="s">
        <v>1028</v>
      </c>
    </row>
    <row r="5461" spans="1:14" ht="22.5" customHeight="1">
      <c r="A5461" s="8">
        <v>46029.701895196762</v>
      </c>
      <c r="B5461" s="9" t="s">
        <v>14</v>
      </c>
      <c r="C5461" s="9" t="s">
        <v>15</v>
      </c>
      <c r="D5461" s="10" t="s">
        <v>11926</v>
      </c>
      <c r="E5461" s="9" t="s">
        <v>17</v>
      </c>
      <c r="F5461" s="10">
        <v>28</v>
      </c>
      <c r="G5461" s="11">
        <v>9162269751</v>
      </c>
      <c r="H5461" s="10" t="s">
        <v>11927</v>
      </c>
      <c r="I5461" s="10" t="s">
        <v>31</v>
      </c>
      <c r="J5461" s="10" t="s">
        <v>11928</v>
      </c>
      <c r="K5461" s="12">
        <v>46029</v>
      </c>
      <c r="L5461" s="28" t="s">
        <v>11</v>
      </c>
      <c r="M5461" s="14"/>
      <c r="N5461" s="10" t="s">
        <v>1028</v>
      </c>
    </row>
    <row r="5462" spans="1:14" ht="22.5" customHeight="1">
      <c r="A5462" s="8">
        <v>46029.709426087968</v>
      </c>
      <c r="B5462" s="9" t="s">
        <v>14</v>
      </c>
      <c r="C5462" s="9" t="s">
        <v>15</v>
      </c>
      <c r="D5462" s="10" t="s">
        <v>11929</v>
      </c>
      <c r="E5462" s="9" t="s">
        <v>17</v>
      </c>
      <c r="F5462" s="10">
        <v>28</v>
      </c>
      <c r="G5462" s="11">
        <v>9039933299</v>
      </c>
      <c r="H5462" s="10" t="s">
        <v>11930</v>
      </c>
      <c r="I5462" s="10" t="s">
        <v>19</v>
      </c>
      <c r="J5462" s="10" t="s">
        <v>812</v>
      </c>
      <c r="K5462" s="12">
        <v>46029</v>
      </c>
      <c r="L5462" s="28" t="s">
        <v>11</v>
      </c>
      <c r="M5462" s="14"/>
      <c r="N5462" s="10" t="s">
        <v>1028</v>
      </c>
    </row>
    <row r="5463" spans="1:14" ht="22.5" customHeight="1">
      <c r="A5463" s="8">
        <v>46029.712434513887</v>
      </c>
      <c r="B5463" s="9" t="s">
        <v>14</v>
      </c>
      <c r="C5463" s="9" t="s">
        <v>15</v>
      </c>
      <c r="D5463" s="10" t="s">
        <v>11931</v>
      </c>
      <c r="E5463" s="9" t="s">
        <v>17</v>
      </c>
      <c r="F5463" s="10">
        <v>24</v>
      </c>
      <c r="G5463" s="11">
        <v>9027102710</v>
      </c>
      <c r="H5463" s="10" t="s">
        <v>11932</v>
      </c>
      <c r="I5463" s="10" t="s">
        <v>27</v>
      </c>
      <c r="J5463" s="10" t="s">
        <v>372</v>
      </c>
      <c r="K5463" s="12">
        <v>46029</v>
      </c>
      <c r="L5463" s="28" t="s">
        <v>11</v>
      </c>
      <c r="M5463" s="14"/>
      <c r="N5463" s="10" t="s">
        <v>1028</v>
      </c>
    </row>
    <row r="5464" spans="1:14" ht="22.5" customHeight="1">
      <c r="A5464" s="8">
        <v>46029.714244525458</v>
      </c>
      <c r="B5464" s="9" t="s">
        <v>14</v>
      </c>
      <c r="C5464" s="9" t="s">
        <v>15</v>
      </c>
      <c r="D5464" s="10" t="s">
        <v>11933</v>
      </c>
      <c r="E5464" s="9" t="s">
        <v>17</v>
      </c>
      <c r="F5464" s="10">
        <v>33</v>
      </c>
      <c r="G5464" s="11">
        <v>8104942027</v>
      </c>
      <c r="H5464" s="10" t="s">
        <v>11934</v>
      </c>
      <c r="I5464" s="10" t="s">
        <v>31</v>
      </c>
      <c r="J5464" s="10" t="s">
        <v>1786</v>
      </c>
      <c r="K5464" s="12">
        <v>46029</v>
      </c>
      <c r="L5464" s="28" t="s">
        <v>11</v>
      </c>
      <c r="M5464" s="14"/>
      <c r="N5464" s="10" t="s">
        <v>1028</v>
      </c>
    </row>
    <row r="5465" spans="1:14" ht="22.5" customHeight="1">
      <c r="A5465" s="8">
        <v>46029.716189884261</v>
      </c>
      <c r="B5465" s="9" t="s">
        <v>14</v>
      </c>
      <c r="C5465" s="9" t="s">
        <v>15</v>
      </c>
      <c r="D5465" s="10" t="s">
        <v>11935</v>
      </c>
      <c r="E5465" s="9" t="s">
        <v>22</v>
      </c>
      <c r="F5465" s="10">
        <v>23</v>
      </c>
      <c r="G5465" s="11">
        <v>8140387538</v>
      </c>
      <c r="H5465" s="10" t="s">
        <v>11936</v>
      </c>
      <c r="I5465" s="10" t="s">
        <v>19</v>
      </c>
      <c r="J5465" s="10" t="s">
        <v>1664</v>
      </c>
      <c r="K5465" s="12">
        <v>46029</v>
      </c>
      <c r="L5465" s="28" t="s">
        <v>11</v>
      </c>
      <c r="M5465" s="14"/>
      <c r="N5465" s="10" t="s">
        <v>1028</v>
      </c>
    </row>
    <row r="5466" spans="1:14" ht="22.5" customHeight="1">
      <c r="A5466" s="8">
        <v>46029.720679976846</v>
      </c>
      <c r="B5466" s="9" t="s">
        <v>14</v>
      </c>
      <c r="C5466" s="9" t="s">
        <v>15</v>
      </c>
      <c r="D5466" s="10" t="s">
        <v>11937</v>
      </c>
      <c r="E5466" s="9" t="s">
        <v>17</v>
      </c>
      <c r="F5466" s="19">
        <v>30</v>
      </c>
      <c r="G5466" s="11">
        <v>8148489139</v>
      </c>
      <c r="H5466" s="10" t="s">
        <v>11938</v>
      </c>
      <c r="I5466" s="10" t="s">
        <v>19</v>
      </c>
      <c r="J5466" s="10" t="s">
        <v>476</v>
      </c>
      <c r="K5466" s="12">
        <v>46029</v>
      </c>
      <c r="L5466" s="28" t="s">
        <v>11</v>
      </c>
      <c r="M5466" s="14"/>
      <c r="N5466" s="10" t="s">
        <v>1028</v>
      </c>
    </row>
    <row r="5467" spans="1:14" ht="22.5" customHeight="1">
      <c r="A5467" s="8">
        <v>46029.721594201386</v>
      </c>
      <c r="B5467" s="9" t="s">
        <v>14</v>
      </c>
      <c r="C5467" s="9" t="s">
        <v>15</v>
      </c>
      <c r="D5467" s="10" t="s">
        <v>11939</v>
      </c>
      <c r="E5467" s="9" t="s">
        <v>22</v>
      </c>
      <c r="F5467" s="10">
        <v>28</v>
      </c>
      <c r="G5467" s="11">
        <v>8162516050</v>
      </c>
      <c r="H5467" s="10" t="s">
        <v>11940</v>
      </c>
      <c r="I5467" s="10" t="s">
        <v>19</v>
      </c>
      <c r="J5467" s="10" t="s">
        <v>166</v>
      </c>
      <c r="K5467" s="12">
        <v>46029</v>
      </c>
      <c r="L5467" s="28" t="s">
        <v>11</v>
      </c>
      <c r="M5467" s="14"/>
      <c r="N5467" s="10" t="s">
        <v>1096</v>
      </c>
    </row>
    <row r="5468" spans="1:14" ht="22.5" customHeight="1">
      <c r="A5468" s="8">
        <v>46029.722999953708</v>
      </c>
      <c r="B5468" s="9" t="s">
        <v>14</v>
      </c>
      <c r="C5468" s="9" t="s">
        <v>15</v>
      </c>
      <c r="D5468" s="10" t="s">
        <v>11941</v>
      </c>
      <c r="E5468" s="9" t="s">
        <v>17</v>
      </c>
      <c r="F5468" s="10">
        <v>25</v>
      </c>
      <c r="G5468" s="11">
        <v>8139784255</v>
      </c>
      <c r="H5468" s="10" t="s">
        <v>11942</v>
      </c>
      <c r="I5468" s="10" t="s">
        <v>202</v>
      </c>
      <c r="J5468" s="10" t="s">
        <v>4177</v>
      </c>
      <c r="K5468" s="12">
        <v>46029</v>
      </c>
      <c r="L5468" s="28" t="s">
        <v>11</v>
      </c>
      <c r="M5468" s="14"/>
      <c r="N5468" s="10" t="s">
        <v>1028</v>
      </c>
    </row>
    <row r="5469" spans="1:14" ht="22.5" customHeight="1">
      <c r="A5469" s="8">
        <v>46029.730909930557</v>
      </c>
      <c r="B5469" s="9" t="s">
        <v>14</v>
      </c>
      <c r="C5469" s="9" t="s">
        <v>15</v>
      </c>
      <c r="D5469" s="10" t="s">
        <v>11943</v>
      </c>
      <c r="E5469" s="9" t="s">
        <v>17</v>
      </c>
      <c r="F5469" s="10">
        <v>26</v>
      </c>
      <c r="G5469" s="11">
        <v>9055536665</v>
      </c>
      <c r="H5469" s="10" t="s">
        <v>11944</v>
      </c>
      <c r="I5469" s="10" t="s">
        <v>31</v>
      </c>
      <c r="J5469" s="10" t="s">
        <v>11945</v>
      </c>
      <c r="K5469" s="12">
        <v>46029</v>
      </c>
      <c r="L5469" s="28" t="s">
        <v>11</v>
      </c>
      <c r="M5469" s="14"/>
      <c r="N5469" s="10" t="s">
        <v>1028</v>
      </c>
    </row>
    <row r="5470" spans="1:14" ht="22.5" customHeight="1">
      <c r="A5470" s="8">
        <v>46029.731070798611</v>
      </c>
      <c r="B5470" s="9" t="s">
        <v>14</v>
      </c>
      <c r="C5470" s="9" t="s">
        <v>15</v>
      </c>
      <c r="D5470" s="10" t="s">
        <v>11946</v>
      </c>
      <c r="E5470" s="9" t="s">
        <v>22</v>
      </c>
      <c r="F5470" s="10">
        <v>27</v>
      </c>
      <c r="G5470" s="11">
        <v>8082710528</v>
      </c>
      <c r="H5470" s="10" t="s">
        <v>11947</v>
      </c>
      <c r="I5470" s="10" t="s">
        <v>19</v>
      </c>
      <c r="J5470" s="10" t="s">
        <v>3495</v>
      </c>
      <c r="K5470" s="12">
        <v>46029</v>
      </c>
      <c r="L5470" s="28" t="s">
        <v>11</v>
      </c>
      <c r="M5470" s="14"/>
      <c r="N5470" s="10" t="s">
        <v>1563</v>
      </c>
    </row>
    <row r="5471" spans="1:14" ht="22.5" customHeight="1">
      <c r="A5471" s="8">
        <v>46029.733528622688</v>
      </c>
      <c r="B5471" s="9" t="s">
        <v>14</v>
      </c>
      <c r="C5471" s="9" t="s">
        <v>15</v>
      </c>
      <c r="D5471" s="10" t="s">
        <v>11948</v>
      </c>
      <c r="E5471" s="9" t="s">
        <v>22</v>
      </c>
      <c r="F5471" s="10">
        <v>27</v>
      </c>
      <c r="G5471" s="11">
        <v>7068318660</v>
      </c>
      <c r="H5471" s="10" t="s">
        <v>11949</v>
      </c>
      <c r="I5471" s="10" t="s">
        <v>27</v>
      </c>
      <c r="J5471" s="10" t="s">
        <v>172</v>
      </c>
      <c r="K5471" s="12">
        <v>46029</v>
      </c>
      <c r="L5471" s="28" t="s">
        <v>11</v>
      </c>
      <c r="M5471" s="14"/>
      <c r="N5471" s="10" t="s">
        <v>1096</v>
      </c>
    </row>
    <row r="5472" spans="1:14" ht="22.5" customHeight="1">
      <c r="A5472" s="8">
        <v>46029.733592789351</v>
      </c>
      <c r="B5472" s="9" t="s">
        <v>14</v>
      </c>
      <c r="C5472" s="9" t="s">
        <v>15</v>
      </c>
      <c r="D5472" s="10" t="s">
        <v>11950</v>
      </c>
      <c r="E5472" s="9" t="s">
        <v>17</v>
      </c>
      <c r="F5472" s="10">
        <v>25</v>
      </c>
      <c r="G5472" s="11">
        <v>9077190410</v>
      </c>
      <c r="H5472" s="10" t="s">
        <v>11951</v>
      </c>
      <c r="I5472" s="10" t="s">
        <v>145</v>
      </c>
      <c r="J5472" s="10" t="s">
        <v>8279</v>
      </c>
      <c r="K5472" s="12">
        <v>46029</v>
      </c>
      <c r="L5472" s="28" t="s">
        <v>11</v>
      </c>
      <c r="M5472" s="14"/>
      <c r="N5472" s="10" t="s">
        <v>1028</v>
      </c>
    </row>
    <row r="5473" spans="1:14" ht="22.5" customHeight="1">
      <c r="A5473" s="8">
        <v>46029.735183576384</v>
      </c>
      <c r="B5473" s="9" t="s">
        <v>14</v>
      </c>
      <c r="C5473" s="9" t="s">
        <v>15</v>
      </c>
      <c r="D5473" s="10" t="s">
        <v>11952</v>
      </c>
      <c r="E5473" s="9" t="s">
        <v>17</v>
      </c>
      <c r="F5473" s="10">
        <v>34</v>
      </c>
      <c r="G5473" s="11">
        <v>8020949922</v>
      </c>
      <c r="H5473" s="10" t="s">
        <v>11953</v>
      </c>
      <c r="I5473" s="10" t="s">
        <v>27</v>
      </c>
      <c r="J5473" s="10" t="s">
        <v>11954</v>
      </c>
      <c r="K5473" s="12">
        <v>46029</v>
      </c>
      <c r="L5473" s="28" t="s">
        <v>11</v>
      </c>
      <c r="M5473" s="14"/>
      <c r="N5473" s="10" t="s">
        <v>1028</v>
      </c>
    </row>
    <row r="5474" spans="1:14" ht="22.5" customHeight="1">
      <c r="A5474" s="8">
        <v>46029.735770254629</v>
      </c>
      <c r="B5474" s="9" t="s">
        <v>14</v>
      </c>
      <c r="C5474" s="9" t="s">
        <v>15</v>
      </c>
      <c r="D5474" s="10" t="s">
        <v>11955</v>
      </c>
      <c r="E5474" s="9" t="s">
        <v>17</v>
      </c>
      <c r="F5474" s="10">
        <v>28</v>
      </c>
      <c r="G5474" s="11">
        <v>8140038633</v>
      </c>
      <c r="H5474" s="10" t="s">
        <v>11956</v>
      </c>
      <c r="I5474" s="10" t="s">
        <v>45</v>
      </c>
      <c r="J5474" s="10" t="s">
        <v>901</v>
      </c>
      <c r="K5474" s="12">
        <v>46029</v>
      </c>
      <c r="L5474" s="28" t="s">
        <v>11</v>
      </c>
      <c r="M5474" s="14"/>
      <c r="N5474" s="10" t="s">
        <v>1096</v>
      </c>
    </row>
    <row r="5475" spans="1:14" ht="22.5" customHeight="1">
      <c r="A5475" s="8">
        <v>46029.74146041667</v>
      </c>
      <c r="B5475" s="9" t="s">
        <v>14</v>
      </c>
      <c r="C5475" s="9" t="s">
        <v>15</v>
      </c>
      <c r="D5475" s="10" t="s">
        <v>11957</v>
      </c>
      <c r="E5475" s="9" t="s">
        <v>22</v>
      </c>
      <c r="F5475" s="10">
        <v>32</v>
      </c>
      <c r="G5475" s="11">
        <v>9069774624</v>
      </c>
      <c r="H5475" s="10" t="s">
        <v>11958</v>
      </c>
      <c r="I5475" s="10" t="s">
        <v>27</v>
      </c>
      <c r="J5475" s="10" t="s">
        <v>1456</v>
      </c>
      <c r="K5475" s="12">
        <v>46029</v>
      </c>
      <c r="L5475" s="28" t="s">
        <v>11</v>
      </c>
      <c r="M5475" s="14"/>
      <c r="N5475" s="10" t="s">
        <v>11959</v>
      </c>
    </row>
    <row r="5476" spans="1:14" ht="22.5" customHeight="1">
      <c r="A5476" s="8">
        <v>46029.741494664355</v>
      </c>
      <c r="B5476" s="9" t="s">
        <v>14</v>
      </c>
      <c r="C5476" s="9" t="s">
        <v>15</v>
      </c>
      <c r="D5476" s="10" t="s">
        <v>11960</v>
      </c>
      <c r="E5476" s="9" t="s">
        <v>22</v>
      </c>
      <c r="F5476" s="10">
        <v>33</v>
      </c>
      <c r="G5476" s="11">
        <v>7066970823</v>
      </c>
      <c r="H5476" s="10" t="s">
        <v>11961</v>
      </c>
      <c r="I5476" s="10" t="s">
        <v>45</v>
      </c>
      <c r="J5476" s="10" t="s">
        <v>688</v>
      </c>
      <c r="K5476" s="12">
        <v>46029</v>
      </c>
      <c r="L5476" s="28" t="s">
        <v>11</v>
      </c>
      <c r="M5476" s="14"/>
      <c r="N5476" s="10" t="s">
        <v>1035</v>
      </c>
    </row>
    <row r="5477" spans="1:14" ht="22.5" customHeight="1">
      <c r="A5477" s="8">
        <v>46029.742908553242</v>
      </c>
      <c r="B5477" s="9" t="s">
        <v>14</v>
      </c>
      <c r="C5477" s="9" t="s">
        <v>15</v>
      </c>
      <c r="D5477" s="10" t="s">
        <v>11962</v>
      </c>
      <c r="E5477" s="9" t="s">
        <v>22</v>
      </c>
      <c r="F5477" s="10">
        <v>26</v>
      </c>
      <c r="G5477" s="11">
        <v>9015980025</v>
      </c>
      <c r="H5477" s="10" t="s">
        <v>11963</v>
      </c>
      <c r="I5477" s="10" t="s">
        <v>45</v>
      </c>
      <c r="J5477" s="10" t="s">
        <v>11964</v>
      </c>
      <c r="K5477" s="12">
        <v>46029</v>
      </c>
      <c r="L5477" s="28" t="s">
        <v>11</v>
      </c>
      <c r="M5477" s="10"/>
      <c r="N5477" s="10" t="s">
        <v>1028</v>
      </c>
    </row>
    <row r="5478" spans="1:14" ht="22.5" customHeight="1">
      <c r="A5478" s="8">
        <v>46029.742926319443</v>
      </c>
      <c r="B5478" s="9" t="s">
        <v>14</v>
      </c>
      <c r="C5478" s="9" t="s">
        <v>15</v>
      </c>
      <c r="D5478" s="10" t="s">
        <v>11965</v>
      </c>
      <c r="E5478" s="9" t="s">
        <v>17</v>
      </c>
      <c r="F5478" s="10">
        <v>34</v>
      </c>
      <c r="G5478" s="11">
        <v>8106198550</v>
      </c>
      <c r="H5478" s="10" t="s">
        <v>11966</v>
      </c>
      <c r="I5478" s="10" t="s">
        <v>31</v>
      </c>
      <c r="J5478" s="10" t="s">
        <v>39</v>
      </c>
      <c r="K5478" s="12">
        <v>46029</v>
      </c>
      <c r="L5478" s="28" t="s">
        <v>11</v>
      </c>
      <c r="M5478" s="14"/>
      <c r="N5478" s="10" t="s">
        <v>1028</v>
      </c>
    </row>
    <row r="5479" spans="1:14" ht="22.5" customHeight="1">
      <c r="A5479" s="8">
        <v>46029.745658113425</v>
      </c>
      <c r="B5479" s="9" t="s">
        <v>14</v>
      </c>
      <c r="C5479" s="9" t="s">
        <v>15</v>
      </c>
      <c r="D5479" s="10" t="s">
        <v>11967</v>
      </c>
      <c r="E5479" s="9" t="s">
        <v>22</v>
      </c>
      <c r="F5479" s="10">
        <v>23</v>
      </c>
      <c r="G5479" s="11">
        <v>9031873887</v>
      </c>
      <c r="H5479" s="10" t="s">
        <v>11968</v>
      </c>
      <c r="I5479" s="10" t="s">
        <v>45</v>
      </c>
      <c r="J5479" s="10" t="s">
        <v>46</v>
      </c>
      <c r="K5479" s="12">
        <v>46029</v>
      </c>
      <c r="L5479" s="28" t="s">
        <v>11</v>
      </c>
      <c r="M5479" s="14"/>
      <c r="N5479" s="10" t="s">
        <v>1096</v>
      </c>
    </row>
    <row r="5480" spans="1:14" ht="22.5" customHeight="1">
      <c r="A5480" s="8">
        <v>46029.753498287042</v>
      </c>
      <c r="B5480" s="9" t="s">
        <v>14</v>
      </c>
      <c r="C5480" s="9" t="s">
        <v>15</v>
      </c>
      <c r="D5480" s="10" t="s">
        <v>11969</v>
      </c>
      <c r="E5480" s="9" t="s">
        <v>17</v>
      </c>
      <c r="F5480" s="10">
        <v>34</v>
      </c>
      <c r="G5480" s="11">
        <v>8130273409</v>
      </c>
      <c r="H5480" s="10" t="s">
        <v>11970</v>
      </c>
      <c r="I5480" s="10" t="s">
        <v>31</v>
      </c>
      <c r="J5480" s="10" t="s">
        <v>11971</v>
      </c>
      <c r="K5480" s="12">
        <v>46029</v>
      </c>
      <c r="L5480" s="28" t="s">
        <v>11</v>
      </c>
      <c r="M5480" s="14"/>
      <c r="N5480" s="10" t="s">
        <v>1028</v>
      </c>
    </row>
    <row r="5481" spans="1:14" ht="22.5" customHeight="1">
      <c r="A5481" s="8">
        <v>46029.754571064812</v>
      </c>
      <c r="B5481" s="9" t="s">
        <v>14</v>
      </c>
      <c r="C5481" s="9" t="s">
        <v>15</v>
      </c>
      <c r="D5481" s="10" t="s">
        <v>6048</v>
      </c>
      <c r="E5481" s="9" t="s">
        <v>17</v>
      </c>
      <c r="F5481" s="10">
        <v>31</v>
      </c>
      <c r="G5481" s="11">
        <v>9078336897</v>
      </c>
      <c r="H5481" s="10" t="s">
        <v>11972</v>
      </c>
      <c r="I5481" s="10" t="s">
        <v>202</v>
      </c>
      <c r="J5481" s="10" t="s">
        <v>4651</v>
      </c>
      <c r="K5481" s="12">
        <v>46029</v>
      </c>
      <c r="L5481" s="28" t="s">
        <v>11</v>
      </c>
      <c r="M5481" s="14"/>
      <c r="N5481" s="10" t="s">
        <v>1028</v>
      </c>
    </row>
    <row r="5482" spans="1:14" ht="22.5" customHeight="1">
      <c r="A5482" s="8">
        <v>46029.755510578703</v>
      </c>
      <c r="B5482" s="9" t="s">
        <v>14</v>
      </c>
      <c r="C5482" s="9" t="s">
        <v>15</v>
      </c>
      <c r="D5482" s="10" t="s">
        <v>11973</v>
      </c>
      <c r="E5482" s="9" t="s">
        <v>17</v>
      </c>
      <c r="F5482" s="10">
        <v>41</v>
      </c>
      <c r="G5482" s="11">
        <v>7030515078</v>
      </c>
      <c r="H5482" s="10" t="s">
        <v>11974</v>
      </c>
      <c r="I5482" s="10" t="s">
        <v>202</v>
      </c>
      <c r="J5482" s="10" t="s">
        <v>3437</v>
      </c>
      <c r="K5482" s="12">
        <v>46029</v>
      </c>
      <c r="L5482" s="28" t="s">
        <v>11</v>
      </c>
      <c r="M5482" s="14"/>
      <c r="N5482" s="10" t="s">
        <v>1028</v>
      </c>
    </row>
    <row r="5483" spans="1:14" ht="22.5" customHeight="1">
      <c r="A5483" s="8">
        <v>46029.755836342592</v>
      </c>
      <c r="B5483" s="9" t="s">
        <v>14</v>
      </c>
      <c r="C5483" s="9" t="s">
        <v>15</v>
      </c>
      <c r="D5483" s="10" t="s">
        <v>11975</v>
      </c>
      <c r="E5483" s="9" t="s">
        <v>17</v>
      </c>
      <c r="F5483" s="10">
        <v>35</v>
      </c>
      <c r="G5483" s="11">
        <v>8032088910</v>
      </c>
      <c r="H5483" s="10" t="s">
        <v>11976</v>
      </c>
      <c r="I5483" s="10" t="s">
        <v>31</v>
      </c>
      <c r="J5483" s="10" t="s">
        <v>11977</v>
      </c>
      <c r="K5483" s="12">
        <v>46029</v>
      </c>
      <c r="L5483" s="28" t="s">
        <v>11</v>
      </c>
      <c r="M5483" s="14"/>
      <c r="N5483" s="10" t="s">
        <v>1028</v>
      </c>
    </row>
    <row r="5484" spans="1:14" ht="22.5" customHeight="1">
      <c r="A5484" s="8">
        <v>46029.757547569447</v>
      </c>
      <c r="B5484" s="9" t="s">
        <v>14</v>
      </c>
      <c r="C5484" s="9" t="s">
        <v>15</v>
      </c>
      <c r="D5484" s="10" t="s">
        <v>11978</v>
      </c>
      <c r="E5484" s="9" t="s">
        <v>17</v>
      </c>
      <c r="F5484" s="10">
        <v>29</v>
      </c>
      <c r="G5484" s="11">
        <v>9016553529</v>
      </c>
      <c r="H5484" s="10" t="s">
        <v>11979</v>
      </c>
      <c r="I5484" s="10" t="s">
        <v>31</v>
      </c>
      <c r="J5484" s="10" t="s">
        <v>2358</v>
      </c>
      <c r="K5484" s="12">
        <v>46029</v>
      </c>
      <c r="L5484" s="28" t="s">
        <v>11</v>
      </c>
      <c r="M5484" s="14"/>
      <c r="N5484" s="10" t="s">
        <v>1028</v>
      </c>
    </row>
    <row r="5485" spans="1:14" ht="22.5" customHeight="1">
      <c r="A5485" s="8">
        <v>46029.761178263885</v>
      </c>
      <c r="B5485" s="9" t="s">
        <v>14</v>
      </c>
      <c r="C5485" s="9" t="s">
        <v>15</v>
      </c>
      <c r="D5485" s="10" t="s">
        <v>11980</v>
      </c>
      <c r="E5485" s="9" t="s">
        <v>22</v>
      </c>
      <c r="F5485" s="10">
        <v>32</v>
      </c>
      <c r="G5485" s="11">
        <v>7044200808</v>
      </c>
      <c r="H5485" s="10" t="s">
        <v>11981</v>
      </c>
      <c r="I5485" s="10" t="s">
        <v>31</v>
      </c>
      <c r="J5485" s="10" t="s">
        <v>39</v>
      </c>
      <c r="K5485" s="12">
        <v>46029</v>
      </c>
      <c r="L5485" s="28" t="s">
        <v>11</v>
      </c>
      <c r="M5485" s="14"/>
      <c r="N5485" s="10" t="s">
        <v>1028</v>
      </c>
    </row>
    <row r="5486" spans="1:14" ht="22.5" customHeight="1">
      <c r="A5486" s="8">
        <v>46029.761869895832</v>
      </c>
      <c r="B5486" s="9" t="s">
        <v>14</v>
      </c>
      <c r="C5486" s="9" t="s">
        <v>15</v>
      </c>
      <c r="D5486" s="10" t="s">
        <v>11982</v>
      </c>
      <c r="E5486" s="9" t="s">
        <v>17</v>
      </c>
      <c r="F5486" s="10">
        <v>30</v>
      </c>
      <c r="G5486" s="11">
        <v>8107320580</v>
      </c>
      <c r="H5486" s="10" t="s">
        <v>11983</v>
      </c>
      <c r="I5486" s="10" t="s">
        <v>19</v>
      </c>
      <c r="J5486" s="10" t="s">
        <v>5064</v>
      </c>
      <c r="K5486" s="12">
        <v>46029</v>
      </c>
      <c r="L5486" s="28" t="s">
        <v>11</v>
      </c>
      <c r="M5486" s="14"/>
      <c r="N5486" s="10" t="s">
        <v>1028</v>
      </c>
    </row>
    <row r="5487" spans="1:14" ht="22.5" customHeight="1">
      <c r="A5487" s="8">
        <v>46029.769575509257</v>
      </c>
      <c r="B5487" s="9" t="s">
        <v>14</v>
      </c>
      <c r="C5487" s="9" t="s">
        <v>15</v>
      </c>
      <c r="D5487" s="10" t="s">
        <v>11984</v>
      </c>
      <c r="E5487" s="9" t="s">
        <v>17</v>
      </c>
      <c r="F5487" s="10">
        <v>32</v>
      </c>
      <c r="G5487" s="11">
        <v>7061729264</v>
      </c>
      <c r="H5487" s="10" t="s">
        <v>11985</v>
      </c>
      <c r="I5487" s="10" t="s">
        <v>45</v>
      </c>
      <c r="J5487" s="10" t="s">
        <v>11986</v>
      </c>
      <c r="K5487" s="12">
        <v>46029</v>
      </c>
      <c r="L5487" s="28" t="s">
        <v>11</v>
      </c>
      <c r="M5487" s="14"/>
      <c r="N5487" s="10" t="s">
        <v>1028</v>
      </c>
    </row>
    <row r="5488" spans="1:14" ht="22.5" customHeight="1">
      <c r="A5488" s="8">
        <v>46029.769976493058</v>
      </c>
      <c r="B5488" s="9" t="s">
        <v>14</v>
      </c>
      <c r="C5488" s="9" t="s">
        <v>15</v>
      </c>
      <c r="D5488" s="10" t="s">
        <v>11987</v>
      </c>
      <c r="E5488" s="9" t="s">
        <v>17</v>
      </c>
      <c r="F5488" s="10">
        <v>38</v>
      </c>
      <c r="G5488" s="11">
        <v>7030501286</v>
      </c>
      <c r="H5488" s="10" t="s">
        <v>11988</v>
      </c>
      <c r="I5488" s="10" t="s">
        <v>27</v>
      </c>
      <c r="J5488" s="10" t="s">
        <v>1895</v>
      </c>
      <c r="K5488" s="12">
        <v>46029</v>
      </c>
      <c r="L5488" s="28" t="s">
        <v>11</v>
      </c>
      <c r="M5488" s="14"/>
      <c r="N5488" s="10" t="s">
        <v>1028</v>
      </c>
    </row>
    <row r="5489" spans="1:14" ht="22.5" customHeight="1">
      <c r="A5489" s="8">
        <v>46029.775997118057</v>
      </c>
      <c r="B5489" s="9" t="s">
        <v>14</v>
      </c>
      <c r="C5489" s="9" t="s">
        <v>15</v>
      </c>
      <c r="D5489" s="10" t="s">
        <v>11989</v>
      </c>
      <c r="E5489" s="9" t="s">
        <v>22</v>
      </c>
      <c r="F5489" s="10">
        <v>24</v>
      </c>
      <c r="G5489" s="11">
        <v>8143394699</v>
      </c>
      <c r="H5489" s="10" t="s">
        <v>11990</v>
      </c>
      <c r="I5489" s="10" t="s">
        <v>27</v>
      </c>
      <c r="J5489" s="10" t="s">
        <v>6985</v>
      </c>
      <c r="K5489" s="12">
        <v>46029</v>
      </c>
      <c r="L5489" s="28" t="s">
        <v>11</v>
      </c>
      <c r="M5489" s="14"/>
      <c r="N5489" s="10" t="s">
        <v>1096</v>
      </c>
    </row>
    <row r="5490" spans="1:14" ht="22.5" customHeight="1">
      <c r="A5490" s="8">
        <v>46029.792235937501</v>
      </c>
      <c r="B5490" s="9" t="s">
        <v>14</v>
      </c>
      <c r="C5490" s="9" t="s">
        <v>15</v>
      </c>
      <c r="D5490" s="10" t="s">
        <v>11991</v>
      </c>
      <c r="E5490" s="9" t="s">
        <v>17</v>
      </c>
      <c r="F5490" s="10">
        <v>29</v>
      </c>
      <c r="G5490" s="11">
        <v>8184785538</v>
      </c>
      <c r="H5490" s="10" t="s">
        <v>11992</v>
      </c>
      <c r="I5490" s="10" t="s">
        <v>19</v>
      </c>
      <c r="J5490" s="10" t="s">
        <v>812</v>
      </c>
      <c r="K5490" s="12">
        <v>46029</v>
      </c>
      <c r="L5490" s="28" t="s">
        <v>11</v>
      </c>
      <c r="M5490" s="14"/>
      <c r="N5490" s="10" t="s">
        <v>1028</v>
      </c>
    </row>
    <row r="5491" spans="1:14" ht="22.5" customHeight="1">
      <c r="A5491" s="8">
        <v>46029.793869317131</v>
      </c>
      <c r="B5491" s="9" t="s">
        <v>14</v>
      </c>
      <c r="C5491" s="9" t="s">
        <v>15</v>
      </c>
      <c r="D5491" s="10" t="s">
        <v>3828</v>
      </c>
      <c r="E5491" s="9" t="s">
        <v>17</v>
      </c>
      <c r="F5491" s="10">
        <v>31</v>
      </c>
      <c r="G5491" s="11">
        <v>9069982391</v>
      </c>
      <c r="H5491" s="10" t="s">
        <v>3829</v>
      </c>
      <c r="I5491" s="10" t="s">
        <v>19</v>
      </c>
      <c r="J5491" s="10" t="s">
        <v>11993</v>
      </c>
      <c r="K5491" s="12">
        <v>46029</v>
      </c>
      <c r="L5491" s="28" t="s">
        <v>11</v>
      </c>
      <c r="M5491" s="14"/>
      <c r="N5491" s="10" t="s">
        <v>1096</v>
      </c>
    </row>
    <row r="5492" spans="1:14" ht="22.5" customHeight="1">
      <c r="A5492" s="8">
        <v>46029.794367835653</v>
      </c>
      <c r="B5492" s="9" t="s">
        <v>14</v>
      </c>
      <c r="C5492" s="9" t="s">
        <v>15</v>
      </c>
      <c r="D5492" s="10" t="s">
        <v>11994</v>
      </c>
      <c r="E5492" s="9" t="s">
        <v>22</v>
      </c>
      <c r="F5492" s="10">
        <v>32</v>
      </c>
      <c r="G5492" s="11">
        <v>7061318495</v>
      </c>
      <c r="H5492" s="10" t="s">
        <v>11995</v>
      </c>
      <c r="I5492" s="10" t="s">
        <v>19</v>
      </c>
      <c r="J5492" s="10" t="s">
        <v>4063</v>
      </c>
      <c r="K5492" s="12">
        <v>46029</v>
      </c>
      <c r="L5492" s="28" t="s">
        <v>11</v>
      </c>
      <c r="M5492" s="14"/>
      <c r="N5492" s="10" t="s">
        <v>1028</v>
      </c>
    </row>
    <row r="5493" spans="1:14" ht="22.5" customHeight="1">
      <c r="A5493" s="8">
        <v>46029.795636111114</v>
      </c>
      <c r="B5493" s="9" t="s">
        <v>14</v>
      </c>
      <c r="C5493" s="9" t="s">
        <v>15</v>
      </c>
      <c r="D5493" s="10" t="s">
        <v>11996</v>
      </c>
      <c r="E5493" s="9" t="s">
        <v>17</v>
      </c>
      <c r="F5493" s="10">
        <v>27</v>
      </c>
      <c r="G5493" s="11">
        <v>9126048746</v>
      </c>
      <c r="H5493" s="10" t="s">
        <v>11997</v>
      </c>
      <c r="I5493" s="10" t="s">
        <v>49</v>
      </c>
      <c r="J5493" s="10" t="s">
        <v>73</v>
      </c>
      <c r="K5493" s="12">
        <v>46029</v>
      </c>
      <c r="L5493" s="28" t="s">
        <v>11</v>
      </c>
      <c r="M5493" s="14"/>
      <c r="N5493" s="10" t="s">
        <v>1096</v>
      </c>
    </row>
    <row r="5494" spans="1:14" ht="22.5" customHeight="1">
      <c r="A5494" s="8">
        <v>46029.797987025464</v>
      </c>
      <c r="B5494" s="9" t="s">
        <v>14</v>
      </c>
      <c r="C5494" s="9" t="s">
        <v>15</v>
      </c>
      <c r="D5494" s="10" t="s">
        <v>11998</v>
      </c>
      <c r="E5494" s="9" t="s">
        <v>22</v>
      </c>
      <c r="F5494" s="10">
        <v>20</v>
      </c>
      <c r="G5494" s="11">
        <v>9073508573</v>
      </c>
      <c r="H5494" s="10" t="s">
        <v>11999</v>
      </c>
      <c r="I5494" s="10" t="s">
        <v>45</v>
      </c>
      <c r="J5494" s="10" t="s">
        <v>6439</v>
      </c>
      <c r="K5494" s="12">
        <v>46029</v>
      </c>
      <c r="L5494" s="28" t="s">
        <v>11</v>
      </c>
      <c r="M5494" s="14"/>
      <c r="N5494" s="10" t="s">
        <v>1096</v>
      </c>
    </row>
    <row r="5495" spans="1:14" ht="22.5" customHeight="1">
      <c r="A5495" s="8">
        <v>46029.803514259256</v>
      </c>
      <c r="B5495" s="9" t="s">
        <v>14</v>
      </c>
      <c r="C5495" s="9" t="s">
        <v>15</v>
      </c>
      <c r="D5495" s="10" t="s">
        <v>12000</v>
      </c>
      <c r="E5495" s="9" t="s">
        <v>17</v>
      </c>
      <c r="F5495" s="10">
        <v>28</v>
      </c>
      <c r="G5495" s="11">
        <v>8107860767</v>
      </c>
      <c r="H5495" s="10" t="s">
        <v>12001</v>
      </c>
      <c r="I5495" s="10" t="s">
        <v>45</v>
      </c>
      <c r="J5495" s="10" t="s">
        <v>688</v>
      </c>
      <c r="K5495" s="12">
        <v>46029</v>
      </c>
      <c r="L5495" s="28" t="s">
        <v>11</v>
      </c>
      <c r="M5495" s="14"/>
      <c r="N5495" s="10" t="s">
        <v>1028</v>
      </c>
    </row>
    <row r="5496" spans="1:14" ht="22.5" customHeight="1">
      <c r="A5496" s="8">
        <v>46029.804310115738</v>
      </c>
      <c r="B5496" s="9" t="s">
        <v>14</v>
      </c>
      <c r="C5496" s="9" t="s">
        <v>15</v>
      </c>
      <c r="D5496" s="10" t="s">
        <v>12002</v>
      </c>
      <c r="E5496" s="9" t="s">
        <v>17</v>
      </c>
      <c r="F5496" s="10">
        <v>29</v>
      </c>
      <c r="G5496" s="11">
        <v>9035199667</v>
      </c>
      <c r="H5496" s="10" t="s">
        <v>12003</v>
      </c>
      <c r="I5496" s="10" t="s">
        <v>45</v>
      </c>
      <c r="J5496" s="10" t="s">
        <v>5033</v>
      </c>
      <c r="K5496" s="12">
        <v>46029</v>
      </c>
      <c r="L5496" s="28" t="s">
        <v>11</v>
      </c>
      <c r="M5496" s="14"/>
      <c r="N5496" s="10" t="s">
        <v>1028</v>
      </c>
    </row>
    <row r="5497" spans="1:14" ht="22.5" customHeight="1">
      <c r="A5497" s="8">
        <v>46029.805448611107</v>
      </c>
      <c r="B5497" s="9" t="s">
        <v>14</v>
      </c>
      <c r="C5497" s="9" t="s">
        <v>15</v>
      </c>
      <c r="D5497" s="10" t="s">
        <v>12004</v>
      </c>
      <c r="E5497" s="9" t="s">
        <v>17</v>
      </c>
      <c r="F5497" s="10">
        <v>26</v>
      </c>
      <c r="G5497" s="11">
        <v>8169918453</v>
      </c>
      <c r="H5497" s="10" t="s">
        <v>12005</v>
      </c>
      <c r="I5497" s="10" t="s">
        <v>49</v>
      </c>
      <c r="J5497" s="10" t="s">
        <v>73</v>
      </c>
      <c r="K5497" s="12">
        <v>46029</v>
      </c>
      <c r="L5497" s="28" t="s">
        <v>11</v>
      </c>
      <c r="M5497" s="14"/>
      <c r="N5497" s="10" t="s">
        <v>1096</v>
      </c>
    </row>
    <row r="5498" spans="1:14" ht="22.5" customHeight="1">
      <c r="A5498" s="8">
        <v>46029.809542662042</v>
      </c>
      <c r="B5498" s="9" t="s">
        <v>14</v>
      </c>
      <c r="C5498" s="9" t="s">
        <v>15</v>
      </c>
      <c r="D5498" s="10" t="s">
        <v>12006</v>
      </c>
      <c r="E5498" s="9" t="s">
        <v>22</v>
      </c>
      <c r="F5498" s="10">
        <v>25</v>
      </c>
      <c r="G5498" s="11">
        <v>9063150533</v>
      </c>
      <c r="H5498" s="10" t="s">
        <v>12007</v>
      </c>
      <c r="I5498" s="10" t="s">
        <v>45</v>
      </c>
      <c r="J5498" s="10" t="s">
        <v>932</v>
      </c>
      <c r="K5498" s="12">
        <v>46029</v>
      </c>
      <c r="L5498" s="28" t="s">
        <v>11</v>
      </c>
      <c r="M5498" s="14"/>
      <c r="N5498" s="10" t="s">
        <v>1028</v>
      </c>
    </row>
    <row r="5499" spans="1:14" ht="22.5" customHeight="1">
      <c r="A5499" s="8">
        <v>46029.809715740739</v>
      </c>
      <c r="B5499" s="9" t="s">
        <v>14</v>
      </c>
      <c r="C5499" s="9" t="s">
        <v>15</v>
      </c>
      <c r="D5499" s="10" t="s">
        <v>12008</v>
      </c>
      <c r="E5499" s="9" t="s">
        <v>17</v>
      </c>
      <c r="F5499" s="10">
        <v>25</v>
      </c>
      <c r="G5499" s="11">
        <v>2290161183404</v>
      </c>
      <c r="H5499" s="10" t="s">
        <v>12009</v>
      </c>
      <c r="I5499" s="10" t="s">
        <v>49</v>
      </c>
      <c r="J5499" s="10" t="s">
        <v>12010</v>
      </c>
      <c r="K5499" s="12">
        <v>46029</v>
      </c>
      <c r="L5499" s="28" t="s">
        <v>11</v>
      </c>
      <c r="M5499" s="14"/>
      <c r="N5499" s="10" t="s">
        <v>1028</v>
      </c>
    </row>
    <row r="5500" spans="1:14" ht="22.5" customHeight="1">
      <c r="A5500" s="8">
        <v>46029.810975983797</v>
      </c>
      <c r="B5500" s="9" t="s">
        <v>14</v>
      </c>
      <c r="C5500" s="9" t="s">
        <v>15</v>
      </c>
      <c r="D5500" s="10" t="s">
        <v>12011</v>
      </c>
      <c r="E5500" s="9" t="s">
        <v>17</v>
      </c>
      <c r="F5500" s="10">
        <v>27</v>
      </c>
      <c r="G5500" s="11">
        <v>8062693659</v>
      </c>
      <c r="H5500" s="10" t="s">
        <v>12012</v>
      </c>
      <c r="I5500" s="10" t="s">
        <v>27</v>
      </c>
      <c r="J5500" s="10" t="s">
        <v>70</v>
      </c>
      <c r="K5500" s="12">
        <v>46029</v>
      </c>
      <c r="L5500" s="28" t="s">
        <v>11</v>
      </c>
      <c r="M5500" s="14"/>
      <c r="N5500" s="10" t="s">
        <v>2186</v>
      </c>
    </row>
    <row r="5501" spans="1:14" ht="22.5" customHeight="1">
      <c r="A5501" s="8">
        <v>46029.814784317132</v>
      </c>
      <c r="B5501" s="9" t="s">
        <v>14</v>
      </c>
      <c r="C5501" s="9" t="s">
        <v>15</v>
      </c>
      <c r="D5501" s="10" t="s">
        <v>12013</v>
      </c>
      <c r="E5501" s="9" t="s">
        <v>22</v>
      </c>
      <c r="F5501" s="10">
        <v>23</v>
      </c>
      <c r="G5501" s="11">
        <v>9035253742</v>
      </c>
      <c r="H5501" s="10" t="s">
        <v>12014</v>
      </c>
      <c r="I5501" s="10" t="s">
        <v>27</v>
      </c>
      <c r="J5501" s="10" t="s">
        <v>1514</v>
      </c>
      <c r="K5501" s="12">
        <v>46034</v>
      </c>
      <c r="L5501" s="28" t="s">
        <v>11</v>
      </c>
      <c r="M5501" s="14"/>
      <c r="N5501" s="10" t="s">
        <v>1028</v>
      </c>
    </row>
    <row r="5502" spans="1:14" ht="22.5" customHeight="1">
      <c r="A5502" s="8">
        <v>46029.81630982639</v>
      </c>
      <c r="B5502" s="9" t="s">
        <v>14</v>
      </c>
      <c r="C5502" s="9" t="s">
        <v>15</v>
      </c>
      <c r="D5502" s="10" t="s">
        <v>12015</v>
      </c>
      <c r="E5502" s="9" t="s">
        <v>22</v>
      </c>
      <c r="F5502" s="10">
        <v>32</v>
      </c>
      <c r="G5502" s="11">
        <v>8075773656</v>
      </c>
      <c r="H5502" s="10" t="s">
        <v>12016</v>
      </c>
      <c r="I5502" s="10" t="s">
        <v>19</v>
      </c>
      <c r="J5502" s="10" t="s">
        <v>24</v>
      </c>
      <c r="K5502" s="12">
        <v>46029</v>
      </c>
      <c r="L5502" s="28" t="s">
        <v>11</v>
      </c>
      <c r="M5502" s="14"/>
      <c r="N5502" s="10" t="s">
        <v>1096</v>
      </c>
    </row>
    <row r="5503" spans="1:14" ht="22.5" customHeight="1">
      <c r="A5503" s="8">
        <v>46029.817248148145</v>
      </c>
      <c r="B5503" s="9" t="s">
        <v>14</v>
      </c>
      <c r="C5503" s="9" t="s">
        <v>15</v>
      </c>
      <c r="D5503" s="10" t="s">
        <v>12017</v>
      </c>
      <c r="E5503" s="9" t="s">
        <v>17</v>
      </c>
      <c r="F5503" s="10">
        <v>24</v>
      </c>
      <c r="G5503" s="11">
        <v>9078914921</v>
      </c>
      <c r="H5503" s="10" t="s">
        <v>12018</v>
      </c>
      <c r="I5503" s="10" t="s">
        <v>27</v>
      </c>
      <c r="J5503" s="10" t="s">
        <v>94</v>
      </c>
      <c r="K5503" s="12">
        <v>46029</v>
      </c>
      <c r="L5503" s="28" t="s">
        <v>11</v>
      </c>
      <c r="M5503" s="14"/>
      <c r="N5503" s="10" t="s">
        <v>1028</v>
      </c>
    </row>
    <row r="5504" spans="1:14" ht="22.5" customHeight="1">
      <c r="A5504" s="8">
        <v>46029.819513831018</v>
      </c>
      <c r="B5504" s="9" t="s">
        <v>14</v>
      </c>
      <c r="C5504" s="9" t="s">
        <v>15</v>
      </c>
      <c r="D5504" s="10" t="s">
        <v>12019</v>
      </c>
      <c r="E5504" s="9" t="s">
        <v>17</v>
      </c>
      <c r="F5504" s="10">
        <v>30</v>
      </c>
      <c r="G5504" s="11">
        <v>7062917332</v>
      </c>
      <c r="H5504" s="10" t="s">
        <v>12020</v>
      </c>
      <c r="I5504" s="10" t="s">
        <v>27</v>
      </c>
      <c r="J5504" s="10" t="s">
        <v>1456</v>
      </c>
      <c r="K5504" s="12">
        <v>46029</v>
      </c>
      <c r="L5504" s="28" t="s">
        <v>11</v>
      </c>
      <c r="M5504" s="14"/>
      <c r="N5504" s="10" t="s">
        <v>1028</v>
      </c>
    </row>
    <row r="5505" spans="1:14" ht="22.5" customHeight="1">
      <c r="A5505" s="8">
        <v>46029.823338703703</v>
      </c>
      <c r="B5505" s="9" t="s">
        <v>14</v>
      </c>
      <c r="C5505" s="9" t="s">
        <v>15</v>
      </c>
      <c r="D5505" s="10" t="s">
        <v>12021</v>
      </c>
      <c r="E5505" s="9" t="s">
        <v>22</v>
      </c>
      <c r="F5505" s="10">
        <v>33</v>
      </c>
      <c r="G5505" s="11">
        <v>9130139751</v>
      </c>
      <c r="H5505" s="10" t="s">
        <v>12022</v>
      </c>
      <c r="I5505" s="10" t="s">
        <v>202</v>
      </c>
      <c r="J5505" s="10" t="s">
        <v>4020</v>
      </c>
      <c r="K5505" s="12">
        <v>46029</v>
      </c>
      <c r="L5505" s="28" t="s">
        <v>11</v>
      </c>
      <c r="M5505" s="14"/>
      <c r="N5505" s="10" t="s">
        <v>1028</v>
      </c>
    </row>
    <row r="5506" spans="1:14" ht="22.5" customHeight="1">
      <c r="A5506" s="8">
        <v>46029.827675497683</v>
      </c>
      <c r="B5506" s="9" t="s">
        <v>14</v>
      </c>
      <c r="C5506" s="9" t="s">
        <v>15</v>
      </c>
      <c r="D5506" s="10" t="s">
        <v>12023</v>
      </c>
      <c r="E5506" s="9" t="s">
        <v>22</v>
      </c>
      <c r="F5506" s="10">
        <v>29</v>
      </c>
      <c r="G5506" s="11">
        <v>7035338209</v>
      </c>
      <c r="H5506" s="10" t="s">
        <v>12024</v>
      </c>
      <c r="I5506" s="10" t="s">
        <v>27</v>
      </c>
      <c r="J5506" s="10" t="s">
        <v>8700</v>
      </c>
      <c r="K5506" s="12">
        <v>46029</v>
      </c>
      <c r="L5506" s="28" t="s">
        <v>11</v>
      </c>
      <c r="M5506" s="14"/>
      <c r="N5506" s="10" t="s">
        <v>1028</v>
      </c>
    </row>
    <row r="5507" spans="1:14" ht="22.5" customHeight="1">
      <c r="A5507" s="8">
        <v>46029.831494641199</v>
      </c>
      <c r="B5507" s="9" t="s">
        <v>14</v>
      </c>
      <c r="C5507" s="9" t="s">
        <v>15</v>
      </c>
      <c r="D5507" s="10" t="s">
        <v>12025</v>
      </c>
      <c r="E5507" s="9" t="s">
        <v>17</v>
      </c>
      <c r="F5507" s="10">
        <v>26</v>
      </c>
      <c r="G5507" s="11">
        <v>8146432214</v>
      </c>
      <c r="H5507" s="10" t="s">
        <v>12026</v>
      </c>
      <c r="I5507" s="10" t="s">
        <v>145</v>
      </c>
      <c r="J5507" s="10" t="s">
        <v>3296</v>
      </c>
      <c r="K5507" s="12">
        <v>46029</v>
      </c>
      <c r="L5507" s="28" t="s">
        <v>11</v>
      </c>
      <c r="M5507" s="14"/>
      <c r="N5507" s="10" t="s">
        <v>1028</v>
      </c>
    </row>
    <row r="5508" spans="1:14" ht="22.5" customHeight="1">
      <c r="A5508" s="8">
        <v>46029.832652025463</v>
      </c>
      <c r="B5508" s="9" t="s">
        <v>14</v>
      </c>
      <c r="C5508" s="9" t="s">
        <v>15</v>
      </c>
      <c r="D5508" s="10" t="s">
        <v>12027</v>
      </c>
      <c r="E5508" s="9" t="s">
        <v>17</v>
      </c>
      <c r="F5508" s="10">
        <v>29</v>
      </c>
      <c r="G5508" s="11">
        <v>8036433929</v>
      </c>
      <c r="H5508" s="10" t="s">
        <v>12028</v>
      </c>
      <c r="I5508" s="10" t="s">
        <v>31</v>
      </c>
      <c r="J5508" s="10" t="s">
        <v>3830</v>
      </c>
      <c r="K5508" s="12">
        <v>46029</v>
      </c>
      <c r="L5508" s="28" t="s">
        <v>11</v>
      </c>
      <c r="M5508" s="14"/>
      <c r="N5508" s="10" t="s">
        <v>1028</v>
      </c>
    </row>
    <row r="5509" spans="1:14" ht="22.5" customHeight="1">
      <c r="A5509" s="8">
        <v>46029.83339590278</v>
      </c>
      <c r="B5509" s="9" t="s">
        <v>14</v>
      </c>
      <c r="C5509" s="9" t="s">
        <v>15</v>
      </c>
      <c r="D5509" s="10" t="s">
        <v>12029</v>
      </c>
      <c r="E5509" s="9" t="s">
        <v>22</v>
      </c>
      <c r="F5509" s="10">
        <v>20</v>
      </c>
      <c r="G5509" s="11">
        <v>8120624067</v>
      </c>
      <c r="H5509" s="10" t="s">
        <v>12030</v>
      </c>
      <c r="I5509" s="10" t="s">
        <v>202</v>
      </c>
      <c r="J5509" s="10" t="s">
        <v>3437</v>
      </c>
      <c r="K5509" s="12">
        <v>46029</v>
      </c>
      <c r="L5509" s="28" t="s">
        <v>11</v>
      </c>
      <c r="M5509" s="14"/>
      <c r="N5509" s="10" t="s">
        <v>1028</v>
      </c>
    </row>
    <row r="5510" spans="1:14" ht="22.5" customHeight="1">
      <c r="A5510" s="8">
        <v>46029.833772731479</v>
      </c>
      <c r="B5510" s="9" t="s">
        <v>14</v>
      </c>
      <c r="C5510" s="9" t="s">
        <v>15</v>
      </c>
      <c r="D5510" s="10" t="s">
        <v>12031</v>
      </c>
      <c r="E5510" s="9" t="s">
        <v>22</v>
      </c>
      <c r="F5510" s="10">
        <v>29</v>
      </c>
      <c r="G5510" s="11">
        <v>9013559523</v>
      </c>
      <c r="H5510" s="10" t="s">
        <v>12032</v>
      </c>
      <c r="I5510" s="10" t="s">
        <v>45</v>
      </c>
      <c r="J5510" s="10" t="s">
        <v>932</v>
      </c>
      <c r="K5510" s="12">
        <v>46029</v>
      </c>
      <c r="L5510" s="28" t="s">
        <v>11</v>
      </c>
      <c r="M5510" s="10"/>
      <c r="N5510" s="10" t="s">
        <v>1028</v>
      </c>
    </row>
    <row r="5511" spans="1:14" ht="22.5" customHeight="1">
      <c r="A5511" s="8">
        <v>46029.835623877312</v>
      </c>
      <c r="B5511" s="9" t="s">
        <v>14</v>
      </c>
      <c r="C5511" s="9" t="s">
        <v>15</v>
      </c>
      <c r="D5511" s="10" t="s">
        <v>12033</v>
      </c>
      <c r="E5511" s="9" t="s">
        <v>22</v>
      </c>
      <c r="F5511" s="10">
        <v>25</v>
      </c>
      <c r="G5511" s="11">
        <v>8162516614</v>
      </c>
      <c r="H5511" s="10" t="s">
        <v>12034</v>
      </c>
      <c r="I5511" s="10" t="s">
        <v>45</v>
      </c>
      <c r="J5511" s="10" t="s">
        <v>7480</v>
      </c>
      <c r="K5511" s="12">
        <v>46029</v>
      </c>
      <c r="L5511" s="28" t="s">
        <v>11</v>
      </c>
      <c r="M5511" s="14"/>
      <c r="N5511" s="10" t="s">
        <v>1028</v>
      </c>
    </row>
    <row r="5512" spans="1:14" ht="22.5" customHeight="1">
      <c r="A5512" s="8">
        <v>46029.838183263884</v>
      </c>
      <c r="B5512" s="9" t="s">
        <v>14</v>
      </c>
      <c r="C5512" s="9" t="s">
        <v>15</v>
      </c>
      <c r="D5512" s="10" t="s">
        <v>12035</v>
      </c>
      <c r="E5512" s="9" t="s">
        <v>17</v>
      </c>
      <c r="F5512" s="10">
        <v>33</v>
      </c>
      <c r="G5512" s="11">
        <v>8065002581</v>
      </c>
      <c r="H5512" s="10" t="s">
        <v>12036</v>
      </c>
      <c r="I5512" s="10" t="s">
        <v>19</v>
      </c>
      <c r="J5512" s="10" t="s">
        <v>12037</v>
      </c>
      <c r="K5512" s="12">
        <v>46029</v>
      </c>
      <c r="L5512" s="28" t="s">
        <v>11</v>
      </c>
      <c r="M5512" s="14"/>
      <c r="N5512" s="10" t="s">
        <v>1028</v>
      </c>
    </row>
    <row r="5513" spans="1:14" ht="22.5" customHeight="1">
      <c r="A5513" s="8">
        <v>46029.839053680553</v>
      </c>
      <c r="B5513" s="9" t="s">
        <v>14</v>
      </c>
      <c r="C5513" s="9" t="s">
        <v>15</v>
      </c>
      <c r="D5513" s="10" t="s">
        <v>12038</v>
      </c>
      <c r="E5513" s="9" t="s">
        <v>22</v>
      </c>
      <c r="F5513" s="10">
        <v>24</v>
      </c>
      <c r="G5513" s="11">
        <v>7041678406</v>
      </c>
      <c r="H5513" s="10" t="s">
        <v>12039</v>
      </c>
      <c r="I5513" s="10" t="s">
        <v>145</v>
      </c>
      <c r="J5513" s="10" t="s">
        <v>4100</v>
      </c>
      <c r="K5513" s="12">
        <v>46029</v>
      </c>
      <c r="L5513" s="28" t="s">
        <v>11</v>
      </c>
      <c r="M5513" s="14"/>
      <c r="N5513" s="10" t="s">
        <v>1028</v>
      </c>
    </row>
    <row r="5514" spans="1:14" ht="22.5" customHeight="1">
      <c r="A5514" s="8">
        <v>46029.843521504634</v>
      </c>
      <c r="B5514" s="9" t="s">
        <v>14</v>
      </c>
      <c r="C5514" s="9" t="s">
        <v>15</v>
      </c>
      <c r="D5514" s="10" t="s">
        <v>12040</v>
      </c>
      <c r="E5514" s="9" t="s">
        <v>22</v>
      </c>
      <c r="F5514" s="10">
        <v>30</v>
      </c>
      <c r="G5514" s="11">
        <v>8149547881</v>
      </c>
      <c r="H5514" s="10" t="s">
        <v>12041</v>
      </c>
      <c r="I5514" s="10" t="s">
        <v>45</v>
      </c>
      <c r="J5514" s="10" t="s">
        <v>509</v>
      </c>
      <c r="K5514" s="12">
        <v>46029</v>
      </c>
      <c r="L5514" s="28" t="s">
        <v>11</v>
      </c>
      <c r="M5514" s="14"/>
      <c r="N5514" s="10" t="s">
        <v>1028</v>
      </c>
    </row>
    <row r="5515" spans="1:14" ht="22.5" customHeight="1">
      <c r="A5515" s="8">
        <v>46029.848931504632</v>
      </c>
      <c r="B5515" s="9" t="s">
        <v>14</v>
      </c>
      <c r="C5515" s="9" t="s">
        <v>15</v>
      </c>
      <c r="D5515" s="10" t="s">
        <v>12042</v>
      </c>
      <c r="E5515" s="9" t="s">
        <v>17</v>
      </c>
      <c r="F5515" s="10">
        <v>35</v>
      </c>
      <c r="G5515" s="11">
        <v>8065404536</v>
      </c>
      <c r="H5515" s="10" t="s">
        <v>12043</v>
      </c>
      <c r="I5515" s="10" t="s">
        <v>49</v>
      </c>
      <c r="J5515" s="10" t="s">
        <v>50</v>
      </c>
      <c r="K5515" s="12">
        <v>46029</v>
      </c>
      <c r="L5515" s="28" t="s">
        <v>11</v>
      </c>
      <c r="M5515" s="14"/>
      <c r="N5515" s="10" t="s">
        <v>1028</v>
      </c>
    </row>
    <row r="5516" spans="1:14" ht="22.5" customHeight="1">
      <c r="A5516" s="8">
        <v>46029.850218634259</v>
      </c>
      <c r="B5516" s="9" t="s">
        <v>14</v>
      </c>
      <c r="C5516" s="9" t="s">
        <v>15</v>
      </c>
      <c r="D5516" s="10" t="s">
        <v>12044</v>
      </c>
      <c r="E5516" s="9" t="s">
        <v>22</v>
      </c>
      <c r="F5516" s="10">
        <v>26</v>
      </c>
      <c r="G5516" s="11">
        <v>9066215114</v>
      </c>
      <c r="H5516" s="10" t="s">
        <v>12045</v>
      </c>
      <c r="I5516" s="10" t="s">
        <v>31</v>
      </c>
      <c r="J5516" s="10" t="s">
        <v>32</v>
      </c>
      <c r="K5516" s="12">
        <v>46029</v>
      </c>
      <c r="L5516" s="28" t="s">
        <v>11</v>
      </c>
      <c r="M5516" s="14"/>
      <c r="N5516" s="10" t="s">
        <v>1028</v>
      </c>
    </row>
    <row r="5517" spans="1:14" ht="22.5" customHeight="1">
      <c r="A5517" s="8">
        <v>46029.863755127313</v>
      </c>
      <c r="B5517" s="9" t="s">
        <v>14</v>
      </c>
      <c r="C5517" s="9" t="s">
        <v>15</v>
      </c>
      <c r="D5517" s="10" t="s">
        <v>12046</v>
      </c>
      <c r="E5517" s="9" t="s">
        <v>17</v>
      </c>
      <c r="F5517" s="10">
        <v>25</v>
      </c>
      <c r="G5517" s="11">
        <v>7042361335</v>
      </c>
      <c r="H5517" s="10" t="s">
        <v>12047</v>
      </c>
      <c r="I5517" s="10" t="s">
        <v>19</v>
      </c>
      <c r="J5517" s="10" t="s">
        <v>12048</v>
      </c>
      <c r="K5517" s="12">
        <v>46029</v>
      </c>
      <c r="L5517" s="28" t="s">
        <v>11</v>
      </c>
      <c r="M5517" s="14"/>
      <c r="N5517" s="10" t="s">
        <v>1028</v>
      </c>
    </row>
    <row r="5518" spans="1:14" ht="22.5" customHeight="1">
      <c r="A5518" s="8">
        <v>46029.864412881943</v>
      </c>
      <c r="B5518" s="9" t="s">
        <v>14</v>
      </c>
      <c r="C5518" s="9" t="s">
        <v>15</v>
      </c>
      <c r="D5518" s="10" t="s">
        <v>12049</v>
      </c>
      <c r="E5518" s="9" t="s">
        <v>22</v>
      </c>
      <c r="F5518" s="10">
        <v>35</v>
      </c>
      <c r="G5518" s="11">
        <v>8031331244</v>
      </c>
      <c r="H5518" s="10" t="s">
        <v>12050</v>
      </c>
      <c r="I5518" s="10" t="s">
        <v>45</v>
      </c>
      <c r="J5518" s="10" t="s">
        <v>1919</v>
      </c>
      <c r="K5518" s="12">
        <v>46029</v>
      </c>
      <c r="L5518" s="28" t="s">
        <v>11</v>
      </c>
      <c r="M5518" s="14"/>
      <c r="N5518" s="10" t="s">
        <v>12051</v>
      </c>
    </row>
    <row r="5519" spans="1:14" ht="22.5" customHeight="1">
      <c r="A5519" s="8">
        <v>46029.86576674768</v>
      </c>
      <c r="B5519" s="9" t="s">
        <v>14</v>
      </c>
      <c r="C5519" s="9" t="s">
        <v>15</v>
      </c>
      <c r="D5519" s="10" t="s">
        <v>12052</v>
      </c>
      <c r="E5519" s="9" t="s">
        <v>22</v>
      </c>
      <c r="F5519" s="10">
        <v>22</v>
      </c>
      <c r="G5519" s="11">
        <v>8160219360</v>
      </c>
      <c r="H5519" s="10" t="s">
        <v>12053</v>
      </c>
      <c r="I5519" s="10" t="s">
        <v>45</v>
      </c>
      <c r="J5519" s="10" t="s">
        <v>12054</v>
      </c>
      <c r="K5519" s="12">
        <v>46029</v>
      </c>
      <c r="L5519" s="28" t="s">
        <v>11</v>
      </c>
      <c r="M5519" s="14"/>
      <c r="N5519" s="10" t="s">
        <v>1028</v>
      </c>
    </row>
    <row r="5520" spans="1:14" ht="22.5" customHeight="1">
      <c r="A5520" s="8">
        <v>46029.875992048612</v>
      </c>
      <c r="B5520" s="9" t="s">
        <v>14</v>
      </c>
      <c r="C5520" s="9" t="s">
        <v>15</v>
      </c>
      <c r="D5520" s="10" t="s">
        <v>12055</v>
      </c>
      <c r="E5520" s="9" t="s">
        <v>17</v>
      </c>
      <c r="F5520" s="10">
        <v>38</v>
      </c>
      <c r="G5520" s="11">
        <v>8062635505</v>
      </c>
      <c r="H5520" s="10" t="s">
        <v>12056</v>
      </c>
      <c r="I5520" s="10" t="s">
        <v>31</v>
      </c>
      <c r="J5520" s="10" t="s">
        <v>1786</v>
      </c>
      <c r="K5520" s="12">
        <v>46029</v>
      </c>
      <c r="L5520" s="28" t="s">
        <v>11</v>
      </c>
      <c r="M5520" s="14"/>
      <c r="N5520" s="10" t="s">
        <v>1028</v>
      </c>
    </row>
    <row r="5521" spans="1:14" ht="22.5" customHeight="1">
      <c r="A5521" s="8">
        <v>46029.876004097227</v>
      </c>
      <c r="B5521" s="9" t="s">
        <v>14</v>
      </c>
      <c r="C5521" s="9" t="s">
        <v>15</v>
      </c>
      <c r="D5521" s="10" t="s">
        <v>12057</v>
      </c>
      <c r="E5521" s="9" t="s">
        <v>17</v>
      </c>
      <c r="F5521" s="10">
        <v>23</v>
      </c>
      <c r="G5521" s="11">
        <v>8051590856</v>
      </c>
      <c r="H5521" s="10" t="s">
        <v>12058</v>
      </c>
      <c r="I5521" s="10" t="s">
        <v>19</v>
      </c>
      <c r="J5521" s="10" t="s">
        <v>12059</v>
      </c>
      <c r="K5521" s="12">
        <v>46029</v>
      </c>
      <c r="L5521" s="28" t="s">
        <v>11</v>
      </c>
      <c r="M5521" s="14"/>
      <c r="N5521" s="10" t="s">
        <v>1096</v>
      </c>
    </row>
    <row r="5522" spans="1:14" ht="22.5" customHeight="1">
      <c r="A5522" s="8">
        <v>46029.881712453702</v>
      </c>
      <c r="B5522" s="9" t="s">
        <v>14</v>
      </c>
      <c r="C5522" s="9" t="s">
        <v>15</v>
      </c>
      <c r="D5522" s="10" t="s">
        <v>12060</v>
      </c>
      <c r="E5522" s="9" t="s">
        <v>22</v>
      </c>
      <c r="F5522" s="10">
        <v>33</v>
      </c>
      <c r="G5522" s="11">
        <v>7019694027</v>
      </c>
      <c r="H5522" s="10" t="s">
        <v>12061</v>
      </c>
      <c r="I5522" s="10" t="s">
        <v>45</v>
      </c>
      <c r="J5522" s="10" t="s">
        <v>12062</v>
      </c>
      <c r="K5522" s="12">
        <v>46029</v>
      </c>
      <c r="L5522" s="28" t="s">
        <v>11</v>
      </c>
      <c r="M5522" s="14"/>
      <c r="N5522" s="10" t="s">
        <v>1028</v>
      </c>
    </row>
    <row r="5523" spans="1:14" ht="22.5" customHeight="1">
      <c r="A5523" s="8">
        <v>46029.882438148154</v>
      </c>
      <c r="B5523" s="9" t="s">
        <v>14</v>
      </c>
      <c r="C5523" s="9" t="s">
        <v>15</v>
      </c>
      <c r="D5523" s="10" t="s">
        <v>12063</v>
      </c>
      <c r="E5523" s="9" t="s">
        <v>22</v>
      </c>
      <c r="F5523" s="10">
        <v>30</v>
      </c>
      <c r="G5523" s="11">
        <v>9033479009</v>
      </c>
      <c r="H5523" s="10" t="s">
        <v>12064</v>
      </c>
      <c r="I5523" s="10" t="s">
        <v>27</v>
      </c>
      <c r="J5523" s="10" t="s">
        <v>1559</v>
      </c>
      <c r="K5523" s="12">
        <v>46029</v>
      </c>
      <c r="L5523" s="28" t="s">
        <v>11</v>
      </c>
      <c r="M5523" s="14"/>
      <c r="N5523" s="10" t="s">
        <v>1028</v>
      </c>
    </row>
    <row r="5524" spans="1:14" ht="22.5" customHeight="1">
      <c r="A5524" s="8">
        <v>46029.88318719907</v>
      </c>
      <c r="B5524" s="9" t="s">
        <v>14</v>
      </c>
      <c r="C5524" s="9" t="s">
        <v>15</v>
      </c>
      <c r="D5524" s="10" t="s">
        <v>12065</v>
      </c>
      <c r="E5524" s="9" t="s">
        <v>17</v>
      </c>
      <c r="F5524" s="10">
        <v>31</v>
      </c>
      <c r="G5524" s="11">
        <v>8135565486</v>
      </c>
      <c r="H5524" s="10" t="s">
        <v>12066</v>
      </c>
      <c r="I5524" s="10" t="s">
        <v>31</v>
      </c>
      <c r="J5524" s="10" t="s">
        <v>32</v>
      </c>
      <c r="K5524" s="12">
        <v>46029</v>
      </c>
      <c r="L5524" s="28" t="s">
        <v>11</v>
      </c>
      <c r="M5524" s="14"/>
      <c r="N5524" s="10" t="s">
        <v>1096</v>
      </c>
    </row>
    <row r="5525" spans="1:14" ht="22.5" customHeight="1">
      <c r="A5525" s="8">
        <v>46029.894373680552</v>
      </c>
      <c r="B5525" s="9" t="s">
        <v>14</v>
      </c>
      <c r="C5525" s="9" t="s">
        <v>15</v>
      </c>
      <c r="D5525" s="10" t="s">
        <v>12067</v>
      </c>
      <c r="E5525" s="9" t="s">
        <v>22</v>
      </c>
      <c r="F5525" s="18">
        <v>30</v>
      </c>
      <c r="G5525" s="11">
        <v>8106659253</v>
      </c>
      <c r="H5525" s="10" t="s">
        <v>12068</v>
      </c>
      <c r="I5525" s="10" t="s">
        <v>19</v>
      </c>
      <c r="J5525" s="10" t="s">
        <v>4222</v>
      </c>
      <c r="K5525" s="12">
        <v>46029</v>
      </c>
      <c r="L5525" s="28" t="s">
        <v>11</v>
      </c>
      <c r="M5525" s="14"/>
      <c r="N5525" s="10" t="s">
        <v>1028</v>
      </c>
    </row>
    <row r="5526" spans="1:14" ht="22.5" customHeight="1">
      <c r="A5526" s="8">
        <v>46029.894374629628</v>
      </c>
      <c r="B5526" s="9" t="s">
        <v>14</v>
      </c>
      <c r="C5526" s="9" t="s">
        <v>15</v>
      </c>
      <c r="D5526" s="10" t="s">
        <v>12069</v>
      </c>
      <c r="E5526" s="9" t="s">
        <v>22</v>
      </c>
      <c r="F5526" s="19">
        <v>1</v>
      </c>
      <c r="G5526" s="11">
        <v>9035922000</v>
      </c>
      <c r="H5526" s="10" t="s">
        <v>12070</v>
      </c>
      <c r="I5526" s="10" t="s">
        <v>145</v>
      </c>
      <c r="J5526" s="10" t="s">
        <v>9968</v>
      </c>
      <c r="K5526" s="12">
        <v>46029</v>
      </c>
      <c r="L5526" s="28" t="s">
        <v>11</v>
      </c>
      <c r="M5526" s="14"/>
      <c r="N5526" s="10" t="s">
        <v>1028</v>
      </c>
    </row>
    <row r="5527" spans="1:14" ht="22.5" customHeight="1">
      <c r="A5527" s="8">
        <v>46029.902462800921</v>
      </c>
      <c r="B5527" s="9" t="s">
        <v>14</v>
      </c>
      <c r="C5527" s="9" t="s">
        <v>15</v>
      </c>
      <c r="D5527" s="10" t="s">
        <v>12071</v>
      </c>
      <c r="E5527" s="9" t="s">
        <v>17</v>
      </c>
      <c r="F5527" s="10">
        <v>28</v>
      </c>
      <c r="G5527" s="11">
        <v>7026718490</v>
      </c>
      <c r="H5527" s="10" t="s">
        <v>12072</v>
      </c>
      <c r="I5527" s="10" t="s">
        <v>27</v>
      </c>
      <c r="J5527" s="10" t="s">
        <v>12073</v>
      </c>
      <c r="K5527" s="12">
        <v>46029</v>
      </c>
      <c r="L5527" s="28" t="s">
        <v>11</v>
      </c>
      <c r="M5527" s="14"/>
      <c r="N5527" s="10" t="s">
        <v>1028</v>
      </c>
    </row>
    <row r="5528" spans="1:14" ht="22.5" customHeight="1">
      <c r="A5528" s="8">
        <v>46029.902682893517</v>
      </c>
      <c r="B5528" s="9" t="s">
        <v>14</v>
      </c>
      <c r="C5528" s="9" t="s">
        <v>15</v>
      </c>
      <c r="D5528" s="10" t="s">
        <v>12074</v>
      </c>
      <c r="E5528" s="9" t="s">
        <v>22</v>
      </c>
      <c r="F5528" s="10">
        <v>32</v>
      </c>
      <c r="G5528" s="11">
        <v>8060361986</v>
      </c>
      <c r="H5528" s="10" t="s">
        <v>12075</v>
      </c>
      <c r="I5528" s="10" t="s">
        <v>19</v>
      </c>
      <c r="J5528" s="10" t="s">
        <v>12076</v>
      </c>
      <c r="K5528" s="12">
        <v>34255</v>
      </c>
      <c r="L5528" s="28" t="s">
        <v>11</v>
      </c>
      <c r="M5528" s="14"/>
      <c r="N5528" s="10" t="s">
        <v>12077</v>
      </c>
    </row>
    <row r="5529" spans="1:14" ht="22.5" customHeight="1">
      <c r="A5529" s="8">
        <v>46029.909179826383</v>
      </c>
      <c r="B5529" s="9" t="s">
        <v>14</v>
      </c>
      <c r="C5529" s="9" t="s">
        <v>15</v>
      </c>
      <c r="D5529" s="10" t="s">
        <v>12078</v>
      </c>
      <c r="E5529" s="9" t="s">
        <v>17</v>
      </c>
      <c r="F5529" s="10">
        <v>20</v>
      </c>
      <c r="G5529" s="11">
        <v>7038575266</v>
      </c>
      <c r="H5529" s="10" t="s">
        <v>12079</v>
      </c>
      <c r="I5529" s="10" t="s">
        <v>27</v>
      </c>
      <c r="J5529" s="10" t="s">
        <v>2207</v>
      </c>
      <c r="K5529" s="12">
        <v>46029</v>
      </c>
      <c r="L5529" s="28" t="s">
        <v>11</v>
      </c>
      <c r="M5529" s="14"/>
      <c r="N5529" s="10" t="s">
        <v>1028</v>
      </c>
    </row>
    <row r="5530" spans="1:14" ht="22.5" customHeight="1">
      <c r="A5530" s="8">
        <v>46029.910015092595</v>
      </c>
      <c r="B5530" s="9" t="s">
        <v>14</v>
      </c>
      <c r="C5530" s="9" t="s">
        <v>15</v>
      </c>
      <c r="D5530" s="10" t="s">
        <v>12080</v>
      </c>
      <c r="E5530" s="9" t="s">
        <v>22</v>
      </c>
      <c r="F5530" s="10">
        <v>24</v>
      </c>
      <c r="G5530" s="11">
        <v>8086843015</v>
      </c>
      <c r="H5530" s="10" t="s">
        <v>12081</v>
      </c>
      <c r="I5530" s="10" t="s">
        <v>27</v>
      </c>
      <c r="J5530" s="10" t="s">
        <v>372</v>
      </c>
      <c r="K5530" s="12">
        <v>46029</v>
      </c>
      <c r="L5530" s="28" t="s">
        <v>11</v>
      </c>
      <c r="M5530" s="14"/>
      <c r="N5530" s="10" t="s">
        <v>1096</v>
      </c>
    </row>
    <row r="5531" spans="1:14" ht="22.5" customHeight="1">
      <c r="A5531" s="8">
        <v>46029.913307499999</v>
      </c>
      <c r="B5531" s="9" t="s">
        <v>14</v>
      </c>
      <c r="C5531" s="9" t="s">
        <v>15</v>
      </c>
      <c r="D5531" s="10" t="s">
        <v>12082</v>
      </c>
      <c r="E5531" s="9" t="s">
        <v>17</v>
      </c>
      <c r="F5531" s="10">
        <v>35</v>
      </c>
      <c r="G5531" s="11">
        <v>7039412177</v>
      </c>
      <c r="H5531" s="10" t="s">
        <v>12083</v>
      </c>
      <c r="I5531" s="10" t="s">
        <v>31</v>
      </c>
      <c r="J5531" s="10" t="s">
        <v>3870</v>
      </c>
      <c r="K5531" s="12">
        <v>46029</v>
      </c>
      <c r="L5531" s="28" t="s">
        <v>11</v>
      </c>
      <c r="M5531" s="14"/>
      <c r="N5531" s="10" t="s">
        <v>1028</v>
      </c>
    </row>
    <row r="5532" spans="1:14" ht="22.5" customHeight="1">
      <c r="A5532" s="8">
        <v>46029.914240578699</v>
      </c>
      <c r="B5532" s="9" t="s">
        <v>14</v>
      </c>
      <c r="C5532" s="9" t="s">
        <v>15</v>
      </c>
      <c r="D5532" s="10" t="s">
        <v>12084</v>
      </c>
      <c r="E5532" s="9" t="s">
        <v>17</v>
      </c>
      <c r="F5532" s="10">
        <v>23</v>
      </c>
      <c r="G5532" s="11">
        <v>8060582655</v>
      </c>
      <c r="H5532" s="10" t="s">
        <v>12085</v>
      </c>
      <c r="I5532" s="10" t="s">
        <v>27</v>
      </c>
      <c r="J5532" s="10" t="s">
        <v>70</v>
      </c>
      <c r="K5532" s="12">
        <v>46029</v>
      </c>
      <c r="L5532" s="28" t="s">
        <v>11</v>
      </c>
      <c r="M5532" s="14"/>
      <c r="N5532" s="10" t="s">
        <v>1028</v>
      </c>
    </row>
    <row r="5533" spans="1:14" ht="22.5" customHeight="1">
      <c r="A5533" s="8">
        <v>46029.914457094907</v>
      </c>
      <c r="B5533" s="9" t="s">
        <v>14</v>
      </c>
      <c r="C5533" s="9" t="s">
        <v>15</v>
      </c>
      <c r="D5533" s="10" t="s">
        <v>12086</v>
      </c>
      <c r="E5533" s="9" t="s">
        <v>17</v>
      </c>
      <c r="F5533" s="10">
        <v>35</v>
      </c>
      <c r="G5533" s="11">
        <v>9028980815</v>
      </c>
      <c r="H5533" s="10" t="s">
        <v>12087</v>
      </c>
      <c r="I5533" s="10" t="s">
        <v>45</v>
      </c>
      <c r="J5533" s="10" t="s">
        <v>6578</v>
      </c>
      <c r="K5533" s="12">
        <v>46029</v>
      </c>
      <c r="L5533" s="28" t="s">
        <v>11</v>
      </c>
      <c r="M5533" s="14"/>
      <c r="N5533" s="10" t="s">
        <v>1096</v>
      </c>
    </row>
    <row r="5534" spans="1:14" ht="22.5" customHeight="1">
      <c r="A5534" s="8">
        <v>46029.914757488426</v>
      </c>
      <c r="B5534" s="9" t="s">
        <v>14</v>
      </c>
      <c r="C5534" s="9" t="s">
        <v>15</v>
      </c>
      <c r="D5534" s="10" t="s">
        <v>12088</v>
      </c>
      <c r="E5534" s="9" t="s">
        <v>17</v>
      </c>
      <c r="F5534" s="10">
        <v>26</v>
      </c>
      <c r="G5534" s="11">
        <v>9131716031</v>
      </c>
      <c r="H5534" s="10" t="s">
        <v>12089</v>
      </c>
      <c r="I5534" s="10" t="s">
        <v>27</v>
      </c>
      <c r="J5534" s="10" t="s">
        <v>2931</v>
      </c>
      <c r="K5534" s="12">
        <v>46029</v>
      </c>
      <c r="L5534" s="28" t="s">
        <v>11</v>
      </c>
      <c r="M5534" s="14"/>
      <c r="N5534" s="10" t="s">
        <v>1096</v>
      </c>
    </row>
    <row r="5535" spans="1:14" ht="22.5" customHeight="1">
      <c r="A5535" s="8">
        <v>46029.914826932873</v>
      </c>
      <c r="B5535" s="9" t="s">
        <v>14</v>
      </c>
      <c r="C5535" s="9" t="s">
        <v>15</v>
      </c>
      <c r="D5535" s="10" t="s">
        <v>12090</v>
      </c>
      <c r="E5535" s="9" t="s">
        <v>17</v>
      </c>
      <c r="F5535" s="10">
        <v>21</v>
      </c>
      <c r="G5535" s="11">
        <v>9157260472</v>
      </c>
      <c r="H5535" s="10" t="s">
        <v>12091</v>
      </c>
      <c r="I5535" s="10" t="s">
        <v>45</v>
      </c>
      <c r="J5535" s="10" t="s">
        <v>178</v>
      </c>
      <c r="K5535" s="12">
        <v>46029</v>
      </c>
      <c r="L5535" s="28" t="s">
        <v>11</v>
      </c>
      <c r="M5535" s="14"/>
      <c r="N5535" s="10" t="s">
        <v>1028</v>
      </c>
    </row>
    <row r="5536" spans="1:14" ht="22.5" customHeight="1">
      <c r="A5536" s="8">
        <v>46029.914949074075</v>
      </c>
      <c r="B5536" s="9" t="s">
        <v>14</v>
      </c>
      <c r="C5536" s="9" t="s">
        <v>15</v>
      </c>
      <c r="D5536" s="10" t="s">
        <v>12092</v>
      </c>
      <c r="E5536" s="9" t="s">
        <v>17</v>
      </c>
      <c r="F5536" s="10">
        <v>27</v>
      </c>
      <c r="G5536" s="11">
        <v>8101882806</v>
      </c>
      <c r="H5536" s="10" t="s">
        <v>12093</v>
      </c>
      <c r="I5536" s="10" t="s">
        <v>27</v>
      </c>
      <c r="J5536" s="10" t="s">
        <v>1559</v>
      </c>
      <c r="K5536" s="12">
        <v>46029</v>
      </c>
      <c r="L5536" s="28" t="s">
        <v>11</v>
      </c>
      <c r="M5536" s="14"/>
      <c r="N5536" s="10" t="s">
        <v>1096</v>
      </c>
    </row>
    <row r="5537" spans="1:14" ht="22.5" customHeight="1">
      <c r="A5537" s="8">
        <v>46029.916770914351</v>
      </c>
      <c r="B5537" s="9" t="s">
        <v>14</v>
      </c>
      <c r="C5537" s="9" t="s">
        <v>15</v>
      </c>
      <c r="D5537" s="10" t="s">
        <v>12094</v>
      </c>
      <c r="E5537" s="9" t="s">
        <v>22</v>
      </c>
      <c r="F5537" s="10">
        <v>29</v>
      </c>
      <c r="G5537" s="11">
        <v>9028856872</v>
      </c>
      <c r="H5537" s="10" t="s">
        <v>12095</v>
      </c>
      <c r="I5537" s="10" t="s">
        <v>49</v>
      </c>
      <c r="J5537" s="10" t="s">
        <v>73</v>
      </c>
      <c r="K5537" s="12">
        <v>46029</v>
      </c>
      <c r="L5537" s="28" t="s">
        <v>11</v>
      </c>
      <c r="M5537" s="14"/>
      <c r="N5537" s="10" t="s">
        <v>1096</v>
      </c>
    </row>
    <row r="5538" spans="1:14" ht="22.5" customHeight="1">
      <c r="A5538" s="8">
        <v>46029.918051261571</v>
      </c>
      <c r="B5538" s="9" t="s">
        <v>14</v>
      </c>
      <c r="C5538" s="9" t="s">
        <v>15</v>
      </c>
      <c r="D5538" s="10" t="s">
        <v>12096</v>
      </c>
      <c r="E5538" s="9" t="s">
        <v>17</v>
      </c>
      <c r="F5538" s="10">
        <v>25</v>
      </c>
      <c r="G5538" s="11">
        <v>9079354586</v>
      </c>
      <c r="H5538" s="10" t="s">
        <v>12097</v>
      </c>
      <c r="I5538" s="10" t="s">
        <v>45</v>
      </c>
      <c r="J5538" s="10" t="s">
        <v>125</v>
      </c>
      <c r="K5538" s="12">
        <v>46029</v>
      </c>
      <c r="L5538" s="28" t="s">
        <v>11</v>
      </c>
      <c r="M5538" s="14"/>
      <c r="N5538" s="10" t="s">
        <v>1028</v>
      </c>
    </row>
    <row r="5539" spans="1:14" ht="22.5" customHeight="1">
      <c r="A5539" s="8">
        <v>46029.918205555558</v>
      </c>
      <c r="B5539" s="9" t="s">
        <v>14</v>
      </c>
      <c r="C5539" s="9" t="s">
        <v>15</v>
      </c>
      <c r="D5539" s="10" t="s">
        <v>12098</v>
      </c>
      <c r="E5539" s="9" t="s">
        <v>17</v>
      </c>
      <c r="F5539" s="10">
        <v>34</v>
      </c>
      <c r="G5539" s="11">
        <v>8066734078</v>
      </c>
      <c r="H5539" s="10" t="s">
        <v>12099</v>
      </c>
      <c r="I5539" s="10" t="s">
        <v>27</v>
      </c>
      <c r="J5539" s="10" t="s">
        <v>53</v>
      </c>
      <c r="K5539" s="12">
        <v>46029</v>
      </c>
      <c r="L5539" s="28" t="s">
        <v>11</v>
      </c>
      <c r="M5539" s="14"/>
      <c r="N5539" s="10" t="s">
        <v>1028</v>
      </c>
    </row>
    <row r="5540" spans="1:14" ht="22.5" customHeight="1">
      <c r="A5540" s="8">
        <v>46029.920100196759</v>
      </c>
      <c r="B5540" s="9" t="s">
        <v>14</v>
      </c>
      <c r="C5540" s="9" t="s">
        <v>15</v>
      </c>
      <c r="D5540" s="10" t="s">
        <v>12100</v>
      </c>
      <c r="E5540" s="9" t="s">
        <v>17</v>
      </c>
      <c r="F5540" s="10">
        <v>24</v>
      </c>
      <c r="G5540" s="11">
        <v>9155722407</v>
      </c>
      <c r="H5540" s="10" t="s">
        <v>12101</v>
      </c>
      <c r="I5540" s="10" t="s">
        <v>202</v>
      </c>
      <c r="J5540" s="10" t="s">
        <v>3062</v>
      </c>
      <c r="K5540" s="12">
        <v>46029</v>
      </c>
      <c r="L5540" s="28" t="s">
        <v>11</v>
      </c>
      <c r="M5540" s="14"/>
      <c r="N5540" s="10" t="s">
        <v>1028</v>
      </c>
    </row>
    <row r="5541" spans="1:14" ht="22.5" customHeight="1">
      <c r="A5541" s="8">
        <v>46029.920244583336</v>
      </c>
      <c r="B5541" s="9" t="s">
        <v>14</v>
      </c>
      <c r="C5541" s="9" t="s">
        <v>15</v>
      </c>
      <c r="D5541" s="10" t="s">
        <v>12102</v>
      </c>
      <c r="E5541" s="9" t="s">
        <v>17</v>
      </c>
      <c r="F5541" s="10">
        <v>32</v>
      </c>
      <c r="G5541" s="11">
        <v>9068422256</v>
      </c>
      <c r="H5541" s="10" t="s">
        <v>12103</v>
      </c>
      <c r="I5541" s="10" t="s">
        <v>19</v>
      </c>
      <c r="J5541" s="10" t="s">
        <v>10376</v>
      </c>
      <c r="K5541" s="12">
        <v>46029</v>
      </c>
      <c r="L5541" s="28" t="s">
        <v>11</v>
      </c>
      <c r="M5541" s="14"/>
      <c r="N5541" s="10" t="s">
        <v>1028</v>
      </c>
    </row>
    <row r="5542" spans="1:14" ht="22.5" customHeight="1">
      <c r="A5542" s="8">
        <v>46029.922325740743</v>
      </c>
      <c r="B5542" s="9" t="s">
        <v>14</v>
      </c>
      <c r="C5542" s="9" t="s">
        <v>15</v>
      </c>
      <c r="D5542" s="10" t="s">
        <v>12104</v>
      </c>
      <c r="E5542" s="9" t="s">
        <v>17</v>
      </c>
      <c r="F5542" s="10">
        <v>28</v>
      </c>
      <c r="G5542" s="11">
        <v>9074932420</v>
      </c>
      <c r="H5542" s="10" t="s">
        <v>7659</v>
      </c>
      <c r="I5542" s="10" t="s">
        <v>45</v>
      </c>
      <c r="J5542" s="10" t="s">
        <v>901</v>
      </c>
      <c r="K5542" s="12">
        <v>46029</v>
      </c>
      <c r="L5542" s="28" t="s">
        <v>11</v>
      </c>
      <c r="M5542" s="14"/>
      <c r="N5542" s="10" t="s">
        <v>1028</v>
      </c>
    </row>
    <row r="5543" spans="1:14" ht="22.5" customHeight="1">
      <c r="A5543" s="8">
        <v>46029.92276050926</v>
      </c>
      <c r="B5543" s="9" t="s">
        <v>14</v>
      </c>
      <c r="C5543" s="9" t="s">
        <v>15</v>
      </c>
      <c r="D5543" s="10" t="s">
        <v>12105</v>
      </c>
      <c r="E5543" s="9" t="s">
        <v>17</v>
      </c>
      <c r="F5543" s="10">
        <v>32</v>
      </c>
      <c r="G5543" s="11">
        <v>8100227570</v>
      </c>
      <c r="H5543" s="10" t="s">
        <v>12106</v>
      </c>
      <c r="I5543" s="10" t="s">
        <v>27</v>
      </c>
      <c r="J5543" s="10" t="s">
        <v>12107</v>
      </c>
      <c r="K5543" s="12">
        <v>46029</v>
      </c>
      <c r="L5543" s="28" t="s">
        <v>11</v>
      </c>
      <c r="M5543" s="14"/>
      <c r="N5543" s="10" t="s">
        <v>1096</v>
      </c>
    </row>
    <row r="5544" spans="1:14" ht="22.5" customHeight="1">
      <c r="A5544" s="8">
        <v>46029.923860995375</v>
      </c>
      <c r="B5544" s="9" t="s">
        <v>14</v>
      </c>
      <c r="C5544" s="9" t="s">
        <v>15</v>
      </c>
      <c r="D5544" s="10" t="s">
        <v>12108</v>
      </c>
      <c r="E5544" s="9" t="s">
        <v>22</v>
      </c>
      <c r="F5544" s="10">
        <v>26</v>
      </c>
      <c r="G5544" s="11">
        <v>8149738053</v>
      </c>
      <c r="H5544" s="10" t="s">
        <v>12109</v>
      </c>
      <c r="I5544" s="10" t="s">
        <v>45</v>
      </c>
      <c r="J5544" s="10" t="s">
        <v>5955</v>
      </c>
      <c r="K5544" s="12">
        <v>46029</v>
      </c>
      <c r="L5544" s="28" t="s">
        <v>11</v>
      </c>
      <c r="M5544" s="14"/>
      <c r="N5544" s="10" t="s">
        <v>1096</v>
      </c>
    </row>
    <row r="5545" spans="1:14" ht="22.5" customHeight="1">
      <c r="A5545" s="8">
        <v>46029.925379490742</v>
      </c>
      <c r="B5545" s="9" t="s">
        <v>14</v>
      </c>
      <c r="C5545" s="9" t="s">
        <v>15</v>
      </c>
      <c r="D5545" s="10" t="s">
        <v>12110</v>
      </c>
      <c r="E5545" s="9" t="s">
        <v>17</v>
      </c>
      <c r="F5545" s="10">
        <v>27</v>
      </c>
      <c r="G5545" s="11">
        <v>8101587555</v>
      </c>
      <c r="H5545" s="10" t="s">
        <v>12111</v>
      </c>
      <c r="I5545" s="10" t="s">
        <v>202</v>
      </c>
      <c r="J5545" s="10" t="s">
        <v>3682</v>
      </c>
      <c r="K5545" s="12">
        <v>46029</v>
      </c>
      <c r="L5545" s="28" t="s">
        <v>11</v>
      </c>
      <c r="M5545" s="14"/>
      <c r="N5545" s="10" t="s">
        <v>1028</v>
      </c>
    </row>
    <row r="5546" spans="1:14" ht="22.5" customHeight="1">
      <c r="A5546" s="8">
        <v>46029.925592268519</v>
      </c>
      <c r="B5546" s="9" t="s">
        <v>14</v>
      </c>
      <c r="C5546" s="9" t="s">
        <v>15</v>
      </c>
      <c r="D5546" s="10" t="s">
        <v>12112</v>
      </c>
      <c r="E5546" s="9" t="s">
        <v>17</v>
      </c>
      <c r="F5546" s="10">
        <v>22</v>
      </c>
      <c r="G5546" s="11">
        <f>2349121260425</f>
        <v>2349121260425</v>
      </c>
      <c r="H5546" s="10" t="s">
        <v>12113</v>
      </c>
      <c r="I5546" s="10" t="s">
        <v>27</v>
      </c>
      <c r="J5546" s="10" t="s">
        <v>5709</v>
      </c>
      <c r="K5546" s="12">
        <v>37991</v>
      </c>
      <c r="L5546" s="28" t="s">
        <v>11</v>
      </c>
      <c r="M5546" s="14"/>
      <c r="N5546" s="10" t="s">
        <v>1028</v>
      </c>
    </row>
    <row r="5547" spans="1:14" ht="22.5" customHeight="1">
      <c r="A5547" s="8">
        <v>46029.926028761576</v>
      </c>
      <c r="B5547" s="9" t="s">
        <v>14</v>
      </c>
      <c r="C5547" s="9" t="s">
        <v>15</v>
      </c>
      <c r="D5547" s="10" t="s">
        <v>12114</v>
      </c>
      <c r="E5547" s="9" t="s">
        <v>22</v>
      </c>
      <c r="F5547" s="10">
        <v>27</v>
      </c>
      <c r="G5547" s="11">
        <v>7051955385</v>
      </c>
      <c r="H5547" s="10" t="s">
        <v>12115</v>
      </c>
      <c r="I5547" s="10" t="s">
        <v>49</v>
      </c>
      <c r="J5547" s="10" t="s">
        <v>73</v>
      </c>
      <c r="K5547" s="12">
        <v>46029</v>
      </c>
      <c r="L5547" s="28" t="s">
        <v>11</v>
      </c>
      <c r="M5547" s="14"/>
      <c r="N5547" s="10" t="s">
        <v>1028</v>
      </c>
    </row>
    <row r="5548" spans="1:14" ht="22.5" customHeight="1">
      <c r="A5548" s="8">
        <v>46029.926294976853</v>
      </c>
      <c r="B5548" s="9" t="s">
        <v>14</v>
      </c>
      <c r="C5548" s="9" t="s">
        <v>15</v>
      </c>
      <c r="D5548" s="10" t="s">
        <v>12116</v>
      </c>
      <c r="E5548" s="9" t="s">
        <v>17</v>
      </c>
      <c r="F5548" s="10">
        <v>23</v>
      </c>
      <c r="G5548" s="11">
        <v>8066790845</v>
      </c>
      <c r="H5548" s="10" t="s">
        <v>12117</v>
      </c>
      <c r="I5548" s="10" t="s">
        <v>27</v>
      </c>
      <c r="J5548" s="10" t="s">
        <v>94</v>
      </c>
      <c r="K5548" s="12">
        <v>46029</v>
      </c>
      <c r="L5548" s="28" t="s">
        <v>11</v>
      </c>
      <c r="M5548" s="14"/>
      <c r="N5548" s="10" t="s">
        <v>1028</v>
      </c>
    </row>
    <row r="5549" spans="1:14" ht="22.5" customHeight="1">
      <c r="A5549" s="8">
        <v>46029.926935578704</v>
      </c>
      <c r="B5549" s="9" t="s">
        <v>14</v>
      </c>
      <c r="C5549" s="9" t="s">
        <v>15</v>
      </c>
      <c r="D5549" s="10" t="s">
        <v>12118</v>
      </c>
      <c r="E5549" s="9" t="s">
        <v>17</v>
      </c>
      <c r="F5549" s="10">
        <v>30</v>
      </c>
      <c r="G5549" s="11">
        <v>9160780536</v>
      </c>
      <c r="H5549" s="10" t="s">
        <v>12119</v>
      </c>
      <c r="I5549" s="10" t="s">
        <v>49</v>
      </c>
      <c r="J5549" s="10" t="s">
        <v>282</v>
      </c>
      <c r="K5549" s="12">
        <v>46029</v>
      </c>
      <c r="L5549" s="28" t="s">
        <v>11</v>
      </c>
      <c r="M5549" s="14"/>
      <c r="N5549" s="10" t="s">
        <v>1028</v>
      </c>
    </row>
    <row r="5550" spans="1:14" ht="22.5" customHeight="1">
      <c r="A5550" s="8">
        <v>46029.928854814818</v>
      </c>
      <c r="B5550" s="9" t="s">
        <v>14</v>
      </c>
      <c r="C5550" s="9" t="s">
        <v>15</v>
      </c>
      <c r="D5550" s="10" t="s">
        <v>12120</v>
      </c>
      <c r="E5550" s="9" t="s">
        <v>22</v>
      </c>
      <c r="F5550" s="10">
        <v>36</v>
      </c>
      <c r="G5550" s="11">
        <v>8035278339</v>
      </c>
      <c r="H5550" s="10" t="s">
        <v>12121</v>
      </c>
      <c r="I5550" s="10" t="s">
        <v>45</v>
      </c>
      <c r="J5550" s="10" t="s">
        <v>6766</v>
      </c>
      <c r="K5550" s="12">
        <v>46029</v>
      </c>
      <c r="L5550" s="28" t="s">
        <v>11</v>
      </c>
      <c r="M5550" s="14"/>
      <c r="N5550" s="10" t="s">
        <v>1028</v>
      </c>
    </row>
    <row r="5551" spans="1:14" ht="22.5" customHeight="1">
      <c r="A5551" s="8">
        <v>46029.929185000001</v>
      </c>
      <c r="B5551" s="9" t="s">
        <v>14</v>
      </c>
      <c r="C5551" s="9" t="s">
        <v>15</v>
      </c>
      <c r="D5551" s="10" t="s">
        <v>12122</v>
      </c>
      <c r="E5551" s="9" t="s">
        <v>17</v>
      </c>
      <c r="F5551" s="10">
        <v>45</v>
      </c>
      <c r="G5551" s="11">
        <v>8024953800</v>
      </c>
      <c r="H5551" s="10" t="s">
        <v>12123</v>
      </c>
      <c r="I5551" s="10" t="s">
        <v>45</v>
      </c>
      <c r="J5551" s="10" t="s">
        <v>279</v>
      </c>
      <c r="K5551" s="12">
        <v>46029</v>
      </c>
      <c r="L5551" s="28" t="s">
        <v>11</v>
      </c>
      <c r="M5551" s="14"/>
      <c r="N5551" s="10" t="s">
        <v>1028</v>
      </c>
    </row>
    <row r="5552" spans="1:14" ht="22.5" customHeight="1">
      <c r="A5552" s="8">
        <v>46029.929479108796</v>
      </c>
      <c r="B5552" s="9" t="s">
        <v>14</v>
      </c>
      <c r="C5552" s="9" t="s">
        <v>15</v>
      </c>
      <c r="D5552" s="10" t="s">
        <v>12124</v>
      </c>
      <c r="E5552" s="9" t="s">
        <v>17</v>
      </c>
      <c r="F5552" s="10">
        <v>24</v>
      </c>
      <c r="G5552" s="11">
        <f t="shared" ref="G5552" si="156">2348107083740</f>
        <v>2348107083740</v>
      </c>
      <c r="H5552" s="10" t="s">
        <v>12125</v>
      </c>
      <c r="I5552" s="10" t="s">
        <v>27</v>
      </c>
      <c r="J5552" s="10" t="s">
        <v>1514</v>
      </c>
      <c r="K5552" s="12">
        <v>46029</v>
      </c>
      <c r="L5552" s="28" t="s">
        <v>11</v>
      </c>
      <c r="M5552" s="14"/>
      <c r="N5552" s="10" t="s">
        <v>1028</v>
      </c>
    </row>
    <row r="5553" spans="1:14" ht="22.5" customHeight="1">
      <c r="A5553" s="8">
        <v>46029.930663807871</v>
      </c>
      <c r="B5553" s="9" t="s">
        <v>14</v>
      </c>
      <c r="C5553" s="9" t="s">
        <v>15</v>
      </c>
      <c r="D5553" s="10" t="s">
        <v>6075</v>
      </c>
      <c r="E5553" s="9" t="s">
        <v>17</v>
      </c>
      <c r="F5553" s="10">
        <v>30</v>
      </c>
      <c r="G5553" s="11">
        <v>7063126424</v>
      </c>
      <c r="H5553" s="10" t="s">
        <v>6076</v>
      </c>
      <c r="I5553" s="10" t="s">
        <v>19</v>
      </c>
      <c r="J5553" s="10" t="s">
        <v>3495</v>
      </c>
      <c r="K5553" s="12">
        <v>46029</v>
      </c>
      <c r="L5553" s="28" t="s">
        <v>11</v>
      </c>
      <c r="M5553" s="14"/>
      <c r="N5553" s="10" t="s">
        <v>1028</v>
      </c>
    </row>
    <row r="5554" spans="1:14" ht="22.5" customHeight="1">
      <c r="A5554" s="8">
        <v>46029.931161666667</v>
      </c>
      <c r="B5554" s="9" t="s">
        <v>14</v>
      </c>
      <c r="C5554" s="9" t="s">
        <v>15</v>
      </c>
      <c r="D5554" s="10" t="s">
        <v>12126</v>
      </c>
      <c r="E5554" s="9" t="s">
        <v>17</v>
      </c>
      <c r="F5554" s="10">
        <v>29</v>
      </c>
      <c r="G5554" s="11">
        <v>7089323238</v>
      </c>
      <c r="H5554" s="10" t="s">
        <v>12127</v>
      </c>
      <c r="I5554" s="10" t="s">
        <v>45</v>
      </c>
      <c r="J5554" s="10" t="s">
        <v>12128</v>
      </c>
      <c r="K5554" s="12">
        <v>46029</v>
      </c>
      <c r="L5554" s="28" t="s">
        <v>11</v>
      </c>
      <c r="M5554" s="14"/>
      <c r="N5554" s="10" t="s">
        <v>1028</v>
      </c>
    </row>
    <row r="5555" spans="1:14" ht="22.5" customHeight="1">
      <c r="A5555" s="8">
        <v>46029.932284062495</v>
      </c>
      <c r="B5555" s="9" t="s">
        <v>14</v>
      </c>
      <c r="C5555" s="9" t="s">
        <v>15</v>
      </c>
      <c r="D5555" s="10" t="s">
        <v>12129</v>
      </c>
      <c r="E5555" s="9" t="s">
        <v>17</v>
      </c>
      <c r="F5555" s="10">
        <v>31</v>
      </c>
      <c r="G5555" s="11">
        <v>8088854052</v>
      </c>
      <c r="H5555" s="10" t="s">
        <v>12130</v>
      </c>
      <c r="I5555" s="10" t="s">
        <v>49</v>
      </c>
      <c r="J5555" s="10" t="s">
        <v>60</v>
      </c>
      <c r="K5555" s="12">
        <v>46029</v>
      </c>
      <c r="L5555" s="28" t="s">
        <v>11</v>
      </c>
      <c r="M5555" s="14"/>
      <c r="N5555" s="10" t="s">
        <v>1028</v>
      </c>
    </row>
    <row r="5556" spans="1:14" ht="22.5" customHeight="1">
      <c r="A5556" s="8">
        <v>46029.934408125002</v>
      </c>
      <c r="B5556" s="9" t="s">
        <v>14</v>
      </c>
      <c r="C5556" s="9" t="s">
        <v>15</v>
      </c>
      <c r="D5556" s="10" t="s">
        <v>12131</v>
      </c>
      <c r="E5556" s="9" t="s">
        <v>22</v>
      </c>
      <c r="F5556" s="10">
        <v>35</v>
      </c>
      <c r="G5556" s="11">
        <v>8064906098</v>
      </c>
      <c r="H5556" s="10" t="s">
        <v>12132</v>
      </c>
      <c r="I5556" s="10" t="s">
        <v>45</v>
      </c>
      <c r="J5556" s="10" t="s">
        <v>46</v>
      </c>
      <c r="K5556" s="12">
        <v>46029</v>
      </c>
      <c r="L5556" s="28" t="s">
        <v>11</v>
      </c>
      <c r="M5556" s="14"/>
      <c r="N5556" s="10" t="s">
        <v>1028</v>
      </c>
    </row>
    <row r="5557" spans="1:14" ht="22.5" customHeight="1">
      <c r="A5557" s="8">
        <v>46029.934564409719</v>
      </c>
      <c r="B5557" s="9" t="s">
        <v>14</v>
      </c>
      <c r="C5557" s="9" t="s">
        <v>15</v>
      </c>
      <c r="D5557" s="10" t="s">
        <v>12133</v>
      </c>
      <c r="E5557" s="9" t="s">
        <v>17</v>
      </c>
      <c r="F5557" s="10">
        <v>23</v>
      </c>
      <c r="G5557" s="11">
        <v>8137953379</v>
      </c>
      <c r="H5557" s="10" t="s">
        <v>12134</v>
      </c>
      <c r="I5557" s="10" t="s">
        <v>202</v>
      </c>
      <c r="J5557" s="10" t="s">
        <v>3062</v>
      </c>
      <c r="K5557" s="12">
        <v>46029</v>
      </c>
      <c r="L5557" s="28" t="s">
        <v>11</v>
      </c>
      <c r="M5557" s="14"/>
      <c r="N5557" s="10" t="s">
        <v>1028</v>
      </c>
    </row>
    <row r="5558" spans="1:14" ht="22.5" customHeight="1">
      <c r="A5558" s="8">
        <v>46029.935712928243</v>
      </c>
      <c r="B5558" s="9" t="s">
        <v>14</v>
      </c>
      <c r="C5558" s="9" t="s">
        <v>15</v>
      </c>
      <c r="D5558" s="10" t="s">
        <v>12135</v>
      </c>
      <c r="E5558" s="9" t="s">
        <v>17</v>
      </c>
      <c r="F5558" s="10">
        <v>38</v>
      </c>
      <c r="G5558" s="11">
        <v>8065046765</v>
      </c>
      <c r="H5558" s="10" t="s">
        <v>12136</v>
      </c>
      <c r="I5558" s="10" t="s">
        <v>202</v>
      </c>
      <c r="J5558" s="10" t="s">
        <v>3907</v>
      </c>
      <c r="K5558" s="12">
        <v>46029</v>
      </c>
      <c r="L5558" s="28" t="s">
        <v>11</v>
      </c>
      <c r="M5558" s="14"/>
      <c r="N5558" s="10" t="s">
        <v>1028</v>
      </c>
    </row>
    <row r="5559" spans="1:14" ht="22.5" customHeight="1">
      <c r="A5559" s="8">
        <v>46029.937173136575</v>
      </c>
      <c r="B5559" s="9" t="s">
        <v>14</v>
      </c>
      <c r="C5559" s="9" t="s">
        <v>15</v>
      </c>
      <c r="D5559" s="10" t="s">
        <v>12137</v>
      </c>
      <c r="E5559" s="9" t="s">
        <v>17</v>
      </c>
      <c r="F5559" s="18">
        <v>1</v>
      </c>
      <c r="G5559" s="11">
        <v>8104141290</v>
      </c>
      <c r="H5559" s="10" t="s">
        <v>12138</v>
      </c>
      <c r="I5559" s="10" t="s">
        <v>45</v>
      </c>
      <c r="J5559" s="10" t="s">
        <v>901</v>
      </c>
      <c r="K5559" s="12">
        <v>35575</v>
      </c>
      <c r="L5559" s="28" t="s">
        <v>11</v>
      </c>
      <c r="M5559" s="14"/>
      <c r="N5559" s="10" t="s">
        <v>1028</v>
      </c>
    </row>
    <row r="5560" spans="1:14" ht="22.5" customHeight="1">
      <c r="A5560" s="8">
        <v>46029.938474513889</v>
      </c>
      <c r="B5560" s="9" t="s">
        <v>14</v>
      </c>
      <c r="C5560" s="9" t="s">
        <v>15</v>
      </c>
      <c r="D5560" s="10" t="s">
        <v>12139</v>
      </c>
      <c r="E5560" s="9" t="s">
        <v>17</v>
      </c>
      <c r="F5560" s="10">
        <v>47</v>
      </c>
      <c r="G5560" s="11">
        <f t="shared" ref="G5560" si="157">260973993355</f>
        <v>260973993355</v>
      </c>
      <c r="H5560" s="10" t="s">
        <v>12140</v>
      </c>
      <c r="I5560" s="10" t="s">
        <v>31</v>
      </c>
      <c r="J5560" s="10" t="s">
        <v>12141</v>
      </c>
      <c r="K5560" s="12">
        <v>28428</v>
      </c>
      <c r="L5560" s="28" t="s">
        <v>11</v>
      </c>
      <c r="M5560" s="14"/>
      <c r="N5560" s="10" t="s">
        <v>1028</v>
      </c>
    </row>
    <row r="5561" spans="1:14" ht="22.5" customHeight="1">
      <c r="A5561" s="8">
        <v>46029.93984269676</v>
      </c>
      <c r="B5561" s="9" t="s">
        <v>14</v>
      </c>
      <c r="C5561" s="9" t="s">
        <v>15</v>
      </c>
      <c r="D5561" s="10" t="s">
        <v>12142</v>
      </c>
      <c r="E5561" s="9" t="s">
        <v>22</v>
      </c>
      <c r="F5561" s="10">
        <v>28</v>
      </c>
      <c r="G5561" s="11">
        <v>9015455984</v>
      </c>
      <c r="H5561" s="10" t="s">
        <v>12143</v>
      </c>
      <c r="I5561" s="10" t="s">
        <v>19</v>
      </c>
      <c r="J5561" s="10" t="s">
        <v>12144</v>
      </c>
      <c r="K5561" s="12">
        <v>46029</v>
      </c>
      <c r="L5561" s="28" t="s">
        <v>11</v>
      </c>
      <c r="M5561" s="14"/>
      <c r="N5561" s="10" t="s">
        <v>1028</v>
      </c>
    </row>
    <row r="5562" spans="1:14" ht="22.5" customHeight="1">
      <c r="A5562" s="8">
        <v>46029.942442129628</v>
      </c>
      <c r="B5562" s="9" t="s">
        <v>14</v>
      </c>
      <c r="C5562" s="9" t="s">
        <v>15</v>
      </c>
      <c r="D5562" s="10" t="s">
        <v>12145</v>
      </c>
      <c r="E5562" s="9" t="s">
        <v>17</v>
      </c>
      <c r="F5562" s="10">
        <v>25</v>
      </c>
      <c r="G5562" s="11">
        <f>2347018810414</f>
        <v>2347018810414</v>
      </c>
      <c r="H5562" s="10" t="s">
        <v>12146</v>
      </c>
      <c r="I5562" s="10" t="s">
        <v>49</v>
      </c>
      <c r="J5562" s="10" t="s">
        <v>246</v>
      </c>
      <c r="K5562" s="12">
        <v>46029</v>
      </c>
      <c r="L5562" s="28" t="s">
        <v>11</v>
      </c>
      <c r="M5562" s="14"/>
      <c r="N5562" s="10" t="s">
        <v>1028</v>
      </c>
    </row>
    <row r="5563" spans="1:14" ht="22.5" customHeight="1">
      <c r="A5563" s="8">
        <v>46029.944273275461</v>
      </c>
      <c r="B5563" s="9" t="s">
        <v>14</v>
      </c>
      <c r="C5563" s="9" t="s">
        <v>15</v>
      </c>
      <c r="D5563" s="10" t="s">
        <v>12147</v>
      </c>
      <c r="E5563" s="9" t="s">
        <v>17</v>
      </c>
      <c r="F5563" s="10">
        <v>28</v>
      </c>
      <c r="G5563" s="11">
        <f>2348066536916</f>
        <v>2348066536916</v>
      </c>
      <c r="H5563" s="10" t="s">
        <v>12148</v>
      </c>
      <c r="I5563" s="10" t="s">
        <v>45</v>
      </c>
      <c r="J5563" s="10" t="s">
        <v>2331</v>
      </c>
      <c r="K5563" s="12">
        <v>46029</v>
      </c>
      <c r="L5563" s="28" t="s">
        <v>11</v>
      </c>
      <c r="M5563" s="14"/>
      <c r="N5563" s="10" t="s">
        <v>1096</v>
      </c>
    </row>
    <row r="5564" spans="1:14" ht="22.5" customHeight="1">
      <c r="A5564" s="8">
        <v>46029.949031435186</v>
      </c>
      <c r="B5564" s="9" t="s">
        <v>14</v>
      </c>
      <c r="C5564" s="9" t="s">
        <v>15</v>
      </c>
      <c r="D5564" s="10" t="s">
        <v>12149</v>
      </c>
      <c r="E5564" s="9" t="s">
        <v>22</v>
      </c>
      <c r="F5564" s="10">
        <v>22</v>
      </c>
      <c r="G5564" s="11">
        <v>8053340092</v>
      </c>
      <c r="H5564" s="10" t="s">
        <v>12150</v>
      </c>
      <c r="I5564" s="10" t="s">
        <v>45</v>
      </c>
      <c r="J5564" s="10" t="s">
        <v>688</v>
      </c>
      <c r="K5564" s="12">
        <v>46029</v>
      </c>
      <c r="L5564" s="28" t="s">
        <v>11</v>
      </c>
      <c r="M5564" s="14"/>
      <c r="N5564" s="10" t="s">
        <v>1028</v>
      </c>
    </row>
    <row r="5565" spans="1:14" ht="22.5" customHeight="1">
      <c r="A5565" s="8">
        <v>46029.949075520832</v>
      </c>
      <c r="B5565" s="9" t="s">
        <v>14</v>
      </c>
      <c r="C5565" s="9" t="s">
        <v>15</v>
      </c>
      <c r="D5565" s="10" t="s">
        <v>12151</v>
      </c>
      <c r="E5565" s="9" t="s">
        <v>17</v>
      </c>
      <c r="F5565" s="10">
        <v>25</v>
      </c>
      <c r="G5565" s="11">
        <v>8064345979</v>
      </c>
      <c r="H5565" s="10" t="s">
        <v>12152</v>
      </c>
      <c r="I5565" s="10" t="s">
        <v>27</v>
      </c>
      <c r="J5565" s="10" t="s">
        <v>372</v>
      </c>
      <c r="K5565" s="12">
        <v>46029</v>
      </c>
      <c r="L5565" s="28" t="s">
        <v>11</v>
      </c>
      <c r="M5565" s="14"/>
      <c r="N5565" s="10" t="s">
        <v>1096</v>
      </c>
    </row>
    <row r="5566" spans="1:14" ht="22.5" customHeight="1">
      <c r="A5566" s="8">
        <v>46029.952873483795</v>
      </c>
      <c r="B5566" s="9" t="s">
        <v>14</v>
      </c>
      <c r="C5566" s="9" t="s">
        <v>15</v>
      </c>
      <c r="D5566" s="10" t="s">
        <v>12153</v>
      </c>
      <c r="E5566" s="9" t="s">
        <v>22</v>
      </c>
      <c r="F5566" s="10">
        <v>25</v>
      </c>
      <c r="G5566" s="11">
        <f t="shared" ref="G5566" si="158">2349077176262</f>
        <v>2349077176262</v>
      </c>
      <c r="H5566" s="10" t="s">
        <v>12154</v>
      </c>
      <c r="I5566" s="10" t="s">
        <v>19</v>
      </c>
      <c r="J5566" s="10" t="s">
        <v>3466</v>
      </c>
      <c r="K5566" s="12">
        <v>46029</v>
      </c>
      <c r="L5566" s="28" t="s">
        <v>11</v>
      </c>
      <c r="M5566" s="14"/>
      <c r="N5566" s="10" t="s">
        <v>1028</v>
      </c>
    </row>
    <row r="5567" spans="1:14" ht="22.5" customHeight="1">
      <c r="A5567" s="8">
        <v>46029.953306423609</v>
      </c>
      <c r="B5567" s="9" t="s">
        <v>14</v>
      </c>
      <c r="C5567" s="9" t="s">
        <v>15</v>
      </c>
      <c r="D5567" s="10" t="s">
        <v>12155</v>
      </c>
      <c r="E5567" s="9" t="s">
        <v>17</v>
      </c>
      <c r="F5567" s="10">
        <v>29</v>
      </c>
      <c r="G5567" s="11">
        <v>8142577603</v>
      </c>
      <c r="H5567" s="10" t="s">
        <v>12156</v>
      </c>
      <c r="I5567" s="10" t="s">
        <v>27</v>
      </c>
      <c r="J5567" s="10" t="s">
        <v>12157</v>
      </c>
      <c r="K5567" s="12">
        <v>46029</v>
      </c>
      <c r="L5567" s="28" t="s">
        <v>11</v>
      </c>
      <c r="M5567" s="14"/>
      <c r="N5567" s="10" t="s">
        <v>1028</v>
      </c>
    </row>
    <row r="5568" spans="1:14" ht="22.5" customHeight="1">
      <c r="A5568" s="8">
        <v>46029.955987743058</v>
      </c>
      <c r="B5568" s="9" t="s">
        <v>14</v>
      </c>
      <c r="C5568" s="9" t="s">
        <v>15</v>
      </c>
      <c r="D5568" s="10" t="s">
        <v>12158</v>
      </c>
      <c r="E5568" s="9" t="s">
        <v>17</v>
      </c>
      <c r="F5568" s="10">
        <v>23</v>
      </c>
      <c r="G5568" s="11">
        <v>9023059034</v>
      </c>
      <c r="H5568" s="10" t="s">
        <v>12159</v>
      </c>
      <c r="I5568" s="10" t="s">
        <v>145</v>
      </c>
      <c r="J5568" s="10" t="s">
        <v>12160</v>
      </c>
      <c r="K5568" s="12">
        <v>46029</v>
      </c>
      <c r="L5568" s="28" t="s">
        <v>11</v>
      </c>
      <c r="M5568" s="14"/>
      <c r="N5568" s="10" t="s">
        <v>1096</v>
      </c>
    </row>
    <row r="5569" spans="1:14" ht="22.5" hidden="1" customHeight="1">
      <c r="A5569" s="8">
        <v>46029.956902893522</v>
      </c>
      <c r="B5569" s="9" t="s">
        <v>14</v>
      </c>
      <c r="C5569" s="9" t="s">
        <v>15</v>
      </c>
      <c r="D5569" s="10" t="s">
        <v>8004</v>
      </c>
      <c r="E5569" s="9" t="s">
        <v>17</v>
      </c>
      <c r="F5569" s="10">
        <v>35</v>
      </c>
      <c r="G5569" s="11">
        <v>8102016948</v>
      </c>
      <c r="H5569" s="10" t="s">
        <v>8005</v>
      </c>
      <c r="I5569" s="10" t="s">
        <v>49</v>
      </c>
      <c r="J5569" s="10" t="s">
        <v>208</v>
      </c>
      <c r="K5569" s="12">
        <v>46029</v>
      </c>
      <c r="L5569" s="10" t="s">
        <v>441</v>
      </c>
      <c r="M5569" s="10" t="s">
        <v>1361</v>
      </c>
      <c r="N5569" s="10" t="s">
        <v>1028</v>
      </c>
    </row>
    <row r="5570" spans="1:14" ht="22.5" customHeight="1">
      <c r="A5570" s="8">
        <v>46029.960176608802</v>
      </c>
      <c r="B5570" s="9" t="s">
        <v>14</v>
      </c>
      <c r="C5570" s="9" t="s">
        <v>15</v>
      </c>
      <c r="D5570" s="10" t="s">
        <v>12161</v>
      </c>
      <c r="E5570" s="9" t="s">
        <v>17</v>
      </c>
      <c r="F5570" s="10">
        <v>35</v>
      </c>
      <c r="G5570" s="11">
        <v>8063526322</v>
      </c>
      <c r="H5570" s="10" t="s">
        <v>12162</v>
      </c>
      <c r="I5570" s="10" t="s">
        <v>27</v>
      </c>
      <c r="J5570" s="10" t="s">
        <v>703</v>
      </c>
      <c r="K5570" s="12">
        <v>46029</v>
      </c>
      <c r="L5570" s="28" t="s">
        <v>11</v>
      </c>
      <c r="M5570" s="14"/>
      <c r="N5570" s="10" t="s">
        <v>1028</v>
      </c>
    </row>
    <row r="5571" spans="1:14" ht="22.5" customHeight="1">
      <c r="A5571" s="8">
        <v>46029.965838993056</v>
      </c>
      <c r="B5571" s="9" t="s">
        <v>14</v>
      </c>
      <c r="C5571" s="9" t="s">
        <v>15</v>
      </c>
      <c r="D5571" s="10" t="s">
        <v>12163</v>
      </c>
      <c r="E5571" s="9" t="s">
        <v>22</v>
      </c>
      <c r="F5571" s="10">
        <v>21</v>
      </c>
      <c r="G5571" s="11">
        <v>7071079309</v>
      </c>
      <c r="H5571" s="10" t="s">
        <v>12164</v>
      </c>
      <c r="I5571" s="10" t="s">
        <v>145</v>
      </c>
      <c r="J5571" s="10" t="s">
        <v>530</v>
      </c>
      <c r="K5571" s="12">
        <v>46029</v>
      </c>
      <c r="L5571" s="28" t="s">
        <v>11</v>
      </c>
      <c r="M5571" s="14"/>
      <c r="N5571" s="10" t="s">
        <v>1028</v>
      </c>
    </row>
    <row r="5572" spans="1:14" ht="22.5" customHeight="1">
      <c r="A5572" s="8">
        <v>46029.966580810185</v>
      </c>
      <c r="B5572" s="9" t="s">
        <v>14</v>
      </c>
      <c r="C5572" s="9" t="s">
        <v>15</v>
      </c>
      <c r="D5572" s="10" t="s">
        <v>12165</v>
      </c>
      <c r="E5572" s="9" t="s">
        <v>22</v>
      </c>
      <c r="F5572" s="19">
        <v>25</v>
      </c>
      <c r="G5572" s="11">
        <v>7068460392</v>
      </c>
      <c r="H5572" s="10" t="s">
        <v>12166</v>
      </c>
      <c r="I5572" s="10" t="s">
        <v>202</v>
      </c>
      <c r="J5572" s="10" t="s">
        <v>4177</v>
      </c>
      <c r="K5572" s="12">
        <v>46029</v>
      </c>
      <c r="L5572" s="28" t="s">
        <v>11</v>
      </c>
      <c r="M5572" s="14"/>
      <c r="N5572" s="10" t="s">
        <v>1028</v>
      </c>
    </row>
    <row r="5573" spans="1:14" ht="22.5" customHeight="1">
      <c r="A5573" s="8">
        <v>46029.970476770832</v>
      </c>
      <c r="B5573" s="9" t="s">
        <v>14</v>
      </c>
      <c r="C5573" s="9" t="s">
        <v>15</v>
      </c>
      <c r="D5573" s="10" t="s">
        <v>12167</v>
      </c>
      <c r="E5573" s="9" t="s">
        <v>17</v>
      </c>
      <c r="F5573" s="10">
        <v>34</v>
      </c>
      <c r="G5573" s="11">
        <v>7062479116</v>
      </c>
      <c r="H5573" s="10" t="s">
        <v>12168</v>
      </c>
      <c r="I5573" s="10" t="s">
        <v>45</v>
      </c>
      <c r="J5573" s="10" t="s">
        <v>7631</v>
      </c>
      <c r="K5573" s="12">
        <v>46029</v>
      </c>
      <c r="L5573" s="28" t="s">
        <v>11</v>
      </c>
      <c r="M5573" s="14"/>
      <c r="N5573" s="10" t="s">
        <v>1028</v>
      </c>
    </row>
    <row r="5574" spans="1:14" ht="22.5" customHeight="1">
      <c r="A5574" s="8">
        <v>46029.97086710648</v>
      </c>
      <c r="B5574" s="9" t="s">
        <v>14</v>
      </c>
      <c r="C5574" s="9" t="s">
        <v>15</v>
      </c>
      <c r="D5574" s="10" t="s">
        <v>12169</v>
      </c>
      <c r="E5574" s="9" t="s">
        <v>22</v>
      </c>
      <c r="F5574" s="10">
        <v>24</v>
      </c>
      <c r="G5574" s="11">
        <v>7019361816</v>
      </c>
      <c r="H5574" s="10" t="s">
        <v>12170</v>
      </c>
      <c r="I5574" s="10" t="s">
        <v>49</v>
      </c>
      <c r="J5574" s="10" t="s">
        <v>246</v>
      </c>
      <c r="K5574" s="12">
        <v>37135</v>
      </c>
      <c r="L5574" s="28" t="s">
        <v>11</v>
      </c>
      <c r="M5574" s="14"/>
      <c r="N5574" s="10" t="s">
        <v>1028</v>
      </c>
    </row>
    <row r="5575" spans="1:14" ht="22.5" customHeight="1">
      <c r="A5575" s="8">
        <v>46029.973237627317</v>
      </c>
      <c r="B5575" s="9" t="s">
        <v>14</v>
      </c>
      <c r="C5575" s="9" t="s">
        <v>15</v>
      </c>
      <c r="D5575" s="10" t="s">
        <v>12171</v>
      </c>
      <c r="E5575" s="9" t="s">
        <v>17</v>
      </c>
      <c r="F5575" s="10">
        <v>27</v>
      </c>
      <c r="G5575" s="11">
        <v>8103446727</v>
      </c>
      <c r="H5575" s="10" t="s">
        <v>12172</v>
      </c>
      <c r="I5575" s="10" t="s">
        <v>27</v>
      </c>
      <c r="J5575" s="10" t="s">
        <v>1907</v>
      </c>
      <c r="K5575" s="12">
        <v>46029</v>
      </c>
      <c r="L5575" s="28" t="s">
        <v>11</v>
      </c>
      <c r="M5575" s="14"/>
      <c r="N5575" s="10" t="s">
        <v>1028</v>
      </c>
    </row>
    <row r="5576" spans="1:14" ht="22.5" customHeight="1">
      <c r="A5576" s="8">
        <v>46029.973373287037</v>
      </c>
      <c r="B5576" s="9" t="s">
        <v>14</v>
      </c>
      <c r="C5576" s="9" t="s">
        <v>15</v>
      </c>
      <c r="D5576" s="10" t="s">
        <v>12173</v>
      </c>
      <c r="E5576" s="9" t="s">
        <v>22</v>
      </c>
      <c r="F5576" s="10">
        <v>34</v>
      </c>
      <c r="G5576" s="11">
        <v>9024133725</v>
      </c>
      <c r="H5576" s="10" t="s">
        <v>12174</v>
      </c>
      <c r="I5576" s="10" t="s">
        <v>49</v>
      </c>
      <c r="J5576" s="10" t="s">
        <v>73</v>
      </c>
      <c r="K5576" s="12">
        <v>46029</v>
      </c>
      <c r="L5576" s="28" t="s">
        <v>11</v>
      </c>
      <c r="M5576" s="14"/>
      <c r="N5576" s="10" t="s">
        <v>1096</v>
      </c>
    </row>
    <row r="5577" spans="1:14" ht="22.5" customHeight="1">
      <c r="A5577" s="8">
        <v>46029.974927152776</v>
      </c>
      <c r="B5577" s="9" t="s">
        <v>14</v>
      </c>
      <c r="C5577" s="9" t="s">
        <v>15</v>
      </c>
      <c r="D5577" s="10" t="s">
        <v>12175</v>
      </c>
      <c r="E5577" s="9" t="s">
        <v>17</v>
      </c>
      <c r="F5577" s="10">
        <v>33</v>
      </c>
      <c r="G5577" s="11">
        <v>8107314083</v>
      </c>
      <c r="H5577" s="10" t="s">
        <v>12176</v>
      </c>
      <c r="I5577" s="10" t="s">
        <v>27</v>
      </c>
      <c r="J5577" s="10" t="s">
        <v>3189</v>
      </c>
      <c r="K5577" s="12">
        <v>46029</v>
      </c>
      <c r="L5577" s="28" t="s">
        <v>11</v>
      </c>
      <c r="M5577" s="14"/>
      <c r="N5577" s="10" t="s">
        <v>1028</v>
      </c>
    </row>
    <row r="5578" spans="1:14" ht="22.5" customHeight="1">
      <c r="A5578" s="8">
        <v>46029.97515805556</v>
      </c>
      <c r="B5578" s="9" t="s">
        <v>14</v>
      </c>
      <c r="C5578" s="9" t="s">
        <v>15</v>
      </c>
      <c r="D5578" s="10" t="s">
        <v>12177</v>
      </c>
      <c r="E5578" s="9" t="s">
        <v>22</v>
      </c>
      <c r="F5578" s="10">
        <v>28</v>
      </c>
      <c r="G5578" s="11">
        <v>8065661066</v>
      </c>
      <c r="H5578" s="10" t="s">
        <v>12178</v>
      </c>
      <c r="I5578" s="10" t="s">
        <v>27</v>
      </c>
      <c r="J5578" s="10" t="s">
        <v>9507</v>
      </c>
      <c r="K5578" s="12">
        <v>46029</v>
      </c>
      <c r="L5578" s="28" t="s">
        <v>11</v>
      </c>
      <c r="M5578" s="14"/>
      <c r="N5578" s="10" t="s">
        <v>1028</v>
      </c>
    </row>
    <row r="5579" spans="1:14" ht="22.5" customHeight="1">
      <c r="A5579" s="8">
        <v>46029.977737488429</v>
      </c>
      <c r="B5579" s="9" t="s">
        <v>14</v>
      </c>
      <c r="C5579" s="9" t="s">
        <v>15</v>
      </c>
      <c r="D5579" s="10" t="s">
        <v>12179</v>
      </c>
      <c r="E5579" s="9" t="s">
        <v>17</v>
      </c>
      <c r="F5579" s="10">
        <v>25</v>
      </c>
      <c r="G5579" s="11">
        <v>8084952396</v>
      </c>
      <c r="H5579" s="10" t="s">
        <v>12180</v>
      </c>
      <c r="I5579" s="10" t="s">
        <v>27</v>
      </c>
      <c r="J5579" s="10" t="s">
        <v>42</v>
      </c>
      <c r="K5579" s="12">
        <v>36892</v>
      </c>
      <c r="L5579" s="28" t="s">
        <v>11</v>
      </c>
      <c r="M5579" s="14"/>
      <c r="N5579" s="10" t="s">
        <v>1028</v>
      </c>
    </row>
    <row r="5580" spans="1:14" ht="22.5" customHeight="1">
      <c r="A5580" s="8">
        <v>46029.977796238425</v>
      </c>
      <c r="B5580" s="9" t="s">
        <v>14</v>
      </c>
      <c r="C5580" s="9" t="s">
        <v>15</v>
      </c>
      <c r="D5580" s="10" t="s">
        <v>12181</v>
      </c>
      <c r="E5580" s="9" t="s">
        <v>17</v>
      </c>
      <c r="F5580" s="10">
        <v>29</v>
      </c>
      <c r="G5580" s="11">
        <f>2348137666327</f>
        <v>2348137666327</v>
      </c>
      <c r="H5580" s="10" t="s">
        <v>12182</v>
      </c>
      <c r="I5580" s="10" t="s">
        <v>45</v>
      </c>
      <c r="J5580" s="10" t="s">
        <v>84</v>
      </c>
      <c r="K5580" s="12">
        <v>46029</v>
      </c>
      <c r="L5580" s="28" t="s">
        <v>11</v>
      </c>
      <c r="M5580" s="14"/>
      <c r="N5580" s="10" t="s">
        <v>1028</v>
      </c>
    </row>
    <row r="5581" spans="1:14" ht="22.5" customHeight="1">
      <c r="A5581" s="8">
        <v>46029.980359699075</v>
      </c>
      <c r="B5581" s="9" t="s">
        <v>14</v>
      </c>
      <c r="C5581" s="9" t="s">
        <v>15</v>
      </c>
      <c r="D5581" s="10" t="s">
        <v>12183</v>
      </c>
      <c r="E5581" s="9" t="s">
        <v>17</v>
      </c>
      <c r="F5581" s="10">
        <v>28</v>
      </c>
      <c r="G5581" s="11">
        <v>8052868360</v>
      </c>
      <c r="H5581" s="10" t="s">
        <v>12184</v>
      </c>
      <c r="I5581" s="10" t="s">
        <v>19</v>
      </c>
      <c r="J5581" s="10" t="s">
        <v>3369</v>
      </c>
      <c r="K5581" s="12">
        <v>46029</v>
      </c>
      <c r="L5581" s="28" t="s">
        <v>11</v>
      </c>
      <c r="M5581" s="14"/>
      <c r="N5581" s="10" t="s">
        <v>1028</v>
      </c>
    </row>
    <row r="5582" spans="1:14" ht="22.5" customHeight="1">
      <c r="A5582" s="8">
        <v>46029.981067245375</v>
      </c>
      <c r="B5582" s="9" t="s">
        <v>14</v>
      </c>
      <c r="C5582" s="9" t="s">
        <v>15</v>
      </c>
      <c r="D5582" s="10" t="s">
        <v>12185</v>
      </c>
      <c r="E5582" s="9" t="s">
        <v>22</v>
      </c>
      <c r="F5582" s="10">
        <v>23</v>
      </c>
      <c r="G5582" s="11">
        <v>8021452906</v>
      </c>
      <c r="H5582" s="10" t="s">
        <v>12186</v>
      </c>
      <c r="I5582" s="10" t="s">
        <v>45</v>
      </c>
      <c r="J5582" s="10" t="s">
        <v>12187</v>
      </c>
      <c r="K5582" s="12">
        <v>46029</v>
      </c>
      <c r="L5582" s="28" t="s">
        <v>11</v>
      </c>
      <c r="M5582" s="14"/>
      <c r="N5582" s="10" t="s">
        <v>1028</v>
      </c>
    </row>
    <row r="5583" spans="1:14" ht="22.5" customHeight="1">
      <c r="A5583" s="8">
        <v>46029.983016180558</v>
      </c>
      <c r="B5583" s="9" t="s">
        <v>14</v>
      </c>
      <c r="C5583" s="9" t="s">
        <v>15</v>
      </c>
      <c r="D5583" s="10" t="s">
        <v>12188</v>
      </c>
      <c r="E5583" s="9" t="s">
        <v>22</v>
      </c>
      <c r="F5583" s="10">
        <v>23</v>
      </c>
      <c r="G5583" s="11">
        <v>7063397868</v>
      </c>
      <c r="H5583" s="10" t="s">
        <v>12189</v>
      </c>
      <c r="I5583" s="10" t="s">
        <v>19</v>
      </c>
      <c r="J5583" s="10" t="s">
        <v>812</v>
      </c>
      <c r="K5583" s="12">
        <v>46029</v>
      </c>
      <c r="L5583" s="28" t="s">
        <v>11</v>
      </c>
      <c r="M5583" s="14"/>
      <c r="N5583" s="10" t="s">
        <v>1028</v>
      </c>
    </row>
    <row r="5584" spans="1:14" ht="22.5" customHeight="1">
      <c r="A5584" s="8">
        <v>46029.983225393516</v>
      </c>
      <c r="B5584" s="9" t="s">
        <v>14</v>
      </c>
      <c r="C5584" s="9" t="s">
        <v>15</v>
      </c>
      <c r="D5584" s="10" t="s">
        <v>12190</v>
      </c>
      <c r="E5584" s="9" t="s">
        <v>22</v>
      </c>
      <c r="F5584" s="10">
        <v>32</v>
      </c>
      <c r="G5584" s="11">
        <v>8108633890</v>
      </c>
      <c r="H5584" s="10" t="s">
        <v>12191</v>
      </c>
      <c r="I5584" s="10" t="s">
        <v>19</v>
      </c>
      <c r="J5584" s="10" t="s">
        <v>8560</v>
      </c>
      <c r="K5584" s="12">
        <v>34028</v>
      </c>
      <c r="L5584" s="28" t="s">
        <v>11</v>
      </c>
      <c r="M5584" s="14"/>
      <c r="N5584" s="10" t="s">
        <v>1028</v>
      </c>
    </row>
    <row r="5585" spans="1:14" ht="22.5" customHeight="1">
      <c r="A5585" s="8">
        <v>46029.985668912035</v>
      </c>
      <c r="B5585" s="9" t="s">
        <v>14</v>
      </c>
      <c r="C5585" s="9" t="s">
        <v>15</v>
      </c>
      <c r="D5585" s="10" t="s">
        <v>12192</v>
      </c>
      <c r="E5585" s="9" t="s">
        <v>17</v>
      </c>
      <c r="F5585" s="10">
        <v>23</v>
      </c>
      <c r="G5585" s="11">
        <v>8164881813</v>
      </c>
      <c r="H5585" s="10" t="s">
        <v>12193</v>
      </c>
      <c r="I5585" s="10" t="s">
        <v>27</v>
      </c>
      <c r="J5585" s="10" t="s">
        <v>12194</v>
      </c>
      <c r="K5585" s="12">
        <v>46029</v>
      </c>
      <c r="L5585" s="28" t="s">
        <v>11</v>
      </c>
      <c r="M5585" s="14"/>
      <c r="N5585" s="10" t="s">
        <v>1028</v>
      </c>
    </row>
    <row r="5586" spans="1:14" ht="22.5" customHeight="1">
      <c r="A5586" s="8">
        <v>46029.987650347219</v>
      </c>
      <c r="B5586" s="9" t="s">
        <v>14</v>
      </c>
      <c r="C5586" s="9" t="s">
        <v>15</v>
      </c>
      <c r="D5586" s="10" t="s">
        <v>12195</v>
      </c>
      <c r="E5586" s="9" t="s">
        <v>17</v>
      </c>
      <c r="F5586" s="10">
        <v>31</v>
      </c>
      <c r="G5586" s="11">
        <v>8108974894</v>
      </c>
      <c r="H5586" s="10" t="s">
        <v>12196</v>
      </c>
      <c r="I5586" s="10" t="s">
        <v>45</v>
      </c>
      <c r="J5586" s="10" t="s">
        <v>46</v>
      </c>
      <c r="K5586" s="12">
        <v>46029</v>
      </c>
      <c r="L5586" s="28" t="s">
        <v>11</v>
      </c>
      <c r="M5586" s="14"/>
      <c r="N5586" s="10" t="s">
        <v>1028</v>
      </c>
    </row>
    <row r="5587" spans="1:14" ht="22.5" customHeight="1">
      <c r="A5587" s="8">
        <v>46029.988730439814</v>
      </c>
      <c r="B5587" s="9" t="s">
        <v>14</v>
      </c>
      <c r="C5587" s="9" t="s">
        <v>15</v>
      </c>
      <c r="D5587" s="10" t="s">
        <v>12197</v>
      </c>
      <c r="E5587" s="9" t="s">
        <v>17</v>
      </c>
      <c r="F5587" s="10">
        <v>32</v>
      </c>
      <c r="G5587" s="11">
        <v>8161717154</v>
      </c>
      <c r="H5587" s="10" t="s">
        <v>12198</v>
      </c>
      <c r="I5587" s="10" t="s">
        <v>27</v>
      </c>
      <c r="J5587" s="10" t="s">
        <v>94</v>
      </c>
      <c r="K5587" s="12">
        <v>46029</v>
      </c>
      <c r="L5587" s="28" t="s">
        <v>11</v>
      </c>
      <c r="M5587" s="14"/>
      <c r="N5587" s="10" t="s">
        <v>1028</v>
      </c>
    </row>
    <row r="5588" spans="1:14" ht="22.5" customHeight="1">
      <c r="A5588" s="8">
        <v>46029.989922430555</v>
      </c>
      <c r="B5588" s="9" t="s">
        <v>14</v>
      </c>
      <c r="C5588" s="9" t="s">
        <v>15</v>
      </c>
      <c r="D5588" s="10" t="s">
        <v>12199</v>
      </c>
      <c r="E5588" s="9" t="s">
        <v>17</v>
      </c>
      <c r="F5588" s="10">
        <v>35</v>
      </c>
      <c r="G5588" s="11">
        <f t="shared" ref="G5588" si="159">2347035477781</f>
        <v>2347035477781</v>
      </c>
      <c r="H5588" s="10" t="s">
        <v>12200</v>
      </c>
      <c r="I5588" s="10" t="s">
        <v>45</v>
      </c>
      <c r="J5588" s="10" t="s">
        <v>12201</v>
      </c>
      <c r="K5588" s="12">
        <v>46029</v>
      </c>
      <c r="L5588" s="28" t="s">
        <v>11</v>
      </c>
      <c r="M5588" s="14"/>
      <c r="N5588" s="10" t="s">
        <v>1096</v>
      </c>
    </row>
    <row r="5589" spans="1:14" ht="22.5" customHeight="1">
      <c r="A5589" s="8">
        <v>46029.990697152782</v>
      </c>
      <c r="B5589" s="9" t="s">
        <v>14</v>
      </c>
      <c r="C5589" s="9" t="s">
        <v>15</v>
      </c>
      <c r="D5589" s="10" t="s">
        <v>12202</v>
      </c>
      <c r="E5589" s="9" t="s">
        <v>17</v>
      </c>
      <c r="F5589" s="10">
        <v>30</v>
      </c>
      <c r="G5589" s="11">
        <v>7037557089</v>
      </c>
      <c r="H5589" s="10" t="s">
        <v>12203</v>
      </c>
      <c r="I5589" s="10" t="s">
        <v>45</v>
      </c>
      <c r="J5589" s="10" t="s">
        <v>12204</v>
      </c>
      <c r="K5589" s="12">
        <v>34816</v>
      </c>
      <c r="L5589" s="28" t="s">
        <v>11</v>
      </c>
      <c r="M5589" s="14"/>
      <c r="N5589" s="10" t="s">
        <v>1028</v>
      </c>
    </row>
    <row r="5590" spans="1:14" ht="22.5" customHeight="1">
      <c r="A5590" s="8">
        <v>46029.991656944447</v>
      </c>
      <c r="B5590" s="9" t="s">
        <v>14</v>
      </c>
      <c r="C5590" s="9" t="s">
        <v>15</v>
      </c>
      <c r="D5590" s="10" t="s">
        <v>12205</v>
      </c>
      <c r="E5590" s="9" t="s">
        <v>17</v>
      </c>
      <c r="F5590" s="10">
        <v>22</v>
      </c>
      <c r="G5590" s="11">
        <v>9018896061</v>
      </c>
      <c r="H5590" s="10" t="s">
        <v>12206</v>
      </c>
      <c r="I5590" s="10" t="s">
        <v>27</v>
      </c>
      <c r="J5590" s="10" t="s">
        <v>67</v>
      </c>
      <c r="K5590" s="12">
        <v>46029</v>
      </c>
      <c r="L5590" s="28" t="s">
        <v>11</v>
      </c>
      <c r="M5590" s="14"/>
      <c r="N5590" s="10" t="s">
        <v>1096</v>
      </c>
    </row>
    <row r="5591" spans="1:14" ht="22.5" customHeight="1">
      <c r="A5591" s="8">
        <v>46029.992016018514</v>
      </c>
      <c r="B5591" s="9" t="s">
        <v>14</v>
      </c>
      <c r="C5591" s="9" t="s">
        <v>15</v>
      </c>
      <c r="D5591" s="10" t="s">
        <v>12207</v>
      </c>
      <c r="E5591" s="9" t="s">
        <v>17</v>
      </c>
      <c r="F5591" s="10">
        <v>32</v>
      </c>
      <c r="G5591" s="11">
        <v>8138670462</v>
      </c>
      <c r="H5591" s="10" t="s">
        <v>12208</v>
      </c>
      <c r="I5591" s="10" t="s">
        <v>49</v>
      </c>
      <c r="J5591" s="10" t="s">
        <v>181</v>
      </c>
      <c r="K5591" s="12">
        <v>46029</v>
      </c>
      <c r="L5591" s="28" t="s">
        <v>11</v>
      </c>
      <c r="M5591" s="14"/>
      <c r="N5591" s="10" t="s">
        <v>12209</v>
      </c>
    </row>
    <row r="5592" spans="1:14" ht="22.5" customHeight="1">
      <c r="A5592" s="8">
        <v>46029.996500763889</v>
      </c>
      <c r="B5592" s="9" t="s">
        <v>14</v>
      </c>
      <c r="C5592" s="9" t="s">
        <v>15</v>
      </c>
      <c r="D5592" s="10" t="s">
        <v>12210</v>
      </c>
      <c r="E5592" s="9" t="s">
        <v>17</v>
      </c>
      <c r="F5592" s="10">
        <v>22</v>
      </c>
      <c r="G5592" s="11">
        <v>8132822377</v>
      </c>
      <c r="H5592" s="10" t="s">
        <v>12211</v>
      </c>
      <c r="I5592" s="10" t="s">
        <v>45</v>
      </c>
      <c r="J5592" s="10" t="s">
        <v>12212</v>
      </c>
      <c r="K5592" s="12">
        <v>46029</v>
      </c>
      <c r="L5592" s="28" t="s">
        <v>11</v>
      </c>
      <c r="M5592" s="14"/>
      <c r="N5592" s="10" t="s">
        <v>1028</v>
      </c>
    </row>
    <row r="5593" spans="1:14" ht="22.5" customHeight="1">
      <c r="A5593" s="8">
        <v>46029.996776006941</v>
      </c>
      <c r="B5593" s="9" t="s">
        <v>14</v>
      </c>
      <c r="C5593" s="9" t="s">
        <v>15</v>
      </c>
      <c r="D5593" s="10" t="s">
        <v>12213</v>
      </c>
      <c r="E5593" s="9" t="s">
        <v>17</v>
      </c>
      <c r="F5593" s="10">
        <v>25</v>
      </c>
      <c r="G5593" s="11">
        <v>8160208433</v>
      </c>
      <c r="H5593" s="10" t="s">
        <v>12214</v>
      </c>
      <c r="I5593" s="10" t="s">
        <v>27</v>
      </c>
      <c r="J5593" s="10" t="s">
        <v>28</v>
      </c>
      <c r="K5593" s="12">
        <v>46029</v>
      </c>
      <c r="L5593" s="28" t="s">
        <v>11</v>
      </c>
      <c r="M5593" s="14"/>
      <c r="N5593" s="10" t="s">
        <v>1096</v>
      </c>
    </row>
    <row r="5594" spans="1:14" ht="22.5" customHeight="1">
      <c r="A5594" s="8">
        <v>46029.998889872688</v>
      </c>
      <c r="B5594" s="9" t="s">
        <v>14</v>
      </c>
      <c r="C5594" s="9" t="s">
        <v>15</v>
      </c>
      <c r="D5594" s="10" t="s">
        <v>12215</v>
      </c>
      <c r="E5594" s="9" t="s">
        <v>17</v>
      </c>
      <c r="F5594" s="10">
        <v>31</v>
      </c>
      <c r="G5594" s="11">
        <v>8033416252</v>
      </c>
      <c r="H5594" s="10" t="s">
        <v>12216</v>
      </c>
      <c r="I5594" s="10" t="s">
        <v>27</v>
      </c>
      <c r="J5594" s="10" t="s">
        <v>10425</v>
      </c>
      <c r="K5594" s="12">
        <v>46029</v>
      </c>
      <c r="L5594" s="28" t="s">
        <v>11</v>
      </c>
      <c r="M5594" s="14"/>
      <c r="N5594" s="10" t="s">
        <v>1028</v>
      </c>
    </row>
    <row r="5595" spans="1:14" ht="22.5" customHeight="1">
      <c r="A5595" s="8">
        <v>46030.00006150463</v>
      </c>
      <c r="B5595" s="9" t="s">
        <v>14</v>
      </c>
      <c r="C5595" s="9" t="s">
        <v>15</v>
      </c>
      <c r="D5595" s="10" t="s">
        <v>12217</v>
      </c>
      <c r="E5595" s="9" t="s">
        <v>17</v>
      </c>
      <c r="F5595" s="10">
        <v>23</v>
      </c>
      <c r="G5595" s="11">
        <f t="shared" ref="G5595" si="160">2349059808892</f>
        <v>2349059808892</v>
      </c>
      <c r="H5595" s="10" t="s">
        <v>12218</v>
      </c>
      <c r="I5595" s="10" t="s">
        <v>45</v>
      </c>
      <c r="J5595" s="10" t="s">
        <v>46</v>
      </c>
      <c r="K5595" s="12">
        <v>46029</v>
      </c>
      <c r="L5595" s="28" t="s">
        <v>11</v>
      </c>
      <c r="M5595" s="14"/>
      <c r="N5595" s="10" t="s">
        <v>1028</v>
      </c>
    </row>
    <row r="5596" spans="1:14" ht="22.5" customHeight="1">
      <c r="A5596" s="8">
        <v>46030.00207707176</v>
      </c>
      <c r="B5596" s="9" t="s">
        <v>14</v>
      </c>
      <c r="C5596" s="9" t="s">
        <v>15</v>
      </c>
      <c r="D5596" s="10" t="s">
        <v>12219</v>
      </c>
      <c r="E5596" s="9" t="s">
        <v>17</v>
      </c>
      <c r="F5596" s="10">
        <v>40</v>
      </c>
      <c r="G5596" s="11">
        <v>8036355903</v>
      </c>
      <c r="H5596" s="10" t="s">
        <v>12220</v>
      </c>
      <c r="I5596" s="10" t="s">
        <v>27</v>
      </c>
      <c r="J5596" s="10" t="s">
        <v>12221</v>
      </c>
      <c r="K5596" s="12">
        <v>46030</v>
      </c>
      <c r="L5596" s="28" t="s">
        <v>11</v>
      </c>
      <c r="M5596" s="10"/>
      <c r="N5596" s="10" t="s">
        <v>1028</v>
      </c>
    </row>
    <row r="5597" spans="1:14" ht="22.5" customHeight="1">
      <c r="A5597" s="8">
        <v>46030.002359664351</v>
      </c>
      <c r="B5597" s="9" t="s">
        <v>14</v>
      </c>
      <c r="C5597" s="9" t="s">
        <v>15</v>
      </c>
      <c r="D5597" s="10" t="s">
        <v>12222</v>
      </c>
      <c r="E5597" s="9" t="s">
        <v>17</v>
      </c>
      <c r="F5597" s="10">
        <v>35</v>
      </c>
      <c r="G5597" s="11">
        <v>7062587929</v>
      </c>
      <c r="H5597" s="10" t="s">
        <v>12223</v>
      </c>
      <c r="I5597" s="10" t="s">
        <v>19</v>
      </c>
      <c r="J5597" s="10" t="s">
        <v>5064</v>
      </c>
      <c r="K5597" s="12">
        <v>46030</v>
      </c>
      <c r="L5597" s="28" t="s">
        <v>11</v>
      </c>
      <c r="M5597" s="14"/>
      <c r="N5597" s="10" t="s">
        <v>1028</v>
      </c>
    </row>
    <row r="5598" spans="1:14" ht="22.5" customHeight="1">
      <c r="A5598" s="8">
        <v>46030.003427962962</v>
      </c>
      <c r="B5598" s="9" t="s">
        <v>14</v>
      </c>
      <c r="C5598" s="9" t="s">
        <v>15</v>
      </c>
      <c r="D5598" s="10" t="s">
        <v>12224</v>
      </c>
      <c r="E5598" s="9" t="s">
        <v>17</v>
      </c>
      <c r="F5598" s="10">
        <v>29</v>
      </c>
      <c r="G5598" s="11">
        <v>8067333930</v>
      </c>
      <c r="H5598" s="10" t="s">
        <v>12225</v>
      </c>
      <c r="I5598" s="10" t="s">
        <v>27</v>
      </c>
      <c r="J5598" s="10" t="s">
        <v>2861</v>
      </c>
      <c r="K5598" s="12">
        <v>46030</v>
      </c>
      <c r="L5598" s="28" t="s">
        <v>11</v>
      </c>
      <c r="M5598" s="14"/>
      <c r="N5598" s="10" t="s">
        <v>1028</v>
      </c>
    </row>
    <row r="5599" spans="1:14" ht="22.5" customHeight="1">
      <c r="A5599" s="8">
        <v>46030.005738113425</v>
      </c>
      <c r="B5599" s="9" t="s">
        <v>14</v>
      </c>
      <c r="C5599" s="9" t="s">
        <v>15</v>
      </c>
      <c r="D5599" s="10" t="s">
        <v>12226</v>
      </c>
      <c r="E5599" s="9" t="s">
        <v>22</v>
      </c>
      <c r="F5599" s="10">
        <v>25</v>
      </c>
      <c r="G5599" s="11">
        <v>7025167576</v>
      </c>
      <c r="H5599" s="10" t="s">
        <v>12227</v>
      </c>
      <c r="I5599" s="10" t="s">
        <v>45</v>
      </c>
      <c r="J5599" s="10" t="s">
        <v>12228</v>
      </c>
      <c r="K5599" s="12">
        <v>46030</v>
      </c>
      <c r="L5599" s="28" t="s">
        <v>11</v>
      </c>
      <c r="M5599" s="14"/>
      <c r="N5599" s="10" t="s">
        <v>1028</v>
      </c>
    </row>
    <row r="5600" spans="1:14" ht="22.5" customHeight="1">
      <c r="A5600" s="8">
        <v>46030.006699120371</v>
      </c>
      <c r="B5600" s="9" t="s">
        <v>14</v>
      </c>
      <c r="C5600" s="9" t="s">
        <v>15</v>
      </c>
      <c r="D5600" s="10" t="s">
        <v>12229</v>
      </c>
      <c r="E5600" s="9" t="s">
        <v>17</v>
      </c>
      <c r="F5600" s="10">
        <v>29</v>
      </c>
      <c r="G5600" s="11">
        <v>8144043567</v>
      </c>
      <c r="H5600" s="10" t="s">
        <v>12230</v>
      </c>
      <c r="I5600" s="10" t="s">
        <v>27</v>
      </c>
      <c r="J5600" s="10" t="s">
        <v>70</v>
      </c>
      <c r="K5600" s="12">
        <v>46030</v>
      </c>
      <c r="L5600" s="28" t="s">
        <v>11</v>
      </c>
      <c r="M5600" s="14"/>
      <c r="N5600" s="10" t="s">
        <v>1028</v>
      </c>
    </row>
    <row r="5601" spans="1:14" ht="22.5" customHeight="1">
      <c r="A5601" s="8">
        <v>46030.011096273149</v>
      </c>
      <c r="B5601" s="9" t="s">
        <v>14</v>
      </c>
      <c r="C5601" s="9" t="s">
        <v>15</v>
      </c>
      <c r="D5601" s="10" t="s">
        <v>12231</v>
      </c>
      <c r="E5601" s="9" t="s">
        <v>22</v>
      </c>
      <c r="F5601" s="10">
        <v>28</v>
      </c>
      <c r="G5601" s="11">
        <v>9132014032</v>
      </c>
      <c r="H5601" s="10" t="s">
        <v>12232</v>
      </c>
      <c r="I5601" s="10" t="s">
        <v>45</v>
      </c>
      <c r="J5601" s="10" t="s">
        <v>5142</v>
      </c>
      <c r="K5601" s="12">
        <v>46030</v>
      </c>
      <c r="L5601" s="28" t="s">
        <v>11</v>
      </c>
      <c r="M5601" s="14"/>
      <c r="N5601" s="10" t="s">
        <v>1028</v>
      </c>
    </row>
    <row r="5602" spans="1:14" ht="22.5" customHeight="1">
      <c r="A5602" s="8">
        <v>46030.012041180555</v>
      </c>
      <c r="B5602" s="9" t="s">
        <v>14</v>
      </c>
      <c r="C5602" s="9" t="s">
        <v>15</v>
      </c>
      <c r="D5602" s="10" t="s">
        <v>12233</v>
      </c>
      <c r="E5602" s="9" t="s">
        <v>17</v>
      </c>
      <c r="F5602" s="10">
        <v>31</v>
      </c>
      <c r="G5602" s="11">
        <v>9035204944</v>
      </c>
      <c r="H5602" s="10" t="s">
        <v>12234</v>
      </c>
      <c r="I5602" s="10" t="s">
        <v>45</v>
      </c>
      <c r="J5602" s="10" t="s">
        <v>131</v>
      </c>
      <c r="K5602" s="12">
        <v>46030</v>
      </c>
      <c r="L5602" s="28" t="s">
        <v>11</v>
      </c>
      <c r="M5602" s="14"/>
      <c r="N5602" s="10" t="s">
        <v>1028</v>
      </c>
    </row>
    <row r="5603" spans="1:14" ht="22.5" customHeight="1">
      <c r="A5603" s="8">
        <v>46030.014446712958</v>
      </c>
      <c r="B5603" s="9" t="s">
        <v>14</v>
      </c>
      <c r="C5603" s="9" t="s">
        <v>15</v>
      </c>
      <c r="D5603" s="10" t="s">
        <v>12235</v>
      </c>
      <c r="E5603" s="9" t="s">
        <v>22</v>
      </c>
      <c r="F5603" s="10">
        <v>39</v>
      </c>
      <c r="G5603" s="11">
        <v>8037217912</v>
      </c>
      <c r="H5603" s="10" t="s">
        <v>12236</v>
      </c>
      <c r="I5603" s="10" t="s">
        <v>45</v>
      </c>
      <c r="J5603" s="10" t="s">
        <v>688</v>
      </c>
      <c r="K5603" s="12">
        <v>46030</v>
      </c>
      <c r="L5603" s="28" t="s">
        <v>11</v>
      </c>
      <c r="M5603" s="14"/>
      <c r="N5603" s="10" t="s">
        <v>1028</v>
      </c>
    </row>
    <row r="5604" spans="1:14" ht="22.5" customHeight="1">
      <c r="A5604" s="8">
        <v>46030.020392766208</v>
      </c>
      <c r="B5604" s="9" t="s">
        <v>14</v>
      </c>
      <c r="C5604" s="9" t="s">
        <v>15</v>
      </c>
      <c r="D5604" s="10" t="s">
        <v>12237</v>
      </c>
      <c r="E5604" s="9" t="s">
        <v>17</v>
      </c>
      <c r="F5604" s="10">
        <v>30</v>
      </c>
      <c r="G5604" s="11">
        <v>7056455915</v>
      </c>
      <c r="H5604" s="10" t="s">
        <v>12238</v>
      </c>
      <c r="I5604" s="10" t="s">
        <v>45</v>
      </c>
      <c r="J5604" s="10" t="s">
        <v>9618</v>
      </c>
      <c r="K5604" s="12">
        <v>46030</v>
      </c>
      <c r="L5604" s="28" t="s">
        <v>11</v>
      </c>
      <c r="M5604" s="14"/>
      <c r="N5604" s="10" t="s">
        <v>1096</v>
      </c>
    </row>
    <row r="5605" spans="1:14" ht="22.5" customHeight="1">
      <c r="A5605" s="8">
        <v>46030.023343217588</v>
      </c>
      <c r="B5605" s="9" t="s">
        <v>14</v>
      </c>
      <c r="C5605" s="9" t="s">
        <v>15</v>
      </c>
      <c r="D5605" s="10" t="s">
        <v>12239</v>
      </c>
      <c r="E5605" s="9" t="s">
        <v>17</v>
      </c>
      <c r="F5605" s="10">
        <v>24</v>
      </c>
      <c r="G5605" s="11">
        <v>9019358659</v>
      </c>
      <c r="H5605" s="10" t="s">
        <v>12240</v>
      </c>
      <c r="I5605" s="10" t="s">
        <v>45</v>
      </c>
      <c r="J5605" s="10" t="s">
        <v>46</v>
      </c>
      <c r="K5605" s="12">
        <v>46030</v>
      </c>
      <c r="L5605" s="28" t="s">
        <v>11</v>
      </c>
      <c r="M5605" s="14"/>
      <c r="N5605" s="10" t="s">
        <v>1028</v>
      </c>
    </row>
    <row r="5606" spans="1:14" ht="22.5" customHeight="1">
      <c r="A5606" s="8">
        <v>46030.023661666666</v>
      </c>
      <c r="B5606" s="9" t="s">
        <v>14</v>
      </c>
      <c r="C5606" s="9" t="s">
        <v>15</v>
      </c>
      <c r="D5606" s="10" t="s">
        <v>12241</v>
      </c>
      <c r="E5606" s="9" t="s">
        <v>17</v>
      </c>
      <c r="F5606" s="10">
        <v>25</v>
      </c>
      <c r="G5606" s="11">
        <v>7065962371</v>
      </c>
      <c r="H5606" s="10" t="s">
        <v>12242</v>
      </c>
      <c r="I5606" s="10" t="s">
        <v>145</v>
      </c>
      <c r="J5606" s="10" t="s">
        <v>530</v>
      </c>
      <c r="K5606" s="12">
        <v>46030</v>
      </c>
      <c r="L5606" s="28" t="s">
        <v>11</v>
      </c>
      <c r="M5606" s="14"/>
      <c r="N5606" s="10" t="s">
        <v>1028</v>
      </c>
    </row>
    <row r="5607" spans="1:14" ht="22.5" customHeight="1">
      <c r="A5607" s="8">
        <v>46030.028686261576</v>
      </c>
      <c r="B5607" s="9" t="s">
        <v>14</v>
      </c>
      <c r="C5607" s="9" t="s">
        <v>15</v>
      </c>
      <c r="D5607" s="10" t="s">
        <v>12243</v>
      </c>
      <c r="E5607" s="9" t="s">
        <v>17</v>
      </c>
      <c r="F5607" s="10">
        <v>28</v>
      </c>
      <c r="G5607" s="11">
        <v>7067097325</v>
      </c>
      <c r="H5607" s="10" t="s">
        <v>12244</v>
      </c>
      <c r="I5607" s="10" t="s">
        <v>27</v>
      </c>
      <c r="J5607" s="10" t="s">
        <v>1559</v>
      </c>
      <c r="K5607" s="12">
        <v>46030</v>
      </c>
      <c r="L5607" s="28" t="s">
        <v>11</v>
      </c>
      <c r="M5607" s="14"/>
      <c r="N5607" s="10" t="s">
        <v>1028</v>
      </c>
    </row>
    <row r="5608" spans="1:14" ht="22.5" customHeight="1">
      <c r="A5608" s="8">
        <v>46030.02873961805</v>
      </c>
      <c r="B5608" s="9" t="s">
        <v>14</v>
      </c>
      <c r="C5608" s="9" t="s">
        <v>15</v>
      </c>
      <c r="D5608" s="10" t="s">
        <v>12245</v>
      </c>
      <c r="E5608" s="9" t="s">
        <v>17</v>
      </c>
      <c r="F5608" s="10">
        <v>34</v>
      </c>
      <c r="G5608" s="11">
        <v>7037847062</v>
      </c>
      <c r="H5608" s="10" t="s">
        <v>12246</v>
      </c>
      <c r="I5608" s="10" t="s">
        <v>45</v>
      </c>
      <c r="J5608" s="10" t="s">
        <v>46</v>
      </c>
      <c r="K5608" s="12">
        <v>46030</v>
      </c>
      <c r="L5608" s="28" t="s">
        <v>11</v>
      </c>
      <c r="M5608" s="14"/>
      <c r="N5608" s="10" t="s">
        <v>1096</v>
      </c>
    </row>
    <row r="5609" spans="1:14" ht="22.5" customHeight="1">
      <c r="A5609" s="8">
        <v>46030.02884875</v>
      </c>
      <c r="B5609" s="9" t="s">
        <v>14</v>
      </c>
      <c r="C5609" s="9" t="s">
        <v>15</v>
      </c>
      <c r="D5609" s="10" t="s">
        <v>12247</v>
      </c>
      <c r="E5609" s="9" t="s">
        <v>22</v>
      </c>
      <c r="F5609" s="18">
        <v>33</v>
      </c>
      <c r="G5609" s="11">
        <v>8169851592</v>
      </c>
      <c r="H5609" s="10" t="s">
        <v>12248</v>
      </c>
      <c r="I5609" s="10" t="s">
        <v>202</v>
      </c>
      <c r="J5609" s="10" t="s">
        <v>3482</v>
      </c>
      <c r="K5609" s="12">
        <v>46030</v>
      </c>
      <c r="L5609" s="28" t="s">
        <v>11</v>
      </c>
      <c r="M5609" s="14"/>
      <c r="N5609" s="10" t="s">
        <v>1028</v>
      </c>
    </row>
    <row r="5610" spans="1:14" ht="22.5" customHeight="1">
      <c r="A5610" s="8">
        <v>46030.03372644676</v>
      </c>
      <c r="B5610" s="9" t="s">
        <v>14</v>
      </c>
      <c r="C5610" s="9" t="s">
        <v>15</v>
      </c>
      <c r="D5610" s="10" t="s">
        <v>12249</v>
      </c>
      <c r="E5610" s="9" t="s">
        <v>22</v>
      </c>
      <c r="F5610" s="10">
        <v>27</v>
      </c>
      <c r="G5610" s="11">
        <v>8135181555</v>
      </c>
      <c r="H5610" s="10" t="s">
        <v>12250</v>
      </c>
      <c r="I5610" s="10" t="s">
        <v>202</v>
      </c>
      <c r="J5610" s="10" t="s">
        <v>1619</v>
      </c>
      <c r="K5610" s="12">
        <v>46030</v>
      </c>
      <c r="L5610" s="28" t="s">
        <v>11</v>
      </c>
      <c r="M5610" s="14"/>
      <c r="N5610" s="10" t="s">
        <v>1028</v>
      </c>
    </row>
    <row r="5611" spans="1:14" ht="22.5" customHeight="1">
      <c r="A5611" s="8">
        <v>46030.037336053239</v>
      </c>
      <c r="B5611" s="9" t="s">
        <v>14</v>
      </c>
      <c r="C5611" s="9" t="s">
        <v>15</v>
      </c>
      <c r="D5611" s="10" t="s">
        <v>12251</v>
      </c>
      <c r="E5611" s="9" t="s">
        <v>17</v>
      </c>
      <c r="F5611" s="10">
        <v>43</v>
      </c>
      <c r="G5611" s="11">
        <v>7065564463</v>
      </c>
      <c r="H5611" s="10" t="s">
        <v>12252</v>
      </c>
      <c r="I5611" s="10" t="s">
        <v>27</v>
      </c>
      <c r="J5611" s="10" t="s">
        <v>1570</v>
      </c>
      <c r="K5611" s="12">
        <v>46030</v>
      </c>
      <c r="L5611" s="28" t="s">
        <v>11</v>
      </c>
      <c r="M5611" s="14"/>
      <c r="N5611" s="10" t="s">
        <v>1028</v>
      </c>
    </row>
    <row r="5612" spans="1:14" ht="22.5" customHeight="1">
      <c r="A5612" s="8">
        <v>46030.045195381943</v>
      </c>
      <c r="B5612" s="9" t="s">
        <v>14</v>
      </c>
      <c r="C5612" s="9" t="s">
        <v>15</v>
      </c>
      <c r="D5612" s="10" t="s">
        <v>12253</v>
      </c>
      <c r="E5612" s="9" t="s">
        <v>17</v>
      </c>
      <c r="F5612" s="10">
        <v>33</v>
      </c>
      <c r="G5612" s="11">
        <v>9057547668</v>
      </c>
      <c r="H5612" s="10" t="s">
        <v>12254</v>
      </c>
      <c r="I5612" s="10" t="s">
        <v>45</v>
      </c>
      <c r="J5612" s="10" t="s">
        <v>12255</v>
      </c>
      <c r="K5612" s="12">
        <v>46030</v>
      </c>
      <c r="L5612" s="28" t="s">
        <v>11</v>
      </c>
      <c r="M5612" s="14"/>
      <c r="N5612" s="10" t="s">
        <v>1096</v>
      </c>
    </row>
    <row r="5613" spans="1:14" ht="22.5" customHeight="1">
      <c r="A5613" s="8">
        <v>46030.065917777778</v>
      </c>
      <c r="B5613" s="9" t="s">
        <v>14</v>
      </c>
      <c r="C5613" s="9" t="s">
        <v>15</v>
      </c>
      <c r="D5613" s="10" t="s">
        <v>12256</v>
      </c>
      <c r="E5613" s="9" t="s">
        <v>17</v>
      </c>
      <c r="F5613" s="10">
        <v>27</v>
      </c>
      <c r="G5613" s="11">
        <v>8067731366</v>
      </c>
      <c r="H5613" s="10" t="s">
        <v>12257</v>
      </c>
      <c r="I5613" s="10" t="s">
        <v>45</v>
      </c>
      <c r="J5613" s="10" t="s">
        <v>12258</v>
      </c>
      <c r="K5613" s="12">
        <v>46030</v>
      </c>
      <c r="L5613" s="28" t="s">
        <v>11</v>
      </c>
      <c r="M5613" s="14"/>
      <c r="N5613" s="10" t="s">
        <v>1028</v>
      </c>
    </row>
    <row r="5614" spans="1:14" ht="22.5" customHeight="1">
      <c r="A5614" s="8">
        <v>46030.074433807866</v>
      </c>
      <c r="B5614" s="9" t="s">
        <v>14</v>
      </c>
      <c r="C5614" s="9" t="s">
        <v>15</v>
      </c>
      <c r="D5614" s="10" t="s">
        <v>12259</v>
      </c>
      <c r="E5614" s="9" t="s">
        <v>17</v>
      </c>
      <c r="F5614" s="10">
        <v>29</v>
      </c>
      <c r="G5614" s="11">
        <v>7065528547</v>
      </c>
      <c r="H5614" s="10" t="s">
        <v>12260</v>
      </c>
      <c r="I5614" s="10" t="s">
        <v>49</v>
      </c>
      <c r="J5614" s="10" t="s">
        <v>73</v>
      </c>
      <c r="K5614" s="12">
        <v>46030</v>
      </c>
      <c r="L5614" s="28" t="s">
        <v>11</v>
      </c>
      <c r="M5614" s="14"/>
      <c r="N5614" s="10" t="s">
        <v>1028</v>
      </c>
    </row>
    <row r="5615" spans="1:14" ht="22.5" customHeight="1">
      <c r="A5615" s="8">
        <v>46030.103074953702</v>
      </c>
      <c r="B5615" s="9" t="s">
        <v>14</v>
      </c>
      <c r="C5615" s="9" t="s">
        <v>15</v>
      </c>
      <c r="D5615" s="10" t="s">
        <v>12261</v>
      </c>
      <c r="E5615" s="9" t="s">
        <v>22</v>
      </c>
      <c r="F5615" s="10">
        <v>41</v>
      </c>
      <c r="G5615" s="11">
        <v>8028759084</v>
      </c>
      <c r="H5615" s="10" t="s">
        <v>12262</v>
      </c>
      <c r="I5615" s="10" t="s">
        <v>45</v>
      </c>
      <c r="J5615" s="10" t="s">
        <v>84</v>
      </c>
      <c r="K5615" s="12">
        <v>46030</v>
      </c>
      <c r="L5615" s="28" t="s">
        <v>11</v>
      </c>
      <c r="M5615" s="14"/>
      <c r="N5615" s="10" t="s">
        <v>1028</v>
      </c>
    </row>
    <row r="5616" spans="1:14" ht="22.5" customHeight="1">
      <c r="A5616" s="8">
        <v>46030.106397175929</v>
      </c>
      <c r="B5616" s="9" t="s">
        <v>14</v>
      </c>
      <c r="C5616" s="9" t="s">
        <v>15</v>
      </c>
      <c r="D5616" s="10" t="s">
        <v>12263</v>
      </c>
      <c r="E5616" s="9" t="s">
        <v>22</v>
      </c>
      <c r="F5616" s="10">
        <v>32</v>
      </c>
      <c r="G5616" s="11">
        <v>7032261271</v>
      </c>
      <c r="H5616" s="10" t="s">
        <v>12264</v>
      </c>
      <c r="I5616" s="10" t="s">
        <v>202</v>
      </c>
      <c r="J5616" s="10" t="s">
        <v>3682</v>
      </c>
      <c r="K5616" s="12">
        <v>46030</v>
      </c>
      <c r="L5616" s="28" t="s">
        <v>11</v>
      </c>
      <c r="M5616" s="14"/>
      <c r="N5616" s="10" t="s">
        <v>1028</v>
      </c>
    </row>
    <row r="5617" spans="1:14" ht="22.5" customHeight="1">
      <c r="A5617" s="8">
        <v>46030.11181206019</v>
      </c>
      <c r="B5617" s="9" t="s">
        <v>14</v>
      </c>
      <c r="C5617" s="9" t="s">
        <v>15</v>
      </c>
      <c r="D5617" s="10" t="s">
        <v>12265</v>
      </c>
      <c r="E5617" s="9" t="s">
        <v>22</v>
      </c>
      <c r="F5617" s="10">
        <v>41</v>
      </c>
      <c r="G5617" s="11">
        <f t="shared" ref="G5617" si="161">2348038521559</f>
        <v>2348038521559</v>
      </c>
      <c r="H5617" s="10" t="s">
        <v>12266</v>
      </c>
      <c r="I5617" s="10" t="s">
        <v>145</v>
      </c>
      <c r="J5617" s="10" t="s">
        <v>1607</v>
      </c>
      <c r="K5617" s="12">
        <v>46030</v>
      </c>
      <c r="L5617" s="28" t="s">
        <v>11</v>
      </c>
      <c r="M5617" s="14"/>
      <c r="N5617" s="10" t="s">
        <v>1035</v>
      </c>
    </row>
    <row r="5618" spans="1:14" ht="22.5" customHeight="1">
      <c r="A5618" s="8">
        <v>46030.114991157403</v>
      </c>
      <c r="B5618" s="9" t="s">
        <v>14</v>
      </c>
      <c r="C5618" s="9" t="s">
        <v>15</v>
      </c>
      <c r="D5618" s="10" t="s">
        <v>12267</v>
      </c>
      <c r="E5618" s="9" t="s">
        <v>22</v>
      </c>
      <c r="F5618" s="10">
        <v>30</v>
      </c>
      <c r="G5618" s="11">
        <v>8136747084</v>
      </c>
      <c r="H5618" s="10" t="s">
        <v>12268</v>
      </c>
      <c r="I5618" s="10" t="s">
        <v>45</v>
      </c>
      <c r="J5618" s="10" t="s">
        <v>2331</v>
      </c>
      <c r="K5618" s="12">
        <v>46030</v>
      </c>
      <c r="L5618" s="28" t="s">
        <v>11</v>
      </c>
      <c r="M5618" s="14"/>
      <c r="N5618" s="10" t="s">
        <v>1096</v>
      </c>
    </row>
    <row r="5619" spans="1:14" ht="22.5" customHeight="1">
      <c r="A5619" s="8">
        <v>46030.116942523149</v>
      </c>
      <c r="B5619" s="9" t="s">
        <v>14</v>
      </c>
      <c r="C5619" s="9" t="s">
        <v>15</v>
      </c>
      <c r="D5619" s="10" t="s">
        <v>12269</v>
      </c>
      <c r="E5619" s="9" t="s">
        <v>17</v>
      </c>
      <c r="F5619" s="10">
        <v>25</v>
      </c>
      <c r="G5619" s="11">
        <v>9152924843</v>
      </c>
      <c r="H5619" s="10" t="s">
        <v>12270</v>
      </c>
      <c r="I5619" s="10" t="s">
        <v>45</v>
      </c>
      <c r="J5619" s="10" t="s">
        <v>688</v>
      </c>
      <c r="K5619" s="12">
        <v>46030</v>
      </c>
      <c r="L5619" s="28" t="s">
        <v>11</v>
      </c>
      <c r="M5619" s="14"/>
      <c r="N5619" s="10" t="s">
        <v>1096</v>
      </c>
    </row>
    <row r="5620" spans="1:14" ht="22.5" customHeight="1">
      <c r="A5620" s="8">
        <v>46030.121028333335</v>
      </c>
      <c r="B5620" s="9" t="s">
        <v>14</v>
      </c>
      <c r="C5620" s="9" t="s">
        <v>15</v>
      </c>
      <c r="D5620" s="10" t="s">
        <v>12271</v>
      </c>
      <c r="E5620" s="9" t="s">
        <v>17</v>
      </c>
      <c r="F5620" s="10">
        <v>46</v>
      </c>
      <c r="G5620" s="11">
        <v>8134038555</v>
      </c>
      <c r="H5620" s="10" t="s">
        <v>12272</v>
      </c>
      <c r="I5620" s="10" t="s">
        <v>27</v>
      </c>
      <c r="J5620" s="10" t="s">
        <v>27</v>
      </c>
      <c r="K5620" s="12">
        <v>46030</v>
      </c>
      <c r="L5620" s="28" t="s">
        <v>11</v>
      </c>
      <c r="M5620" s="14"/>
      <c r="N5620" s="10" t="s">
        <v>1096</v>
      </c>
    </row>
    <row r="5621" spans="1:14" ht="22.5" customHeight="1">
      <c r="A5621" s="8">
        <v>46030.121946087966</v>
      </c>
      <c r="B5621" s="9" t="s">
        <v>14</v>
      </c>
      <c r="C5621" s="9" t="s">
        <v>15</v>
      </c>
      <c r="D5621" s="10" t="s">
        <v>8967</v>
      </c>
      <c r="E5621" s="9" t="s">
        <v>17</v>
      </c>
      <c r="F5621" s="10">
        <v>28</v>
      </c>
      <c r="G5621" s="11">
        <v>7064593408</v>
      </c>
      <c r="H5621" s="10" t="s">
        <v>12273</v>
      </c>
      <c r="I5621" s="10" t="s">
        <v>27</v>
      </c>
      <c r="J5621" s="10" t="s">
        <v>1735</v>
      </c>
      <c r="K5621" s="12">
        <v>46030</v>
      </c>
      <c r="L5621" s="28" t="s">
        <v>11</v>
      </c>
      <c r="M5621" s="14"/>
      <c r="N5621" s="10" t="s">
        <v>1028</v>
      </c>
    </row>
    <row r="5622" spans="1:14" ht="22.5" customHeight="1">
      <c r="A5622" s="8">
        <v>46030.13284961805</v>
      </c>
      <c r="B5622" s="9" t="s">
        <v>14</v>
      </c>
      <c r="C5622" s="9" t="s">
        <v>15</v>
      </c>
      <c r="D5622" s="10" t="s">
        <v>8055</v>
      </c>
      <c r="E5622" s="9" t="s">
        <v>17</v>
      </c>
      <c r="F5622" s="10">
        <v>33</v>
      </c>
      <c r="G5622" s="11">
        <v>9066994668</v>
      </c>
      <c r="H5622" s="10" t="s">
        <v>8056</v>
      </c>
      <c r="I5622" s="10" t="s">
        <v>27</v>
      </c>
      <c r="J5622" s="10" t="s">
        <v>12274</v>
      </c>
      <c r="K5622" s="12">
        <v>46030</v>
      </c>
      <c r="L5622" s="28" t="s">
        <v>11</v>
      </c>
      <c r="M5622" s="14"/>
      <c r="N5622" s="10" t="s">
        <v>1028</v>
      </c>
    </row>
    <row r="5623" spans="1:14" ht="22.5" customHeight="1">
      <c r="A5623" s="8">
        <v>46030.135687650458</v>
      </c>
      <c r="B5623" s="9" t="s">
        <v>14</v>
      </c>
      <c r="C5623" s="9" t="s">
        <v>15</v>
      </c>
      <c r="D5623" s="10" t="s">
        <v>12275</v>
      </c>
      <c r="E5623" s="9" t="s">
        <v>17</v>
      </c>
      <c r="F5623" s="10">
        <v>27</v>
      </c>
      <c r="G5623" s="11">
        <v>9069764176</v>
      </c>
      <c r="H5623" s="10" t="s">
        <v>12276</v>
      </c>
      <c r="I5623" s="10" t="s">
        <v>19</v>
      </c>
      <c r="J5623" s="10" t="s">
        <v>12277</v>
      </c>
      <c r="K5623" s="12">
        <v>36171</v>
      </c>
      <c r="L5623" s="28" t="s">
        <v>11</v>
      </c>
      <c r="M5623" s="10"/>
      <c r="N5623" s="10" t="s">
        <v>1028</v>
      </c>
    </row>
    <row r="5624" spans="1:14" ht="22.5" customHeight="1">
      <c r="A5624" s="8">
        <v>46030.141874317131</v>
      </c>
      <c r="B5624" s="9" t="s">
        <v>14</v>
      </c>
      <c r="C5624" s="9" t="s">
        <v>15</v>
      </c>
      <c r="D5624" s="10" t="s">
        <v>12278</v>
      </c>
      <c r="E5624" s="9" t="s">
        <v>22</v>
      </c>
      <c r="F5624" s="19">
        <v>40</v>
      </c>
      <c r="G5624" s="11">
        <v>8033853677</v>
      </c>
      <c r="H5624" s="10" t="s">
        <v>12279</v>
      </c>
      <c r="I5624" s="10" t="s">
        <v>19</v>
      </c>
      <c r="J5624" s="10" t="s">
        <v>3369</v>
      </c>
      <c r="K5624" s="12">
        <v>46030</v>
      </c>
      <c r="L5624" s="28" t="s">
        <v>11</v>
      </c>
      <c r="M5624" s="14"/>
      <c r="N5624" s="10" t="s">
        <v>1028</v>
      </c>
    </row>
    <row r="5625" spans="1:14" ht="22.5" customHeight="1">
      <c r="A5625" s="8">
        <v>46030.16777728009</v>
      </c>
      <c r="B5625" s="9" t="s">
        <v>14</v>
      </c>
      <c r="C5625" s="9" t="s">
        <v>15</v>
      </c>
      <c r="D5625" s="10" t="s">
        <v>12280</v>
      </c>
      <c r="E5625" s="9" t="s">
        <v>17</v>
      </c>
      <c r="F5625" s="10">
        <v>45</v>
      </c>
      <c r="G5625" s="11">
        <v>9061443155</v>
      </c>
      <c r="H5625" s="10" t="s">
        <v>12281</v>
      </c>
      <c r="I5625" s="10" t="s">
        <v>45</v>
      </c>
      <c r="J5625" s="10" t="s">
        <v>417</v>
      </c>
      <c r="K5625" s="12">
        <v>46030</v>
      </c>
      <c r="L5625" s="28" t="s">
        <v>11</v>
      </c>
      <c r="M5625" s="14"/>
      <c r="N5625" s="10" t="s">
        <v>1096</v>
      </c>
    </row>
    <row r="5626" spans="1:14" ht="22.5" customHeight="1">
      <c r="A5626" s="8">
        <v>46030.178650034723</v>
      </c>
      <c r="B5626" s="9" t="s">
        <v>14</v>
      </c>
      <c r="C5626" s="9" t="s">
        <v>15</v>
      </c>
      <c r="D5626" s="10" t="s">
        <v>8277</v>
      </c>
      <c r="E5626" s="9" t="s">
        <v>22</v>
      </c>
      <c r="F5626" s="10">
        <v>34</v>
      </c>
      <c r="G5626" s="11">
        <v>7060588913</v>
      </c>
      <c r="H5626" s="10" t="s">
        <v>8278</v>
      </c>
      <c r="I5626" s="10" t="s">
        <v>145</v>
      </c>
      <c r="J5626" s="10" t="s">
        <v>12282</v>
      </c>
      <c r="K5626" s="12">
        <v>46030</v>
      </c>
      <c r="L5626" s="28" t="s">
        <v>11</v>
      </c>
      <c r="M5626" s="14"/>
      <c r="N5626" s="10" t="s">
        <v>1028</v>
      </c>
    </row>
    <row r="5627" spans="1:14" ht="22.5" customHeight="1">
      <c r="A5627" s="8">
        <v>46030.204223368055</v>
      </c>
      <c r="B5627" s="9" t="s">
        <v>14</v>
      </c>
      <c r="C5627" s="9" t="s">
        <v>15</v>
      </c>
      <c r="D5627" s="10" t="s">
        <v>12283</v>
      </c>
      <c r="E5627" s="9" t="s">
        <v>17</v>
      </c>
      <c r="F5627" s="10">
        <v>33</v>
      </c>
      <c r="G5627" s="11">
        <v>7067078743</v>
      </c>
      <c r="H5627" s="10" t="s">
        <v>12284</v>
      </c>
      <c r="I5627" s="10" t="s">
        <v>27</v>
      </c>
      <c r="J5627" s="10" t="s">
        <v>27</v>
      </c>
      <c r="K5627" s="12">
        <v>46030</v>
      </c>
      <c r="L5627" s="28" t="s">
        <v>11</v>
      </c>
      <c r="M5627" s="10"/>
      <c r="N5627" s="10" t="s">
        <v>1028</v>
      </c>
    </row>
    <row r="5628" spans="1:14" ht="22.5" customHeight="1">
      <c r="A5628" s="8">
        <v>46030.205295787033</v>
      </c>
      <c r="B5628" s="9" t="s">
        <v>14</v>
      </c>
      <c r="C5628" s="9" t="s">
        <v>15</v>
      </c>
      <c r="D5628" s="10" t="s">
        <v>12285</v>
      </c>
      <c r="E5628" s="9" t="s">
        <v>22</v>
      </c>
      <c r="F5628" s="10">
        <v>30</v>
      </c>
      <c r="G5628" s="11">
        <v>8166765997</v>
      </c>
      <c r="H5628" s="10" t="s">
        <v>12286</v>
      </c>
      <c r="I5628" s="10" t="s">
        <v>45</v>
      </c>
      <c r="J5628" s="10" t="s">
        <v>131</v>
      </c>
      <c r="K5628" s="12">
        <v>35031</v>
      </c>
      <c r="L5628" s="28" t="s">
        <v>11</v>
      </c>
      <c r="M5628" s="10"/>
      <c r="N5628" s="10" t="s">
        <v>1096</v>
      </c>
    </row>
    <row r="5629" spans="1:14" ht="22.5" customHeight="1">
      <c r="A5629" s="8">
        <v>46030.210145960649</v>
      </c>
      <c r="B5629" s="9" t="s">
        <v>14</v>
      </c>
      <c r="C5629" s="9" t="s">
        <v>15</v>
      </c>
      <c r="D5629" s="10" t="s">
        <v>12287</v>
      </c>
      <c r="E5629" s="9" t="s">
        <v>17</v>
      </c>
      <c r="F5629" s="10">
        <v>30</v>
      </c>
      <c r="G5629" s="11">
        <v>8138720262</v>
      </c>
      <c r="H5629" s="10" t="s">
        <v>12288</v>
      </c>
      <c r="I5629" s="10" t="s">
        <v>45</v>
      </c>
      <c r="J5629" s="10" t="s">
        <v>12289</v>
      </c>
      <c r="K5629" s="12">
        <v>46030</v>
      </c>
      <c r="L5629" s="28" t="s">
        <v>11</v>
      </c>
      <c r="M5629" s="14"/>
      <c r="N5629" s="10" t="s">
        <v>1028</v>
      </c>
    </row>
    <row r="5630" spans="1:14" ht="22.5" customHeight="1">
      <c r="A5630" s="8">
        <v>46030.211226574072</v>
      </c>
      <c r="B5630" s="9" t="s">
        <v>14</v>
      </c>
      <c r="C5630" s="9" t="s">
        <v>15</v>
      </c>
      <c r="D5630" s="10" t="s">
        <v>12290</v>
      </c>
      <c r="E5630" s="9" t="s">
        <v>17</v>
      </c>
      <c r="F5630" s="10">
        <v>31</v>
      </c>
      <c r="G5630" s="11">
        <v>7067070247</v>
      </c>
      <c r="H5630" s="10" t="s">
        <v>12291</v>
      </c>
      <c r="I5630" s="10" t="s">
        <v>19</v>
      </c>
      <c r="J5630" s="10" t="s">
        <v>12292</v>
      </c>
      <c r="K5630" s="12">
        <v>46030</v>
      </c>
      <c r="L5630" s="28" t="s">
        <v>11</v>
      </c>
      <c r="M5630" s="14"/>
      <c r="N5630" s="10" t="s">
        <v>1028</v>
      </c>
    </row>
    <row r="5631" spans="1:14" ht="22.5" customHeight="1">
      <c r="A5631" s="8">
        <v>46030.22202883102</v>
      </c>
      <c r="B5631" s="9" t="s">
        <v>14</v>
      </c>
      <c r="C5631" s="9" t="s">
        <v>15</v>
      </c>
      <c r="D5631" s="10" t="s">
        <v>12293</v>
      </c>
      <c r="E5631" s="9" t="s">
        <v>17</v>
      </c>
      <c r="F5631" s="10">
        <v>43</v>
      </c>
      <c r="G5631" s="11">
        <v>7034351971</v>
      </c>
      <c r="H5631" s="10" t="s">
        <v>12294</v>
      </c>
      <c r="I5631" s="10" t="s">
        <v>19</v>
      </c>
      <c r="J5631" s="10" t="s">
        <v>12295</v>
      </c>
      <c r="K5631" s="12">
        <v>46030</v>
      </c>
      <c r="L5631" s="28" t="s">
        <v>11</v>
      </c>
      <c r="M5631" s="14"/>
      <c r="N5631" s="10" t="s">
        <v>1028</v>
      </c>
    </row>
    <row r="5632" spans="1:14" ht="22.5" customHeight="1">
      <c r="A5632" s="8">
        <v>46030.223971921296</v>
      </c>
      <c r="B5632" s="9" t="s">
        <v>14</v>
      </c>
      <c r="C5632" s="9" t="s">
        <v>15</v>
      </c>
      <c r="D5632" s="10" t="s">
        <v>12296</v>
      </c>
      <c r="E5632" s="9" t="s">
        <v>17</v>
      </c>
      <c r="F5632" s="10">
        <v>32</v>
      </c>
      <c r="G5632" s="11">
        <v>8036023356</v>
      </c>
      <c r="H5632" s="10" t="s">
        <v>12297</v>
      </c>
      <c r="I5632" s="10" t="s">
        <v>27</v>
      </c>
      <c r="J5632" s="10" t="s">
        <v>2766</v>
      </c>
      <c r="K5632" s="12">
        <v>46030</v>
      </c>
      <c r="L5632" s="28" t="s">
        <v>11</v>
      </c>
      <c r="M5632" s="14"/>
      <c r="N5632" s="10" t="s">
        <v>1028</v>
      </c>
    </row>
    <row r="5633" spans="1:14" ht="22.5" customHeight="1">
      <c r="A5633" s="8">
        <v>46030.22478689815</v>
      </c>
      <c r="B5633" s="9" t="s">
        <v>14</v>
      </c>
      <c r="C5633" s="9" t="s">
        <v>15</v>
      </c>
      <c r="D5633" s="10" t="s">
        <v>12298</v>
      </c>
      <c r="E5633" s="9" t="s">
        <v>17</v>
      </c>
      <c r="F5633" s="10">
        <v>28</v>
      </c>
      <c r="G5633" s="11">
        <v>8030502283</v>
      </c>
      <c r="H5633" s="10" t="s">
        <v>12299</v>
      </c>
      <c r="I5633" s="10" t="s">
        <v>27</v>
      </c>
      <c r="J5633" s="10" t="s">
        <v>7906</v>
      </c>
      <c r="K5633" s="12">
        <v>46030</v>
      </c>
      <c r="L5633" s="28" t="s">
        <v>11</v>
      </c>
      <c r="M5633" s="14"/>
      <c r="N5633" s="10" t="s">
        <v>1096</v>
      </c>
    </row>
    <row r="5634" spans="1:14" ht="22.5" customHeight="1">
      <c r="A5634" s="8">
        <v>46030.226060995366</v>
      </c>
      <c r="B5634" s="9" t="s">
        <v>14</v>
      </c>
      <c r="C5634" s="9" t="s">
        <v>15</v>
      </c>
      <c r="D5634" s="10" t="s">
        <v>6366</v>
      </c>
      <c r="E5634" s="9" t="s">
        <v>22</v>
      </c>
      <c r="F5634" s="10">
        <v>32</v>
      </c>
      <c r="G5634" s="11">
        <v>8164278462</v>
      </c>
      <c r="H5634" s="10" t="s">
        <v>12300</v>
      </c>
      <c r="I5634" s="10" t="s">
        <v>49</v>
      </c>
      <c r="J5634" s="10" t="s">
        <v>73</v>
      </c>
      <c r="K5634" s="12">
        <v>46030</v>
      </c>
      <c r="L5634" s="28" t="s">
        <v>11</v>
      </c>
      <c r="M5634" s="14"/>
      <c r="N5634" s="10" t="s">
        <v>1028</v>
      </c>
    </row>
    <row r="5635" spans="1:14" ht="22.5" customHeight="1">
      <c r="A5635" s="8">
        <v>46030.227073437505</v>
      </c>
      <c r="B5635" s="9" t="s">
        <v>14</v>
      </c>
      <c r="C5635" s="9" t="s">
        <v>15</v>
      </c>
      <c r="D5635" s="10" t="s">
        <v>12301</v>
      </c>
      <c r="E5635" s="9" t="s">
        <v>22</v>
      </c>
      <c r="F5635" s="10">
        <v>26</v>
      </c>
      <c r="G5635" s="11">
        <f t="shared" ref="G5635" si="162">2349064930650</f>
        <v>2349064930650</v>
      </c>
      <c r="H5635" s="10" t="s">
        <v>12302</v>
      </c>
      <c r="I5635" s="10" t="s">
        <v>202</v>
      </c>
      <c r="J5635" s="10" t="s">
        <v>3482</v>
      </c>
      <c r="K5635" s="12">
        <v>46030</v>
      </c>
      <c r="L5635" s="28" t="s">
        <v>11</v>
      </c>
      <c r="M5635" s="14"/>
      <c r="N5635" s="10" t="s">
        <v>1028</v>
      </c>
    </row>
    <row r="5636" spans="1:14" ht="22.5" customHeight="1">
      <c r="A5636" s="8">
        <v>46030.228312488427</v>
      </c>
      <c r="B5636" s="9" t="s">
        <v>14</v>
      </c>
      <c r="C5636" s="9" t="s">
        <v>15</v>
      </c>
      <c r="D5636" s="10" t="s">
        <v>12303</v>
      </c>
      <c r="E5636" s="9" t="s">
        <v>22</v>
      </c>
      <c r="F5636" s="10">
        <v>36</v>
      </c>
      <c r="G5636" s="11">
        <v>9037526422</v>
      </c>
      <c r="H5636" s="10" t="s">
        <v>12304</v>
      </c>
      <c r="I5636" s="10" t="s">
        <v>19</v>
      </c>
      <c r="J5636" s="10" t="s">
        <v>7492</v>
      </c>
      <c r="K5636" s="12">
        <v>46030</v>
      </c>
      <c r="L5636" s="28" t="s">
        <v>11</v>
      </c>
      <c r="M5636" s="14"/>
      <c r="N5636" s="10" t="s">
        <v>1028</v>
      </c>
    </row>
    <row r="5637" spans="1:14" ht="22.5" customHeight="1">
      <c r="A5637" s="8">
        <v>46030.237057986116</v>
      </c>
      <c r="B5637" s="9" t="s">
        <v>14</v>
      </c>
      <c r="C5637" s="9" t="s">
        <v>15</v>
      </c>
      <c r="D5637" s="10" t="s">
        <v>12305</v>
      </c>
      <c r="E5637" s="9" t="s">
        <v>17</v>
      </c>
      <c r="F5637" s="10">
        <v>34</v>
      </c>
      <c r="G5637" s="11">
        <f t="shared" ref="G5637" si="163">2347035617007</f>
        <v>2347035617007</v>
      </c>
      <c r="H5637" s="10" t="s">
        <v>12306</v>
      </c>
      <c r="I5637" s="10" t="s">
        <v>45</v>
      </c>
      <c r="J5637" s="10" t="s">
        <v>84</v>
      </c>
      <c r="K5637" s="12">
        <v>46030</v>
      </c>
      <c r="L5637" s="28" t="s">
        <v>11</v>
      </c>
      <c r="M5637" s="14"/>
      <c r="N5637" s="10" t="s">
        <v>1028</v>
      </c>
    </row>
    <row r="5638" spans="1:14" ht="22.5" customHeight="1">
      <c r="A5638" s="8">
        <v>46030.239237523143</v>
      </c>
      <c r="B5638" s="9" t="s">
        <v>14</v>
      </c>
      <c r="C5638" s="9" t="s">
        <v>15</v>
      </c>
      <c r="D5638" s="10" t="s">
        <v>12307</v>
      </c>
      <c r="E5638" s="9" t="s">
        <v>17</v>
      </c>
      <c r="F5638" s="10">
        <v>27</v>
      </c>
      <c r="G5638" s="11">
        <v>7046734465</v>
      </c>
      <c r="H5638" s="10" t="s">
        <v>12308</v>
      </c>
      <c r="I5638" s="10" t="s">
        <v>202</v>
      </c>
      <c r="J5638" s="10" t="s">
        <v>1619</v>
      </c>
      <c r="K5638" s="12">
        <v>46030</v>
      </c>
      <c r="L5638" s="28" t="s">
        <v>11</v>
      </c>
      <c r="M5638" s="14"/>
      <c r="N5638" s="10" t="s">
        <v>1028</v>
      </c>
    </row>
    <row r="5639" spans="1:14" ht="22.5" customHeight="1">
      <c r="A5639" s="8">
        <v>46030.242792233796</v>
      </c>
      <c r="B5639" s="9" t="s">
        <v>14</v>
      </c>
      <c r="C5639" s="9" t="s">
        <v>15</v>
      </c>
      <c r="D5639" s="10" t="s">
        <v>12309</v>
      </c>
      <c r="E5639" s="9" t="s">
        <v>17</v>
      </c>
      <c r="F5639" s="10">
        <v>33</v>
      </c>
      <c r="G5639" s="11">
        <v>8067252067</v>
      </c>
      <c r="H5639" s="10" t="s">
        <v>12310</v>
      </c>
      <c r="I5639" s="10" t="s">
        <v>145</v>
      </c>
      <c r="J5639" s="10" t="s">
        <v>3584</v>
      </c>
      <c r="K5639" s="12">
        <v>46030</v>
      </c>
      <c r="L5639" s="28" t="s">
        <v>11</v>
      </c>
      <c r="M5639" s="14"/>
      <c r="N5639" s="10" t="s">
        <v>1028</v>
      </c>
    </row>
    <row r="5640" spans="1:14" ht="22.5" customHeight="1">
      <c r="A5640" s="8">
        <v>46030.250238796296</v>
      </c>
      <c r="B5640" s="9" t="s">
        <v>14</v>
      </c>
      <c r="C5640" s="9" t="s">
        <v>15</v>
      </c>
      <c r="D5640" s="10" t="s">
        <v>12311</v>
      </c>
      <c r="E5640" s="9" t="s">
        <v>17</v>
      </c>
      <c r="F5640" s="10">
        <v>35</v>
      </c>
      <c r="G5640" s="11">
        <f t="shared" ref="G5640" si="164">2348033174733</f>
        <v>2348033174733</v>
      </c>
      <c r="H5640" s="10" t="s">
        <v>12312</v>
      </c>
      <c r="I5640" s="10" t="s">
        <v>19</v>
      </c>
      <c r="J5640" s="10" t="s">
        <v>12313</v>
      </c>
      <c r="K5640" s="12">
        <v>46030</v>
      </c>
      <c r="L5640" s="28" t="s">
        <v>11</v>
      </c>
      <c r="M5640" s="14"/>
      <c r="N5640" s="10" t="s">
        <v>1028</v>
      </c>
    </row>
    <row r="5641" spans="1:14" ht="22.5" customHeight="1">
      <c r="A5641" s="8">
        <v>46030.255276111115</v>
      </c>
      <c r="B5641" s="9" t="s">
        <v>14</v>
      </c>
      <c r="C5641" s="9" t="s">
        <v>15</v>
      </c>
      <c r="D5641" s="10" t="s">
        <v>12314</v>
      </c>
      <c r="E5641" s="9" t="s">
        <v>17</v>
      </c>
      <c r="F5641" s="10">
        <v>25</v>
      </c>
      <c r="G5641" s="11">
        <v>7015046032</v>
      </c>
      <c r="H5641" s="10" t="s">
        <v>12315</v>
      </c>
      <c r="I5641" s="10" t="s">
        <v>45</v>
      </c>
      <c r="J5641" s="10" t="s">
        <v>6613</v>
      </c>
      <c r="K5641" s="12">
        <v>46030</v>
      </c>
      <c r="L5641" s="28" t="s">
        <v>11</v>
      </c>
      <c r="M5641" s="14"/>
      <c r="N5641" s="10" t="s">
        <v>1028</v>
      </c>
    </row>
    <row r="5642" spans="1:14" ht="22.5" customHeight="1">
      <c r="A5642" s="8">
        <v>46030.25737280093</v>
      </c>
      <c r="B5642" s="9" t="s">
        <v>14</v>
      </c>
      <c r="C5642" s="9" t="s">
        <v>15</v>
      </c>
      <c r="D5642" s="10" t="s">
        <v>12316</v>
      </c>
      <c r="E5642" s="9" t="s">
        <v>22</v>
      </c>
      <c r="F5642" s="10">
        <v>23</v>
      </c>
      <c r="G5642" s="11">
        <v>9072130953</v>
      </c>
      <c r="H5642" s="10" t="s">
        <v>12317</v>
      </c>
      <c r="I5642" s="10" t="s">
        <v>27</v>
      </c>
      <c r="J5642" s="10" t="s">
        <v>12318</v>
      </c>
      <c r="K5642" s="12">
        <v>46030</v>
      </c>
      <c r="L5642" s="28" t="s">
        <v>11</v>
      </c>
      <c r="M5642" s="14"/>
      <c r="N5642" s="10" t="s">
        <v>1096</v>
      </c>
    </row>
    <row r="5643" spans="1:14" ht="22.5" customHeight="1">
      <c r="A5643" s="8">
        <v>46030.259674745372</v>
      </c>
      <c r="B5643" s="9" t="s">
        <v>14</v>
      </c>
      <c r="C5643" s="9" t="s">
        <v>15</v>
      </c>
      <c r="D5643" s="10" t="s">
        <v>9357</v>
      </c>
      <c r="E5643" s="9" t="s">
        <v>17</v>
      </c>
      <c r="F5643" s="10">
        <v>30</v>
      </c>
      <c r="G5643" s="11">
        <v>8165295418</v>
      </c>
      <c r="H5643" s="10" t="s">
        <v>9358</v>
      </c>
      <c r="I5643" s="10" t="s">
        <v>27</v>
      </c>
      <c r="J5643" s="10" t="s">
        <v>1907</v>
      </c>
      <c r="K5643" s="12">
        <v>46030</v>
      </c>
      <c r="L5643" s="28" t="s">
        <v>11</v>
      </c>
      <c r="M5643" s="14"/>
      <c r="N5643" s="10" t="s">
        <v>1096</v>
      </c>
    </row>
    <row r="5644" spans="1:14" ht="22.5" customHeight="1">
      <c r="A5644" s="8">
        <v>46030.260246041667</v>
      </c>
      <c r="B5644" s="9" t="s">
        <v>14</v>
      </c>
      <c r="C5644" s="9" t="s">
        <v>15</v>
      </c>
      <c r="D5644" s="10" t="s">
        <v>12319</v>
      </c>
      <c r="E5644" s="9" t="s">
        <v>17</v>
      </c>
      <c r="F5644" s="10">
        <v>22</v>
      </c>
      <c r="G5644" s="11">
        <v>8036749649</v>
      </c>
      <c r="H5644" s="10" t="s">
        <v>12320</v>
      </c>
      <c r="I5644" s="10" t="s">
        <v>45</v>
      </c>
      <c r="J5644" s="10" t="s">
        <v>1919</v>
      </c>
      <c r="K5644" s="12">
        <v>46030</v>
      </c>
      <c r="L5644" s="28" t="s">
        <v>11</v>
      </c>
      <c r="M5644" s="14"/>
      <c r="N5644" s="10" t="s">
        <v>12321</v>
      </c>
    </row>
    <row r="5645" spans="1:14" ht="22.5" customHeight="1">
      <c r="A5645" s="8">
        <v>46030.262992187505</v>
      </c>
      <c r="B5645" s="9" t="s">
        <v>14</v>
      </c>
      <c r="C5645" s="9" t="s">
        <v>15</v>
      </c>
      <c r="D5645" s="10" t="s">
        <v>12322</v>
      </c>
      <c r="E5645" s="9" t="s">
        <v>17</v>
      </c>
      <c r="F5645" s="10">
        <v>28</v>
      </c>
      <c r="G5645" s="11">
        <v>8067775023</v>
      </c>
      <c r="H5645" s="10" t="s">
        <v>12323</v>
      </c>
      <c r="I5645" s="10" t="s">
        <v>49</v>
      </c>
      <c r="J5645" s="10" t="s">
        <v>12324</v>
      </c>
      <c r="K5645" s="12">
        <v>46030</v>
      </c>
      <c r="L5645" s="28" t="s">
        <v>11</v>
      </c>
      <c r="M5645" s="14"/>
      <c r="N5645" s="10" t="s">
        <v>1028</v>
      </c>
    </row>
    <row r="5646" spans="1:14" ht="22.5" customHeight="1">
      <c r="A5646" s="8">
        <v>46030.264874143519</v>
      </c>
      <c r="B5646" s="9" t="s">
        <v>14</v>
      </c>
      <c r="C5646" s="9" t="s">
        <v>15</v>
      </c>
      <c r="D5646" s="10" t="s">
        <v>12325</v>
      </c>
      <c r="E5646" s="9" t="s">
        <v>17</v>
      </c>
      <c r="F5646" s="10">
        <v>34</v>
      </c>
      <c r="G5646" s="11">
        <v>8069105510</v>
      </c>
      <c r="H5646" s="10" t="s">
        <v>12326</v>
      </c>
      <c r="I5646" s="10" t="s">
        <v>19</v>
      </c>
      <c r="J5646" s="10" t="s">
        <v>1228</v>
      </c>
      <c r="K5646" s="12">
        <v>46030</v>
      </c>
      <c r="L5646" s="28" t="s">
        <v>11</v>
      </c>
      <c r="M5646" s="14"/>
      <c r="N5646" s="10" t="s">
        <v>1028</v>
      </c>
    </row>
    <row r="5647" spans="1:14" ht="22.5" customHeight="1">
      <c r="A5647" s="8">
        <v>46030.268320173607</v>
      </c>
      <c r="B5647" s="9" t="s">
        <v>14</v>
      </c>
      <c r="C5647" s="9" t="s">
        <v>15</v>
      </c>
      <c r="D5647" s="10" t="s">
        <v>12327</v>
      </c>
      <c r="E5647" s="9" t="s">
        <v>17</v>
      </c>
      <c r="F5647" s="10">
        <v>33</v>
      </c>
      <c r="G5647" s="11">
        <v>7068548591</v>
      </c>
      <c r="H5647" s="10" t="s">
        <v>12328</v>
      </c>
      <c r="I5647" s="10" t="s">
        <v>202</v>
      </c>
      <c r="J5647" s="10" t="s">
        <v>4651</v>
      </c>
      <c r="K5647" s="12">
        <v>46030</v>
      </c>
      <c r="L5647" s="28" t="s">
        <v>11</v>
      </c>
      <c r="M5647" s="14"/>
      <c r="N5647" s="10" t="s">
        <v>1028</v>
      </c>
    </row>
    <row r="5648" spans="1:14" ht="22.5" customHeight="1">
      <c r="A5648" s="8">
        <v>46030.268544571758</v>
      </c>
      <c r="B5648" s="9" t="s">
        <v>14</v>
      </c>
      <c r="C5648" s="9" t="s">
        <v>15</v>
      </c>
      <c r="D5648" s="10" t="s">
        <v>12329</v>
      </c>
      <c r="E5648" s="9" t="s">
        <v>17</v>
      </c>
      <c r="F5648" s="10">
        <v>27</v>
      </c>
      <c r="G5648" s="11">
        <v>8103375256</v>
      </c>
      <c r="H5648" s="10" t="s">
        <v>12330</v>
      </c>
      <c r="I5648" s="10" t="s">
        <v>27</v>
      </c>
      <c r="J5648" s="10" t="s">
        <v>94</v>
      </c>
      <c r="K5648" s="12">
        <v>46030</v>
      </c>
      <c r="L5648" s="28" t="s">
        <v>11</v>
      </c>
      <c r="M5648" s="14"/>
      <c r="N5648" s="10" t="s">
        <v>1028</v>
      </c>
    </row>
    <row r="5649" spans="1:14" ht="22.5" customHeight="1">
      <c r="A5649" s="8">
        <v>46030.27010869213</v>
      </c>
      <c r="B5649" s="9" t="s">
        <v>14</v>
      </c>
      <c r="C5649" s="9" t="s">
        <v>15</v>
      </c>
      <c r="D5649" s="10" t="s">
        <v>12331</v>
      </c>
      <c r="E5649" s="9" t="s">
        <v>17</v>
      </c>
      <c r="F5649" s="10">
        <v>37</v>
      </c>
      <c r="G5649" s="11">
        <v>8084058708</v>
      </c>
      <c r="H5649" s="10" t="s">
        <v>12332</v>
      </c>
      <c r="I5649" s="10" t="s">
        <v>19</v>
      </c>
      <c r="J5649" s="10" t="s">
        <v>12333</v>
      </c>
      <c r="K5649" s="12">
        <v>46030</v>
      </c>
      <c r="L5649" s="28" t="s">
        <v>11</v>
      </c>
      <c r="M5649" s="14"/>
      <c r="N5649" s="10" t="s">
        <v>1028</v>
      </c>
    </row>
    <row r="5650" spans="1:14" ht="22.5" customHeight="1">
      <c r="A5650" s="8">
        <v>46030.270707013886</v>
      </c>
      <c r="B5650" s="9" t="s">
        <v>14</v>
      </c>
      <c r="C5650" s="9" t="s">
        <v>15</v>
      </c>
      <c r="D5650" s="10" t="s">
        <v>12334</v>
      </c>
      <c r="E5650" s="9" t="s">
        <v>17</v>
      </c>
      <c r="F5650" s="10">
        <v>29</v>
      </c>
      <c r="G5650" s="11">
        <v>8101200575</v>
      </c>
      <c r="H5650" s="10" t="s">
        <v>12335</v>
      </c>
      <c r="I5650" s="10" t="s">
        <v>45</v>
      </c>
      <c r="J5650" s="10" t="s">
        <v>287</v>
      </c>
      <c r="K5650" s="12">
        <v>46030</v>
      </c>
      <c r="L5650" s="28" t="s">
        <v>11</v>
      </c>
      <c r="M5650" s="14"/>
      <c r="N5650" s="10" t="s">
        <v>1096</v>
      </c>
    </row>
    <row r="5651" spans="1:14" ht="22.5" customHeight="1">
      <c r="A5651" s="8">
        <v>46030.273323275462</v>
      </c>
      <c r="B5651" s="9" t="s">
        <v>14</v>
      </c>
      <c r="C5651" s="9" t="s">
        <v>15</v>
      </c>
      <c r="D5651" s="10" t="s">
        <v>12336</v>
      </c>
      <c r="E5651" s="9" t="s">
        <v>17</v>
      </c>
      <c r="F5651" s="10">
        <v>25</v>
      </c>
      <c r="G5651" s="11">
        <v>7046242954</v>
      </c>
      <c r="H5651" s="10" t="s">
        <v>12337</v>
      </c>
      <c r="I5651" s="10" t="s">
        <v>202</v>
      </c>
      <c r="J5651" s="10" t="s">
        <v>4177</v>
      </c>
      <c r="K5651" s="12">
        <v>36631</v>
      </c>
      <c r="L5651" s="28" t="s">
        <v>11</v>
      </c>
      <c r="M5651" s="14"/>
      <c r="N5651" s="10" t="s">
        <v>1028</v>
      </c>
    </row>
    <row r="5652" spans="1:14" ht="22.5" customHeight="1">
      <c r="A5652" s="8">
        <v>46030.276379351853</v>
      </c>
      <c r="B5652" s="9" t="s">
        <v>14</v>
      </c>
      <c r="C5652" s="9" t="s">
        <v>15</v>
      </c>
      <c r="D5652" s="10" t="s">
        <v>12338</v>
      </c>
      <c r="E5652" s="9" t="s">
        <v>17</v>
      </c>
      <c r="F5652" s="10">
        <v>27</v>
      </c>
      <c r="G5652" s="11">
        <v>9061761980</v>
      </c>
      <c r="H5652" s="10" t="s">
        <v>12339</v>
      </c>
      <c r="I5652" s="10" t="s">
        <v>202</v>
      </c>
      <c r="J5652" s="10" t="s">
        <v>2059</v>
      </c>
      <c r="K5652" s="12">
        <v>46030</v>
      </c>
      <c r="L5652" s="28" t="s">
        <v>11</v>
      </c>
      <c r="M5652" s="14"/>
      <c r="N5652" s="10" t="s">
        <v>1096</v>
      </c>
    </row>
    <row r="5653" spans="1:14" ht="22.5" customHeight="1">
      <c r="A5653" s="8">
        <v>46030.276657314811</v>
      </c>
      <c r="B5653" s="9" t="s">
        <v>14</v>
      </c>
      <c r="C5653" s="9" t="s">
        <v>15</v>
      </c>
      <c r="D5653" s="10" t="s">
        <v>12340</v>
      </c>
      <c r="E5653" s="9" t="s">
        <v>17</v>
      </c>
      <c r="F5653" s="10">
        <v>28</v>
      </c>
      <c r="G5653" s="11">
        <v>7064327268</v>
      </c>
      <c r="H5653" s="10" t="s">
        <v>12341</v>
      </c>
      <c r="I5653" s="10" t="s">
        <v>49</v>
      </c>
      <c r="J5653" s="10" t="s">
        <v>50</v>
      </c>
      <c r="K5653" s="12">
        <v>46030</v>
      </c>
      <c r="L5653" s="28" t="s">
        <v>11</v>
      </c>
      <c r="M5653" s="14"/>
      <c r="N5653" s="10" t="s">
        <v>1028</v>
      </c>
    </row>
    <row r="5654" spans="1:14" ht="22.5" customHeight="1">
      <c r="A5654" s="8">
        <v>46030.276992187501</v>
      </c>
      <c r="B5654" s="9" t="s">
        <v>14</v>
      </c>
      <c r="C5654" s="9" t="s">
        <v>15</v>
      </c>
      <c r="D5654" s="10" t="s">
        <v>12342</v>
      </c>
      <c r="E5654" s="9" t="s">
        <v>17</v>
      </c>
      <c r="F5654" s="18">
        <v>26</v>
      </c>
      <c r="G5654" s="11">
        <v>8108180144</v>
      </c>
      <c r="H5654" s="10" t="s">
        <v>12343</v>
      </c>
      <c r="I5654" s="10" t="s">
        <v>49</v>
      </c>
      <c r="J5654" s="10" t="s">
        <v>181</v>
      </c>
      <c r="K5654" s="12">
        <v>46030</v>
      </c>
      <c r="L5654" s="28" t="s">
        <v>11</v>
      </c>
      <c r="M5654" s="14"/>
      <c r="N5654" s="10" t="s">
        <v>1028</v>
      </c>
    </row>
    <row r="5655" spans="1:14" ht="22.5" customHeight="1">
      <c r="A5655" s="8">
        <v>46030.277268703707</v>
      </c>
      <c r="B5655" s="9" t="s">
        <v>14</v>
      </c>
      <c r="C5655" s="9" t="s">
        <v>15</v>
      </c>
      <c r="D5655" s="10" t="s">
        <v>12344</v>
      </c>
      <c r="E5655" s="9" t="s">
        <v>22</v>
      </c>
      <c r="F5655" s="10">
        <v>47</v>
      </c>
      <c r="G5655" s="11">
        <v>8066647365</v>
      </c>
      <c r="H5655" s="10" t="s">
        <v>12345</v>
      </c>
      <c r="I5655" s="10" t="s">
        <v>27</v>
      </c>
      <c r="J5655" s="10" t="s">
        <v>703</v>
      </c>
      <c r="K5655" s="12">
        <v>29041</v>
      </c>
      <c r="L5655" s="28" t="s">
        <v>11</v>
      </c>
      <c r="M5655" s="10"/>
      <c r="N5655" s="10" t="s">
        <v>1028</v>
      </c>
    </row>
    <row r="5656" spans="1:14" ht="22.5" customHeight="1">
      <c r="A5656" s="8">
        <v>46030.27955118056</v>
      </c>
      <c r="B5656" s="9" t="s">
        <v>14</v>
      </c>
      <c r="C5656" s="9" t="s">
        <v>15</v>
      </c>
      <c r="D5656" s="10" t="s">
        <v>12346</v>
      </c>
      <c r="E5656" s="9" t="s">
        <v>17</v>
      </c>
      <c r="F5656" s="10">
        <v>32</v>
      </c>
      <c r="G5656" s="11">
        <v>8147428414</v>
      </c>
      <c r="H5656" s="10" t="s">
        <v>12347</v>
      </c>
      <c r="I5656" s="10" t="s">
        <v>202</v>
      </c>
      <c r="J5656" s="10" t="s">
        <v>2059</v>
      </c>
      <c r="K5656" s="12">
        <v>34267</v>
      </c>
      <c r="L5656" s="28" t="s">
        <v>11</v>
      </c>
      <c r="M5656" s="14"/>
      <c r="N5656" s="10" t="s">
        <v>1028</v>
      </c>
    </row>
    <row r="5657" spans="1:14" ht="22.5" customHeight="1">
      <c r="A5657" s="8">
        <v>46030.280960439813</v>
      </c>
      <c r="B5657" s="9" t="s">
        <v>14</v>
      </c>
      <c r="C5657" s="9" t="s">
        <v>15</v>
      </c>
      <c r="D5657" s="10" t="s">
        <v>12348</v>
      </c>
      <c r="E5657" s="9" t="s">
        <v>17</v>
      </c>
      <c r="F5657" s="10">
        <v>40</v>
      </c>
      <c r="G5657" s="11">
        <v>7037451895</v>
      </c>
      <c r="H5657" s="10" t="s">
        <v>12349</v>
      </c>
      <c r="I5657" s="10" t="s">
        <v>49</v>
      </c>
      <c r="J5657" s="10" t="s">
        <v>106</v>
      </c>
      <c r="K5657" s="12">
        <v>46030</v>
      </c>
      <c r="L5657" s="28" t="s">
        <v>11</v>
      </c>
      <c r="M5657" s="14"/>
      <c r="N5657" s="10" t="s">
        <v>1028</v>
      </c>
    </row>
    <row r="5658" spans="1:14" ht="22.5" customHeight="1">
      <c r="A5658" s="8">
        <v>46030.281622731476</v>
      </c>
      <c r="B5658" s="9" t="s">
        <v>14</v>
      </c>
      <c r="C5658" s="9" t="s">
        <v>15</v>
      </c>
      <c r="D5658" s="10" t="s">
        <v>12350</v>
      </c>
      <c r="E5658" s="9" t="s">
        <v>17</v>
      </c>
      <c r="F5658" s="19">
        <v>29</v>
      </c>
      <c r="G5658" s="11">
        <v>8111406455</v>
      </c>
      <c r="H5658" s="10" t="s">
        <v>12351</v>
      </c>
      <c r="I5658" s="10" t="s">
        <v>202</v>
      </c>
      <c r="J5658" s="10" t="s">
        <v>4015</v>
      </c>
      <c r="K5658" s="12">
        <v>46030</v>
      </c>
      <c r="L5658" s="28" t="s">
        <v>11</v>
      </c>
      <c r="M5658" s="14"/>
      <c r="N5658" s="10" t="s">
        <v>1028</v>
      </c>
    </row>
    <row r="5659" spans="1:14" ht="22.5" customHeight="1">
      <c r="A5659" s="8">
        <v>46030.281794837967</v>
      </c>
      <c r="B5659" s="9" t="s">
        <v>14</v>
      </c>
      <c r="C5659" s="9" t="s">
        <v>15</v>
      </c>
      <c r="D5659" s="10" t="s">
        <v>12352</v>
      </c>
      <c r="E5659" s="9" t="s">
        <v>22</v>
      </c>
      <c r="F5659" s="10">
        <v>24</v>
      </c>
      <c r="G5659" s="11">
        <v>8051225408</v>
      </c>
      <c r="H5659" s="10" t="s">
        <v>12353</v>
      </c>
      <c r="I5659" s="10" t="s">
        <v>19</v>
      </c>
      <c r="J5659" s="10" t="s">
        <v>1228</v>
      </c>
      <c r="K5659" s="12">
        <v>46030</v>
      </c>
      <c r="L5659" s="28" t="s">
        <v>11</v>
      </c>
      <c r="M5659" s="14"/>
      <c r="N5659" s="10" t="s">
        <v>1028</v>
      </c>
    </row>
    <row r="5660" spans="1:14" ht="22.5" customHeight="1">
      <c r="A5660" s="8">
        <v>46030.28252385417</v>
      </c>
      <c r="B5660" s="9" t="s">
        <v>14</v>
      </c>
      <c r="C5660" s="9" t="s">
        <v>15</v>
      </c>
      <c r="D5660" s="10" t="s">
        <v>12354</v>
      </c>
      <c r="E5660" s="9" t="s">
        <v>17</v>
      </c>
      <c r="F5660" s="10">
        <v>29</v>
      </c>
      <c r="G5660" s="11">
        <v>8130027630</v>
      </c>
      <c r="H5660" s="10" t="s">
        <v>12355</v>
      </c>
      <c r="I5660" s="10" t="s">
        <v>19</v>
      </c>
      <c r="J5660" s="10" t="s">
        <v>166</v>
      </c>
      <c r="K5660" s="12">
        <v>46030</v>
      </c>
      <c r="L5660" s="28" t="s">
        <v>11</v>
      </c>
      <c r="M5660" s="14"/>
      <c r="N5660" s="10" t="s">
        <v>1028</v>
      </c>
    </row>
    <row r="5661" spans="1:14" ht="22.5" customHeight="1">
      <c r="A5661" s="8">
        <v>46030.282926886575</v>
      </c>
      <c r="B5661" s="9" t="s">
        <v>14</v>
      </c>
      <c r="C5661" s="9" t="s">
        <v>15</v>
      </c>
      <c r="D5661" s="10" t="s">
        <v>12356</v>
      </c>
      <c r="E5661" s="9" t="s">
        <v>17</v>
      </c>
      <c r="F5661" s="10">
        <v>32</v>
      </c>
      <c r="G5661" s="11">
        <v>7065796022</v>
      </c>
      <c r="H5661" s="10" t="s">
        <v>12357</v>
      </c>
      <c r="I5661" s="10" t="s">
        <v>202</v>
      </c>
      <c r="J5661" s="10" t="s">
        <v>4651</v>
      </c>
      <c r="K5661" s="12">
        <v>46030</v>
      </c>
      <c r="L5661" s="28" t="s">
        <v>11</v>
      </c>
      <c r="M5661" s="14"/>
      <c r="N5661" s="10" t="s">
        <v>1028</v>
      </c>
    </row>
    <row r="5662" spans="1:14" ht="22.5" customHeight="1">
      <c r="A5662" s="8">
        <v>46030.285406134259</v>
      </c>
      <c r="B5662" s="9" t="s">
        <v>14</v>
      </c>
      <c r="C5662" s="9" t="s">
        <v>15</v>
      </c>
      <c r="D5662" s="10" t="s">
        <v>12358</v>
      </c>
      <c r="E5662" s="9" t="s">
        <v>17</v>
      </c>
      <c r="F5662" s="10">
        <v>20</v>
      </c>
      <c r="G5662" s="11">
        <v>9049531645</v>
      </c>
      <c r="H5662" s="10" t="s">
        <v>12359</v>
      </c>
      <c r="I5662" s="10" t="s">
        <v>45</v>
      </c>
      <c r="J5662" s="10" t="s">
        <v>46</v>
      </c>
      <c r="K5662" s="12">
        <v>46030</v>
      </c>
      <c r="L5662" s="28" t="s">
        <v>11</v>
      </c>
      <c r="M5662" s="14"/>
      <c r="N5662" s="10" t="s">
        <v>1096</v>
      </c>
    </row>
    <row r="5663" spans="1:14" ht="22.5" customHeight="1">
      <c r="A5663" s="8">
        <v>46030.286651365735</v>
      </c>
      <c r="B5663" s="9" t="s">
        <v>14</v>
      </c>
      <c r="C5663" s="9" t="s">
        <v>15</v>
      </c>
      <c r="D5663" s="10" t="s">
        <v>12360</v>
      </c>
      <c r="E5663" s="9" t="s">
        <v>22</v>
      </c>
      <c r="F5663" s="10">
        <v>22</v>
      </c>
      <c r="G5663" s="11">
        <v>7071544191</v>
      </c>
      <c r="H5663" s="10" t="s">
        <v>12361</v>
      </c>
      <c r="I5663" s="10" t="s">
        <v>19</v>
      </c>
      <c r="J5663" s="10" t="s">
        <v>12362</v>
      </c>
      <c r="K5663" s="12">
        <v>46030</v>
      </c>
      <c r="L5663" s="28" t="s">
        <v>11</v>
      </c>
      <c r="M5663" s="14"/>
      <c r="N5663" s="10" t="s">
        <v>1028</v>
      </c>
    </row>
    <row r="5664" spans="1:14" ht="22.5" customHeight="1">
      <c r="A5664" s="8">
        <v>46030.286968576387</v>
      </c>
      <c r="B5664" s="9" t="s">
        <v>14</v>
      </c>
      <c r="C5664" s="9" t="s">
        <v>15</v>
      </c>
      <c r="D5664" s="10" t="s">
        <v>12363</v>
      </c>
      <c r="E5664" s="9" t="s">
        <v>22</v>
      </c>
      <c r="F5664" s="10">
        <v>35</v>
      </c>
      <c r="G5664" s="11">
        <v>8104103335</v>
      </c>
      <c r="H5664" s="10" t="s">
        <v>12364</v>
      </c>
      <c r="I5664" s="10" t="s">
        <v>49</v>
      </c>
      <c r="J5664" s="10" t="s">
        <v>10812</v>
      </c>
      <c r="K5664" s="12">
        <v>46030</v>
      </c>
      <c r="L5664" s="28" t="s">
        <v>11</v>
      </c>
      <c r="M5664" s="14"/>
      <c r="N5664" s="10" t="s">
        <v>1028</v>
      </c>
    </row>
    <row r="5665" spans="1:14" ht="22.5" customHeight="1">
      <c r="A5665" s="8">
        <v>46030.289158495369</v>
      </c>
      <c r="B5665" s="9" t="s">
        <v>14</v>
      </c>
      <c r="C5665" s="9" t="s">
        <v>15</v>
      </c>
      <c r="D5665" s="10" t="s">
        <v>12365</v>
      </c>
      <c r="E5665" s="9" t="s">
        <v>22</v>
      </c>
      <c r="F5665" s="10">
        <v>24</v>
      </c>
      <c r="G5665" s="11">
        <v>9059822335</v>
      </c>
      <c r="H5665" s="10" t="s">
        <v>12366</v>
      </c>
      <c r="I5665" s="10" t="s">
        <v>45</v>
      </c>
      <c r="J5665" s="10" t="s">
        <v>131</v>
      </c>
      <c r="K5665" s="12">
        <v>46030</v>
      </c>
      <c r="L5665" s="28" t="s">
        <v>11</v>
      </c>
      <c r="M5665" s="14"/>
      <c r="N5665" s="10" t="s">
        <v>1028</v>
      </c>
    </row>
    <row r="5666" spans="1:14" ht="22.5" customHeight="1">
      <c r="A5666" s="8">
        <v>46030.296584479162</v>
      </c>
      <c r="B5666" s="9" t="s">
        <v>14</v>
      </c>
      <c r="C5666" s="9" t="s">
        <v>15</v>
      </c>
      <c r="D5666" s="10" t="s">
        <v>12367</v>
      </c>
      <c r="E5666" s="9" t="s">
        <v>17</v>
      </c>
      <c r="F5666" s="10">
        <v>26</v>
      </c>
      <c r="G5666" s="11">
        <v>9167455901</v>
      </c>
      <c r="H5666" s="10" t="s">
        <v>12368</v>
      </c>
      <c r="I5666" s="10" t="s">
        <v>27</v>
      </c>
      <c r="J5666" s="10" t="s">
        <v>1456</v>
      </c>
      <c r="K5666" s="12">
        <v>46030</v>
      </c>
      <c r="L5666" s="28" t="s">
        <v>11</v>
      </c>
      <c r="M5666" s="14"/>
      <c r="N5666" s="10" t="s">
        <v>1028</v>
      </c>
    </row>
    <row r="5667" spans="1:14" ht="22.5" customHeight="1">
      <c r="A5667" s="8">
        <v>46030.29860923611</v>
      </c>
      <c r="B5667" s="9" t="s">
        <v>14</v>
      </c>
      <c r="C5667" s="9" t="s">
        <v>15</v>
      </c>
      <c r="D5667" s="10" t="s">
        <v>12369</v>
      </c>
      <c r="E5667" s="9" t="s">
        <v>17</v>
      </c>
      <c r="F5667" s="10">
        <v>26</v>
      </c>
      <c r="G5667" s="11">
        <v>8169939004</v>
      </c>
      <c r="H5667" s="10" t="s">
        <v>12370</v>
      </c>
      <c r="I5667" s="10" t="s">
        <v>27</v>
      </c>
      <c r="J5667" s="10" t="s">
        <v>1559</v>
      </c>
      <c r="K5667" s="12">
        <v>46030</v>
      </c>
      <c r="L5667" s="28" t="s">
        <v>11</v>
      </c>
      <c r="M5667" s="10"/>
      <c r="N5667" s="10" t="s">
        <v>1096</v>
      </c>
    </row>
    <row r="5668" spans="1:14" ht="22.5" customHeight="1">
      <c r="A5668" s="8">
        <v>46030.298789155087</v>
      </c>
      <c r="B5668" s="9" t="s">
        <v>14</v>
      </c>
      <c r="C5668" s="9" t="s">
        <v>15</v>
      </c>
      <c r="D5668" s="10" t="s">
        <v>12371</v>
      </c>
      <c r="E5668" s="9" t="s">
        <v>17</v>
      </c>
      <c r="F5668" s="10">
        <v>30</v>
      </c>
      <c r="G5668" s="11">
        <v>9130471696</v>
      </c>
      <c r="H5668" s="10" t="s">
        <v>12372</v>
      </c>
      <c r="I5668" s="10" t="s">
        <v>49</v>
      </c>
      <c r="J5668" s="10" t="s">
        <v>12373</v>
      </c>
      <c r="K5668" s="12">
        <v>46030</v>
      </c>
      <c r="L5668" s="28" t="s">
        <v>11</v>
      </c>
      <c r="M5668" s="14"/>
      <c r="N5668" s="10" t="s">
        <v>1028</v>
      </c>
    </row>
    <row r="5669" spans="1:14" ht="22.5" customHeight="1">
      <c r="A5669" s="8">
        <v>46030.299419444447</v>
      </c>
      <c r="B5669" s="9" t="s">
        <v>14</v>
      </c>
      <c r="C5669" s="9" t="s">
        <v>15</v>
      </c>
      <c r="D5669" s="10" t="s">
        <v>12374</v>
      </c>
      <c r="E5669" s="9" t="s">
        <v>17</v>
      </c>
      <c r="F5669" s="10">
        <v>31</v>
      </c>
      <c r="G5669" s="11">
        <v>8136350194</v>
      </c>
      <c r="H5669" s="10" t="s">
        <v>12375</v>
      </c>
      <c r="I5669" s="10" t="s">
        <v>27</v>
      </c>
      <c r="J5669" s="10" t="s">
        <v>1456</v>
      </c>
      <c r="K5669" s="12">
        <v>46030</v>
      </c>
      <c r="L5669" s="28" t="s">
        <v>11</v>
      </c>
      <c r="M5669" s="14"/>
      <c r="N5669" s="10" t="s">
        <v>1096</v>
      </c>
    </row>
    <row r="5670" spans="1:14" ht="22.5" customHeight="1">
      <c r="A5670" s="8">
        <v>46030.299772442129</v>
      </c>
      <c r="B5670" s="9" t="s">
        <v>14</v>
      </c>
      <c r="C5670" s="9" t="s">
        <v>15</v>
      </c>
      <c r="D5670" s="10" t="s">
        <v>12376</v>
      </c>
      <c r="E5670" s="9" t="s">
        <v>22</v>
      </c>
      <c r="F5670" s="10">
        <v>22</v>
      </c>
      <c r="G5670" s="11">
        <v>7072292799</v>
      </c>
      <c r="H5670" s="10" t="s">
        <v>12377</v>
      </c>
      <c r="I5670" s="10" t="s">
        <v>202</v>
      </c>
      <c r="J5670" s="10" t="s">
        <v>2059</v>
      </c>
      <c r="K5670" s="12">
        <v>46030</v>
      </c>
      <c r="L5670" s="28" t="s">
        <v>11</v>
      </c>
      <c r="M5670" s="14"/>
      <c r="N5670" s="10" t="s">
        <v>1028</v>
      </c>
    </row>
    <row r="5671" spans="1:14" ht="22.5" customHeight="1">
      <c r="A5671" s="8">
        <v>46030.30475299769</v>
      </c>
      <c r="B5671" s="9" t="s">
        <v>14</v>
      </c>
      <c r="C5671" s="9" t="s">
        <v>15</v>
      </c>
      <c r="D5671" s="10" t="s">
        <v>12378</v>
      </c>
      <c r="E5671" s="9" t="s">
        <v>17</v>
      </c>
      <c r="F5671" s="10">
        <v>29</v>
      </c>
      <c r="G5671" s="11">
        <v>8038710907</v>
      </c>
      <c r="H5671" s="10" t="s">
        <v>12379</v>
      </c>
      <c r="I5671" s="10" t="s">
        <v>45</v>
      </c>
      <c r="J5671" s="10" t="s">
        <v>12380</v>
      </c>
      <c r="K5671" s="12">
        <v>46030</v>
      </c>
      <c r="L5671" s="28" t="s">
        <v>11</v>
      </c>
      <c r="M5671" s="14"/>
      <c r="N5671" s="10" t="s">
        <v>1028</v>
      </c>
    </row>
    <row r="5672" spans="1:14" ht="22.5" customHeight="1">
      <c r="A5672" s="8">
        <v>46030.304993356476</v>
      </c>
      <c r="B5672" s="9" t="s">
        <v>14</v>
      </c>
      <c r="C5672" s="9" t="s">
        <v>15</v>
      </c>
      <c r="D5672" s="10" t="s">
        <v>12381</v>
      </c>
      <c r="E5672" s="9" t="s">
        <v>17</v>
      </c>
      <c r="F5672" s="10">
        <v>32</v>
      </c>
      <c r="G5672" s="11">
        <v>2348109080181</v>
      </c>
      <c r="H5672" s="10" t="s">
        <v>12382</v>
      </c>
      <c r="I5672" s="10" t="s">
        <v>45</v>
      </c>
      <c r="J5672" s="10" t="s">
        <v>178</v>
      </c>
      <c r="K5672" s="12">
        <v>46030</v>
      </c>
      <c r="L5672" s="28" t="s">
        <v>11</v>
      </c>
      <c r="M5672" s="14"/>
      <c r="N5672" s="10" t="s">
        <v>1028</v>
      </c>
    </row>
    <row r="5673" spans="1:14" ht="22.5" customHeight="1">
      <c r="A5673" s="8">
        <v>46030.305895717596</v>
      </c>
      <c r="B5673" s="9" t="s">
        <v>14</v>
      </c>
      <c r="C5673" s="9" t="s">
        <v>15</v>
      </c>
      <c r="D5673" s="10" t="s">
        <v>12383</v>
      </c>
      <c r="E5673" s="9" t="s">
        <v>17</v>
      </c>
      <c r="F5673" s="10">
        <v>28</v>
      </c>
      <c r="G5673" s="11">
        <v>8164255903</v>
      </c>
      <c r="H5673" s="10" t="s">
        <v>12384</v>
      </c>
      <c r="I5673" s="10" t="s">
        <v>45</v>
      </c>
      <c r="J5673" s="10" t="s">
        <v>287</v>
      </c>
      <c r="K5673" s="12">
        <v>46030</v>
      </c>
      <c r="L5673" s="28" t="s">
        <v>11</v>
      </c>
      <c r="M5673" s="14"/>
      <c r="N5673" s="10" t="s">
        <v>1028</v>
      </c>
    </row>
    <row r="5674" spans="1:14" ht="22.5" customHeight="1">
      <c r="A5674" s="8">
        <v>46030.306698969907</v>
      </c>
      <c r="B5674" s="9" t="s">
        <v>14</v>
      </c>
      <c r="C5674" s="9" t="s">
        <v>15</v>
      </c>
      <c r="D5674" s="10" t="s">
        <v>12385</v>
      </c>
      <c r="E5674" s="9" t="s">
        <v>17</v>
      </c>
      <c r="F5674" s="10">
        <v>31</v>
      </c>
      <c r="G5674" s="11">
        <v>8130895866</v>
      </c>
      <c r="H5674" s="10" t="s">
        <v>12386</v>
      </c>
      <c r="I5674" s="10" t="s">
        <v>19</v>
      </c>
      <c r="J5674" s="10" t="s">
        <v>166</v>
      </c>
      <c r="K5674" s="12">
        <v>46030</v>
      </c>
      <c r="L5674" s="28" t="s">
        <v>11</v>
      </c>
      <c r="M5674" s="14"/>
      <c r="N5674" s="10" t="s">
        <v>1096</v>
      </c>
    </row>
    <row r="5675" spans="1:14" ht="22.5" customHeight="1">
      <c r="A5675" s="8">
        <v>46030.308535416669</v>
      </c>
      <c r="B5675" s="9" t="s">
        <v>14</v>
      </c>
      <c r="C5675" s="9" t="s">
        <v>15</v>
      </c>
      <c r="D5675" s="10" t="s">
        <v>12387</v>
      </c>
      <c r="E5675" s="9" t="s">
        <v>22</v>
      </c>
      <c r="F5675" s="10">
        <v>25</v>
      </c>
      <c r="G5675" s="11">
        <v>9038693231</v>
      </c>
      <c r="H5675" s="10" t="s">
        <v>12388</v>
      </c>
      <c r="I5675" s="10" t="s">
        <v>45</v>
      </c>
      <c r="J5675" s="10" t="s">
        <v>11420</v>
      </c>
      <c r="K5675" s="12">
        <v>46030</v>
      </c>
      <c r="L5675" s="28" t="s">
        <v>11</v>
      </c>
      <c r="M5675" s="14"/>
      <c r="N5675" s="10" t="s">
        <v>1028</v>
      </c>
    </row>
    <row r="5676" spans="1:14" ht="22.5" customHeight="1">
      <c r="A5676" s="8">
        <v>46030.311789166662</v>
      </c>
      <c r="B5676" s="9" t="s">
        <v>14</v>
      </c>
      <c r="C5676" s="9" t="s">
        <v>15</v>
      </c>
      <c r="D5676" s="10" t="s">
        <v>12389</v>
      </c>
      <c r="E5676" s="9" t="s">
        <v>22</v>
      </c>
      <c r="F5676" s="10">
        <v>24</v>
      </c>
      <c r="G5676" s="11">
        <v>9098005813</v>
      </c>
      <c r="H5676" s="10" t="s">
        <v>12390</v>
      </c>
      <c r="I5676" s="10" t="s">
        <v>19</v>
      </c>
      <c r="J5676" s="10" t="s">
        <v>12391</v>
      </c>
      <c r="K5676" s="12">
        <v>46030</v>
      </c>
      <c r="L5676" s="28" t="s">
        <v>11</v>
      </c>
      <c r="M5676" s="14"/>
      <c r="N5676" s="10" t="s">
        <v>1028</v>
      </c>
    </row>
    <row r="5677" spans="1:14" ht="22.5" customHeight="1">
      <c r="A5677" s="8">
        <v>46030.312359178242</v>
      </c>
      <c r="B5677" s="9" t="s">
        <v>14</v>
      </c>
      <c r="C5677" s="9" t="s">
        <v>15</v>
      </c>
      <c r="D5677" s="10" t="s">
        <v>12392</v>
      </c>
      <c r="E5677" s="9" t="s">
        <v>22</v>
      </c>
      <c r="F5677" s="10">
        <v>26</v>
      </c>
      <c r="G5677" s="11">
        <v>8133644675</v>
      </c>
      <c r="H5677" s="10" t="s">
        <v>12393</v>
      </c>
      <c r="I5677" s="10" t="s">
        <v>49</v>
      </c>
      <c r="J5677" s="10" t="s">
        <v>73</v>
      </c>
      <c r="K5677" s="12">
        <v>46030</v>
      </c>
      <c r="L5677" s="28" t="s">
        <v>11</v>
      </c>
      <c r="M5677" s="14"/>
      <c r="N5677" s="10" t="s">
        <v>1028</v>
      </c>
    </row>
    <row r="5678" spans="1:14" ht="22.5" customHeight="1">
      <c r="A5678" s="8">
        <v>46030.312417222223</v>
      </c>
      <c r="B5678" s="9" t="s">
        <v>14</v>
      </c>
      <c r="C5678" s="9" t="s">
        <v>15</v>
      </c>
      <c r="D5678" s="10" t="s">
        <v>12394</v>
      </c>
      <c r="E5678" s="9" t="s">
        <v>17</v>
      </c>
      <c r="F5678" s="10">
        <v>28</v>
      </c>
      <c r="G5678" s="11">
        <v>8147363336</v>
      </c>
      <c r="H5678" s="10" t="s">
        <v>12395</v>
      </c>
      <c r="I5678" s="10" t="s">
        <v>27</v>
      </c>
      <c r="J5678" s="10" t="s">
        <v>27</v>
      </c>
      <c r="K5678" s="12">
        <v>46030</v>
      </c>
      <c r="L5678" s="28" t="s">
        <v>11</v>
      </c>
      <c r="M5678" s="14"/>
      <c r="N5678" s="10" t="s">
        <v>1028</v>
      </c>
    </row>
    <row r="5679" spans="1:14" ht="22.5" customHeight="1">
      <c r="A5679" s="8">
        <v>46030.315875092594</v>
      </c>
      <c r="B5679" s="9" t="s">
        <v>14</v>
      </c>
      <c r="C5679" s="9" t="s">
        <v>15</v>
      </c>
      <c r="D5679" s="10" t="s">
        <v>12396</v>
      </c>
      <c r="E5679" s="9" t="s">
        <v>17</v>
      </c>
      <c r="F5679" s="10">
        <v>48</v>
      </c>
      <c r="G5679" s="11">
        <v>8034706005</v>
      </c>
      <c r="H5679" s="10" t="s">
        <v>12397</v>
      </c>
      <c r="I5679" s="10" t="s">
        <v>19</v>
      </c>
      <c r="J5679" s="10" t="s">
        <v>1664</v>
      </c>
      <c r="K5679" s="12">
        <v>46030</v>
      </c>
      <c r="L5679" s="28" t="s">
        <v>11</v>
      </c>
      <c r="M5679" s="14"/>
      <c r="N5679" s="10" t="s">
        <v>1028</v>
      </c>
    </row>
    <row r="5680" spans="1:14" ht="22.5" customHeight="1">
      <c r="A5680" s="8">
        <v>46030.318832199075</v>
      </c>
      <c r="B5680" s="9" t="s">
        <v>14</v>
      </c>
      <c r="C5680" s="9" t="s">
        <v>15</v>
      </c>
      <c r="D5680" s="10" t="s">
        <v>12398</v>
      </c>
      <c r="E5680" s="9" t="s">
        <v>17</v>
      </c>
      <c r="F5680" s="10">
        <v>33</v>
      </c>
      <c r="G5680" s="11">
        <v>8167140573</v>
      </c>
      <c r="H5680" s="10" t="s">
        <v>12399</v>
      </c>
      <c r="I5680" s="10" t="s">
        <v>202</v>
      </c>
      <c r="J5680" s="10" t="s">
        <v>4651</v>
      </c>
      <c r="K5680" s="12">
        <v>46030</v>
      </c>
      <c r="L5680" s="28" t="s">
        <v>11</v>
      </c>
      <c r="M5680" s="14"/>
      <c r="N5680" s="10" t="s">
        <v>1028</v>
      </c>
    </row>
    <row r="5681" spans="1:14" ht="22.5" customHeight="1">
      <c r="A5681" s="8">
        <v>46030.322261759255</v>
      </c>
      <c r="B5681" s="9" t="s">
        <v>14</v>
      </c>
      <c r="C5681" s="9" t="s">
        <v>15</v>
      </c>
      <c r="D5681" s="10" t="s">
        <v>12400</v>
      </c>
      <c r="E5681" s="9" t="s">
        <v>17</v>
      </c>
      <c r="F5681" s="10">
        <v>33</v>
      </c>
      <c r="G5681" s="11">
        <v>9042996091</v>
      </c>
      <c r="H5681" s="10" t="s">
        <v>12401</v>
      </c>
      <c r="I5681" s="10" t="s">
        <v>202</v>
      </c>
      <c r="J5681" s="10" t="s">
        <v>4174</v>
      </c>
      <c r="K5681" s="12">
        <v>46030</v>
      </c>
      <c r="L5681" s="28" t="s">
        <v>11</v>
      </c>
      <c r="M5681" s="10"/>
      <c r="N5681" s="10" t="s">
        <v>1028</v>
      </c>
    </row>
    <row r="5682" spans="1:14" ht="22.5" customHeight="1">
      <c r="A5682" s="8">
        <v>46030.322964490741</v>
      </c>
      <c r="B5682" s="9" t="s">
        <v>14</v>
      </c>
      <c r="C5682" s="9" t="s">
        <v>15</v>
      </c>
      <c r="D5682" s="10" t="s">
        <v>12402</v>
      </c>
      <c r="E5682" s="9" t="s">
        <v>17</v>
      </c>
      <c r="F5682" s="10">
        <v>28</v>
      </c>
      <c r="G5682" s="11">
        <v>8099575767</v>
      </c>
      <c r="H5682" s="10" t="s">
        <v>12403</v>
      </c>
      <c r="I5682" s="10" t="s">
        <v>27</v>
      </c>
      <c r="J5682" s="10" t="s">
        <v>70</v>
      </c>
      <c r="K5682" s="12">
        <v>46030</v>
      </c>
      <c r="L5682" s="28" t="s">
        <v>11</v>
      </c>
      <c r="M5682" s="14"/>
      <c r="N5682" s="10" t="s">
        <v>1028</v>
      </c>
    </row>
    <row r="5683" spans="1:14" ht="22.5" customHeight="1">
      <c r="A5683" s="8">
        <v>46030.327856076387</v>
      </c>
      <c r="B5683" s="9" t="s">
        <v>14</v>
      </c>
      <c r="C5683" s="9" t="s">
        <v>15</v>
      </c>
      <c r="D5683" s="10" t="s">
        <v>12404</v>
      </c>
      <c r="E5683" s="9" t="s">
        <v>22</v>
      </c>
      <c r="F5683" s="10">
        <v>32</v>
      </c>
      <c r="G5683" s="11">
        <v>7032367697</v>
      </c>
      <c r="H5683" s="10" t="s">
        <v>12405</v>
      </c>
      <c r="I5683" s="10" t="s">
        <v>19</v>
      </c>
      <c r="J5683" s="10" t="s">
        <v>8651</v>
      </c>
      <c r="K5683" s="12">
        <v>46030</v>
      </c>
      <c r="L5683" s="28" t="s">
        <v>11</v>
      </c>
      <c r="M5683" s="14"/>
      <c r="N5683" s="10" t="s">
        <v>1028</v>
      </c>
    </row>
    <row r="5684" spans="1:14" ht="22.5" customHeight="1">
      <c r="A5684" s="8">
        <v>46030.330164548606</v>
      </c>
      <c r="B5684" s="9" t="s">
        <v>14</v>
      </c>
      <c r="C5684" s="9" t="s">
        <v>15</v>
      </c>
      <c r="D5684" s="10" t="s">
        <v>12406</v>
      </c>
      <c r="E5684" s="9" t="s">
        <v>17</v>
      </c>
      <c r="F5684" s="10">
        <v>36</v>
      </c>
      <c r="G5684" s="11">
        <v>8095939078</v>
      </c>
      <c r="H5684" s="10" t="s">
        <v>12407</v>
      </c>
      <c r="I5684" s="10" t="s">
        <v>27</v>
      </c>
      <c r="J5684" s="10" t="s">
        <v>6985</v>
      </c>
      <c r="K5684" s="12">
        <v>46030</v>
      </c>
      <c r="L5684" s="28" t="s">
        <v>11</v>
      </c>
      <c r="M5684" s="14"/>
      <c r="N5684" s="10" t="s">
        <v>1028</v>
      </c>
    </row>
    <row r="5685" spans="1:14" ht="22.5" customHeight="1">
      <c r="A5685" s="8">
        <v>46030.335966712963</v>
      </c>
      <c r="B5685" s="9" t="s">
        <v>14</v>
      </c>
      <c r="C5685" s="9" t="s">
        <v>15</v>
      </c>
      <c r="D5685" s="10" t="s">
        <v>8492</v>
      </c>
      <c r="E5685" s="9" t="s">
        <v>17</v>
      </c>
      <c r="F5685" s="10">
        <v>26</v>
      </c>
      <c r="G5685" s="11">
        <v>7055558522</v>
      </c>
      <c r="H5685" s="10" t="s">
        <v>8493</v>
      </c>
      <c r="I5685" s="10" t="s">
        <v>45</v>
      </c>
      <c r="J5685" s="10" t="s">
        <v>100</v>
      </c>
      <c r="K5685" s="12">
        <v>46030</v>
      </c>
      <c r="L5685" s="28" t="s">
        <v>11</v>
      </c>
      <c r="M5685" s="14"/>
      <c r="N5685" s="10" t="s">
        <v>1028</v>
      </c>
    </row>
    <row r="5686" spans="1:14" ht="22.5" customHeight="1">
      <c r="A5686" s="8">
        <v>46030.338370520833</v>
      </c>
      <c r="B5686" s="9" t="s">
        <v>14</v>
      </c>
      <c r="C5686" s="9" t="s">
        <v>15</v>
      </c>
      <c r="D5686" s="10" t="s">
        <v>12408</v>
      </c>
      <c r="E5686" s="9" t="s">
        <v>17</v>
      </c>
      <c r="F5686" s="10">
        <v>30</v>
      </c>
      <c r="G5686" s="11">
        <v>7014656336</v>
      </c>
      <c r="H5686" s="10" t="s">
        <v>6373</v>
      </c>
      <c r="I5686" s="10" t="s">
        <v>202</v>
      </c>
      <c r="J5686" s="10" t="s">
        <v>5573</v>
      </c>
      <c r="K5686" s="12">
        <v>46030</v>
      </c>
      <c r="L5686" s="28" t="s">
        <v>11</v>
      </c>
      <c r="M5686" s="10"/>
      <c r="N5686" s="10" t="s">
        <v>1028</v>
      </c>
    </row>
    <row r="5687" spans="1:14" ht="22.5" customHeight="1">
      <c r="A5687" s="8">
        <v>46030.341072152776</v>
      </c>
      <c r="B5687" s="9" t="s">
        <v>14</v>
      </c>
      <c r="C5687" s="9" t="s">
        <v>15</v>
      </c>
      <c r="D5687" s="10" t="s">
        <v>12409</v>
      </c>
      <c r="E5687" s="9" t="s">
        <v>17</v>
      </c>
      <c r="F5687" s="10">
        <v>27</v>
      </c>
      <c r="G5687" s="11">
        <v>7013557151</v>
      </c>
      <c r="H5687" s="10" t="s">
        <v>12410</v>
      </c>
      <c r="I5687" s="10" t="s">
        <v>45</v>
      </c>
      <c r="J5687" s="10" t="s">
        <v>131</v>
      </c>
      <c r="K5687" s="12">
        <v>46030</v>
      </c>
      <c r="L5687" s="28" t="s">
        <v>11</v>
      </c>
      <c r="M5687" s="14"/>
      <c r="N5687" s="10" t="s">
        <v>1028</v>
      </c>
    </row>
    <row r="5688" spans="1:14" ht="22.5" customHeight="1">
      <c r="A5688" s="8">
        <v>46030.342261481477</v>
      </c>
      <c r="B5688" s="9" t="s">
        <v>14</v>
      </c>
      <c r="C5688" s="9" t="s">
        <v>15</v>
      </c>
      <c r="D5688" s="10" t="s">
        <v>12411</v>
      </c>
      <c r="E5688" s="9" t="s">
        <v>17</v>
      </c>
      <c r="F5688" s="10">
        <v>27</v>
      </c>
      <c r="G5688" s="11">
        <v>7067600562</v>
      </c>
      <c r="H5688" s="10" t="s">
        <v>12412</v>
      </c>
      <c r="I5688" s="10" t="s">
        <v>49</v>
      </c>
      <c r="J5688" s="10" t="s">
        <v>1299</v>
      </c>
      <c r="K5688" s="12">
        <v>46030</v>
      </c>
      <c r="L5688" s="28" t="s">
        <v>11</v>
      </c>
      <c r="M5688" s="14"/>
      <c r="N5688" s="10" t="s">
        <v>1096</v>
      </c>
    </row>
    <row r="5689" spans="1:14" ht="22.5" customHeight="1">
      <c r="A5689" s="8">
        <v>46030.342453703706</v>
      </c>
      <c r="B5689" s="9" t="s">
        <v>14</v>
      </c>
      <c r="C5689" s="9" t="s">
        <v>15</v>
      </c>
      <c r="D5689" s="10" t="s">
        <v>12413</v>
      </c>
      <c r="E5689" s="9" t="s">
        <v>17</v>
      </c>
      <c r="F5689" s="10">
        <v>46</v>
      </c>
      <c r="G5689" s="11">
        <v>8052108836</v>
      </c>
      <c r="H5689" s="10" t="s">
        <v>12414</v>
      </c>
      <c r="I5689" s="10" t="s">
        <v>49</v>
      </c>
      <c r="J5689" s="10" t="s">
        <v>50</v>
      </c>
      <c r="K5689" s="12">
        <v>46030</v>
      </c>
      <c r="L5689" s="28" t="s">
        <v>11</v>
      </c>
      <c r="M5689" s="14"/>
      <c r="N5689" s="10" t="s">
        <v>1028</v>
      </c>
    </row>
    <row r="5690" spans="1:14" ht="22.5" customHeight="1">
      <c r="A5690" s="8">
        <v>46030.345810497689</v>
      </c>
      <c r="B5690" s="9" t="s">
        <v>14</v>
      </c>
      <c r="C5690" s="9" t="s">
        <v>15</v>
      </c>
      <c r="D5690" s="10" t="s">
        <v>12415</v>
      </c>
      <c r="E5690" s="9" t="s">
        <v>17</v>
      </c>
      <c r="F5690" s="10">
        <v>31</v>
      </c>
      <c r="G5690" s="11">
        <v>7068442067</v>
      </c>
      <c r="H5690" s="10" t="s">
        <v>12416</v>
      </c>
      <c r="I5690" s="10" t="s">
        <v>49</v>
      </c>
      <c r="J5690" s="10" t="s">
        <v>106</v>
      </c>
      <c r="K5690" s="12">
        <v>46030</v>
      </c>
      <c r="L5690" s="28" t="s">
        <v>11</v>
      </c>
      <c r="M5690" s="14"/>
      <c r="N5690" s="10" t="s">
        <v>1028</v>
      </c>
    </row>
    <row r="5691" spans="1:14" ht="22.5" customHeight="1">
      <c r="A5691" s="8">
        <v>46030.350120567135</v>
      </c>
      <c r="B5691" s="9" t="s">
        <v>14</v>
      </c>
      <c r="C5691" s="9" t="s">
        <v>15</v>
      </c>
      <c r="D5691" s="10" t="s">
        <v>12417</v>
      </c>
      <c r="E5691" s="9" t="s">
        <v>22</v>
      </c>
      <c r="F5691" s="10">
        <v>21</v>
      </c>
      <c r="G5691" s="11">
        <v>7067686631</v>
      </c>
      <c r="H5691" s="10" t="s">
        <v>12418</v>
      </c>
      <c r="I5691" s="10" t="s">
        <v>27</v>
      </c>
      <c r="J5691" s="10" t="s">
        <v>28</v>
      </c>
      <c r="K5691" s="12">
        <v>46030</v>
      </c>
      <c r="L5691" s="28" t="s">
        <v>11</v>
      </c>
      <c r="M5691" s="14"/>
      <c r="N5691" s="10" t="s">
        <v>1028</v>
      </c>
    </row>
    <row r="5692" spans="1:14" ht="22.5" customHeight="1">
      <c r="A5692" s="8">
        <v>46030.356328530092</v>
      </c>
      <c r="B5692" s="9" t="s">
        <v>14</v>
      </c>
      <c r="C5692" s="9" t="s">
        <v>15</v>
      </c>
      <c r="D5692" s="10" t="s">
        <v>12419</v>
      </c>
      <c r="E5692" s="9" t="s">
        <v>17</v>
      </c>
      <c r="F5692" s="10">
        <v>22</v>
      </c>
      <c r="G5692" s="11">
        <v>9067508735</v>
      </c>
      <c r="H5692" s="10" t="s">
        <v>12420</v>
      </c>
      <c r="I5692" s="10" t="s">
        <v>27</v>
      </c>
      <c r="J5692" s="10" t="s">
        <v>67</v>
      </c>
      <c r="K5692" s="12">
        <v>46030</v>
      </c>
      <c r="L5692" s="28" t="s">
        <v>11</v>
      </c>
      <c r="M5692" s="14"/>
      <c r="N5692" s="10" t="s">
        <v>1028</v>
      </c>
    </row>
    <row r="5693" spans="1:14" ht="22.5" customHeight="1">
      <c r="A5693" s="8">
        <v>46030.356804988427</v>
      </c>
      <c r="B5693" s="9" t="s">
        <v>14</v>
      </c>
      <c r="C5693" s="9" t="s">
        <v>15</v>
      </c>
      <c r="D5693" s="10" t="s">
        <v>12421</v>
      </c>
      <c r="E5693" s="9" t="s">
        <v>22</v>
      </c>
      <c r="F5693" s="18">
        <v>31</v>
      </c>
      <c r="G5693" s="11">
        <v>7038159635</v>
      </c>
      <c r="H5693" s="10" t="s">
        <v>12422</v>
      </c>
      <c r="I5693" s="10" t="s">
        <v>19</v>
      </c>
      <c r="J5693" s="10" t="s">
        <v>12423</v>
      </c>
      <c r="K5693" s="12">
        <v>46030</v>
      </c>
      <c r="L5693" s="28" t="s">
        <v>11</v>
      </c>
      <c r="M5693" s="14"/>
      <c r="N5693" s="10" t="s">
        <v>1028</v>
      </c>
    </row>
    <row r="5694" spans="1:14" ht="22.5" customHeight="1">
      <c r="A5694" s="8">
        <v>46030.358538946763</v>
      </c>
      <c r="B5694" s="9" t="s">
        <v>14</v>
      </c>
      <c r="C5694" s="9" t="s">
        <v>15</v>
      </c>
      <c r="D5694" s="10" t="s">
        <v>12424</v>
      </c>
      <c r="E5694" s="9" t="s">
        <v>17</v>
      </c>
      <c r="F5694" s="10">
        <v>24</v>
      </c>
      <c r="G5694" s="11">
        <v>8104002298</v>
      </c>
      <c r="H5694" s="10" t="s">
        <v>12425</v>
      </c>
      <c r="I5694" s="10" t="s">
        <v>45</v>
      </c>
      <c r="J5694" s="10" t="s">
        <v>688</v>
      </c>
      <c r="K5694" s="12">
        <v>46030</v>
      </c>
      <c r="L5694" s="28" t="s">
        <v>11</v>
      </c>
      <c r="M5694" s="14"/>
      <c r="N5694" s="10" t="s">
        <v>1028</v>
      </c>
    </row>
    <row r="5695" spans="1:14" ht="22.5" customHeight="1">
      <c r="A5695" s="8">
        <v>46030.358570601849</v>
      </c>
      <c r="B5695" s="9" t="s">
        <v>14</v>
      </c>
      <c r="C5695" s="9" t="s">
        <v>15</v>
      </c>
      <c r="D5695" s="10" t="s">
        <v>3404</v>
      </c>
      <c r="E5695" s="9" t="s">
        <v>17</v>
      </c>
      <c r="F5695" s="10">
        <v>33</v>
      </c>
      <c r="G5695" s="11">
        <v>7084670050</v>
      </c>
      <c r="H5695" s="10" t="s">
        <v>12426</v>
      </c>
      <c r="I5695" s="10" t="s">
        <v>27</v>
      </c>
      <c r="J5695" s="10" t="s">
        <v>42</v>
      </c>
      <c r="K5695" s="12">
        <v>46030</v>
      </c>
      <c r="L5695" s="28" t="s">
        <v>11</v>
      </c>
      <c r="M5695" s="14"/>
      <c r="N5695" s="10" t="s">
        <v>1096</v>
      </c>
    </row>
    <row r="5696" spans="1:14" ht="22.5" customHeight="1">
      <c r="A5696" s="8">
        <v>46030.361832604161</v>
      </c>
      <c r="B5696" s="9" t="s">
        <v>14</v>
      </c>
      <c r="C5696" s="9" t="s">
        <v>15</v>
      </c>
      <c r="D5696" s="10" t="s">
        <v>12427</v>
      </c>
      <c r="E5696" s="9" t="s">
        <v>17</v>
      </c>
      <c r="F5696" s="10">
        <v>27</v>
      </c>
      <c r="G5696" s="11">
        <v>8149419958</v>
      </c>
      <c r="H5696" s="10" t="s">
        <v>12428</v>
      </c>
      <c r="I5696" s="10" t="s">
        <v>19</v>
      </c>
      <c r="J5696" s="10" t="s">
        <v>1664</v>
      </c>
      <c r="K5696" s="12">
        <v>46030</v>
      </c>
      <c r="L5696" s="28" t="s">
        <v>11</v>
      </c>
      <c r="M5696" s="14"/>
      <c r="N5696" s="10" t="s">
        <v>1096</v>
      </c>
    </row>
    <row r="5697" spans="1:14" ht="22.5" customHeight="1">
      <c r="A5697" s="8">
        <v>46030.362943900458</v>
      </c>
      <c r="B5697" s="9" t="s">
        <v>14</v>
      </c>
      <c r="C5697" s="9" t="s">
        <v>15</v>
      </c>
      <c r="D5697" s="10" t="s">
        <v>12429</v>
      </c>
      <c r="E5697" s="9" t="s">
        <v>17</v>
      </c>
      <c r="F5697" s="10">
        <v>28</v>
      </c>
      <c r="G5697" s="11">
        <v>7068462988</v>
      </c>
      <c r="H5697" s="10" t="s">
        <v>12430</v>
      </c>
      <c r="I5697" s="10" t="s">
        <v>27</v>
      </c>
      <c r="J5697" s="10" t="s">
        <v>1559</v>
      </c>
      <c r="K5697" s="12">
        <v>46030</v>
      </c>
      <c r="L5697" s="28" t="s">
        <v>11</v>
      </c>
      <c r="M5697" s="14"/>
      <c r="N5697" s="10" t="s">
        <v>1096</v>
      </c>
    </row>
    <row r="5698" spans="1:14" ht="22.5" customHeight="1">
      <c r="A5698" s="8">
        <v>46030.36339997685</v>
      </c>
      <c r="B5698" s="9" t="s">
        <v>14</v>
      </c>
      <c r="C5698" s="9" t="s">
        <v>15</v>
      </c>
      <c r="D5698" s="10" t="s">
        <v>12431</v>
      </c>
      <c r="E5698" s="9" t="s">
        <v>17</v>
      </c>
      <c r="F5698" s="19">
        <v>27</v>
      </c>
      <c r="G5698" s="11">
        <v>8100809903</v>
      </c>
      <c r="H5698" s="10" t="s">
        <v>12432</v>
      </c>
      <c r="I5698" s="10" t="s">
        <v>49</v>
      </c>
      <c r="J5698" s="10" t="s">
        <v>50</v>
      </c>
      <c r="K5698" s="12">
        <v>46030</v>
      </c>
      <c r="L5698" s="28" t="s">
        <v>11</v>
      </c>
      <c r="M5698" s="14"/>
      <c r="N5698" s="10" t="s">
        <v>1096</v>
      </c>
    </row>
    <row r="5699" spans="1:14" ht="22.5" customHeight="1">
      <c r="A5699" s="8">
        <v>46030.365621030098</v>
      </c>
      <c r="B5699" s="9" t="s">
        <v>14</v>
      </c>
      <c r="C5699" s="9" t="s">
        <v>15</v>
      </c>
      <c r="D5699" s="10" t="s">
        <v>12433</v>
      </c>
      <c r="E5699" s="9" t="s">
        <v>17</v>
      </c>
      <c r="F5699" s="10">
        <v>32</v>
      </c>
      <c r="G5699" s="11">
        <v>7038000426</v>
      </c>
      <c r="H5699" s="10" t="s">
        <v>12434</v>
      </c>
      <c r="I5699" s="10" t="s">
        <v>49</v>
      </c>
      <c r="J5699" s="10" t="s">
        <v>246</v>
      </c>
      <c r="K5699" s="12">
        <v>46030</v>
      </c>
      <c r="L5699" s="28" t="s">
        <v>11</v>
      </c>
      <c r="M5699" s="14"/>
      <c r="N5699" s="10" t="s">
        <v>1028</v>
      </c>
    </row>
    <row r="5700" spans="1:14" ht="22.5" customHeight="1">
      <c r="A5700" s="8">
        <v>46030.367883391205</v>
      </c>
      <c r="B5700" s="9" t="s">
        <v>14</v>
      </c>
      <c r="C5700" s="9" t="s">
        <v>15</v>
      </c>
      <c r="D5700" s="10" t="s">
        <v>12435</v>
      </c>
      <c r="E5700" s="9" t="s">
        <v>22</v>
      </c>
      <c r="F5700" s="10">
        <v>21</v>
      </c>
      <c r="G5700" s="11">
        <v>9161952368</v>
      </c>
      <c r="H5700" s="10" t="s">
        <v>12436</v>
      </c>
      <c r="I5700" s="10" t="s">
        <v>45</v>
      </c>
      <c r="J5700" s="10" t="s">
        <v>932</v>
      </c>
      <c r="K5700" s="12">
        <v>46030</v>
      </c>
      <c r="L5700" s="28" t="s">
        <v>11</v>
      </c>
      <c r="M5700" s="14"/>
      <c r="N5700" s="10" t="s">
        <v>1028</v>
      </c>
    </row>
    <row r="5701" spans="1:14" ht="22.5" customHeight="1">
      <c r="A5701" s="8">
        <v>46030.367966284721</v>
      </c>
      <c r="B5701" s="9" t="s">
        <v>14</v>
      </c>
      <c r="C5701" s="9" t="s">
        <v>15</v>
      </c>
      <c r="D5701" s="10" t="s">
        <v>12437</v>
      </c>
      <c r="E5701" s="9" t="s">
        <v>17</v>
      </c>
      <c r="F5701" s="10">
        <v>27</v>
      </c>
      <c r="G5701" s="11">
        <v>8126487501</v>
      </c>
      <c r="H5701" s="10" t="s">
        <v>12438</v>
      </c>
      <c r="I5701" s="10" t="s">
        <v>202</v>
      </c>
      <c r="J5701" s="10" t="s">
        <v>4005</v>
      </c>
      <c r="K5701" s="12">
        <v>46030</v>
      </c>
      <c r="L5701" s="28" t="s">
        <v>11</v>
      </c>
      <c r="M5701" s="14"/>
      <c r="N5701" s="10" t="s">
        <v>1028</v>
      </c>
    </row>
    <row r="5702" spans="1:14" ht="22.5" customHeight="1">
      <c r="A5702" s="8">
        <v>46030.370231365741</v>
      </c>
      <c r="B5702" s="9" t="s">
        <v>14</v>
      </c>
      <c r="C5702" s="9" t="s">
        <v>15</v>
      </c>
      <c r="D5702" s="10" t="s">
        <v>12439</v>
      </c>
      <c r="E5702" s="9" t="s">
        <v>17</v>
      </c>
      <c r="F5702" s="10">
        <v>22</v>
      </c>
      <c r="G5702" s="11">
        <v>8080569578</v>
      </c>
      <c r="H5702" s="10" t="s">
        <v>12440</v>
      </c>
      <c r="I5702" s="10" t="s">
        <v>45</v>
      </c>
      <c r="J5702" s="10" t="s">
        <v>46</v>
      </c>
      <c r="K5702" s="12">
        <v>46030</v>
      </c>
      <c r="L5702" s="28" t="s">
        <v>11</v>
      </c>
      <c r="M5702" s="10"/>
      <c r="N5702" s="10" t="s">
        <v>1028</v>
      </c>
    </row>
    <row r="5703" spans="1:14" ht="22.5" customHeight="1">
      <c r="A5703" s="8">
        <v>46030.370951863428</v>
      </c>
      <c r="B5703" s="9" t="s">
        <v>14</v>
      </c>
      <c r="C5703" s="9" t="s">
        <v>15</v>
      </c>
      <c r="D5703" s="10" t="s">
        <v>12441</v>
      </c>
      <c r="E5703" s="9" t="s">
        <v>17</v>
      </c>
      <c r="F5703" s="10">
        <v>28</v>
      </c>
      <c r="G5703" s="11">
        <v>7065227607</v>
      </c>
      <c r="H5703" s="10" t="s">
        <v>12442</v>
      </c>
      <c r="I5703" s="10" t="s">
        <v>27</v>
      </c>
      <c r="J5703" s="10" t="s">
        <v>8877</v>
      </c>
      <c r="K5703" s="12">
        <v>46030</v>
      </c>
      <c r="L5703" s="28" t="s">
        <v>11</v>
      </c>
      <c r="M5703" s="14"/>
      <c r="N5703" s="10" t="s">
        <v>1096</v>
      </c>
    </row>
    <row r="5704" spans="1:14" ht="22.5" customHeight="1">
      <c r="A5704" s="8">
        <v>46030.370991041666</v>
      </c>
      <c r="B5704" s="9" t="s">
        <v>14</v>
      </c>
      <c r="C5704" s="9" t="s">
        <v>15</v>
      </c>
      <c r="D5704" s="10" t="s">
        <v>12443</v>
      </c>
      <c r="E5704" s="9" t="s">
        <v>17</v>
      </c>
      <c r="F5704" s="10">
        <v>31</v>
      </c>
      <c r="G5704" s="11">
        <v>8124320354</v>
      </c>
      <c r="H5704" s="10" t="s">
        <v>12444</v>
      </c>
      <c r="I5704" s="10" t="s">
        <v>31</v>
      </c>
      <c r="J5704" s="10" t="s">
        <v>2358</v>
      </c>
      <c r="K5704" s="12">
        <v>46030</v>
      </c>
      <c r="L5704" s="28" t="s">
        <v>11</v>
      </c>
      <c r="M5704" s="14"/>
      <c r="N5704" s="10" t="s">
        <v>1028</v>
      </c>
    </row>
    <row r="5705" spans="1:14" ht="22.5" hidden="1" customHeight="1">
      <c r="A5705" s="8">
        <v>46030.372637638888</v>
      </c>
      <c r="B5705" s="9" t="s">
        <v>14</v>
      </c>
      <c r="C5705" s="9" t="s">
        <v>15</v>
      </c>
      <c r="D5705" s="10" t="s">
        <v>12445</v>
      </c>
      <c r="E5705" s="9" t="s">
        <v>17</v>
      </c>
      <c r="F5705" s="10">
        <v>19</v>
      </c>
      <c r="G5705" s="11">
        <v>9076923365</v>
      </c>
      <c r="H5705" s="10" t="s">
        <v>12446</v>
      </c>
      <c r="I5705" s="10" t="s">
        <v>27</v>
      </c>
      <c r="J5705" s="10" t="s">
        <v>94</v>
      </c>
      <c r="K5705" s="12">
        <v>46030</v>
      </c>
      <c r="L5705" s="10" t="s">
        <v>441</v>
      </c>
      <c r="M5705" s="10" t="s">
        <v>1361</v>
      </c>
      <c r="N5705" s="10" t="s">
        <v>1035</v>
      </c>
    </row>
    <row r="5706" spans="1:14" ht="22.5" customHeight="1">
      <c r="A5706" s="8">
        <v>46030.374801111117</v>
      </c>
      <c r="B5706" s="9" t="s">
        <v>14</v>
      </c>
      <c r="C5706" s="9" t="s">
        <v>15</v>
      </c>
      <c r="D5706" s="10" t="s">
        <v>12447</v>
      </c>
      <c r="E5706" s="9" t="s">
        <v>17</v>
      </c>
      <c r="F5706" s="10">
        <v>34</v>
      </c>
      <c r="G5706" s="11">
        <v>7030681832</v>
      </c>
      <c r="H5706" s="10" t="s">
        <v>12448</v>
      </c>
      <c r="I5706" s="10" t="s">
        <v>49</v>
      </c>
      <c r="J5706" s="10" t="s">
        <v>50</v>
      </c>
      <c r="K5706" s="12">
        <v>46030</v>
      </c>
      <c r="L5706" s="28" t="s">
        <v>11</v>
      </c>
      <c r="M5706" s="14"/>
      <c r="N5706" s="10" t="s">
        <v>1028</v>
      </c>
    </row>
    <row r="5707" spans="1:14" ht="22.5" customHeight="1">
      <c r="A5707" s="8">
        <v>46030.378103993055</v>
      </c>
      <c r="B5707" s="9" t="s">
        <v>14</v>
      </c>
      <c r="C5707" s="9" t="s">
        <v>15</v>
      </c>
      <c r="D5707" s="10" t="s">
        <v>12449</v>
      </c>
      <c r="E5707" s="9" t="s">
        <v>22</v>
      </c>
      <c r="F5707" s="10">
        <v>25</v>
      </c>
      <c r="G5707" s="11">
        <v>9056248672</v>
      </c>
      <c r="H5707" s="10" t="s">
        <v>12450</v>
      </c>
      <c r="I5707" s="10" t="s">
        <v>45</v>
      </c>
      <c r="J5707" s="10" t="s">
        <v>688</v>
      </c>
      <c r="K5707" s="12">
        <v>46030</v>
      </c>
      <c r="L5707" s="28" t="s">
        <v>11</v>
      </c>
      <c r="M5707" s="14"/>
      <c r="N5707" s="10" t="s">
        <v>1028</v>
      </c>
    </row>
    <row r="5708" spans="1:14" ht="22.5" customHeight="1">
      <c r="A5708" s="8">
        <v>46030.378223645836</v>
      </c>
      <c r="B5708" s="9" t="s">
        <v>14</v>
      </c>
      <c r="C5708" s="9" t="s">
        <v>15</v>
      </c>
      <c r="D5708" s="10" t="s">
        <v>12451</v>
      </c>
      <c r="E5708" s="9" t="s">
        <v>22</v>
      </c>
      <c r="F5708" s="10">
        <v>33</v>
      </c>
      <c r="G5708" s="11">
        <v>7034860045</v>
      </c>
      <c r="H5708" s="10" t="s">
        <v>12452</v>
      </c>
      <c r="I5708" s="10" t="s">
        <v>19</v>
      </c>
      <c r="J5708" s="10" t="s">
        <v>1418</v>
      </c>
      <c r="K5708" s="12">
        <v>46030</v>
      </c>
      <c r="L5708" s="28" t="s">
        <v>11</v>
      </c>
      <c r="M5708" s="14"/>
      <c r="N5708" s="10" t="s">
        <v>1096</v>
      </c>
    </row>
    <row r="5709" spans="1:14" ht="22.5" customHeight="1">
      <c r="A5709" s="8">
        <v>46030.380733645834</v>
      </c>
      <c r="B5709" s="9" t="s">
        <v>14</v>
      </c>
      <c r="C5709" s="9" t="s">
        <v>15</v>
      </c>
      <c r="D5709" s="10" t="s">
        <v>12453</v>
      </c>
      <c r="E5709" s="9" t="s">
        <v>22</v>
      </c>
      <c r="F5709" s="10">
        <v>27</v>
      </c>
      <c r="G5709" s="11">
        <v>8165094689</v>
      </c>
      <c r="H5709" s="10" t="s">
        <v>12454</v>
      </c>
      <c r="I5709" s="10" t="s">
        <v>49</v>
      </c>
      <c r="J5709" s="10" t="s">
        <v>12455</v>
      </c>
      <c r="K5709" s="12">
        <v>46030</v>
      </c>
      <c r="L5709" s="28" t="s">
        <v>11</v>
      </c>
      <c r="M5709" s="14"/>
      <c r="N5709" s="10" t="s">
        <v>1028</v>
      </c>
    </row>
    <row r="5710" spans="1:14" ht="22.5" customHeight="1">
      <c r="A5710" s="8">
        <v>46030.380931990745</v>
      </c>
      <c r="B5710" s="9" t="s">
        <v>14</v>
      </c>
      <c r="C5710" s="9" t="s">
        <v>15</v>
      </c>
      <c r="D5710" s="10" t="s">
        <v>12456</v>
      </c>
      <c r="E5710" s="9" t="s">
        <v>17</v>
      </c>
      <c r="F5710" s="10">
        <v>30</v>
      </c>
      <c r="G5710" s="11">
        <v>8107669100</v>
      </c>
      <c r="H5710" s="10" t="s">
        <v>12457</v>
      </c>
      <c r="I5710" s="10" t="s">
        <v>49</v>
      </c>
      <c r="J5710" s="10" t="s">
        <v>12458</v>
      </c>
      <c r="K5710" s="12">
        <v>46030</v>
      </c>
      <c r="L5710" s="28" t="s">
        <v>11</v>
      </c>
      <c r="M5710" s="14"/>
      <c r="N5710" s="10" t="s">
        <v>1096</v>
      </c>
    </row>
    <row r="5711" spans="1:14" ht="22.5" customHeight="1">
      <c r="A5711" s="8">
        <v>46030.386031273149</v>
      </c>
      <c r="B5711" s="9" t="s">
        <v>14</v>
      </c>
      <c r="C5711" s="9" t="s">
        <v>15</v>
      </c>
      <c r="D5711" s="10" t="s">
        <v>12459</v>
      </c>
      <c r="E5711" s="9" t="s">
        <v>17</v>
      </c>
      <c r="F5711" s="10">
        <v>31</v>
      </c>
      <c r="G5711" s="11">
        <v>8130087619</v>
      </c>
      <c r="H5711" s="10" t="s">
        <v>12460</v>
      </c>
      <c r="I5711" s="10" t="s">
        <v>45</v>
      </c>
      <c r="J5711" s="10" t="s">
        <v>100</v>
      </c>
      <c r="K5711" s="12">
        <v>46030</v>
      </c>
      <c r="L5711" s="28" t="s">
        <v>11</v>
      </c>
      <c r="M5711" s="14"/>
      <c r="N5711" s="10" t="s">
        <v>1028</v>
      </c>
    </row>
    <row r="5712" spans="1:14" ht="22.5" hidden="1" customHeight="1">
      <c r="A5712" s="8">
        <v>46030.386281620369</v>
      </c>
      <c r="B5712" s="9" t="s">
        <v>14</v>
      </c>
      <c r="C5712" s="9" t="s">
        <v>15</v>
      </c>
      <c r="D5712" s="10" t="s">
        <v>12461</v>
      </c>
      <c r="E5712" s="9" t="s">
        <v>17</v>
      </c>
      <c r="F5712" s="10">
        <v>20</v>
      </c>
      <c r="G5712" s="11">
        <v>7754804684</v>
      </c>
      <c r="H5712" s="10" t="s">
        <v>4421</v>
      </c>
      <c r="I5712" s="10" t="s">
        <v>202</v>
      </c>
      <c r="J5712" s="10" t="s">
        <v>12462</v>
      </c>
      <c r="K5712" s="12">
        <v>46030</v>
      </c>
      <c r="L5712" s="10" t="s">
        <v>441</v>
      </c>
      <c r="M5712" s="10"/>
      <c r="N5712" s="10" t="s">
        <v>1028</v>
      </c>
    </row>
    <row r="5713" spans="1:14" ht="22.5" customHeight="1">
      <c r="A5713" s="8">
        <v>46030.387606736113</v>
      </c>
      <c r="B5713" s="9" t="s">
        <v>14</v>
      </c>
      <c r="C5713" s="9" t="s">
        <v>15</v>
      </c>
      <c r="D5713" s="10" t="s">
        <v>12463</v>
      </c>
      <c r="E5713" s="9" t="s">
        <v>22</v>
      </c>
      <c r="F5713" s="10">
        <v>26</v>
      </c>
      <c r="G5713" s="11">
        <v>9036509365</v>
      </c>
      <c r="H5713" s="10" t="s">
        <v>12464</v>
      </c>
      <c r="I5713" s="10" t="s">
        <v>45</v>
      </c>
      <c r="J5713" s="10" t="s">
        <v>10467</v>
      </c>
      <c r="K5713" s="12">
        <v>46030</v>
      </c>
      <c r="L5713" s="28" t="s">
        <v>11</v>
      </c>
      <c r="M5713" s="14"/>
      <c r="N5713" s="10" t="s">
        <v>1096</v>
      </c>
    </row>
    <row r="5714" spans="1:14" ht="22.5" customHeight="1">
      <c r="A5714" s="8">
        <v>46030.391113530088</v>
      </c>
      <c r="B5714" s="9" t="s">
        <v>14</v>
      </c>
      <c r="C5714" s="9" t="s">
        <v>15</v>
      </c>
      <c r="D5714" s="10" t="s">
        <v>12465</v>
      </c>
      <c r="E5714" s="9" t="s">
        <v>17</v>
      </c>
      <c r="F5714" s="10">
        <v>36</v>
      </c>
      <c r="G5714" s="11">
        <f>2348130864802</f>
        <v>2348130864802</v>
      </c>
      <c r="H5714" s="10" t="s">
        <v>12466</v>
      </c>
      <c r="I5714" s="10" t="s">
        <v>45</v>
      </c>
      <c r="J5714" s="10" t="s">
        <v>12467</v>
      </c>
      <c r="K5714" s="12">
        <v>46030</v>
      </c>
      <c r="L5714" s="28" t="s">
        <v>11</v>
      </c>
      <c r="M5714" s="14"/>
      <c r="N5714" s="10" t="s">
        <v>1028</v>
      </c>
    </row>
    <row r="5715" spans="1:14" ht="22.5" customHeight="1">
      <c r="A5715" s="8">
        <v>46030.391186805558</v>
      </c>
      <c r="B5715" s="9" t="s">
        <v>14</v>
      </c>
      <c r="C5715" s="9" t="s">
        <v>15</v>
      </c>
      <c r="D5715" s="10" t="s">
        <v>12468</v>
      </c>
      <c r="E5715" s="9" t="s">
        <v>17</v>
      </c>
      <c r="F5715" s="10">
        <v>42</v>
      </c>
      <c r="G5715" s="11">
        <v>7064266817</v>
      </c>
      <c r="H5715" s="10" t="s">
        <v>12469</v>
      </c>
      <c r="I5715" s="10" t="s">
        <v>45</v>
      </c>
      <c r="J5715" s="10" t="s">
        <v>84</v>
      </c>
      <c r="K5715" s="12">
        <v>46030</v>
      </c>
      <c r="L5715" s="28" t="s">
        <v>11</v>
      </c>
      <c r="M5715" s="14"/>
      <c r="N5715" s="10" t="s">
        <v>1028</v>
      </c>
    </row>
    <row r="5716" spans="1:14" ht="22.5" customHeight="1">
      <c r="A5716" s="8">
        <v>46030.391990717588</v>
      </c>
      <c r="B5716" s="9" t="s">
        <v>14</v>
      </c>
      <c r="C5716" s="9" t="s">
        <v>15</v>
      </c>
      <c r="D5716" s="10" t="s">
        <v>12470</v>
      </c>
      <c r="E5716" s="9" t="s">
        <v>17</v>
      </c>
      <c r="F5716" s="10">
        <v>26</v>
      </c>
      <c r="G5716" s="11">
        <v>8165122228</v>
      </c>
      <c r="H5716" s="10" t="s">
        <v>12471</v>
      </c>
      <c r="I5716" s="10" t="s">
        <v>45</v>
      </c>
      <c r="J5716" s="10" t="s">
        <v>932</v>
      </c>
      <c r="K5716" s="12">
        <v>46030</v>
      </c>
      <c r="L5716" s="28" t="s">
        <v>11</v>
      </c>
      <c r="M5716" s="14"/>
      <c r="N5716" s="10" t="s">
        <v>1028</v>
      </c>
    </row>
    <row r="5717" spans="1:14" ht="22.5" customHeight="1">
      <c r="A5717" s="8">
        <v>46030.392796469911</v>
      </c>
      <c r="B5717" s="9" t="s">
        <v>14</v>
      </c>
      <c r="C5717" s="9" t="s">
        <v>15</v>
      </c>
      <c r="D5717" s="10" t="s">
        <v>12472</v>
      </c>
      <c r="E5717" s="9" t="s">
        <v>17</v>
      </c>
      <c r="F5717" s="10">
        <v>28</v>
      </c>
      <c r="G5717" s="11">
        <v>7044717178</v>
      </c>
      <c r="H5717" s="10" t="s">
        <v>12473</v>
      </c>
      <c r="I5717" s="10" t="s">
        <v>27</v>
      </c>
      <c r="J5717" s="10" t="s">
        <v>12474</v>
      </c>
      <c r="K5717" s="12">
        <v>36060</v>
      </c>
      <c r="L5717" s="28" t="s">
        <v>11</v>
      </c>
      <c r="M5717" s="14"/>
      <c r="N5717" s="10" t="s">
        <v>1028</v>
      </c>
    </row>
    <row r="5718" spans="1:14" ht="22.5" customHeight="1">
      <c r="A5718" s="8">
        <v>46030.392857407409</v>
      </c>
      <c r="B5718" s="9" t="s">
        <v>14</v>
      </c>
      <c r="C5718" s="9" t="s">
        <v>15</v>
      </c>
      <c r="D5718" s="10" t="s">
        <v>12475</v>
      </c>
      <c r="E5718" s="9" t="s">
        <v>17</v>
      </c>
      <c r="F5718" s="10">
        <v>25</v>
      </c>
      <c r="G5718" s="11">
        <v>7039223973</v>
      </c>
      <c r="H5718" s="10" t="s">
        <v>12476</v>
      </c>
      <c r="I5718" s="10" t="s">
        <v>27</v>
      </c>
      <c r="J5718" s="10" t="s">
        <v>70</v>
      </c>
      <c r="K5718" s="12">
        <v>46030</v>
      </c>
      <c r="L5718" s="28" t="s">
        <v>11</v>
      </c>
      <c r="M5718" s="14"/>
      <c r="N5718" s="10" t="s">
        <v>1028</v>
      </c>
    </row>
    <row r="5719" spans="1:14" ht="22.5" customHeight="1">
      <c r="A5719" s="8">
        <v>46030.39483532407</v>
      </c>
      <c r="B5719" s="9" t="s">
        <v>14</v>
      </c>
      <c r="C5719" s="9" t="s">
        <v>15</v>
      </c>
      <c r="D5719" s="10" t="s">
        <v>12477</v>
      </c>
      <c r="E5719" s="9" t="s">
        <v>22</v>
      </c>
      <c r="F5719" s="10">
        <v>27</v>
      </c>
      <c r="G5719" s="11">
        <v>8130219271</v>
      </c>
      <c r="H5719" s="10" t="s">
        <v>12478</v>
      </c>
      <c r="I5719" s="10" t="s">
        <v>19</v>
      </c>
      <c r="J5719" s="10" t="s">
        <v>7133</v>
      </c>
      <c r="K5719" s="12">
        <v>35947</v>
      </c>
      <c r="L5719" s="28" t="s">
        <v>11</v>
      </c>
      <c r="M5719" s="14"/>
      <c r="N5719" s="10" t="s">
        <v>1028</v>
      </c>
    </row>
    <row r="5720" spans="1:14" ht="22.5" customHeight="1">
      <c r="A5720" s="8">
        <v>46030.395318148148</v>
      </c>
      <c r="B5720" s="9" t="s">
        <v>14</v>
      </c>
      <c r="C5720" s="9" t="s">
        <v>15</v>
      </c>
      <c r="D5720" s="10" t="s">
        <v>12479</v>
      </c>
      <c r="E5720" s="9" t="s">
        <v>22</v>
      </c>
      <c r="F5720" s="10">
        <v>26</v>
      </c>
      <c r="G5720" s="11">
        <v>8137467198</v>
      </c>
      <c r="H5720" s="10" t="s">
        <v>12480</v>
      </c>
      <c r="I5720" s="10" t="s">
        <v>45</v>
      </c>
      <c r="J5720" s="10" t="s">
        <v>688</v>
      </c>
      <c r="K5720" s="12">
        <v>46030</v>
      </c>
      <c r="L5720" s="28" t="s">
        <v>11</v>
      </c>
      <c r="M5720" s="14"/>
      <c r="N5720" s="10" t="s">
        <v>1096</v>
      </c>
    </row>
    <row r="5721" spans="1:14" ht="22.5" customHeight="1">
      <c r="A5721" s="8">
        <v>46030.396934675926</v>
      </c>
      <c r="B5721" s="9" t="s">
        <v>14</v>
      </c>
      <c r="C5721" s="9" t="s">
        <v>15</v>
      </c>
      <c r="D5721" s="10" t="s">
        <v>12481</v>
      </c>
      <c r="E5721" s="9" t="s">
        <v>17</v>
      </c>
      <c r="F5721" s="10">
        <v>25</v>
      </c>
      <c r="G5721" s="11">
        <v>8130557090</v>
      </c>
      <c r="H5721" s="10" t="s">
        <v>12482</v>
      </c>
      <c r="I5721" s="10" t="s">
        <v>27</v>
      </c>
      <c r="J5721" s="10" t="s">
        <v>703</v>
      </c>
      <c r="K5721" s="12">
        <v>46030</v>
      </c>
      <c r="L5721" s="28" t="s">
        <v>11</v>
      </c>
      <c r="M5721" s="14"/>
      <c r="N5721" s="10" t="s">
        <v>1028</v>
      </c>
    </row>
    <row r="5722" spans="1:14" ht="22.5" customHeight="1">
      <c r="A5722" s="8">
        <v>46030.397493969911</v>
      </c>
      <c r="B5722" s="9" t="s">
        <v>14</v>
      </c>
      <c r="C5722" s="9" t="s">
        <v>15</v>
      </c>
      <c r="D5722" s="10" t="s">
        <v>12483</v>
      </c>
      <c r="E5722" s="9" t="s">
        <v>17</v>
      </c>
      <c r="F5722" s="10">
        <v>37</v>
      </c>
      <c r="G5722" s="11">
        <v>8066671590</v>
      </c>
      <c r="H5722" s="10" t="s">
        <v>12484</v>
      </c>
      <c r="I5722" s="10" t="s">
        <v>27</v>
      </c>
      <c r="J5722" s="10" t="s">
        <v>2196</v>
      </c>
      <c r="K5722" s="12">
        <v>46030</v>
      </c>
      <c r="L5722" s="28" t="s">
        <v>11</v>
      </c>
      <c r="M5722" s="14"/>
      <c r="N5722" s="10" t="s">
        <v>1028</v>
      </c>
    </row>
    <row r="5723" spans="1:14" ht="22.5" customHeight="1">
      <c r="A5723" s="8">
        <v>46030.397802997686</v>
      </c>
      <c r="B5723" s="9" t="s">
        <v>14</v>
      </c>
      <c r="C5723" s="9" t="s">
        <v>15</v>
      </c>
      <c r="D5723" s="10" t="s">
        <v>12485</v>
      </c>
      <c r="E5723" s="9" t="s">
        <v>17</v>
      </c>
      <c r="F5723" s="10">
        <v>37</v>
      </c>
      <c r="G5723" s="11">
        <v>9037473694</v>
      </c>
      <c r="H5723" s="10" t="s">
        <v>12486</v>
      </c>
      <c r="I5723" s="10" t="s">
        <v>45</v>
      </c>
      <c r="J5723" s="10" t="s">
        <v>932</v>
      </c>
      <c r="K5723" s="12">
        <v>46030</v>
      </c>
      <c r="L5723" s="28" t="s">
        <v>11</v>
      </c>
      <c r="M5723" s="14"/>
      <c r="N5723" s="10" t="s">
        <v>1028</v>
      </c>
    </row>
    <row r="5724" spans="1:14" ht="22.5" customHeight="1">
      <c r="A5724" s="8">
        <v>46030.399257476849</v>
      </c>
      <c r="B5724" s="9" t="s">
        <v>14</v>
      </c>
      <c r="C5724" s="9" t="s">
        <v>15</v>
      </c>
      <c r="D5724" s="10" t="s">
        <v>12487</v>
      </c>
      <c r="E5724" s="9" t="s">
        <v>17</v>
      </c>
      <c r="F5724" s="10">
        <v>20</v>
      </c>
      <c r="G5724" s="11">
        <v>7013427173</v>
      </c>
      <c r="H5724" s="10" t="s">
        <v>12488</v>
      </c>
      <c r="I5724" s="10" t="s">
        <v>49</v>
      </c>
      <c r="J5724" s="10" t="s">
        <v>12489</v>
      </c>
      <c r="K5724" s="12">
        <v>46030</v>
      </c>
      <c r="L5724" s="28" t="s">
        <v>11</v>
      </c>
      <c r="M5724" s="14"/>
      <c r="N5724" s="10" t="s">
        <v>1028</v>
      </c>
    </row>
    <row r="5725" spans="1:14" ht="22.5" customHeight="1">
      <c r="A5725" s="8">
        <v>46030.400745416671</v>
      </c>
      <c r="B5725" s="9" t="s">
        <v>14</v>
      </c>
      <c r="C5725" s="9" t="s">
        <v>15</v>
      </c>
      <c r="D5725" s="10" t="s">
        <v>12490</v>
      </c>
      <c r="E5725" s="9" t="s">
        <v>17</v>
      </c>
      <c r="F5725" s="10">
        <v>25</v>
      </c>
      <c r="G5725" s="11">
        <v>8125728297</v>
      </c>
      <c r="H5725" s="10" t="s">
        <v>12491</v>
      </c>
      <c r="I5725" s="10" t="s">
        <v>45</v>
      </c>
      <c r="J5725" s="10" t="s">
        <v>12492</v>
      </c>
      <c r="K5725" s="12">
        <v>46030</v>
      </c>
      <c r="L5725" s="28" t="s">
        <v>11</v>
      </c>
      <c r="M5725" s="14"/>
      <c r="N5725" s="10" t="s">
        <v>1028</v>
      </c>
    </row>
    <row r="5726" spans="1:14" ht="22.5" customHeight="1">
      <c r="A5726" s="8">
        <v>46030.400865069445</v>
      </c>
      <c r="B5726" s="9" t="s">
        <v>14</v>
      </c>
      <c r="C5726" s="9" t="s">
        <v>15</v>
      </c>
      <c r="D5726" s="10" t="s">
        <v>12493</v>
      </c>
      <c r="E5726" s="9" t="s">
        <v>17</v>
      </c>
      <c r="F5726" s="10">
        <v>34</v>
      </c>
      <c r="G5726" s="11">
        <v>7063563237</v>
      </c>
      <c r="H5726" s="10" t="s">
        <v>12494</v>
      </c>
      <c r="I5726" s="10" t="s">
        <v>49</v>
      </c>
      <c r="J5726" s="10" t="s">
        <v>60</v>
      </c>
      <c r="K5726" s="12">
        <v>46030</v>
      </c>
      <c r="L5726" s="28" t="s">
        <v>11</v>
      </c>
      <c r="M5726" s="14"/>
      <c r="N5726" s="10" t="s">
        <v>1028</v>
      </c>
    </row>
    <row r="5727" spans="1:14" ht="22.5" customHeight="1">
      <c r="A5727" s="8">
        <v>46030.402620636574</v>
      </c>
      <c r="B5727" s="9" t="s">
        <v>14</v>
      </c>
      <c r="C5727" s="9" t="s">
        <v>15</v>
      </c>
      <c r="D5727" s="10" t="s">
        <v>12495</v>
      </c>
      <c r="E5727" s="9" t="s">
        <v>17</v>
      </c>
      <c r="F5727" s="10">
        <v>26</v>
      </c>
      <c r="G5727" s="11">
        <v>9077386068</v>
      </c>
      <c r="H5727" s="10" t="s">
        <v>12496</v>
      </c>
      <c r="I5727" s="10" t="s">
        <v>202</v>
      </c>
      <c r="J5727" s="10" t="s">
        <v>4651</v>
      </c>
      <c r="K5727" s="12">
        <v>46030</v>
      </c>
      <c r="L5727" s="28" t="s">
        <v>11</v>
      </c>
      <c r="M5727" s="14"/>
      <c r="N5727" s="10" t="s">
        <v>1028</v>
      </c>
    </row>
    <row r="5728" spans="1:14" ht="22.5" customHeight="1">
      <c r="A5728" s="8">
        <v>46030.404848680555</v>
      </c>
      <c r="B5728" s="9" t="s">
        <v>14</v>
      </c>
      <c r="C5728" s="9" t="s">
        <v>15</v>
      </c>
      <c r="D5728" s="10" t="s">
        <v>12497</v>
      </c>
      <c r="E5728" s="9" t="s">
        <v>17</v>
      </c>
      <c r="F5728" s="10">
        <v>18</v>
      </c>
      <c r="G5728" s="11">
        <v>8166867229</v>
      </c>
      <c r="H5728" s="10" t="s">
        <v>12498</v>
      </c>
      <c r="I5728" s="10" t="s">
        <v>45</v>
      </c>
      <c r="J5728" s="10" t="s">
        <v>12499</v>
      </c>
      <c r="K5728" s="12">
        <v>46030</v>
      </c>
      <c r="L5728" s="28" t="s">
        <v>11</v>
      </c>
      <c r="M5728" s="14"/>
      <c r="N5728" s="10" t="s">
        <v>1028</v>
      </c>
    </row>
    <row r="5729" spans="1:14" ht="22.5" customHeight="1">
      <c r="A5729" s="8">
        <v>46030.40519020833</v>
      </c>
      <c r="B5729" s="9" t="s">
        <v>14</v>
      </c>
      <c r="C5729" s="9" t="s">
        <v>15</v>
      </c>
      <c r="D5729" s="10" t="s">
        <v>12500</v>
      </c>
      <c r="E5729" s="9" t="s">
        <v>17</v>
      </c>
      <c r="F5729" s="10">
        <v>19</v>
      </c>
      <c r="G5729" s="11">
        <v>7076780422</v>
      </c>
      <c r="H5729" s="10" t="s">
        <v>12501</v>
      </c>
      <c r="I5729" s="10" t="s">
        <v>45</v>
      </c>
      <c r="J5729" s="10" t="s">
        <v>339</v>
      </c>
      <c r="K5729" s="12">
        <v>46030</v>
      </c>
      <c r="L5729" s="28" t="s">
        <v>11</v>
      </c>
      <c r="M5729" s="14"/>
      <c r="N5729" s="10" t="s">
        <v>1028</v>
      </c>
    </row>
    <row r="5730" spans="1:14" ht="22.5" customHeight="1">
      <c r="A5730" s="8">
        <v>46030.405957303243</v>
      </c>
      <c r="B5730" s="9" t="s">
        <v>14</v>
      </c>
      <c r="C5730" s="9" t="s">
        <v>15</v>
      </c>
      <c r="D5730" s="10" t="s">
        <v>12502</v>
      </c>
      <c r="E5730" s="9" t="s">
        <v>17</v>
      </c>
      <c r="F5730" s="10">
        <v>18</v>
      </c>
      <c r="G5730" s="11">
        <v>8085101714</v>
      </c>
      <c r="H5730" s="10" t="s">
        <v>12503</v>
      </c>
      <c r="I5730" s="10" t="s">
        <v>45</v>
      </c>
      <c r="J5730" s="10" t="s">
        <v>46</v>
      </c>
      <c r="K5730" s="12">
        <v>46030</v>
      </c>
      <c r="L5730" s="28" t="s">
        <v>11</v>
      </c>
      <c r="M5730" s="14"/>
      <c r="N5730" s="10" t="s">
        <v>1028</v>
      </c>
    </row>
    <row r="5731" spans="1:14" ht="22.5" customHeight="1">
      <c r="A5731" s="8">
        <v>46030.406249618056</v>
      </c>
      <c r="B5731" s="9" t="s">
        <v>14</v>
      </c>
      <c r="C5731" s="9" t="s">
        <v>15</v>
      </c>
      <c r="D5731" s="10" t="s">
        <v>12504</v>
      </c>
      <c r="E5731" s="9" t="s">
        <v>22</v>
      </c>
      <c r="F5731" s="10">
        <v>35</v>
      </c>
      <c r="G5731" s="11">
        <v>8164157491</v>
      </c>
      <c r="H5731" s="10" t="s">
        <v>12505</v>
      </c>
      <c r="I5731" s="10" t="s">
        <v>19</v>
      </c>
      <c r="J5731" s="10" t="s">
        <v>12506</v>
      </c>
      <c r="K5731" s="12">
        <v>46030</v>
      </c>
      <c r="L5731" s="28" t="s">
        <v>11</v>
      </c>
      <c r="M5731" s="14"/>
      <c r="N5731" s="10" t="s">
        <v>1028</v>
      </c>
    </row>
    <row r="5732" spans="1:14" ht="22.5" customHeight="1">
      <c r="A5732" s="8">
        <v>46030.406637905093</v>
      </c>
      <c r="B5732" s="9" t="s">
        <v>14</v>
      </c>
      <c r="C5732" s="9" t="s">
        <v>15</v>
      </c>
      <c r="D5732" s="10" t="s">
        <v>12507</v>
      </c>
      <c r="E5732" s="9" t="s">
        <v>17</v>
      </c>
      <c r="F5732" s="10">
        <v>21</v>
      </c>
      <c r="G5732" s="11">
        <v>8148939267</v>
      </c>
      <c r="H5732" s="10" t="s">
        <v>12508</v>
      </c>
      <c r="I5732" s="10" t="s">
        <v>31</v>
      </c>
      <c r="J5732" s="10" t="s">
        <v>12509</v>
      </c>
      <c r="K5732" s="12">
        <v>46030</v>
      </c>
      <c r="L5732" s="28" t="s">
        <v>11</v>
      </c>
      <c r="M5732" s="14"/>
      <c r="N5732" s="10" t="s">
        <v>1096</v>
      </c>
    </row>
    <row r="5733" spans="1:14" ht="22.5" customHeight="1">
      <c r="A5733" s="8">
        <v>46030.408928344907</v>
      </c>
      <c r="B5733" s="9" t="s">
        <v>14</v>
      </c>
      <c r="C5733" s="9" t="s">
        <v>15</v>
      </c>
      <c r="D5733" s="10" t="s">
        <v>12510</v>
      </c>
      <c r="E5733" s="9" t="s">
        <v>22</v>
      </c>
      <c r="F5733" s="10">
        <v>36</v>
      </c>
      <c r="G5733" s="11">
        <v>8136774269</v>
      </c>
      <c r="H5733" s="10" t="s">
        <v>12511</v>
      </c>
      <c r="I5733" s="10" t="s">
        <v>202</v>
      </c>
      <c r="J5733" s="10" t="s">
        <v>4177</v>
      </c>
      <c r="K5733" s="12">
        <v>46030</v>
      </c>
      <c r="L5733" s="28" t="s">
        <v>11</v>
      </c>
      <c r="M5733" s="14"/>
      <c r="N5733" s="10" t="s">
        <v>1096</v>
      </c>
    </row>
    <row r="5734" spans="1:14" ht="22.5" customHeight="1">
      <c r="A5734" s="8">
        <v>46030.409478842594</v>
      </c>
      <c r="B5734" s="9" t="s">
        <v>14</v>
      </c>
      <c r="C5734" s="9" t="s">
        <v>15</v>
      </c>
      <c r="D5734" s="10" t="s">
        <v>12512</v>
      </c>
      <c r="E5734" s="9" t="s">
        <v>17</v>
      </c>
      <c r="F5734" s="10">
        <v>26</v>
      </c>
      <c r="G5734" s="11">
        <v>8104559953</v>
      </c>
      <c r="H5734" s="10" t="s">
        <v>12513</v>
      </c>
      <c r="I5734" s="10" t="s">
        <v>202</v>
      </c>
      <c r="J5734" s="10" t="s">
        <v>2059</v>
      </c>
      <c r="K5734" s="12">
        <v>46030</v>
      </c>
      <c r="L5734" s="28" t="s">
        <v>11</v>
      </c>
      <c r="M5734" s="14"/>
      <c r="N5734" s="10" t="s">
        <v>1028</v>
      </c>
    </row>
    <row r="5735" spans="1:14" ht="22.5" customHeight="1">
      <c r="A5735" s="8">
        <v>46030.410138738429</v>
      </c>
      <c r="B5735" s="9" t="s">
        <v>14</v>
      </c>
      <c r="C5735" s="9" t="s">
        <v>15</v>
      </c>
      <c r="D5735" s="10" t="s">
        <v>12514</v>
      </c>
      <c r="E5735" s="9" t="s">
        <v>17</v>
      </c>
      <c r="F5735" s="10">
        <v>20</v>
      </c>
      <c r="G5735" s="11">
        <v>8102367940</v>
      </c>
      <c r="H5735" s="10" t="s">
        <v>12515</v>
      </c>
      <c r="I5735" s="10" t="s">
        <v>45</v>
      </c>
      <c r="J5735" s="10" t="s">
        <v>12516</v>
      </c>
      <c r="K5735" s="12">
        <v>46030</v>
      </c>
      <c r="L5735" s="28" t="s">
        <v>11</v>
      </c>
      <c r="M5735" s="14"/>
      <c r="N5735" s="10" t="s">
        <v>1028</v>
      </c>
    </row>
    <row r="5736" spans="1:14" ht="22.5" customHeight="1">
      <c r="A5736" s="8">
        <v>46030.412599652773</v>
      </c>
      <c r="B5736" s="9" t="s">
        <v>14</v>
      </c>
      <c r="C5736" s="9" t="s">
        <v>15</v>
      </c>
      <c r="D5736" s="10" t="s">
        <v>12517</v>
      </c>
      <c r="E5736" s="9" t="s">
        <v>22</v>
      </c>
      <c r="F5736" s="10">
        <v>24</v>
      </c>
      <c r="G5736" s="11">
        <v>8068430087</v>
      </c>
      <c r="H5736" s="10" t="s">
        <v>12518</v>
      </c>
      <c r="I5736" s="10" t="s">
        <v>45</v>
      </c>
      <c r="J5736" s="10" t="s">
        <v>1191</v>
      </c>
      <c r="K5736" s="12">
        <v>46030</v>
      </c>
      <c r="L5736" s="28" t="s">
        <v>11</v>
      </c>
      <c r="M5736" s="14"/>
      <c r="N5736" s="10" t="s">
        <v>1028</v>
      </c>
    </row>
    <row r="5737" spans="1:14" ht="22.5" customHeight="1">
      <c r="A5737" s="8">
        <v>46030.41264130787</v>
      </c>
      <c r="B5737" s="9" t="s">
        <v>14</v>
      </c>
      <c r="C5737" s="9" t="s">
        <v>15</v>
      </c>
      <c r="D5737" s="10" t="s">
        <v>12519</v>
      </c>
      <c r="E5737" s="9" t="s">
        <v>17</v>
      </c>
      <c r="F5737" s="10">
        <v>20</v>
      </c>
      <c r="G5737" s="11">
        <v>8159713105</v>
      </c>
      <c r="H5737" s="10" t="s">
        <v>12520</v>
      </c>
      <c r="I5737" s="10" t="s">
        <v>49</v>
      </c>
      <c r="J5737" s="10" t="s">
        <v>12521</v>
      </c>
      <c r="K5737" s="12">
        <v>46030</v>
      </c>
      <c r="L5737" s="28" t="s">
        <v>11</v>
      </c>
      <c r="M5737" s="14"/>
      <c r="N5737" s="10" t="s">
        <v>1028</v>
      </c>
    </row>
    <row r="5738" spans="1:14" ht="22.5" customHeight="1">
      <c r="A5738" s="8">
        <v>46030.416981469913</v>
      </c>
      <c r="B5738" s="9" t="s">
        <v>14</v>
      </c>
      <c r="C5738" s="9" t="s">
        <v>15</v>
      </c>
      <c r="D5738" s="10" t="s">
        <v>12522</v>
      </c>
      <c r="E5738" s="9" t="s">
        <v>17</v>
      </c>
      <c r="F5738" s="10">
        <v>24</v>
      </c>
      <c r="G5738" s="11">
        <v>8068379175</v>
      </c>
      <c r="H5738" s="10" t="s">
        <v>12523</v>
      </c>
      <c r="I5738" s="10" t="s">
        <v>27</v>
      </c>
      <c r="J5738" s="10" t="s">
        <v>94</v>
      </c>
      <c r="K5738" s="12">
        <v>46030</v>
      </c>
      <c r="L5738" s="28" t="s">
        <v>11</v>
      </c>
      <c r="M5738" s="14"/>
      <c r="N5738" s="10" t="s">
        <v>1028</v>
      </c>
    </row>
    <row r="5739" spans="1:14" ht="22.5" customHeight="1">
      <c r="A5739" s="8">
        <v>46030.419373599536</v>
      </c>
      <c r="B5739" s="9" t="s">
        <v>14</v>
      </c>
      <c r="C5739" s="9" t="s">
        <v>15</v>
      </c>
      <c r="D5739" s="10" t="s">
        <v>12524</v>
      </c>
      <c r="E5739" s="9" t="s">
        <v>17</v>
      </c>
      <c r="F5739" s="10">
        <v>31</v>
      </c>
      <c r="G5739" s="11">
        <v>8166115914</v>
      </c>
      <c r="H5739" s="10" t="s">
        <v>12525</v>
      </c>
      <c r="I5739" s="10" t="s">
        <v>19</v>
      </c>
      <c r="J5739" s="10" t="s">
        <v>119</v>
      </c>
      <c r="K5739" s="12">
        <v>46030</v>
      </c>
      <c r="L5739" s="28" t="s">
        <v>11</v>
      </c>
      <c r="M5739" s="14"/>
      <c r="N5739" s="10" t="s">
        <v>1028</v>
      </c>
    </row>
    <row r="5740" spans="1:14" ht="22.5" customHeight="1">
      <c r="A5740" s="8">
        <v>46030.42054825231</v>
      </c>
      <c r="B5740" s="9" t="s">
        <v>14</v>
      </c>
      <c r="C5740" s="9" t="s">
        <v>15</v>
      </c>
      <c r="D5740" s="10" t="s">
        <v>12526</v>
      </c>
      <c r="E5740" s="9" t="s">
        <v>17</v>
      </c>
      <c r="F5740" s="10">
        <v>23</v>
      </c>
      <c r="G5740" s="11">
        <v>7067872136</v>
      </c>
      <c r="H5740" s="10" t="s">
        <v>12527</v>
      </c>
      <c r="I5740" s="10" t="s">
        <v>202</v>
      </c>
      <c r="J5740" s="10" t="s">
        <v>4651</v>
      </c>
      <c r="K5740" s="12">
        <v>46030</v>
      </c>
      <c r="L5740" s="28" t="s">
        <v>11</v>
      </c>
      <c r="M5740" s="14"/>
      <c r="N5740" s="10" t="s">
        <v>1028</v>
      </c>
    </row>
    <row r="5741" spans="1:14" ht="22.5" customHeight="1">
      <c r="A5741" s="8">
        <v>46030.420826481481</v>
      </c>
      <c r="B5741" s="9" t="s">
        <v>14</v>
      </c>
      <c r="C5741" s="9" t="s">
        <v>15</v>
      </c>
      <c r="D5741" s="10" t="s">
        <v>12528</v>
      </c>
      <c r="E5741" s="9" t="s">
        <v>22</v>
      </c>
      <c r="F5741" s="10">
        <v>27</v>
      </c>
      <c r="G5741" s="11">
        <v>9039141641</v>
      </c>
      <c r="H5741" s="10" t="s">
        <v>12529</v>
      </c>
      <c r="I5741" s="10" t="s">
        <v>45</v>
      </c>
      <c r="J5741" s="10" t="s">
        <v>1412</v>
      </c>
      <c r="K5741" s="12">
        <v>46030</v>
      </c>
      <c r="L5741" s="28" t="s">
        <v>11</v>
      </c>
      <c r="M5741" s="14"/>
      <c r="N5741" s="10" t="s">
        <v>1028</v>
      </c>
    </row>
    <row r="5742" spans="1:14" ht="22.5" customHeight="1">
      <c r="A5742" s="8">
        <v>46030.421309282407</v>
      </c>
      <c r="B5742" s="9" t="s">
        <v>14</v>
      </c>
      <c r="C5742" s="9" t="s">
        <v>15</v>
      </c>
      <c r="D5742" s="10" t="s">
        <v>12530</v>
      </c>
      <c r="E5742" s="9" t="s">
        <v>17</v>
      </c>
      <c r="F5742" s="18">
        <v>20</v>
      </c>
      <c r="G5742" s="11">
        <v>8169048148</v>
      </c>
      <c r="H5742" s="10" t="s">
        <v>12531</v>
      </c>
      <c r="I5742" s="10" t="s">
        <v>27</v>
      </c>
      <c r="J5742" s="10" t="s">
        <v>53</v>
      </c>
      <c r="K5742" s="12">
        <v>46030</v>
      </c>
      <c r="L5742" s="28" t="s">
        <v>11</v>
      </c>
      <c r="M5742" s="14"/>
      <c r="N5742" s="10" t="s">
        <v>1096</v>
      </c>
    </row>
    <row r="5743" spans="1:14" ht="22.5" customHeight="1">
      <c r="A5743" s="8">
        <v>46030.421657349536</v>
      </c>
      <c r="B5743" s="9" t="s">
        <v>14</v>
      </c>
      <c r="C5743" s="9" t="s">
        <v>15</v>
      </c>
      <c r="D5743" s="10" t="s">
        <v>12532</v>
      </c>
      <c r="E5743" s="9" t="s">
        <v>22</v>
      </c>
      <c r="F5743" s="10">
        <v>22</v>
      </c>
      <c r="G5743" s="11">
        <v>9033357747</v>
      </c>
      <c r="H5743" s="10" t="s">
        <v>12533</v>
      </c>
      <c r="I5743" s="10" t="s">
        <v>202</v>
      </c>
      <c r="J5743" s="10" t="s">
        <v>5573</v>
      </c>
      <c r="K5743" s="12">
        <v>37919</v>
      </c>
      <c r="L5743" s="28" t="s">
        <v>11</v>
      </c>
      <c r="M5743" s="10"/>
      <c r="N5743" s="10" t="s">
        <v>1028</v>
      </c>
    </row>
    <row r="5744" spans="1:14" ht="22.5" customHeight="1">
      <c r="A5744" s="8">
        <v>46030.423689317133</v>
      </c>
      <c r="B5744" s="9" t="s">
        <v>14</v>
      </c>
      <c r="C5744" s="9" t="s">
        <v>15</v>
      </c>
      <c r="D5744" s="10" t="s">
        <v>12534</v>
      </c>
      <c r="E5744" s="9" t="s">
        <v>17</v>
      </c>
      <c r="F5744" s="10">
        <v>30</v>
      </c>
      <c r="G5744" s="11">
        <v>9134642024</v>
      </c>
      <c r="H5744" s="10" t="s">
        <v>12535</v>
      </c>
      <c r="I5744" s="10" t="s">
        <v>49</v>
      </c>
      <c r="J5744" s="10" t="s">
        <v>282</v>
      </c>
      <c r="K5744" s="12">
        <v>46030</v>
      </c>
      <c r="L5744" s="28" t="s">
        <v>11</v>
      </c>
      <c r="M5744" s="14"/>
      <c r="N5744" s="10" t="s">
        <v>1028</v>
      </c>
    </row>
    <row r="5745" spans="1:14" ht="22.5" customHeight="1">
      <c r="A5745" s="8">
        <v>46030.425092928243</v>
      </c>
      <c r="B5745" s="9" t="s">
        <v>14</v>
      </c>
      <c r="C5745" s="9" t="s">
        <v>15</v>
      </c>
      <c r="D5745" s="10" t="s">
        <v>1136</v>
      </c>
      <c r="E5745" s="9" t="s">
        <v>17</v>
      </c>
      <c r="F5745" s="10">
        <v>31</v>
      </c>
      <c r="G5745" s="11">
        <v>8064900535</v>
      </c>
      <c r="H5745" s="10" t="s">
        <v>12536</v>
      </c>
      <c r="I5745" s="10" t="s">
        <v>27</v>
      </c>
      <c r="J5745" s="10" t="s">
        <v>8923</v>
      </c>
      <c r="K5745" s="12">
        <v>46030</v>
      </c>
      <c r="L5745" s="28" t="s">
        <v>11</v>
      </c>
      <c r="M5745" s="14"/>
      <c r="N5745" s="10" t="s">
        <v>1096</v>
      </c>
    </row>
    <row r="5746" spans="1:14" ht="22.5" customHeight="1">
      <c r="A5746" s="8">
        <v>46030.42626054398</v>
      </c>
      <c r="B5746" s="9" t="s">
        <v>14</v>
      </c>
      <c r="C5746" s="9" t="s">
        <v>15</v>
      </c>
      <c r="D5746" s="10" t="s">
        <v>12537</v>
      </c>
      <c r="E5746" s="9" t="s">
        <v>22</v>
      </c>
      <c r="F5746" s="10">
        <v>35</v>
      </c>
      <c r="G5746" s="11">
        <v>8037355108</v>
      </c>
      <c r="H5746" s="10" t="s">
        <v>12538</v>
      </c>
      <c r="I5746" s="10" t="s">
        <v>19</v>
      </c>
      <c r="J5746" s="10" t="s">
        <v>166</v>
      </c>
      <c r="K5746" s="12">
        <v>46030</v>
      </c>
      <c r="L5746" s="28" t="s">
        <v>11</v>
      </c>
      <c r="M5746" s="14"/>
      <c r="N5746" s="10" t="s">
        <v>1035</v>
      </c>
    </row>
    <row r="5747" spans="1:14" ht="22.5" customHeight="1">
      <c r="A5747" s="8">
        <v>46030.426537685184</v>
      </c>
      <c r="B5747" s="9" t="s">
        <v>14</v>
      </c>
      <c r="C5747" s="9" t="s">
        <v>15</v>
      </c>
      <c r="D5747" s="10" t="s">
        <v>12539</v>
      </c>
      <c r="E5747" s="9" t="s">
        <v>22</v>
      </c>
      <c r="F5747" s="10">
        <v>21</v>
      </c>
      <c r="G5747" s="11">
        <v>7052525318</v>
      </c>
      <c r="H5747" s="10" t="s">
        <v>12540</v>
      </c>
      <c r="I5747" s="10" t="s">
        <v>45</v>
      </c>
      <c r="J5747" s="10" t="s">
        <v>84</v>
      </c>
      <c r="K5747" s="12">
        <v>46030</v>
      </c>
      <c r="L5747" s="28" t="s">
        <v>11</v>
      </c>
      <c r="M5747" s="14"/>
      <c r="N5747" s="10" t="s">
        <v>1028</v>
      </c>
    </row>
    <row r="5748" spans="1:14" ht="22.5" customHeight="1">
      <c r="A5748" s="8">
        <v>46030.426613842588</v>
      </c>
      <c r="B5748" s="9" t="s">
        <v>14</v>
      </c>
      <c r="C5748" s="9" t="s">
        <v>15</v>
      </c>
      <c r="D5748" s="10" t="s">
        <v>3908</v>
      </c>
      <c r="E5748" s="9" t="s">
        <v>17</v>
      </c>
      <c r="F5748" s="10">
        <v>34</v>
      </c>
      <c r="G5748" s="11">
        <v>8062387297</v>
      </c>
      <c r="H5748" s="10" t="s">
        <v>12541</v>
      </c>
      <c r="I5748" s="10" t="s">
        <v>27</v>
      </c>
      <c r="J5748" s="10" t="s">
        <v>67</v>
      </c>
      <c r="K5748" s="12">
        <v>46030</v>
      </c>
      <c r="L5748" s="28" t="s">
        <v>11</v>
      </c>
      <c r="M5748" s="10"/>
      <c r="N5748" s="10" t="s">
        <v>1096</v>
      </c>
    </row>
    <row r="5749" spans="1:14" ht="22.5" customHeight="1">
      <c r="A5749" s="8">
        <v>46030.428415324073</v>
      </c>
      <c r="B5749" s="9" t="s">
        <v>14</v>
      </c>
      <c r="C5749" s="9" t="s">
        <v>15</v>
      </c>
      <c r="D5749" s="10" t="s">
        <v>12542</v>
      </c>
      <c r="E5749" s="9" t="s">
        <v>17</v>
      </c>
      <c r="F5749" s="10">
        <v>27</v>
      </c>
      <c r="G5749" s="11">
        <v>7067148961</v>
      </c>
      <c r="H5749" s="10" t="s">
        <v>12543</v>
      </c>
      <c r="I5749" s="10" t="s">
        <v>45</v>
      </c>
      <c r="J5749" s="10" t="s">
        <v>279</v>
      </c>
      <c r="K5749" s="12">
        <v>46030</v>
      </c>
      <c r="L5749" s="28" t="s">
        <v>11</v>
      </c>
      <c r="M5749" s="14"/>
      <c r="N5749" s="10" t="s">
        <v>1028</v>
      </c>
    </row>
    <row r="5750" spans="1:14" ht="22.5" customHeight="1">
      <c r="A5750" s="8">
        <v>46030.428431203705</v>
      </c>
      <c r="B5750" s="9" t="s">
        <v>14</v>
      </c>
      <c r="C5750" s="9" t="s">
        <v>15</v>
      </c>
      <c r="D5750" s="10" t="s">
        <v>12544</v>
      </c>
      <c r="E5750" s="9" t="s">
        <v>17</v>
      </c>
      <c r="F5750" s="10">
        <v>31</v>
      </c>
      <c r="G5750" s="11">
        <v>8038148678</v>
      </c>
      <c r="H5750" s="10" t="s">
        <v>12545</v>
      </c>
      <c r="I5750" s="10" t="s">
        <v>49</v>
      </c>
      <c r="J5750" s="10" t="s">
        <v>50</v>
      </c>
      <c r="K5750" s="12">
        <v>46030</v>
      </c>
      <c r="L5750" s="28" t="s">
        <v>11</v>
      </c>
      <c r="M5750" s="14"/>
      <c r="N5750" s="10" t="s">
        <v>1096</v>
      </c>
    </row>
    <row r="5751" spans="1:14" ht="22.5" customHeight="1">
      <c r="A5751" s="8">
        <v>46030.430446458333</v>
      </c>
      <c r="B5751" s="9" t="s">
        <v>14</v>
      </c>
      <c r="C5751" s="9" t="s">
        <v>15</v>
      </c>
      <c r="D5751" s="10" t="s">
        <v>12546</v>
      </c>
      <c r="E5751" s="9" t="s">
        <v>17</v>
      </c>
      <c r="F5751" s="10">
        <v>28</v>
      </c>
      <c r="G5751" s="11">
        <v>7018595816</v>
      </c>
      <c r="H5751" s="10" t="s">
        <v>12547</v>
      </c>
      <c r="I5751" s="10" t="s">
        <v>45</v>
      </c>
      <c r="J5751" s="10" t="s">
        <v>46</v>
      </c>
      <c r="K5751" s="12">
        <v>46030</v>
      </c>
      <c r="L5751" s="28" t="s">
        <v>11</v>
      </c>
      <c r="M5751" s="14"/>
      <c r="N5751" s="10" t="s">
        <v>1028</v>
      </c>
    </row>
    <row r="5752" spans="1:14" ht="22.5" customHeight="1">
      <c r="A5752" s="8">
        <v>46030.432018715277</v>
      </c>
      <c r="B5752" s="9" t="s">
        <v>14</v>
      </c>
      <c r="C5752" s="9" t="s">
        <v>15</v>
      </c>
      <c r="D5752" s="10" t="s">
        <v>12548</v>
      </c>
      <c r="E5752" s="9" t="s">
        <v>22</v>
      </c>
      <c r="F5752" s="10">
        <v>22</v>
      </c>
      <c r="G5752" s="11">
        <v>8068232923</v>
      </c>
      <c r="H5752" s="10" t="s">
        <v>12549</v>
      </c>
      <c r="I5752" s="10" t="s">
        <v>145</v>
      </c>
      <c r="J5752" s="10" t="s">
        <v>3584</v>
      </c>
      <c r="K5752" s="12">
        <v>46030</v>
      </c>
      <c r="L5752" s="28" t="s">
        <v>11</v>
      </c>
      <c r="M5752" s="14"/>
      <c r="N5752" s="10" t="s">
        <v>1028</v>
      </c>
    </row>
    <row r="5753" spans="1:14" ht="22.5" customHeight="1">
      <c r="A5753" s="8">
        <v>46030.433002060185</v>
      </c>
      <c r="B5753" s="9" t="s">
        <v>14</v>
      </c>
      <c r="C5753" s="9" t="s">
        <v>15</v>
      </c>
      <c r="D5753" s="10" t="s">
        <v>12550</v>
      </c>
      <c r="E5753" s="9" t="s">
        <v>17</v>
      </c>
      <c r="F5753" s="10">
        <v>32</v>
      </c>
      <c r="G5753" s="11">
        <v>8134257926</v>
      </c>
      <c r="H5753" s="10" t="s">
        <v>12551</v>
      </c>
      <c r="I5753" s="10" t="s">
        <v>19</v>
      </c>
      <c r="J5753" s="10" t="s">
        <v>3369</v>
      </c>
      <c r="K5753" s="12">
        <v>46030</v>
      </c>
      <c r="L5753" s="28" t="s">
        <v>11</v>
      </c>
      <c r="M5753" s="14"/>
      <c r="N5753" s="10" t="s">
        <v>1028</v>
      </c>
    </row>
    <row r="5754" spans="1:14" ht="22.5" customHeight="1">
      <c r="A5754" s="8">
        <v>46030.433362615746</v>
      </c>
      <c r="B5754" s="9" t="s">
        <v>14</v>
      </c>
      <c r="C5754" s="9" t="s">
        <v>15</v>
      </c>
      <c r="D5754" s="10" t="s">
        <v>6022</v>
      </c>
      <c r="E5754" s="9" t="s">
        <v>22</v>
      </c>
      <c r="F5754" s="10">
        <v>25</v>
      </c>
      <c r="G5754" s="11">
        <v>9085198060</v>
      </c>
      <c r="H5754" s="10" t="s">
        <v>6023</v>
      </c>
      <c r="I5754" s="10" t="s">
        <v>27</v>
      </c>
      <c r="J5754" s="10" t="s">
        <v>70</v>
      </c>
      <c r="K5754" s="12">
        <v>46030</v>
      </c>
      <c r="L5754" s="28" t="s">
        <v>11</v>
      </c>
      <c r="M5754" s="14"/>
      <c r="N5754" s="10" t="s">
        <v>1028</v>
      </c>
    </row>
    <row r="5755" spans="1:14" ht="22.5" customHeight="1">
      <c r="A5755" s="8">
        <v>46030.438389027782</v>
      </c>
      <c r="B5755" s="9" t="s">
        <v>14</v>
      </c>
      <c r="C5755" s="9" t="s">
        <v>15</v>
      </c>
      <c r="D5755" s="10" t="s">
        <v>12552</v>
      </c>
      <c r="E5755" s="9" t="s">
        <v>17</v>
      </c>
      <c r="F5755" s="10">
        <v>34</v>
      </c>
      <c r="G5755" s="11">
        <v>7060536995</v>
      </c>
      <c r="H5755" s="10" t="s">
        <v>12553</v>
      </c>
      <c r="I5755" s="10" t="s">
        <v>49</v>
      </c>
      <c r="J5755" s="10" t="s">
        <v>12554</v>
      </c>
      <c r="K5755" s="12">
        <v>46030</v>
      </c>
      <c r="L5755" s="28" t="s">
        <v>11</v>
      </c>
      <c r="M5755" s="14"/>
      <c r="N5755" s="10" t="s">
        <v>1028</v>
      </c>
    </row>
    <row r="5756" spans="1:14" ht="22.5" customHeight="1">
      <c r="A5756" s="8">
        <v>46030.442766203705</v>
      </c>
      <c r="B5756" s="9" t="s">
        <v>14</v>
      </c>
      <c r="C5756" s="9" t="s">
        <v>15</v>
      </c>
      <c r="D5756" s="10" t="s">
        <v>12555</v>
      </c>
      <c r="E5756" s="9" t="s">
        <v>17</v>
      </c>
      <c r="F5756" s="10">
        <v>35</v>
      </c>
      <c r="G5756" s="11">
        <v>8035938843</v>
      </c>
      <c r="H5756" s="10" t="s">
        <v>12556</v>
      </c>
      <c r="I5756" s="10" t="s">
        <v>49</v>
      </c>
      <c r="J5756" s="10" t="s">
        <v>50</v>
      </c>
      <c r="K5756" s="12">
        <v>33129</v>
      </c>
      <c r="L5756" s="28" t="s">
        <v>11</v>
      </c>
      <c r="M5756" s="14"/>
      <c r="N5756" s="10" t="s">
        <v>1028</v>
      </c>
    </row>
    <row r="5757" spans="1:14" ht="22.5" customHeight="1">
      <c r="A5757" s="8">
        <v>46030.443501018519</v>
      </c>
      <c r="B5757" s="9" t="s">
        <v>14</v>
      </c>
      <c r="C5757" s="9" t="s">
        <v>15</v>
      </c>
      <c r="D5757" s="10" t="s">
        <v>12557</v>
      </c>
      <c r="E5757" s="9" t="s">
        <v>17</v>
      </c>
      <c r="F5757" s="10">
        <v>34</v>
      </c>
      <c r="G5757" s="11">
        <v>8060825198</v>
      </c>
      <c r="H5757" s="10" t="s">
        <v>12558</v>
      </c>
      <c r="I5757" s="10" t="s">
        <v>31</v>
      </c>
      <c r="J5757" s="10" t="s">
        <v>32</v>
      </c>
      <c r="K5757" s="12">
        <v>46030</v>
      </c>
      <c r="L5757" s="28" t="s">
        <v>11</v>
      </c>
      <c r="M5757" s="14"/>
      <c r="N5757" s="10" t="s">
        <v>1028</v>
      </c>
    </row>
    <row r="5758" spans="1:14" ht="22.5" customHeight="1">
      <c r="A5758" s="8">
        <v>46030.445289085648</v>
      </c>
      <c r="B5758" s="9" t="s">
        <v>14</v>
      </c>
      <c r="C5758" s="9" t="s">
        <v>15</v>
      </c>
      <c r="D5758" s="10" t="s">
        <v>12559</v>
      </c>
      <c r="E5758" s="9" t="s">
        <v>22</v>
      </c>
      <c r="F5758" s="10">
        <v>25</v>
      </c>
      <c r="G5758" s="11">
        <v>9066434269</v>
      </c>
      <c r="H5758" s="10" t="s">
        <v>12560</v>
      </c>
      <c r="I5758" s="10" t="s">
        <v>19</v>
      </c>
      <c r="J5758" s="10" t="s">
        <v>8663</v>
      </c>
      <c r="K5758" s="12">
        <v>46030</v>
      </c>
      <c r="L5758" s="28" t="s">
        <v>11</v>
      </c>
      <c r="M5758" s="14"/>
      <c r="N5758" s="10" t="s">
        <v>1035</v>
      </c>
    </row>
    <row r="5759" spans="1:14" ht="22.5" customHeight="1">
      <c r="A5759" s="8">
        <v>46030.448898090282</v>
      </c>
      <c r="B5759" s="9" t="s">
        <v>14</v>
      </c>
      <c r="C5759" s="9" t="s">
        <v>15</v>
      </c>
      <c r="D5759" s="10" t="s">
        <v>12561</v>
      </c>
      <c r="E5759" s="9" t="s">
        <v>22</v>
      </c>
      <c r="F5759" s="10">
        <v>20</v>
      </c>
      <c r="G5759" s="11">
        <v>9135515109</v>
      </c>
      <c r="H5759" s="10" t="s">
        <v>12562</v>
      </c>
      <c r="I5759" s="10" t="s">
        <v>27</v>
      </c>
      <c r="J5759" s="10" t="s">
        <v>2348</v>
      </c>
      <c r="K5759" s="12">
        <v>46030</v>
      </c>
      <c r="L5759" s="28" t="s">
        <v>11</v>
      </c>
      <c r="M5759" s="14"/>
      <c r="N5759" s="10" t="s">
        <v>1028</v>
      </c>
    </row>
    <row r="5760" spans="1:14" ht="22.5" customHeight="1">
      <c r="A5760" s="8">
        <v>46030.449405821761</v>
      </c>
      <c r="B5760" s="9" t="s">
        <v>14</v>
      </c>
      <c r="C5760" s="9" t="s">
        <v>15</v>
      </c>
      <c r="D5760" s="10" t="s">
        <v>12563</v>
      </c>
      <c r="E5760" s="9" t="s">
        <v>22</v>
      </c>
      <c r="F5760" s="10">
        <v>25</v>
      </c>
      <c r="G5760" s="11">
        <v>8076305011</v>
      </c>
      <c r="H5760" s="10" t="s">
        <v>12564</v>
      </c>
      <c r="I5760" s="10" t="s">
        <v>19</v>
      </c>
      <c r="J5760" s="10" t="s">
        <v>2314</v>
      </c>
      <c r="K5760" s="12">
        <v>46030</v>
      </c>
      <c r="L5760" s="28" t="s">
        <v>11</v>
      </c>
      <c r="M5760" s="14"/>
      <c r="N5760" s="10" t="s">
        <v>1028</v>
      </c>
    </row>
    <row r="5761" spans="1:14" ht="22.5" customHeight="1">
      <c r="A5761" s="8">
        <v>46030.450332997687</v>
      </c>
      <c r="B5761" s="9" t="s">
        <v>14</v>
      </c>
      <c r="C5761" s="9" t="s">
        <v>15</v>
      </c>
      <c r="D5761" s="10" t="s">
        <v>12565</v>
      </c>
      <c r="E5761" s="9" t="s">
        <v>22</v>
      </c>
      <c r="F5761" s="10">
        <v>19</v>
      </c>
      <c r="G5761" s="11">
        <v>9023074860</v>
      </c>
      <c r="H5761" s="10" t="s">
        <v>12566</v>
      </c>
      <c r="I5761" s="10" t="s">
        <v>45</v>
      </c>
      <c r="J5761" s="10" t="s">
        <v>932</v>
      </c>
      <c r="K5761" s="12">
        <v>46030</v>
      </c>
      <c r="L5761" s="28" t="s">
        <v>11</v>
      </c>
      <c r="M5761" s="14"/>
      <c r="N5761" s="10" t="s">
        <v>1028</v>
      </c>
    </row>
    <row r="5762" spans="1:14" ht="22.5" customHeight="1">
      <c r="A5762" s="8">
        <v>46030.450797268517</v>
      </c>
      <c r="B5762" s="9" t="s">
        <v>14</v>
      </c>
      <c r="C5762" s="9" t="s">
        <v>15</v>
      </c>
      <c r="D5762" s="10" t="s">
        <v>12567</v>
      </c>
      <c r="E5762" s="9" t="s">
        <v>22</v>
      </c>
      <c r="F5762" s="10">
        <v>35</v>
      </c>
      <c r="G5762" s="11">
        <v>8136446489</v>
      </c>
      <c r="H5762" s="10" t="s">
        <v>12568</v>
      </c>
      <c r="I5762" s="10" t="s">
        <v>45</v>
      </c>
      <c r="J5762" s="10" t="s">
        <v>1638</v>
      </c>
      <c r="K5762" s="12">
        <v>33215</v>
      </c>
      <c r="L5762" s="28" t="s">
        <v>11</v>
      </c>
      <c r="M5762" s="14"/>
      <c r="N5762" s="10" t="s">
        <v>1028</v>
      </c>
    </row>
    <row r="5763" spans="1:14" ht="22.5" customHeight="1">
      <c r="A5763" s="8">
        <v>46030.457786041668</v>
      </c>
      <c r="B5763" s="9" t="s">
        <v>14</v>
      </c>
      <c r="C5763" s="9" t="s">
        <v>15</v>
      </c>
      <c r="D5763" s="10" t="s">
        <v>12569</v>
      </c>
      <c r="E5763" s="9" t="s">
        <v>17</v>
      </c>
      <c r="F5763" s="10">
        <v>23</v>
      </c>
      <c r="G5763" s="11">
        <v>9130207001</v>
      </c>
      <c r="H5763" s="10" t="s">
        <v>12570</v>
      </c>
      <c r="I5763" s="10" t="s">
        <v>27</v>
      </c>
      <c r="J5763" s="10" t="s">
        <v>2766</v>
      </c>
      <c r="K5763" s="12">
        <v>46030</v>
      </c>
      <c r="L5763" s="28" t="s">
        <v>11</v>
      </c>
      <c r="M5763" s="14"/>
      <c r="N5763" s="10" t="s">
        <v>1028</v>
      </c>
    </row>
    <row r="5764" spans="1:14" ht="22.5" customHeight="1">
      <c r="A5764" s="8">
        <v>46030.457824907411</v>
      </c>
      <c r="B5764" s="9" t="s">
        <v>14</v>
      </c>
      <c r="C5764" s="9" t="s">
        <v>15</v>
      </c>
      <c r="D5764" s="10" t="s">
        <v>12571</v>
      </c>
      <c r="E5764" s="9" t="s">
        <v>22</v>
      </c>
      <c r="F5764" s="10">
        <v>23</v>
      </c>
      <c r="G5764" s="11">
        <v>9060661135</v>
      </c>
      <c r="H5764" s="10" t="s">
        <v>12572</v>
      </c>
      <c r="I5764" s="10" t="s">
        <v>202</v>
      </c>
      <c r="J5764" s="10" t="s">
        <v>4005</v>
      </c>
      <c r="K5764" s="12">
        <v>46030</v>
      </c>
      <c r="L5764" s="28" t="s">
        <v>11</v>
      </c>
      <c r="M5764" s="14"/>
      <c r="N5764" s="10" t="s">
        <v>1028</v>
      </c>
    </row>
    <row r="5765" spans="1:14" ht="22.5" customHeight="1">
      <c r="A5765" s="8">
        <v>46030.45791164352</v>
      </c>
      <c r="B5765" s="9" t="s">
        <v>14</v>
      </c>
      <c r="C5765" s="9" t="s">
        <v>15</v>
      </c>
      <c r="D5765" s="10" t="s">
        <v>12573</v>
      </c>
      <c r="E5765" s="9" t="s">
        <v>17</v>
      </c>
      <c r="F5765" s="10">
        <v>25</v>
      </c>
      <c r="G5765" s="11">
        <v>9062197868</v>
      </c>
      <c r="H5765" s="10" t="s">
        <v>12574</v>
      </c>
      <c r="I5765" s="10" t="s">
        <v>27</v>
      </c>
      <c r="J5765" s="10" t="s">
        <v>12575</v>
      </c>
      <c r="K5765" s="12">
        <v>46027</v>
      </c>
      <c r="L5765" s="28" t="s">
        <v>11</v>
      </c>
      <c r="M5765" s="14"/>
      <c r="N5765" s="10" t="s">
        <v>1140</v>
      </c>
    </row>
    <row r="5766" spans="1:14" ht="22.5" customHeight="1">
      <c r="A5766" s="8">
        <v>46030.458643032413</v>
      </c>
      <c r="B5766" s="9" t="s">
        <v>14</v>
      </c>
      <c r="C5766" s="9" t="s">
        <v>15</v>
      </c>
      <c r="D5766" s="10" t="s">
        <v>12576</v>
      </c>
      <c r="E5766" s="9" t="s">
        <v>17</v>
      </c>
      <c r="F5766" s="10">
        <v>17</v>
      </c>
      <c r="G5766" s="11">
        <v>9126998116</v>
      </c>
      <c r="H5766" s="10" t="s">
        <v>12577</v>
      </c>
      <c r="I5766" s="10" t="s">
        <v>27</v>
      </c>
      <c r="J5766" s="10" t="s">
        <v>4419</v>
      </c>
      <c r="K5766" s="12">
        <v>46030</v>
      </c>
      <c r="L5766" s="28" t="s">
        <v>11</v>
      </c>
      <c r="M5766" s="14"/>
      <c r="N5766" s="10" t="s">
        <v>1028</v>
      </c>
    </row>
    <row r="5767" spans="1:14" ht="22.5" customHeight="1">
      <c r="A5767" s="8">
        <v>46030.45957269676</v>
      </c>
      <c r="B5767" s="9" t="s">
        <v>14</v>
      </c>
      <c r="C5767" s="9" t="s">
        <v>15</v>
      </c>
      <c r="D5767" s="10" t="s">
        <v>12578</v>
      </c>
      <c r="E5767" s="9" t="s">
        <v>17</v>
      </c>
      <c r="F5767" s="10">
        <v>30</v>
      </c>
      <c r="G5767" s="11">
        <v>8031548078</v>
      </c>
      <c r="H5767" s="10" t="s">
        <v>12579</v>
      </c>
      <c r="I5767" s="10" t="s">
        <v>27</v>
      </c>
      <c r="J5767" s="10" t="s">
        <v>703</v>
      </c>
      <c r="K5767" s="12">
        <v>46030</v>
      </c>
      <c r="L5767" s="28" t="s">
        <v>11</v>
      </c>
      <c r="M5767" s="14"/>
      <c r="N5767" s="10" t="s">
        <v>1028</v>
      </c>
    </row>
    <row r="5768" spans="1:14" ht="22.5" customHeight="1">
      <c r="A5768" s="8">
        <v>46030.460804965274</v>
      </c>
      <c r="B5768" s="9" t="s">
        <v>14</v>
      </c>
      <c r="C5768" s="9" t="s">
        <v>15</v>
      </c>
      <c r="D5768" s="10" t="s">
        <v>12580</v>
      </c>
      <c r="E5768" s="9" t="s">
        <v>22</v>
      </c>
      <c r="F5768" s="10">
        <v>20</v>
      </c>
      <c r="G5768" s="11">
        <v>9165218864</v>
      </c>
      <c r="H5768" s="10" t="s">
        <v>12581</v>
      </c>
      <c r="I5768" s="10" t="s">
        <v>45</v>
      </c>
      <c r="J5768" s="10" t="s">
        <v>12582</v>
      </c>
      <c r="K5768" s="12">
        <v>46030</v>
      </c>
      <c r="L5768" s="28" t="s">
        <v>11</v>
      </c>
      <c r="M5768" s="14"/>
      <c r="N5768" s="10" t="s">
        <v>12583</v>
      </c>
    </row>
    <row r="5769" spans="1:14" ht="22.5" customHeight="1">
      <c r="A5769" s="8">
        <v>46030.461800046294</v>
      </c>
      <c r="B5769" s="9" t="s">
        <v>14</v>
      </c>
      <c r="C5769" s="9" t="s">
        <v>15</v>
      </c>
      <c r="D5769" s="10" t="s">
        <v>12584</v>
      </c>
      <c r="E5769" s="9" t="s">
        <v>17</v>
      </c>
      <c r="F5769" s="10">
        <v>25</v>
      </c>
      <c r="G5769" s="11">
        <v>9136884747</v>
      </c>
      <c r="H5769" s="10" t="s">
        <v>12585</v>
      </c>
      <c r="I5769" s="10" t="s">
        <v>45</v>
      </c>
      <c r="J5769" s="10" t="s">
        <v>932</v>
      </c>
      <c r="K5769" s="12">
        <v>46030</v>
      </c>
      <c r="L5769" s="28" t="s">
        <v>11</v>
      </c>
      <c r="M5769" s="14"/>
      <c r="N5769" s="10" t="s">
        <v>1028</v>
      </c>
    </row>
    <row r="5770" spans="1:14" ht="22.5" customHeight="1">
      <c r="A5770" s="8">
        <v>46030.462085624997</v>
      </c>
      <c r="B5770" s="9" t="s">
        <v>14</v>
      </c>
      <c r="C5770" s="9" t="s">
        <v>15</v>
      </c>
      <c r="D5770" s="10" t="s">
        <v>12586</v>
      </c>
      <c r="E5770" s="9" t="s">
        <v>22</v>
      </c>
      <c r="F5770" s="10">
        <v>34</v>
      </c>
      <c r="G5770" s="11">
        <v>7068598021</v>
      </c>
      <c r="H5770" s="10" t="s">
        <v>12587</v>
      </c>
      <c r="I5770" s="10" t="s">
        <v>202</v>
      </c>
      <c r="J5770" s="10" t="s">
        <v>3437</v>
      </c>
      <c r="K5770" s="12">
        <v>46030</v>
      </c>
      <c r="L5770" s="28" t="s">
        <v>11</v>
      </c>
      <c r="M5770" s="14"/>
      <c r="N5770" s="10" t="s">
        <v>1028</v>
      </c>
    </row>
    <row r="5771" spans="1:14" ht="22.5" customHeight="1">
      <c r="A5771" s="8">
        <v>46030.462094166665</v>
      </c>
      <c r="B5771" s="9" t="s">
        <v>14</v>
      </c>
      <c r="C5771" s="9" t="s">
        <v>15</v>
      </c>
      <c r="D5771" s="10" t="s">
        <v>10589</v>
      </c>
      <c r="E5771" s="9" t="s">
        <v>17</v>
      </c>
      <c r="F5771" s="10">
        <v>31</v>
      </c>
      <c r="G5771" s="11">
        <f t="shared" ref="G5771" si="165">2347030167736</f>
        <v>2347030167736</v>
      </c>
      <c r="H5771" s="10" t="s">
        <v>12588</v>
      </c>
      <c r="I5771" s="10" t="s">
        <v>27</v>
      </c>
      <c r="J5771" s="10" t="s">
        <v>9623</v>
      </c>
      <c r="K5771" s="12">
        <v>46030</v>
      </c>
      <c r="L5771" s="28" t="s">
        <v>11</v>
      </c>
      <c r="M5771" s="10"/>
      <c r="N5771" s="10" t="s">
        <v>1096</v>
      </c>
    </row>
    <row r="5772" spans="1:14" ht="22.5" customHeight="1">
      <c r="A5772" s="8">
        <v>46030.462151643515</v>
      </c>
      <c r="B5772" s="9" t="s">
        <v>14</v>
      </c>
      <c r="C5772" s="9" t="s">
        <v>15</v>
      </c>
      <c r="D5772" s="10" t="s">
        <v>12589</v>
      </c>
      <c r="E5772" s="9" t="s">
        <v>17</v>
      </c>
      <c r="F5772" s="19">
        <v>21</v>
      </c>
      <c r="G5772" s="11">
        <v>7044497707</v>
      </c>
      <c r="H5772" s="10" t="s">
        <v>12590</v>
      </c>
      <c r="I5772" s="10" t="s">
        <v>27</v>
      </c>
      <c r="J5772" s="10" t="s">
        <v>12591</v>
      </c>
      <c r="K5772" s="12">
        <v>46030</v>
      </c>
      <c r="L5772" s="28" t="s">
        <v>11</v>
      </c>
      <c r="M5772" s="14"/>
      <c r="N5772" s="10" t="s">
        <v>1028</v>
      </c>
    </row>
    <row r="5773" spans="1:14" ht="22.5" customHeight="1">
      <c r="A5773" s="8">
        <v>46030.462217604167</v>
      </c>
      <c r="B5773" s="9" t="s">
        <v>14</v>
      </c>
      <c r="C5773" s="9" t="s">
        <v>15</v>
      </c>
      <c r="D5773" s="10" t="s">
        <v>12592</v>
      </c>
      <c r="E5773" s="9" t="s">
        <v>22</v>
      </c>
      <c r="F5773" s="10">
        <v>20</v>
      </c>
      <c r="G5773" s="11">
        <v>7035207500</v>
      </c>
      <c r="H5773" s="10" t="s">
        <v>12593</v>
      </c>
      <c r="I5773" s="10" t="s">
        <v>27</v>
      </c>
      <c r="J5773" s="10" t="s">
        <v>3240</v>
      </c>
      <c r="K5773" s="12">
        <v>46030</v>
      </c>
      <c r="L5773" s="28" t="s">
        <v>11</v>
      </c>
      <c r="M5773" s="14"/>
      <c r="N5773" s="10" t="s">
        <v>1028</v>
      </c>
    </row>
    <row r="5774" spans="1:14" ht="22.5" customHeight="1">
      <c r="A5774" s="8">
        <v>46030.465679421293</v>
      </c>
      <c r="B5774" s="9" t="s">
        <v>14</v>
      </c>
      <c r="C5774" s="9" t="s">
        <v>15</v>
      </c>
      <c r="D5774" s="10" t="s">
        <v>2716</v>
      </c>
      <c r="E5774" s="9" t="s">
        <v>17</v>
      </c>
      <c r="F5774" s="10">
        <v>37</v>
      </c>
      <c r="G5774" s="11">
        <v>8126203042</v>
      </c>
      <c r="H5774" s="10" t="s">
        <v>12594</v>
      </c>
      <c r="I5774" s="10" t="s">
        <v>27</v>
      </c>
      <c r="J5774" s="10" t="s">
        <v>172</v>
      </c>
      <c r="K5774" s="12">
        <v>46030</v>
      </c>
      <c r="L5774" s="28" t="s">
        <v>11</v>
      </c>
      <c r="M5774" s="14"/>
      <c r="N5774" s="10" t="s">
        <v>1028</v>
      </c>
    </row>
    <row r="5775" spans="1:14" ht="22.5" customHeight="1">
      <c r="A5775" s="8">
        <v>46030.468384108797</v>
      </c>
      <c r="B5775" s="9" t="s">
        <v>14</v>
      </c>
      <c r="C5775" s="9" t="s">
        <v>15</v>
      </c>
      <c r="D5775" s="10" t="s">
        <v>12595</v>
      </c>
      <c r="E5775" s="9" t="s">
        <v>22</v>
      </c>
      <c r="F5775" s="10">
        <v>29</v>
      </c>
      <c r="G5775" s="11">
        <v>8147303325</v>
      </c>
      <c r="H5775" s="10" t="s">
        <v>12596</v>
      </c>
      <c r="I5775" s="10" t="s">
        <v>45</v>
      </c>
      <c r="J5775" s="10" t="s">
        <v>46</v>
      </c>
      <c r="K5775" s="12">
        <v>46030</v>
      </c>
      <c r="L5775" s="28" t="s">
        <v>11</v>
      </c>
      <c r="M5775" s="14"/>
      <c r="N5775" s="10" t="s">
        <v>1028</v>
      </c>
    </row>
    <row r="5776" spans="1:14" ht="22.5" customHeight="1">
      <c r="A5776" s="8">
        <v>46030.474024282405</v>
      </c>
      <c r="B5776" s="9" t="s">
        <v>14</v>
      </c>
      <c r="C5776" s="9" t="s">
        <v>15</v>
      </c>
      <c r="D5776" s="10" t="s">
        <v>12597</v>
      </c>
      <c r="E5776" s="9" t="s">
        <v>17</v>
      </c>
      <c r="F5776" s="10">
        <v>29</v>
      </c>
      <c r="G5776" s="11">
        <v>8139037769</v>
      </c>
      <c r="H5776" s="10" t="s">
        <v>12598</v>
      </c>
      <c r="I5776" s="10" t="s">
        <v>27</v>
      </c>
      <c r="J5776" s="10" t="s">
        <v>2196</v>
      </c>
      <c r="K5776" s="12">
        <v>46030</v>
      </c>
      <c r="L5776" s="28" t="s">
        <v>11</v>
      </c>
      <c r="M5776" s="14"/>
      <c r="N5776" s="10" t="s">
        <v>1028</v>
      </c>
    </row>
    <row r="5777" spans="1:14" ht="22.5" customHeight="1">
      <c r="A5777" s="8">
        <v>46030.475851979165</v>
      </c>
      <c r="B5777" s="9" t="s">
        <v>14</v>
      </c>
      <c r="C5777" s="9" t="s">
        <v>15</v>
      </c>
      <c r="D5777" s="10" t="s">
        <v>12599</v>
      </c>
      <c r="E5777" s="9" t="s">
        <v>22</v>
      </c>
      <c r="F5777" s="10">
        <v>33</v>
      </c>
      <c r="G5777" s="11">
        <v>8162245939</v>
      </c>
      <c r="H5777" s="10" t="s">
        <v>12600</v>
      </c>
      <c r="I5777" s="10" t="s">
        <v>45</v>
      </c>
      <c r="J5777" s="10" t="s">
        <v>932</v>
      </c>
      <c r="K5777" s="12">
        <v>46030</v>
      </c>
      <c r="L5777" s="28" t="s">
        <v>11</v>
      </c>
      <c r="M5777" s="14"/>
      <c r="N5777" s="10" t="s">
        <v>1028</v>
      </c>
    </row>
    <row r="5778" spans="1:14" ht="22.5" customHeight="1">
      <c r="A5778" s="8">
        <v>46030.476103032408</v>
      </c>
      <c r="B5778" s="9" t="s">
        <v>14</v>
      </c>
      <c r="C5778" s="9" t="s">
        <v>15</v>
      </c>
      <c r="D5778" s="10" t="s">
        <v>12601</v>
      </c>
      <c r="E5778" s="9" t="s">
        <v>17</v>
      </c>
      <c r="F5778" s="10">
        <v>30</v>
      </c>
      <c r="G5778" s="11">
        <v>8032654694</v>
      </c>
      <c r="H5778" s="10" t="s">
        <v>2432</v>
      </c>
      <c r="I5778" s="10" t="s">
        <v>27</v>
      </c>
      <c r="J5778" s="10" t="s">
        <v>703</v>
      </c>
      <c r="K5778" s="12">
        <v>46030</v>
      </c>
      <c r="L5778" s="28" t="s">
        <v>11</v>
      </c>
      <c r="M5778" s="14"/>
      <c r="N5778" s="10" t="s">
        <v>1028</v>
      </c>
    </row>
    <row r="5779" spans="1:14" ht="22.5" customHeight="1">
      <c r="A5779" s="8">
        <v>46030.477928912034</v>
      </c>
      <c r="B5779" s="9" t="s">
        <v>14</v>
      </c>
      <c r="C5779" s="9" t="s">
        <v>15</v>
      </c>
      <c r="D5779" s="10" t="s">
        <v>12602</v>
      </c>
      <c r="E5779" s="9" t="s">
        <v>17</v>
      </c>
      <c r="F5779" s="10">
        <v>26</v>
      </c>
      <c r="G5779" s="11">
        <f t="shared" ref="G5779" si="166">2348133580728</f>
        <v>2348133580728</v>
      </c>
      <c r="H5779" s="10" t="s">
        <v>12603</v>
      </c>
      <c r="I5779" s="10" t="s">
        <v>45</v>
      </c>
      <c r="J5779" s="10" t="s">
        <v>5142</v>
      </c>
      <c r="K5779" s="12">
        <v>46030</v>
      </c>
      <c r="L5779" s="28" t="s">
        <v>11</v>
      </c>
      <c r="M5779" s="14"/>
      <c r="N5779" s="10" t="s">
        <v>1028</v>
      </c>
    </row>
    <row r="5780" spans="1:14" ht="22.5" customHeight="1">
      <c r="A5780" s="8">
        <v>46030.478886469908</v>
      </c>
      <c r="B5780" s="9" t="s">
        <v>14</v>
      </c>
      <c r="C5780" s="9" t="s">
        <v>15</v>
      </c>
      <c r="D5780" s="10" t="s">
        <v>12604</v>
      </c>
      <c r="E5780" s="9" t="s">
        <v>22</v>
      </c>
      <c r="F5780" s="10">
        <v>24</v>
      </c>
      <c r="G5780" s="11">
        <v>9028043412</v>
      </c>
      <c r="H5780" s="10" t="s">
        <v>12605</v>
      </c>
      <c r="I5780" s="10" t="s">
        <v>27</v>
      </c>
      <c r="J5780" s="10" t="s">
        <v>1456</v>
      </c>
      <c r="K5780" s="12">
        <v>46030</v>
      </c>
      <c r="L5780" s="28" t="s">
        <v>11</v>
      </c>
      <c r="M5780" s="14"/>
      <c r="N5780" s="10" t="s">
        <v>1028</v>
      </c>
    </row>
    <row r="5781" spans="1:14" ht="22.5" customHeight="1">
      <c r="A5781" s="8">
        <v>46030.48022315972</v>
      </c>
      <c r="B5781" s="9" t="s">
        <v>14</v>
      </c>
      <c r="C5781" s="9" t="s">
        <v>15</v>
      </c>
      <c r="D5781" s="10" t="s">
        <v>12606</v>
      </c>
      <c r="E5781" s="9" t="s">
        <v>22</v>
      </c>
      <c r="F5781" s="10">
        <v>30</v>
      </c>
      <c r="G5781" s="11">
        <v>8138033295</v>
      </c>
      <c r="H5781" s="10" t="s">
        <v>12607</v>
      </c>
      <c r="I5781" s="10" t="s">
        <v>45</v>
      </c>
      <c r="J5781" s="10" t="s">
        <v>12204</v>
      </c>
      <c r="K5781" s="12">
        <v>46030</v>
      </c>
      <c r="L5781" s="28" t="s">
        <v>11</v>
      </c>
      <c r="M5781" s="10"/>
      <c r="N5781" s="10" t="s">
        <v>1028</v>
      </c>
    </row>
    <row r="5782" spans="1:14" ht="22.5" customHeight="1">
      <c r="A5782" s="8">
        <v>46030.480707835653</v>
      </c>
      <c r="B5782" s="9" t="s">
        <v>14</v>
      </c>
      <c r="C5782" s="9" t="s">
        <v>15</v>
      </c>
      <c r="D5782" s="10" t="s">
        <v>12608</v>
      </c>
      <c r="E5782" s="9" t="s">
        <v>17</v>
      </c>
      <c r="F5782" s="10">
        <v>35</v>
      </c>
      <c r="G5782" s="11">
        <f t="shared" ref="G5782" si="167">201020104424</f>
        <v>201020104424</v>
      </c>
      <c r="H5782" s="10" t="s">
        <v>12609</v>
      </c>
      <c r="I5782" s="10" t="s">
        <v>19</v>
      </c>
      <c r="J5782" s="10" t="s">
        <v>7808</v>
      </c>
      <c r="K5782" s="12">
        <v>46030</v>
      </c>
      <c r="L5782" s="28" t="s">
        <v>11</v>
      </c>
      <c r="M5782" s="14"/>
      <c r="N5782" s="10" t="s">
        <v>1563</v>
      </c>
    </row>
    <row r="5783" spans="1:14" ht="22.5" customHeight="1">
      <c r="A5783" s="8">
        <v>46030.482374409723</v>
      </c>
      <c r="B5783" s="9" t="s">
        <v>14</v>
      </c>
      <c r="C5783" s="9" t="s">
        <v>15</v>
      </c>
      <c r="D5783" s="10" t="s">
        <v>12610</v>
      </c>
      <c r="E5783" s="9" t="s">
        <v>22</v>
      </c>
      <c r="F5783" s="10">
        <v>29</v>
      </c>
      <c r="G5783" s="11">
        <v>8141242704</v>
      </c>
      <c r="H5783" s="10" t="s">
        <v>12611</v>
      </c>
      <c r="I5783" s="10" t="s">
        <v>145</v>
      </c>
      <c r="J5783" s="10" t="s">
        <v>3296</v>
      </c>
      <c r="K5783" s="12">
        <v>46030</v>
      </c>
      <c r="L5783" s="28" t="s">
        <v>11</v>
      </c>
      <c r="M5783" s="14"/>
      <c r="N5783" s="10" t="s">
        <v>1096</v>
      </c>
    </row>
    <row r="5784" spans="1:14" ht="22.5" customHeight="1">
      <c r="A5784" s="8">
        <v>46030.483603692133</v>
      </c>
      <c r="B5784" s="9" t="s">
        <v>14</v>
      </c>
      <c r="C5784" s="9" t="s">
        <v>15</v>
      </c>
      <c r="D5784" s="10" t="s">
        <v>12612</v>
      </c>
      <c r="E5784" s="9" t="s">
        <v>22</v>
      </c>
      <c r="F5784" s="10">
        <v>20</v>
      </c>
      <c r="G5784" s="11">
        <v>8155409451</v>
      </c>
      <c r="H5784" s="10" t="s">
        <v>12613</v>
      </c>
      <c r="I5784" s="10" t="s">
        <v>145</v>
      </c>
      <c r="J5784" s="10" t="s">
        <v>12521</v>
      </c>
      <c r="K5784" s="12">
        <v>46030</v>
      </c>
      <c r="L5784" s="28" t="s">
        <v>11</v>
      </c>
      <c r="M5784" s="14"/>
      <c r="N5784" s="10" t="s">
        <v>1028</v>
      </c>
    </row>
    <row r="5785" spans="1:14" ht="22.5" customHeight="1">
      <c r="A5785" s="8">
        <v>46030.48439247685</v>
      </c>
      <c r="B5785" s="9" t="s">
        <v>14</v>
      </c>
      <c r="C5785" s="9" t="s">
        <v>15</v>
      </c>
      <c r="D5785" s="10" t="s">
        <v>12614</v>
      </c>
      <c r="E5785" s="9" t="s">
        <v>17</v>
      </c>
      <c r="F5785" s="10">
        <v>29</v>
      </c>
      <c r="G5785" s="11">
        <f t="shared" ref="G5785" si="168">2348166090188</f>
        <v>2348166090188</v>
      </c>
      <c r="H5785" s="10" t="s">
        <v>12615</v>
      </c>
      <c r="I5785" s="10" t="s">
        <v>19</v>
      </c>
      <c r="J5785" s="10" t="s">
        <v>812</v>
      </c>
      <c r="K5785" s="12">
        <v>46030</v>
      </c>
      <c r="L5785" s="28" t="s">
        <v>11</v>
      </c>
      <c r="M5785" s="14"/>
      <c r="N5785" s="10" t="s">
        <v>1028</v>
      </c>
    </row>
    <row r="5786" spans="1:14" ht="22.5" customHeight="1">
      <c r="A5786" s="8">
        <v>46030.484655347223</v>
      </c>
      <c r="B5786" s="9" t="s">
        <v>14</v>
      </c>
      <c r="C5786" s="9" t="s">
        <v>15</v>
      </c>
      <c r="D5786" s="10" t="s">
        <v>12616</v>
      </c>
      <c r="E5786" s="9" t="s">
        <v>17</v>
      </c>
      <c r="F5786" s="10">
        <v>30</v>
      </c>
      <c r="G5786" s="11">
        <v>8068489938</v>
      </c>
      <c r="H5786" s="10" t="s">
        <v>12617</v>
      </c>
      <c r="I5786" s="10" t="s">
        <v>45</v>
      </c>
      <c r="J5786" s="10" t="s">
        <v>84</v>
      </c>
      <c r="K5786" s="12">
        <v>46030</v>
      </c>
      <c r="L5786" s="28" t="s">
        <v>11</v>
      </c>
      <c r="M5786" s="14"/>
      <c r="N5786" s="10" t="s">
        <v>1028</v>
      </c>
    </row>
    <row r="5787" spans="1:14" ht="22.5" customHeight="1">
      <c r="A5787" s="8">
        <v>46030.488217627309</v>
      </c>
      <c r="B5787" s="9" t="s">
        <v>14</v>
      </c>
      <c r="C5787" s="9" t="s">
        <v>15</v>
      </c>
      <c r="D5787" s="10" t="s">
        <v>12618</v>
      </c>
      <c r="E5787" s="9" t="s">
        <v>22</v>
      </c>
      <c r="F5787" s="10">
        <v>33</v>
      </c>
      <c r="G5787" s="11">
        <f>2348104080888</f>
        <v>2348104080888</v>
      </c>
      <c r="H5787" s="10" t="s">
        <v>12619</v>
      </c>
      <c r="I5787" s="10" t="s">
        <v>27</v>
      </c>
      <c r="J5787" s="10" t="s">
        <v>703</v>
      </c>
      <c r="K5787" s="12">
        <v>46030</v>
      </c>
      <c r="L5787" s="28" t="s">
        <v>11</v>
      </c>
      <c r="M5787" s="14"/>
      <c r="N5787" s="10" t="s">
        <v>1028</v>
      </c>
    </row>
    <row r="5788" spans="1:14" ht="22.5" customHeight="1">
      <c r="A5788" s="8">
        <v>46030.488549074071</v>
      </c>
      <c r="B5788" s="9" t="s">
        <v>14</v>
      </c>
      <c r="C5788" s="9" t="s">
        <v>15</v>
      </c>
      <c r="D5788" s="10" t="s">
        <v>12620</v>
      </c>
      <c r="E5788" s="9" t="s">
        <v>22</v>
      </c>
      <c r="F5788" s="10">
        <v>30</v>
      </c>
      <c r="G5788" s="11">
        <v>8139115913</v>
      </c>
      <c r="H5788" s="10" t="s">
        <v>12621</v>
      </c>
      <c r="I5788" s="10" t="s">
        <v>27</v>
      </c>
      <c r="J5788" s="10" t="s">
        <v>2069</v>
      </c>
      <c r="K5788" s="12">
        <v>34853</v>
      </c>
      <c r="L5788" s="28" t="s">
        <v>11</v>
      </c>
      <c r="M5788" s="14"/>
      <c r="N5788" s="10" t="s">
        <v>1028</v>
      </c>
    </row>
    <row r="5789" spans="1:14" ht="22.5" customHeight="1">
      <c r="A5789" s="8">
        <v>46030.488560868056</v>
      </c>
      <c r="B5789" s="9" t="s">
        <v>14</v>
      </c>
      <c r="C5789" s="9" t="s">
        <v>15</v>
      </c>
      <c r="D5789" s="10" t="s">
        <v>12622</v>
      </c>
      <c r="E5789" s="9" t="s">
        <v>17</v>
      </c>
      <c r="F5789" s="10">
        <v>26</v>
      </c>
      <c r="G5789" s="11">
        <v>9036355567</v>
      </c>
      <c r="H5789" s="10" t="s">
        <v>12623</v>
      </c>
      <c r="I5789" s="10" t="s">
        <v>49</v>
      </c>
      <c r="J5789" s="10" t="s">
        <v>73</v>
      </c>
      <c r="K5789" s="12">
        <v>46030</v>
      </c>
      <c r="L5789" s="28" t="s">
        <v>11</v>
      </c>
      <c r="M5789" s="14"/>
      <c r="N5789" s="10" t="s">
        <v>1096</v>
      </c>
    </row>
    <row r="5790" spans="1:14" ht="22.5" customHeight="1">
      <c r="A5790" s="8">
        <v>46030.488917673611</v>
      </c>
      <c r="B5790" s="9" t="s">
        <v>14</v>
      </c>
      <c r="C5790" s="9" t="s">
        <v>15</v>
      </c>
      <c r="D5790" s="10" t="s">
        <v>1610</v>
      </c>
      <c r="E5790" s="9" t="s">
        <v>22</v>
      </c>
      <c r="F5790" s="10">
        <v>24</v>
      </c>
      <c r="G5790" s="11">
        <v>8101455123</v>
      </c>
      <c r="H5790" s="10" t="s">
        <v>1611</v>
      </c>
      <c r="I5790" s="10" t="s">
        <v>49</v>
      </c>
      <c r="J5790" s="10" t="s">
        <v>106</v>
      </c>
      <c r="K5790" s="12">
        <v>46030</v>
      </c>
      <c r="L5790" s="28" t="s">
        <v>11</v>
      </c>
      <c r="M5790" s="10"/>
      <c r="N5790" s="10" t="s">
        <v>1028</v>
      </c>
    </row>
    <row r="5791" spans="1:14" ht="22.5" customHeight="1">
      <c r="A5791" s="8">
        <v>46030.489327962961</v>
      </c>
      <c r="B5791" s="9" t="s">
        <v>14</v>
      </c>
      <c r="C5791" s="9" t="s">
        <v>15</v>
      </c>
      <c r="D5791" s="10" t="s">
        <v>12624</v>
      </c>
      <c r="E5791" s="9" t="s">
        <v>17</v>
      </c>
      <c r="F5791" s="10">
        <v>29</v>
      </c>
      <c r="G5791" s="11">
        <v>9036159490</v>
      </c>
      <c r="H5791" s="10" t="s">
        <v>12625</v>
      </c>
      <c r="I5791" s="10" t="s">
        <v>27</v>
      </c>
      <c r="J5791" s="10" t="s">
        <v>27</v>
      </c>
      <c r="K5791" s="12">
        <v>46030</v>
      </c>
      <c r="L5791" s="28" t="s">
        <v>11</v>
      </c>
      <c r="M5791" s="14"/>
      <c r="N5791" s="10" t="s">
        <v>1096</v>
      </c>
    </row>
    <row r="5792" spans="1:14" ht="22.5" customHeight="1">
      <c r="A5792" s="8">
        <v>46030.489434120369</v>
      </c>
      <c r="B5792" s="9" t="s">
        <v>14</v>
      </c>
      <c r="C5792" s="9" t="s">
        <v>15</v>
      </c>
      <c r="D5792" s="10" t="s">
        <v>12626</v>
      </c>
      <c r="E5792" s="9" t="s">
        <v>17</v>
      </c>
      <c r="F5792" s="10">
        <v>29</v>
      </c>
      <c r="G5792" s="11">
        <v>8144359424</v>
      </c>
      <c r="H5792" s="10" t="s">
        <v>12627</v>
      </c>
      <c r="I5792" s="10" t="s">
        <v>45</v>
      </c>
      <c r="J5792" s="10" t="s">
        <v>1802</v>
      </c>
      <c r="K5792" s="12">
        <v>46030</v>
      </c>
      <c r="L5792" s="28" t="s">
        <v>11</v>
      </c>
      <c r="M5792" s="14"/>
      <c r="N5792" s="10" t="s">
        <v>1028</v>
      </c>
    </row>
    <row r="5793" spans="1:14" ht="22.5" customHeight="1">
      <c r="A5793" s="8">
        <v>46030.492341620367</v>
      </c>
      <c r="B5793" s="9" t="s">
        <v>14</v>
      </c>
      <c r="C5793" s="9" t="s">
        <v>15</v>
      </c>
      <c r="D5793" s="10" t="s">
        <v>12628</v>
      </c>
      <c r="E5793" s="9" t="s">
        <v>17</v>
      </c>
      <c r="F5793" s="10">
        <v>24</v>
      </c>
      <c r="G5793" s="11">
        <v>8058310417</v>
      </c>
      <c r="H5793" s="10" t="s">
        <v>12629</v>
      </c>
      <c r="I5793" s="10" t="s">
        <v>19</v>
      </c>
      <c r="J5793" s="10" t="s">
        <v>1228</v>
      </c>
      <c r="K5793" s="12">
        <v>46030</v>
      </c>
      <c r="L5793" s="28" t="s">
        <v>11</v>
      </c>
      <c r="M5793" s="14"/>
      <c r="N5793" s="10" t="s">
        <v>1096</v>
      </c>
    </row>
    <row r="5794" spans="1:14" ht="22.5" customHeight="1">
      <c r="A5794" s="8">
        <v>46030.492612060189</v>
      </c>
      <c r="B5794" s="9" t="s">
        <v>14</v>
      </c>
      <c r="C5794" s="9" t="s">
        <v>15</v>
      </c>
      <c r="D5794" s="10" t="s">
        <v>12630</v>
      </c>
      <c r="E5794" s="9" t="s">
        <v>17</v>
      </c>
      <c r="F5794" s="10">
        <v>31</v>
      </c>
      <c r="G5794" s="11">
        <v>8133802418</v>
      </c>
      <c r="H5794" s="10" t="s">
        <v>12631</v>
      </c>
      <c r="I5794" s="10" t="s">
        <v>45</v>
      </c>
      <c r="J5794" s="10" t="s">
        <v>46</v>
      </c>
      <c r="K5794" s="12">
        <v>46030</v>
      </c>
      <c r="L5794" s="28" t="s">
        <v>11</v>
      </c>
      <c r="M5794" s="14"/>
      <c r="N5794" s="10" t="s">
        <v>1028</v>
      </c>
    </row>
    <row r="5795" spans="1:14" ht="22.5" customHeight="1">
      <c r="A5795" s="8">
        <v>46030.493424490742</v>
      </c>
      <c r="B5795" s="9" t="s">
        <v>14</v>
      </c>
      <c r="C5795" s="9" t="s">
        <v>15</v>
      </c>
      <c r="D5795" s="10" t="s">
        <v>12632</v>
      </c>
      <c r="E5795" s="9" t="s">
        <v>17</v>
      </c>
      <c r="F5795" s="10">
        <v>31</v>
      </c>
      <c r="G5795" s="11">
        <v>7034712399</v>
      </c>
      <c r="H5795" s="10" t="s">
        <v>12633</v>
      </c>
      <c r="I5795" s="10" t="s">
        <v>45</v>
      </c>
      <c r="J5795" s="10" t="s">
        <v>12634</v>
      </c>
      <c r="K5795" s="12">
        <v>46030</v>
      </c>
      <c r="L5795" s="28" t="s">
        <v>11</v>
      </c>
      <c r="M5795" s="14"/>
      <c r="N5795" s="10" t="s">
        <v>1028</v>
      </c>
    </row>
    <row r="5796" spans="1:14" ht="22.5" customHeight="1">
      <c r="A5796" s="8">
        <v>46030.493752337963</v>
      </c>
      <c r="B5796" s="9" t="s">
        <v>14</v>
      </c>
      <c r="C5796" s="9" t="s">
        <v>15</v>
      </c>
      <c r="D5796" s="10" t="s">
        <v>12635</v>
      </c>
      <c r="E5796" s="9" t="s">
        <v>17</v>
      </c>
      <c r="F5796" s="10">
        <v>24</v>
      </c>
      <c r="G5796" s="11">
        <v>8149650596</v>
      </c>
      <c r="H5796" s="10" t="s">
        <v>12636</v>
      </c>
      <c r="I5796" s="10" t="s">
        <v>19</v>
      </c>
      <c r="J5796" s="10" t="s">
        <v>11133</v>
      </c>
      <c r="K5796" s="12">
        <v>46030</v>
      </c>
      <c r="L5796" s="28" t="s">
        <v>11</v>
      </c>
      <c r="M5796" s="14"/>
      <c r="N5796" s="10" t="s">
        <v>1028</v>
      </c>
    </row>
    <row r="5797" spans="1:14" ht="22.5" customHeight="1">
      <c r="A5797" s="8">
        <v>46030.495713449069</v>
      </c>
      <c r="B5797" s="9" t="s">
        <v>14</v>
      </c>
      <c r="C5797" s="9" t="s">
        <v>15</v>
      </c>
      <c r="D5797" s="10" t="s">
        <v>12637</v>
      </c>
      <c r="E5797" s="9" t="s">
        <v>22</v>
      </c>
      <c r="F5797" s="10">
        <v>43</v>
      </c>
      <c r="G5797" s="11">
        <f t="shared" ref="G5797" si="169">26771926273</f>
        <v>26771926273</v>
      </c>
      <c r="H5797" s="10" t="s">
        <v>12638</v>
      </c>
      <c r="I5797" s="10" t="s">
        <v>45</v>
      </c>
      <c r="J5797" s="10" t="s">
        <v>45</v>
      </c>
      <c r="K5797" s="12">
        <v>45665</v>
      </c>
      <c r="L5797" s="28" t="s">
        <v>11</v>
      </c>
      <c r="M5797" s="14"/>
      <c r="N5797" s="10" t="s">
        <v>1028</v>
      </c>
    </row>
    <row r="5798" spans="1:14" ht="22.5" customHeight="1">
      <c r="A5798" s="8">
        <v>46030.495842662036</v>
      </c>
      <c r="B5798" s="9" t="s">
        <v>14</v>
      </c>
      <c r="C5798" s="9" t="s">
        <v>15</v>
      </c>
      <c r="D5798" s="10" t="s">
        <v>12639</v>
      </c>
      <c r="E5798" s="9" t="s">
        <v>17</v>
      </c>
      <c r="F5798" s="10">
        <v>33</v>
      </c>
      <c r="G5798" s="11">
        <f t="shared" ref="G5798" si="170">2348109442533</f>
        <v>2348109442533</v>
      </c>
      <c r="H5798" s="10" t="s">
        <v>12640</v>
      </c>
      <c r="I5798" s="10" t="s">
        <v>45</v>
      </c>
      <c r="J5798" s="10" t="s">
        <v>46</v>
      </c>
      <c r="K5798" s="12">
        <v>46030</v>
      </c>
      <c r="L5798" s="28" t="s">
        <v>11</v>
      </c>
      <c r="M5798" s="14"/>
      <c r="N5798" s="10" t="s">
        <v>1096</v>
      </c>
    </row>
    <row r="5799" spans="1:14" ht="22.5" customHeight="1">
      <c r="A5799" s="8">
        <v>46030.498430856482</v>
      </c>
      <c r="B5799" s="9" t="s">
        <v>14</v>
      </c>
      <c r="C5799" s="9" t="s">
        <v>15</v>
      </c>
      <c r="D5799" s="10" t="s">
        <v>12641</v>
      </c>
      <c r="E5799" s="9" t="s">
        <v>17</v>
      </c>
      <c r="F5799" s="10">
        <v>33</v>
      </c>
      <c r="G5799" s="11">
        <v>7047020718</v>
      </c>
      <c r="H5799" s="10" t="s">
        <v>12642</v>
      </c>
      <c r="I5799" s="10" t="s">
        <v>45</v>
      </c>
      <c r="J5799" s="10" t="s">
        <v>932</v>
      </c>
      <c r="K5799" s="12">
        <v>46030</v>
      </c>
      <c r="L5799" s="28" t="s">
        <v>11</v>
      </c>
      <c r="M5799" s="14"/>
      <c r="N5799" s="10" t="s">
        <v>4132</v>
      </c>
    </row>
    <row r="5800" spans="1:14" ht="22.5" customHeight="1">
      <c r="A5800" s="8">
        <v>46030.498965324077</v>
      </c>
      <c r="B5800" s="9" t="s">
        <v>14</v>
      </c>
      <c r="C5800" s="9" t="s">
        <v>15</v>
      </c>
      <c r="D5800" s="10" t="s">
        <v>12643</v>
      </c>
      <c r="E5800" s="9" t="s">
        <v>17</v>
      </c>
      <c r="F5800" s="10">
        <v>22</v>
      </c>
      <c r="G5800" s="11">
        <v>7044814701</v>
      </c>
      <c r="H5800" s="10" t="s">
        <v>12644</v>
      </c>
      <c r="I5800" s="10" t="s">
        <v>19</v>
      </c>
      <c r="J5800" s="10" t="s">
        <v>24</v>
      </c>
      <c r="K5800" s="12">
        <v>46030</v>
      </c>
      <c r="L5800" s="28" t="s">
        <v>11</v>
      </c>
      <c r="M5800" s="14"/>
      <c r="N5800" s="10" t="s">
        <v>1028</v>
      </c>
    </row>
    <row r="5801" spans="1:14" ht="22.5" hidden="1" customHeight="1">
      <c r="A5801" s="8">
        <v>46030.499286435181</v>
      </c>
      <c r="B5801" s="9" t="s">
        <v>14</v>
      </c>
      <c r="C5801" s="9" t="s">
        <v>15</v>
      </c>
      <c r="D5801" s="10" t="s">
        <v>12445</v>
      </c>
      <c r="E5801" s="9" t="s">
        <v>17</v>
      </c>
      <c r="F5801" s="10">
        <v>20</v>
      </c>
      <c r="G5801" s="11">
        <v>7041772371</v>
      </c>
      <c r="H5801" s="10" t="s">
        <v>12645</v>
      </c>
      <c r="I5801" s="10" t="s">
        <v>27</v>
      </c>
      <c r="J5801" s="10" t="s">
        <v>94</v>
      </c>
      <c r="K5801" s="12">
        <v>46030</v>
      </c>
      <c r="L5801" s="10" t="s">
        <v>441</v>
      </c>
      <c r="M5801" s="10" t="s">
        <v>1361</v>
      </c>
      <c r="N5801" s="10" t="s">
        <v>1028</v>
      </c>
    </row>
    <row r="5802" spans="1:14" ht="22.5" customHeight="1">
      <c r="A5802" s="8">
        <v>46030.500498819441</v>
      </c>
      <c r="B5802" s="9" t="s">
        <v>14</v>
      </c>
      <c r="C5802" s="9" t="s">
        <v>15</v>
      </c>
      <c r="D5802" s="10" t="s">
        <v>12646</v>
      </c>
      <c r="E5802" s="9" t="s">
        <v>22</v>
      </c>
      <c r="F5802" s="10">
        <v>23</v>
      </c>
      <c r="G5802" s="11">
        <v>9038656352</v>
      </c>
      <c r="H5802" s="10" t="s">
        <v>12647</v>
      </c>
      <c r="I5802" s="10" t="s">
        <v>19</v>
      </c>
      <c r="J5802" s="10" t="s">
        <v>12648</v>
      </c>
      <c r="K5802" s="12">
        <v>46030</v>
      </c>
      <c r="L5802" s="28" t="s">
        <v>11</v>
      </c>
      <c r="M5802" s="10"/>
      <c r="N5802" s="10" t="s">
        <v>1096</v>
      </c>
    </row>
    <row r="5803" spans="1:14" ht="22.5" customHeight="1">
      <c r="A5803" s="8">
        <v>46030.502115428244</v>
      </c>
      <c r="B5803" s="9" t="s">
        <v>14</v>
      </c>
      <c r="C5803" s="9" t="s">
        <v>15</v>
      </c>
      <c r="D5803" s="10" t="s">
        <v>12649</v>
      </c>
      <c r="E5803" s="9" t="s">
        <v>17</v>
      </c>
      <c r="F5803" s="10">
        <v>30</v>
      </c>
      <c r="G5803" s="11">
        <v>8174845761</v>
      </c>
      <c r="H5803" s="10" t="s">
        <v>4048</v>
      </c>
      <c r="I5803" s="10" t="s">
        <v>19</v>
      </c>
      <c r="J5803" s="10" t="s">
        <v>3495</v>
      </c>
      <c r="K5803" s="12">
        <v>46030</v>
      </c>
      <c r="L5803" s="28" t="s">
        <v>11</v>
      </c>
      <c r="M5803" s="14"/>
      <c r="N5803" s="10" t="s">
        <v>1028</v>
      </c>
    </row>
    <row r="5804" spans="1:14" ht="22.5" customHeight="1">
      <c r="A5804" s="8">
        <v>46030.504015578699</v>
      </c>
      <c r="B5804" s="9" t="s">
        <v>14</v>
      </c>
      <c r="C5804" s="9" t="s">
        <v>15</v>
      </c>
      <c r="D5804" s="10" t="s">
        <v>12650</v>
      </c>
      <c r="E5804" s="9" t="s">
        <v>17</v>
      </c>
      <c r="F5804" s="10">
        <v>30</v>
      </c>
      <c r="G5804" s="11">
        <v>8137919012</v>
      </c>
      <c r="H5804" s="10" t="s">
        <v>12651</v>
      </c>
      <c r="I5804" s="10" t="s">
        <v>19</v>
      </c>
      <c r="J5804" s="10" t="s">
        <v>12652</v>
      </c>
      <c r="K5804" s="12">
        <v>46030</v>
      </c>
      <c r="L5804" s="28" t="s">
        <v>11</v>
      </c>
      <c r="M5804" s="14"/>
      <c r="N5804" s="10" t="s">
        <v>1028</v>
      </c>
    </row>
    <row r="5805" spans="1:14" ht="22.5" customHeight="1">
      <c r="A5805" s="8">
        <v>46030.504934085649</v>
      </c>
      <c r="B5805" s="9" t="s">
        <v>14</v>
      </c>
      <c r="C5805" s="9" t="s">
        <v>15</v>
      </c>
      <c r="D5805" s="10" t="s">
        <v>12653</v>
      </c>
      <c r="E5805" s="9" t="s">
        <v>17</v>
      </c>
      <c r="F5805" s="10">
        <v>24</v>
      </c>
      <c r="G5805" s="11">
        <v>9161602047</v>
      </c>
      <c r="H5805" s="10" t="s">
        <v>12654</v>
      </c>
      <c r="I5805" s="10" t="s">
        <v>19</v>
      </c>
      <c r="J5805" s="10" t="s">
        <v>12655</v>
      </c>
      <c r="K5805" s="12">
        <v>46030</v>
      </c>
      <c r="L5805" s="28" t="s">
        <v>11</v>
      </c>
      <c r="M5805" s="14"/>
      <c r="N5805" s="10" t="s">
        <v>1028</v>
      </c>
    </row>
    <row r="5806" spans="1:14" ht="22.5" customHeight="1">
      <c r="A5806" s="8">
        <v>46030.5053391088</v>
      </c>
      <c r="B5806" s="9" t="s">
        <v>14</v>
      </c>
      <c r="C5806" s="9" t="s">
        <v>15</v>
      </c>
      <c r="D5806" s="10" t="s">
        <v>12656</v>
      </c>
      <c r="E5806" s="9" t="s">
        <v>17</v>
      </c>
      <c r="F5806" s="10">
        <v>33</v>
      </c>
      <c r="G5806" s="11">
        <v>7035939415</v>
      </c>
      <c r="H5806" s="10" t="s">
        <v>12657</v>
      </c>
      <c r="I5806" s="10" t="s">
        <v>27</v>
      </c>
      <c r="J5806" s="10" t="s">
        <v>1514</v>
      </c>
      <c r="K5806" s="12">
        <v>46030</v>
      </c>
      <c r="L5806" s="28" t="s">
        <v>11</v>
      </c>
      <c r="M5806" s="14"/>
      <c r="N5806" s="10" t="s">
        <v>1096</v>
      </c>
    </row>
    <row r="5807" spans="1:14" ht="22.5" customHeight="1">
      <c r="A5807" s="8">
        <v>46030.505753645833</v>
      </c>
      <c r="B5807" s="9" t="s">
        <v>14</v>
      </c>
      <c r="C5807" s="9" t="s">
        <v>15</v>
      </c>
      <c r="D5807" s="10" t="s">
        <v>3995</v>
      </c>
      <c r="E5807" s="9" t="s">
        <v>17</v>
      </c>
      <c r="F5807" s="10">
        <v>28</v>
      </c>
      <c r="G5807" s="11">
        <v>7026030411</v>
      </c>
      <c r="H5807" s="10" t="s">
        <v>3996</v>
      </c>
      <c r="I5807" s="10" t="s">
        <v>19</v>
      </c>
      <c r="J5807" s="10" t="s">
        <v>119</v>
      </c>
      <c r="K5807" s="12">
        <v>46030</v>
      </c>
      <c r="L5807" s="28" t="s">
        <v>11</v>
      </c>
      <c r="M5807" s="14"/>
      <c r="N5807" s="10" t="s">
        <v>1096</v>
      </c>
    </row>
    <row r="5808" spans="1:14" ht="22.5" customHeight="1">
      <c r="A5808" s="8">
        <v>46030.505789120369</v>
      </c>
      <c r="B5808" s="9" t="s">
        <v>14</v>
      </c>
      <c r="C5808" s="9" t="s">
        <v>15</v>
      </c>
      <c r="D5808" s="10" t="s">
        <v>12658</v>
      </c>
      <c r="E5808" s="9" t="s">
        <v>17</v>
      </c>
      <c r="F5808" s="10">
        <v>31</v>
      </c>
      <c r="G5808" s="11">
        <v>8064681028</v>
      </c>
      <c r="H5808" s="10" t="s">
        <v>12659</v>
      </c>
      <c r="I5808" s="10" t="s">
        <v>45</v>
      </c>
      <c r="J5808" s="10" t="s">
        <v>12660</v>
      </c>
      <c r="K5808" s="12">
        <v>46030</v>
      </c>
      <c r="L5808" s="28" t="s">
        <v>11</v>
      </c>
      <c r="M5808" s="14"/>
      <c r="N5808" s="10" t="s">
        <v>1096</v>
      </c>
    </row>
    <row r="5809" spans="1:14" ht="22.5" customHeight="1">
      <c r="A5809" s="8">
        <v>46030.507027164349</v>
      </c>
      <c r="B5809" s="9" t="s">
        <v>14</v>
      </c>
      <c r="C5809" s="9" t="s">
        <v>15</v>
      </c>
      <c r="D5809" s="10" t="s">
        <v>5939</v>
      </c>
      <c r="E5809" s="9" t="s">
        <v>17</v>
      </c>
      <c r="F5809" s="10">
        <v>27</v>
      </c>
      <c r="G5809" s="11">
        <v>9036711336</v>
      </c>
      <c r="H5809" s="10" t="s">
        <v>12661</v>
      </c>
      <c r="I5809" s="10" t="s">
        <v>27</v>
      </c>
      <c r="J5809" s="10" t="s">
        <v>70</v>
      </c>
      <c r="K5809" s="12">
        <v>46030</v>
      </c>
      <c r="L5809" s="28" t="s">
        <v>11</v>
      </c>
      <c r="M5809" s="14"/>
      <c r="N5809" s="10" t="s">
        <v>1028</v>
      </c>
    </row>
    <row r="5810" spans="1:14" ht="22.5" customHeight="1">
      <c r="A5810" s="8">
        <v>46030.508178912038</v>
      </c>
      <c r="B5810" s="9" t="s">
        <v>14</v>
      </c>
      <c r="C5810" s="9" t="s">
        <v>15</v>
      </c>
      <c r="D5810" s="10" t="s">
        <v>12662</v>
      </c>
      <c r="E5810" s="9" t="s">
        <v>17</v>
      </c>
      <c r="F5810" s="10">
        <v>29</v>
      </c>
      <c r="G5810" s="11">
        <v>8133758330</v>
      </c>
      <c r="H5810" s="10" t="s">
        <v>12663</v>
      </c>
      <c r="I5810" s="10" t="s">
        <v>31</v>
      </c>
      <c r="J5810" s="10" t="s">
        <v>32</v>
      </c>
      <c r="K5810" s="12">
        <v>46030</v>
      </c>
      <c r="L5810" s="28" t="s">
        <v>11</v>
      </c>
      <c r="M5810" s="14"/>
      <c r="N5810" s="10" t="s">
        <v>1028</v>
      </c>
    </row>
    <row r="5811" spans="1:14" ht="22.5" customHeight="1">
      <c r="A5811" s="8">
        <v>46030.50843696759</v>
      </c>
      <c r="B5811" s="9" t="s">
        <v>14</v>
      </c>
      <c r="C5811" s="9" t="s">
        <v>15</v>
      </c>
      <c r="D5811" s="10" t="s">
        <v>12664</v>
      </c>
      <c r="E5811" s="9" t="s">
        <v>17</v>
      </c>
      <c r="F5811" s="10">
        <v>31</v>
      </c>
      <c r="G5811" s="11">
        <v>7063628046</v>
      </c>
      <c r="H5811" s="10" t="s">
        <v>12665</v>
      </c>
      <c r="I5811" s="10" t="s">
        <v>19</v>
      </c>
      <c r="J5811" s="10" t="s">
        <v>3369</v>
      </c>
      <c r="K5811" s="12">
        <v>46030</v>
      </c>
      <c r="L5811" s="28" t="s">
        <v>11</v>
      </c>
      <c r="M5811" s="14"/>
      <c r="N5811" s="10" t="s">
        <v>1028</v>
      </c>
    </row>
    <row r="5812" spans="1:14" ht="22.5" customHeight="1">
      <c r="A5812" s="8">
        <v>46030.508486331019</v>
      </c>
      <c r="B5812" s="9" t="s">
        <v>14</v>
      </c>
      <c r="C5812" s="9" t="s">
        <v>15</v>
      </c>
      <c r="D5812" s="10" t="s">
        <v>12666</v>
      </c>
      <c r="E5812" s="9" t="s">
        <v>22</v>
      </c>
      <c r="F5812" s="10">
        <v>24</v>
      </c>
      <c r="G5812" s="11">
        <v>8130362128</v>
      </c>
      <c r="H5812" s="10" t="s">
        <v>12667</v>
      </c>
      <c r="I5812" s="10" t="s">
        <v>19</v>
      </c>
      <c r="J5812" s="10" t="s">
        <v>1845</v>
      </c>
      <c r="K5812" s="12">
        <v>46030</v>
      </c>
      <c r="L5812" s="28" t="s">
        <v>11</v>
      </c>
      <c r="M5812" s="14"/>
      <c r="N5812" s="10" t="s">
        <v>1028</v>
      </c>
    </row>
    <row r="5813" spans="1:14" ht="22.5" customHeight="1">
      <c r="A5813" s="8">
        <v>46030.509241608801</v>
      </c>
      <c r="B5813" s="9" t="s">
        <v>14</v>
      </c>
      <c r="C5813" s="9" t="s">
        <v>15</v>
      </c>
      <c r="D5813" s="10" t="s">
        <v>12668</v>
      </c>
      <c r="E5813" s="9" t="s">
        <v>17</v>
      </c>
      <c r="F5813" s="10">
        <v>24</v>
      </c>
      <c r="G5813" s="11">
        <v>8076057723</v>
      </c>
      <c r="H5813" s="10" t="s">
        <v>12669</v>
      </c>
      <c r="I5813" s="10" t="s">
        <v>49</v>
      </c>
      <c r="J5813" s="10" t="s">
        <v>73</v>
      </c>
      <c r="K5813" s="12">
        <v>46030</v>
      </c>
      <c r="L5813" s="28" t="s">
        <v>11</v>
      </c>
      <c r="M5813" s="14"/>
      <c r="N5813" s="10" t="s">
        <v>1028</v>
      </c>
    </row>
    <row r="5814" spans="1:14" ht="22.5" customHeight="1">
      <c r="A5814" s="8">
        <v>46030.510284942131</v>
      </c>
      <c r="B5814" s="9" t="s">
        <v>14</v>
      </c>
      <c r="C5814" s="9" t="s">
        <v>15</v>
      </c>
      <c r="D5814" s="10" t="s">
        <v>12670</v>
      </c>
      <c r="E5814" s="9" t="s">
        <v>17</v>
      </c>
      <c r="F5814" s="10">
        <v>27</v>
      </c>
      <c r="G5814" s="11">
        <v>9049806221</v>
      </c>
      <c r="H5814" s="10" t="s">
        <v>12671</v>
      </c>
      <c r="I5814" s="10" t="s">
        <v>202</v>
      </c>
      <c r="J5814" s="10" t="s">
        <v>1619</v>
      </c>
      <c r="K5814" s="12">
        <v>46030</v>
      </c>
      <c r="L5814" s="28" t="s">
        <v>11</v>
      </c>
      <c r="M5814" s="14"/>
      <c r="N5814" s="10" t="s">
        <v>1035</v>
      </c>
    </row>
    <row r="5815" spans="1:14" ht="22.5" customHeight="1">
      <c r="A5815" s="8">
        <v>46030.510342048612</v>
      </c>
      <c r="B5815" s="9" t="s">
        <v>14</v>
      </c>
      <c r="C5815" s="9" t="s">
        <v>15</v>
      </c>
      <c r="D5815" s="10" t="s">
        <v>12672</v>
      </c>
      <c r="E5815" s="9" t="s">
        <v>17</v>
      </c>
      <c r="F5815" s="10">
        <v>29</v>
      </c>
      <c r="G5815" s="11">
        <v>7031988092</v>
      </c>
      <c r="H5815" s="10" t="s">
        <v>12673</v>
      </c>
      <c r="I5815" s="10" t="s">
        <v>49</v>
      </c>
      <c r="J5815" s="10" t="s">
        <v>109</v>
      </c>
      <c r="K5815" s="12">
        <v>46030</v>
      </c>
      <c r="L5815" s="28" t="s">
        <v>11</v>
      </c>
      <c r="M5815" s="14"/>
      <c r="N5815" s="10" t="s">
        <v>1096</v>
      </c>
    </row>
    <row r="5816" spans="1:14" ht="22.5" customHeight="1">
      <c r="A5816" s="8">
        <v>46030.51235686343</v>
      </c>
      <c r="B5816" s="9" t="s">
        <v>14</v>
      </c>
      <c r="C5816" s="9" t="s">
        <v>15</v>
      </c>
      <c r="D5816" s="10" t="s">
        <v>12674</v>
      </c>
      <c r="E5816" s="9" t="s">
        <v>17</v>
      </c>
      <c r="F5816" s="10">
        <v>45</v>
      </c>
      <c r="G5816" s="11">
        <v>8034510392</v>
      </c>
      <c r="H5816" s="10" t="s">
        <v>12675</v>
      </c>
      <c r="I5816" s="10" t="s">
        <v>145</v>
      </c>
      <c r="J5816" s="10" t="s">
        <v>12676</v>
      </c>
      <c r="K5816" s="12">
        <v>46030</v>
      </c>
      <c r="L5816" s="28" t="s">
        <v>11</v>
      </c>
      <c r="M5816" s="14"/>
      <c r="N5816" s="10" t="s">
        <v>1028</v>
      </c>
    </row>
    <row r="5817" spans="1:14" ht="22.5" customHeight="1">
      <c r="A5817" s="8">
        <v>46030.518110972218</v>
      </c>
      <c r="B5817" s="9" t="s">
        <v>14</v>
      </c>
      <c r="C5817" s="9" t="s">
        <v>15</v>
      </c>
      <c r="D5817" s="10" t="s">
        <v>12677</v>
      </c>
      <c r="E5817" s="9" t="s">
        <v>22</v>
      </c>
      <c r="F5817" s="10">
        <v>30</v>
      </c>
      <c r="G5817" s="11">
        <v>8164996764</v>
      </c>
      <c r="H5817" s="10" t="s">
        <v>12678</v>
      </c>
      <c r="I5817" s="10" t="s">
        <v>31</v>
      </c>
      <c r="J5817" s="10" t="s">
        <v>39</v>
      </c>
      <c r="K5817" s="12">
        <v>46030</v>
      </c>
      <c r="L5817" s="28" t="s">
        <v>11</v>
      </c>
      <c r="M5817" s="14"/>
      <c r="N5817" s="10" t="s">
        <v>1028</v>
      </c>
    </row>
    <row r="5818" spans="1:14" ht="22.5" customHeight="1">
      <c r="A5818" s="8">
        <v>46030.519290682874</v>
      </c>
      <c r="B5818" s="9" t="s">
        <v>14</v>
      </c>
      <c r="C5818" s="9" t="s">
        <v>15</v>
      </c>
      <c r="D5818" s="10" t="s">
        <v>12679</v>
      </c>
      <c r="E5818" s="9" t="s">
        <v>22</v>
      </c>
      <c r="F5818" s="10">
        <v>26</v>
      </c>
      <c r="G5818" s="11">
        <v>9043267256</v>
      </c>
      <c r="H5818" s="10" t="s">
        <v>12680</v>
      </c>
      <c r="I5818" s="10" t="s">
        <v>145</v>
      </c>
      <c r="J5818" s="10" t="s">
        <v>530</v>
      </c>
      <c r="K5818" s="12">
        <v>46030</v>
      </c>
      <c r="L5818" s="28" t="s">
        <v>11</v>
      </c>
      <c r="M5818" s="14"/>
      <c r="N5818" s="10" t="s">
        <v>1028</v>
      </c>
    </row>
    <row r="5819" spans="1:14" ht="22.5" customHeight="1">
      <c r="A5819" s="8">
        <v>46030.521177569448</v>
      </c>
      <c r="B5819" s="9" t="s">
        <v>14</v>
      </c>
      <c r="C5819" s="9" t="s">
        <v>15</v>
      </c>
      <c r="D5819" s="10" t="s">
        <v>12681</v>
      </c>
      <c r="E5819" s="9" t="s">
        <v>17</v>
      </c>
      <c r="F5819" s="10">
        <v>37</v>
      </c>
      <c r="G5819" s="11">
        <v>8066095787</v>
      </c>
      <c r="H5819" s="10" t="s">
        <v>12682</v>
      </c>
      <c r="I5819" s="10" t="s">
        <v>27</v>
      </c>
      <c r="J5819" s="10" t="s">
        <v>70</v>
      </c>
      <c r="K5819" s="12">
        <v>46030</v>
      </c>
      <c r="L5819" s="28" t="s">
        <v>11</v>
      </c>
      <c r="M5819" s="14"/>
      <c r="N5819" s="10" t="s">
        <v>1028</v>
      </c>
    </row>
    <row r="5820" spans="1:14" ht="22.5" customHeight="1">
      <c r="A5820" s="8">
        <v>46030.522383125004</v>
      </c>
      <c r="B5820" s="9" t="s">
        <v>14</v>
      </c>
      <c r="C5820" s="9" t="s">
        <v>15</v>
      </c>
      <c r="D5820" s="10" t="s">
        <v>12683</v>
      </c>
      <c r="E5820" s="9" t="s">
        <v>22</v>
      </c>
      <c r="F5820" s="10">
        <v>27</v>
      </c>
      <c r="G5820" s="11">
        <v>8160808640</v>
      </c>
      <c r="H5820" s="10" t="s">
        <v>12684</v>
      </c>
      <c r="I5820" s="10" t="s">
        <v>19</v>
      </c>
      <c r="J5820" s="10" t="s">
        <v>8663</v>
      </c>
      <c r="K5820" s="12">
        <v>46030</v>
      </c>
      <c r="L5820" s="28" t="s">
        <v>11</v>
      </c>
      <c r="M5820" s="14"/>
      <c r="N5820" s="10" t="s">
        <v>1096</v>
      </c>
    </row>
    <row r="5821" spans="1:14" ht="22.5" customHeight="1">
      <c r="A5821" s="8">
        <v>46030.525965671295</v>
      </c>
      <c r="B5821" s="9" t="s">
        <v>14</v>
      </c>
      <c r="C5821" s="9" t="s">
        <v>15</v>
      </c>
      <c r="D5821" s="10" t="s">
        <v>12685</v>
      </c>
      <c r="E5821" s="9" t="s">
        <v>17</v>
      </c>
      <c r="F5821" s="10">
        <v>30</v>
      </c>
      <c r="G5821" s="11">
        <v>7081058341</v>
      </c>
      <c r="H5821" s="10" t="s">
        <v>12686</v>
      </c>
      <c r="I5821" s="10" t="s">
        <v>49</v>
      </c>
      <c r="J5821" s="10" t="s">
        <v>606</v>
      </c>
      <c r="K5821" s="12">
        <v>46030</v>
      </c>
      <c r="L5821" s="28" t="s">
        <v>11</v>
      </c>
      <c r="M5821" s="14"/>
      <c r="N5821" s="10" t="s">
        <v>1028</v>
      </c>
    </row>
    <row r="5822" spans="1:14" ht="22.5" customHeight="1">
      <c r="A5822" s="8">
        <v>46030.526271493058</v>
      </c>
      <c r="B5822" s="9" t="s">
        <v>14</v>
      </c>
      <c r="C5822" s="9" t="s">
        <v>15</v>
      </c>
      <c r="D5822" s="10" t="s">
        <v>12687</v>
      </c>
      <c r="E5822" s="9" t="s">
        <v>22</v>
      </c>
      <c r="F5822" s="10">
        <v>37</v>
      </c>
      <c r="G5822" s="11">
        <v>8039244288</v>
      </c>
      <c r="H5822" s="10" t="s">
        <v>12688</v>
      </c>
      <c r="I5822" s="10" t="s">
        <v>45</v>
      </c>
      <c r="J5822" s="10" t="s">
        <v>12689</v>
      </c>
      <c r="K5822" s="12">
        <v>46030</v>
      </c>
      <c r="L5822" s="28" t="s">
        <v>11</v>
      </c>
      <c r="M5822" s="14"/>
      <c r="N5822" s="10" t="s">
        <v>1028</v>
      </c>
    </row>
    <row r="5823" spans="1:14" ht="22.5" customHeight="1">
      <c r="A5823" s="8">
        <v>46030.530297349542</v>
      </c>
      <c r="B5823" s="9" t="s">
        <v>14</v>
      </c>
      <c r="C5823" s="9" t="s">
        <v>15</v>
      </c>
      <c r="D5823" s="10" t="s">
        <v>12690</v>
      </c>
      <c r="E5823" s="9" t="s">
        <v>17</v>
      </c>
      <c r="F5823" s="10">
        <v>22</v>
      </c>
      <c r="G5823" s="11">
        <v>7025068738</v>
      </c>
      <c r="H5823" s="10" t="s">
        <v>12691</v>
      </c>
      <c r="I5823" s="10" t="s">
        <v>45</v>
      </c>
      <c r="J5823" s="10" t="s">
        <v>6439</v>
      </c>
      <c r="K5823" s="12">
        <v>37906</v>
      </c>
      <c r="L5823" s="28" t="s">
        <v>11</v>
      </c>
      <c r="M5823" s="14"/>
      <c r="N5823" s="10" t="s">
        <v>1028</v>
      </c>
    </row>
    <row r="5824" spans="1:14" ht="22.5" customHeight="1">
      <c r="A5824" s="8">
        <v>46030.530658888893</v>
      </c>
      <c r="B5824" s="9" t="s">
        <v>14</v>
      </c>
      <c r="C5824" s="9" t="s">
        <v>15</v>
      </c>
      <c r="D5824" s="10" t="s">
        <v>12692</v>
      </c>
      <c r="E5824" s="9" t="s">
        <v>17</v>
      </c>
      <c r="F5824" s="10">
        <v>30</v>
      </c>
      <c r="G5824" s="11">
        <v>9132987598</v>
      </c>
      <c r="H5824" s="10" t="s">
        <v>12693</v>
      </c>
      <c r="I5824" s="10" t="s">
        <v>27</v>
      </c>
      <c r="J5824" s="10" t="s">
        <v>1559</v>
      </c>
      <c r="K5824" s="12">
        <v>46030</v>
      </c>
      <c r="L5824" s="28" t="s">
        <v>11</v>
      </c>
      <c r="M5824" s="14"/>
      <c r="N5824" s="10" t="s">
        <v>1028</v>
      </c>
    </row>
    <row r="5825" spans="1:14" ht="22.5" customHeight="1">
      <c r="A5825" s="8">
        <v>46030.532059201389</v>
      </c>
      <c r="B5825" s="9" t="s">
        <v>14</v>
      </c>
      <c r="C5825" s="9" t="s">
        <v>15</v>
      </c>
      <c r="D5825" s="10" t="s">
        <v>12694</v>
      </c>
      <c r="E5825" s="9" t="s">
        <v>22</v>
      </c>
      <c r="F5825" s="10">
        <v>31</v>
      </c>
      <c r="G5825" s="11">
        <v>8109428656</v>
      </c>
      <c r="H5825" s="10" t="s">
        <v>12695</v>
      </c>
      <c r="I5825" s="10" t="s">
        <v>145</v>
      </c>
      <c r="J5825" s="10" t="s">
        <v>10046</v>
      </c>
      <c r="K5825" s="12">
        <v>46030</v>
      </c>
      <c r="L5825" s="28" t="s">
        <v>11</v>
      </c>
      <c r="M5825" s="14"/>
      <c r="N5825" s="10" t="s">
        <v>1028</v>
      </c>
    </row>
    <row r="5826" spans="1:14" ht="22.5" customHeight="1">
      <c r="A5826" s="8">
        <v>46030.532573784723</v>
      </c>
      <c r="B5826" s="9" t="s">
        <v>14</v>
      </c>
      <c r="C5826" s="9" t="s">
        <v>15</v>
      </c>
      <c r="D5826" s="10" t="s">
        <v>12696</v>
      </c>
      <c r="E5826" s="9" t="s">
        <v>17</v>
      </c>
      <c r="F5826" s="10">
        <v>27</v>
      </c>
      <c r="G5826" s="11">
        <v>9069508110</v>
      </c>
      <c r="H5826" s="10" t="s">
        <v>12697</v>
      </c>
      <c r="I5826" s="10" t="s">
        <v>202</v>
      </c>
      <c r="J5826" s="10" t="s">
        <v>10961</v>
      </c>
      <c r="K5826" s="12">
        <v>46030</v>
      </c>
      <c r="L5826" s="28" t="s">
        <v>11</v>
      </c>
      <c r="M5826" s="14"/>
      <c r="N5826" s="10" t="s">
        <v>1028</v>
      </c>
    </row>
    <row r="5827" spans="1:14" ht="22.5" hidden="1" customHeight="1">
      <c r="A5827" s="8">
        <v>46030.533400601853</v>
      </c>
      <c r="B5827" s="9" t="s">
        <v>14</v>
      </c>
      <c r="C5827" s="9" t="s">
        <v>15</v>
      </c>
      <c r="D5827" s="10" t="s">
        <v>12698</v>
      </c>
      <c r="E5827" s="9" t="s">
        <v>22</v>
      </c>
      <c r="F5827" s="10">
        <v>28</v>
      </c>
      <c r="G5827" s="11">
        <v>8140663660</v>
      </c>
      <c r="H5827" s="10" t="s">
        <v>12699</v>
      </c>
      <c r="I5827" s="10" t="s">
        <v>145</v>
      </c>
      <c r="J5827" s="10" t="s">
        <v>3296</v>
      </c>
      <c r="K5827" s="12">
        <v>46030</v>
      </c>
      <c r="L5827" s="10" t="s">
        <v>441</v>
      </c>
      <c r="M5827" s="10" t="s">
        <v>12700</v>
      </c>
      <c r="N5827" s="10" t="s">
        <v>1035</v>
      </c>
    </row>
    <row r="5828" spans="1:14" ht="22.5" customHeight="1">
      <c r="A5828" s="8">
        <v>46030.534693981477</v>
      </c>
      <c r="B5828" s="9" t="s">
        <v>14</v>
      </c>
      <c r="C5828" s="9" t="s">
        <v>15</v>
      </c>
      <c r="D5828" s="10" t="s">
        <v>12701</v>
      </c>
      <c r="E5828" s="9" t="s">
        <v>22</v>
      </c>
      <c r="F5828" s="10">
        <v>24</v>
      </c>
      <c r="G5828" s="11">
        <v>9062050837</v>
      </c>
      <c r="H5828" s="10" t="s">
        <v>12702</v>
      </c>
      <c r="I5828" s="10" t="s">
        <v>19</v>
      </c>
      <c r="J5828" s="10" t="s">
        <v>4110</v>
      </c>
      <c r="K5828" s="12">
        <v>46030</v>
      </c>
      <c r="L5828" s="28" t="s">
        <v>11</v>
      </c>
      <c r="M5828" s="14"/>
      <c r="N5828" s="10" t="s">
        <v>1028</v>
      </c>
    </row>
    <row r="5829" spans="1:14" ht="22.5" customHeight="1">
      <c r="A5829" s="8">
        <v>46030.535631909719</v>
      </c>
      <c r="B5829" s="9" t="s">
        <v>14</v>
      </c>
      <c r="C5829" s="9" t="s">
        <v>15</v>
      </c>
      <c r="D5829" s="10" t="s">
        <v>12703</v>
      </c>
      <c r="E5829" s="9" t="s">
        <v>22</v>
      </c>
      <c r="F5829" s="10">
        <v>21</v>
      </c>
      <c r="G5829" s="11">
        <v>7044235462</v>
      </c>
      <c r="H5829" s="10" t="s">
        <v>12704</v>
      </c>
      <c r="I5829" s="10" t="s">
        <v>27</v>
      </c>
      <c r="J5829" s="10" t="s">
        <v>1475</v>
      </c>
      <c r="K5829" s="12">
        <v>46030</v>
      </c>
      <c r="L5829" s="28" t="s">
        <v>11</v>
      </c>
      <c r="M5829" s="14"/>
      <c r="N5829" s="10" t="s">
        <v>1028</v>
      </c>
    </row>
    <row r="5830" spans="1:14" ht="22.5" customHeight="1">
      <c r="A5830" s="8">
        <v>46030.536578263884</v>
      </c>
      <c r="B5830" s="9" t="s">
        <v>14</v>
      </c>
      <c r="C5830" s="9" t="s">
        <v>15</v>
      </c>
      <c r="D5830" s="10" t="s">
        <v>12705</v>
      </c>
      <c r="E5830" s="9" t="s">
        <v>17</v>
      </c>
      <c r="F5830" s="10">
        <v>22</v>
      </c>
      <c r="G5830" s="11">
        <v>157126512</v>
      </c>
      <c r="H5830" s="10" t="s">
        <v>12706</v>
      </c>
      <c r="I5830" s="10" t="s">
        <v>202</v>
      </c>
      <c r="J5830" s="10" t="s">
        <v>12707</v>
      </c>
      <c r="K5830" s="12">
        <v>46030</v>
      </c>
      <c r="L5830" s="28" t="s">
        <v>11</v>
      </c>
      <c r="M5830" s="14"/>
      <c r="N5830" s="10" t="s">
        <v>1563</v>
      </c>
    </row>
    <row r="5831" spans="1:14" ht="22.5" customHeight="1">
      <c r="A5831" s="8">
        <v>46030.536586516202</v>
      </c>
      <c r="B5831" s="9" t="s">
        <v>14</v>
      </c>
      <c r="C5831" s="9" t="s">
        <v>15</v>
      </c>
      <c r="D5831" s="10" t="s">
        <v>12708</v>
      </c>
      <c r="E5831" s="9" t="s">
        <v>17</v>
      </c>
      <c r="F5831" s="10">
        <v>31</v>
      </c>
      <c r="G5831" s="11">
        <v>7076193353</v>
      </c>
      <c r="H5831" s="10" t="s">
        <v>12709</v>
      </c>
      <c r="I5831" s="10" t="s">
        <v>27</v>
      </c>
      <c r="J5831" s="10" t="s">
        <v>42</v>
      </c>
      <c r="K5831" s="12">
        <v>46030</v>
      </c>
      <c r="L5831" s="28" t="s">
        <v>11</v>
      </c>
      <c r="M5831" s="14"/>
      <c r="N5831" s="10" t="s">
        <v>1096</v>
      </c>
    </row>
    <row r="5832" spans="1:14" ht="22.5" customHeight="1">
      <c r="A5832" s="8">
        <v>46030.538892187498</v>
      </c>
      <c r="B5832" s="9" t="s">
        <v>14</v>
      </c>
      <c r="C5832" s="9" t="s">
        <v>15</v>
      </c>
      <c r="D5832" s="10" t="s">
        <v>12710</v>
      </c>
      <c r="E5832" s="9" t="s">
        <v>17</v>
      </c>
      <c r="F5832" s="10">
        <v>33</v>
      </c>
      <c r="G5832" s="11">
        <v>8083354182</v>
      </c>
      <c r="H5832" s="10" t="s">
        <v>12711</v>
      </c>
      <c r="I5832" s="10" t="s">
        <v>31</v>
      </c>
      <c r="J5832" s="10" t="s">
        <v>1952</v>
      </c>
      <c r="K5832" s="12">
        <v>46030</v>
      </c>
      <c r="L5832" s="28" t="s">
        <v>11</v>
      </c>
      <c r="M5832" s="14"/>
      <c r="N5832" s="10" t="s">
        <v>1028</v>
      </c>
    </row>
    <row r="5833" spans="1:14" ht="22.5" customHeight="1">
      <c r="A5833" s="8">
        <v>46030.544454872681</v>
      </c>
      <c r="B5833" s="9" t="s">
        <v>14</v>
      </c>
      <c r="C5833" s="9" t="s">
        <v>15</v>
      </c>
      <c r="D5833" s="10" t="s">
        <v>12712</v>
      </c>
      <c r="E5833" s="9" t="s">
        <v>17</v>
      </c>
      <c r="F5833" s="10">
        <v>35</v>
      </c>
      <c r="G5833" s="11">
        <v>8100177539</v>
      </c>
      <c r="H5833" s="10" t="s">
        <v>12713</v>
      </c>
      <c r="I5833" s="10" t="s">
        <v>49</v>
      </c>
      <c r="J5833" s="10" t="s">
        <v>73</v>
      </c>
      <c r="K5833" s="12">
        <v>46030</v>
      </c>
      <c r="L5833" s="28" t="s">
        <v>11</v>
      </c>
      <c r="M5833" s="14"/>
      <c r="N5833" s="10" t="s">
        <v>2482</v>
      </c>
    </row>
    <row r="5834" spans="1:14" ht="22.5" customHeight="1">
      <c r="A5834" s="8">
        <v>46030.545418414353</v>
      </c>
      <c r="B5834" s="9" t="s">
        <v>14</v>
      </c>
      <c r="C5834" s="9" t="s">
        <v>15</v>
      </c>
      <c r="D5834" s="10" t="s">
        <v>12714</v>
      </c>
      <c r="E5834" s="9" t="s">
        <v>17</v>
      </c>
      <c r="F5834" s="10">
        <v>26</v>
      </c>
      <c r="G5834" s="11">
        <v>8137070529</v>
      </c>
      <c r="H5834" s="10" t="s">
        <v>12715</v>
      </c>
      <c r="I5834" s="10" t="s">
        <v>49</v>
      </c>
      <c r="J5834" s="10" t="s">
        <v>50</v>
      </c>
      <c r="K5834" s="12">
        <v>46030</v>
      </c>
      <c r="L5834" s="28" t="s">
        <v>11</v>
      </c>
      <c r="M5834" s="14"/>
      <c r="N5834" s="10" t="s">
        <v>1096</v>
      </c>
    </row>
    <row r="5835" spans="1:14" ht="22.5" customHeight="1">
      <c r="A5835" s="8">
        <v>46030.549683888894</v>
      </c>
      <c r="B5835" s="9" t="s">
        <v>14</v>
      </c>
      <c r="C5835" s="9" t="s">
        <v>15</v>
      </c>
      <c r="D5835" s="10" t="s">
        <v>12716</v>
      </c>
      <c r="E5835" s="9" t="s">
        <v>22</v>
      </c>
      <c r="F5835" s="10">
        <v>25</v>
      </c>
      <c r="G5835" s="11">
        <v>9138740336</v>
      </c>
      <c r="H5835" s="10" t="s">
        <v>12717</v>
      </c>
      <c r="I5835" s="10" t="s">
        <v>45</v>
      </c>
      <c r="J5835" s="10" t="s">
        <v>6766</v>
      </c>
      <c r="K5835" s="12">
        <v>46030</v>
      </c>
      <c r="L5835" s="28" t="s">
        <v>11</v>
      </c>
      <c r="M5835" s="14"/>
      <c r="N5835" s="10" t="s">
        <v>1028</v>
      </c>
    </row>
    <row r="5836" spans="1:14" ht="22.5" customHeight="1">
      <c r="A5836" s="8">
        <v>46030.550449745366</v>
      </c>
      <c r="B5836" s="9" t="s">
        <v>14</v>
      </c>
      <c r="C5836" s="9" t="s">
        <v>15</v>
      </c>
      <c r="D5836" s="10" t="s">
        <v>12718</v>
      </c>
      <c r="E5836" s="9" t="s">
        <v>17</v>
      </c>
      <c r="F5836" s="10">
        <v>32</v>
      </c>
      <c r="G5836" s="11">
        <v>8080086717</v>
      </c>
      <c r="H5836" s="10" t="s">
        <v>12719</v>
      </c>
      <c r="I5836" s="10" t="s">
        <v>27</v>
      </c>
      <c r="J5836" s="10" t="s">
        <v>1559</v>
      </c>
      <c r="K5836" s="12">
        <v>46030</v>
      </c>
      <c r="L5836" s="28" t="s">
        <v>11</v>
      </c>
      <c r="M5836" s="14"/>
      <c r="N5836" s="10" t="s">
        <v>1028</v>
      </c>
    </row>
    <row r="5837" spans="1:14" ht="22.5" customHeight="1">
      <c r="A5837" s="8">
        <v>46030.55300623842</v>
      </c>
      <c r="B5837" s="9" t="s">
        <v>14</v>
      </c>
      <c r="C5837" s="9" t="s">
        <v>15</v>
      </c>
      <c r="D5837" s="10" t="s">
        <v>12720</v>
      </c>
      <c r="E5837" s="9" t="s">
        <v>22</v>
      </c>
      <c r="F5837" s="10">
        <v>29</v>
      </c>
      <c r="G5837" s="11">
        <v>9033440259</v>
      </c>
      <c r="H5837" s="10" t="s">
        <v>12721</v>
      </c>
      <c r="I5837" s="10" t="s">
        <v>45</v>
      </c>
      <c r="J5837" s="10" t="s">
        <v>287</v>
      </c>
      <c r="K5837" s="12">
        <v>46030</v>
      </c>
      <c r="L5837" s="28" t="s">
        <v>11</v>
      </c>
      <c r="M5837" s="14"/>
      <c r="N5837" s="10" t="s">
        <v>1028</v>
      </c>
    </row>
    <row r="5838" spans="1:14" ht="22.5" customHeight="1">
      <c r="A5838" s="8">
        <v>46030.553375914351</v>
      </c>
      <c r="B5838" s="9" t="s">
        <v>14</v>
      </c>
      <c r="C5838" s="9" t="s">
        <v>15</v>
      </c>
      <c r="D5838" s="10" t="s">
        <v>12722</v>
      </c>
      <c r="E5838" s="9" t="s">
        <v>17</v>
      </c>
      <c r="F5838" s="10">
        <v>20</v>
      </c>
      <c r="G5838" s="11">
        <v>8131757557</v>
      </c>
      <c r="H5838" s="10" t="s">
        <v>12723</v>
      </c>
      <c r="I5838" s="10" t="s">
        <v>45</v>
      </c>
      <c r="J5838" s="10" t="s">
        <v>932</v>
      </c>
      <c r="K5838" s="12">
        <v>46030</v>
      </c>
      <c r="L5838" s="28" t="s">
        <v>11</v>
      </c>
      <c r="M5838" s="14"/>
      <c r="N5838" s="10" t="s">
        <v>1028</v>
      </c>
    </row>
    <row r="5839" spans="1:14" ht="22.5" customHeight="1">
      <c r="A5839" s="8">
        <v>46030.554850127315</v>
      </c>
      <c r="B5839" s="9" t="s">
        <v>14</v>
      </c>
      <c r="C5839" s="9" t="s">
        <v>15</v>
      </c>
      <c r="D5839" s="10" t="s">
        <v>12724</v>
      </c>
      <c r="E5839" s="9" t="s">
        <v>22</v>
      </c>
      <c r="F5839" s="10">
        <v>24</v>
      </c>
      <c r="G5839" s="11">
        <v>9018416473</v>
      </c>
      <c r="H5839" s="10" t="s">
        <v>12725</v>
      </c>
      <c r="I5839" s="10" t="s">
        <v>45</v>
      </c>
      <c r="J5839" s="10" t="s">
        <v>932</v>
      </c>
      <c r="K5839" s="12">
        <v>46030</v>
      </c>
      <c r="L5839" s="28" t="s">
        <v>11</v>
      </c>
      <c r="M5839" s="14"/>
      <c r="N5839" s="10" t="s">
        <v>1096</v>
      </c>
    </row>
    <row r="5840" spans="1:14" ht="22.5" hidden="1" customHeight="1">
      <c r="A5840" s="8">
        <v>46030.555035879632</v>
      </c>
      <c r="B5840" s="9" t="s">
        <v>14</v>
      </c>
      <c r="C5840" s="9" t="s">
        <v>15</v>
      </c>
      <c r="D5840" s="10" t="s">
        <v>12726</v>
      </c>
      <c r="E5840" s="9" t="s">
        <v>17</v>
      </c>
      <c r="F5840" s="10">
        <v>32</v>
      </c>
      <c r="G5840" s="11">
        <v>8147716560</v>
      </c>
      <c r="H5840" s="10" t="s">
        <v>12727</v>
      </c>
      <c r="I5840" s="10" t="s">
        <v>45</v>
      </c>
      <c r="J5840" s="10" t="s">
        <v>6578</v>
      </c>
      <c r="K5840" s="12">
        <v>46030</v>
      </c>
      <c r="L5840" s="10" t="s">
        <v>441</v>
      </c>
      <c r="M5840" s="10" t="s">
        <v>1827</v>
      </c>
      <c r="N5840" s="10" t="s">
        <v>1028</v>
      </c>
    </row>
    <row r="5841" spans="1:14" ht="22.5" customHeight="1">
      <c r="A5841" s="8">
        <v>46030.558162060188</v>
      </c>
      <c r="B5841" s="9" t="s">
        <v>14</v>
      </c>
      <c r="C5841" s="9" t="s">
        <v>15</v>
      </c>
      <c r="D5841" s="10" t="s">
        <v>12728</v>
      </c>
      <c r="E5841" s="9" t="s">
        <v>17</v>
      </c>
      <c r="F5841" s="10">
        <v>31</v>
      </c>
      <c r="G5841" s="11">
        <v>7030598257</v>
      </c>
      <c r="H5841" s="10" t="s">
        <v>12729</v>
      </c>
      <c r="I5841" s="10" t="s">
        <v>202</v>
      </c>
      <c r="J5841" s="10" t="s">
        <v>12730</v>
      </c>
      <c r="K5841" s="12">
        <v>46030</v>
      </c>
      <c r="L5841" s="28" t="s">
        <v>11</v>
      </c>
      <c r="M5841" s="14"/>
      <c r="N5841" s="10" t="s">
        <v>1096</v>
      </c>
    </row>
    <row r="5842" spans="1:14" ht="22.5" customHeight="1">
      <c r="A5842" s="8">
        <v>46030.561144143518</v>
      </c>
      <c r="B5842" s="9" t="s">
        <v>14</v>
      </c>
      <c r="C5842" s="9" t="s">
        <v>15</v>
      </c>
      <c r="D5842" s="10" t="s">
        <v>12731</v>
      </c>
      <c r="E5842" s="9" t="s">
        <v>17</v>
      </c>
      <c r="F5842" s="10">
        <v>31</v>
      </c>
      <c r="G5842" s="11">
        <v>8033345972</v>
      </c>
      <c r="H5842" s="10" t="s">
        <v>12732</v>
      </c>
      <c r="I5842" s="10" t="s">
        <v>49</v>
      </c>
      <c r="J5842" s="10" t="s">
        <v>60</v>
      </c>
      <c r="K5842" s="12">
        <v>46030</v>
      </c>
      <c r="L5842" s="28" t="s">
        <v>11</v>
      </c>
      <c r="M5842" s="10"/>
      <c r="N5842" s="10" t="s">
        <v>1028</v>
      </c>
    </row>
    <row r="5843" spans="1:14" ht="22.5" customHeight="1">
      <c r="A5843" s="8">
        <v>46030.561281747687</v>
      </c>
      <c r="B5843" s="9" t="s">
        <v>14</v>
      </c>
      <c r="C5843" s="9" t="s">
        <v>15</v>
      </c>
      <c r="D5843" s="10" t="s">
        <v>12733</v>
      </c>
      <c r="E5843" s="9" t="s">
        <v>17</v>
      </c>
      <c r="F5843" s="10">
        <v>29</v>
      </c>
      <c r="G5843" s="11">
        <v>8138307018</v>
      </c>
      <c r="H5843" s="10" t="s">
        <v>12734</v>
      </c>
      <c r="I5843" s="10" t="s">
        <v>31</v>
      </c>
      <c r="J5843" s="10" t="s">
        <v>32</v>
      </c>
      <c r="K5843" s="12">
        <v>46030</v>
      </c>
      <c r="L5843" s="28" t="s">
        <v>11</v>
      </c>
      <c r="M5843" s="14"/>
      <c r="N5843" s="10" t="s">
        <v>1028</v>
      </c>
    </row>
    <row r="5844" spans="1:14" ht="22.5" customHeight="1">
      <c r="A5844" s="8">
        <v>46030.563123495369</v>
      </c>
      <c r="B5844" s="9" t="s">
        <v>14</v>
      </c>
      <c r="C5844" s="9" t="s">
        <v>15</v>
      </c>
      <c r="D5844" s="10" t="s">
        <v>12735</v>
      </c>
      <c r="E5844" s="9" t="s">
        <v>22</v>
      </c>
      <c r="F5844" s="10">
        <v>25</v>
      </c>
      <c r="G5844" s="11">
        <v>9125282805</v>
      </c>
      <c r="H5844" s="10" t="s">
        <v>12736</v>
      </c>
      <c r="I5844" s="10" t="s">
        <v>202</v>
      </c>
      <c r="J5844" s="10" t="s">
        <v>4005</v>
      </c>
      <c r="K5844" s="12">
        <v>46030</v>
      </c>
      <c r="L5844" s="28" t="s">
        <v>11</v>
      </c>
      <c r="M5844" s="14"/>
      <c r="N5844" s="10" t="s">
        <v>1028</v>
      </c>
    </row>
    <row r="5845" spans="1:14" ht="22.5" customHeight="1">
      <c r="A5845" s="8">
        <v>46030.565465798616</v>
      </c>
      <c r="B5845" s="9" t="s">
        <v>14</v>
      </c>
      <c r="C5845" s="9" t="s">
        <v>15</v>
      </c>
      <c r="D5845" s="10" t="s">
        <v>8105</v>
      </c>
      <c r="E5845" s="9" t="s">
        <v>17</v>
      </c>
      <c r="F5845" s="10">
        <v>34</v>
      </c>
      <c r="G5845" s="11">
        <v>8037832520</v>
      </c>
      <c r="H5845" s="10" t="s">
        <v>12737</v>
      </c>
      <c r="I5845" s="10" t="s">
        <v>45</v>
      </c>
      <c r="J5845" s="10" t="s">
        <v>1296</v>
      </c>
      <c r="K5845" s="12">
        <v>46030</v>
      </c>
      <c r="L5845" s="28" t="s">
        <v>11</v>
      </c>
      <c r="M5845" s="14"/>
      <c r="N5845" s="10" t="s">
        <v>1028</v>
      </c>
    </row>
    <row r="5846" spans="1:14" ht="22.5" customHeight="1">
      <c r="A5846" s="8">
        <v>46030.566052685186</v>
      </c>
      <c r="B5846" s="9" t="s">
        <v>14</v>
      </c>
      <c r="C5846" s="9" t="s">
        <v>15</v>
      </c>
      <c r="D5846" s="10" t="s">
        <v>8133</v>
      </c>
      <c r="E5846" s="9" t="s">
        <v>17</v>
      </c>
      <c r="F5846" s="10">
        <v>35</v>
      </c>
      <c r="G5846" s="11">
        <v>7057739587</v>
      </c>
      <c r="H5846" s="10" t="s">
        <v>8134</v>
      </c>
      <c r="I5846" s="10" t="s">
        <v>45</v>
      </c>
      <c r="J5846" s="10" t="s">
        <v>1191</v>
      </c>
      <c r="K5846" s="12">
        <v>46030</v>
      </c>
      <c r="L5846" s="28" t="s">
        <v>11</v>
      </c>
      <c r="M5846" s="14"/>
      <c r="N5846" s="10" t="s">
        <v>1035</v>
      </c>
    </row>
    <row r="5847" spans="1:14" ht="22.5" customHeight="1">
      <c r="A5847" s="8">
        <v>46030.568519699074</v>
      </c>
      <c r="B5847" s="9" t="s">
        <v>14</v>
      </c>
      <c r="C5847" s="9" t="s">
        <v>15</v>
      </c>
      <c r="D5847" s="10" t="s">
        <v>12738</v>
      </c>
      <c r="E5847" s="9" t="s">
        <v>22</v>
      </c>
      <c r="F5847" s="10">
        <v>34</v>
      </c>
      <c r="G5847" s="11">
        <v>8068799001</v>
      </c>
      <c r="H5847" s="10" t="s">
        <v>12739</v>
      </c>
      <c r="I5847" s="10" t="s">
        <v>19</v>
      </c>
      <c r="J5847" s="10" t="s">
        <v>12740</v>
      </c>
      <c r="K5847" s="12">
        <v>46030</v>
      </c>
      <c r="L5847" s="28" t="s">
        <v>11</v>
      </c>
      <c r="M5847" s="14"/>
      <c r="N5847" s="10" t="s">
        <v>1028</v>
      </c>
    </row>
    <row r="5848" spans="1:14" ht="22.5" customHeight="1">
      <c r="A5848" s="8">
        <v>46030.569706585651</v>
      </c>
      <c r="B5848" s="9" t="s">
        <v>14</v>
      </c>
      <c r="C5848" s="9" t="s">
        <v>15</v>
      </c>
      <c r="D5848" s="10" t="s">
        <v>12741</v>
      </c>
      <c r="E5848" s="9" t="s">
        <v>17</v>
      </c>
      <c r="F5848" s="10">
        <v>30</v>
      </c>
      <c r="G5848" s="11">
        <v>8131135909</v>
      </c>
      <c r="H5848" s="10" t="s">
        <v>12742</v>
      </c>
      <c r="I5848" s="10" t="s">
        <v>19</v>
      </c>
      <c r="J5848" s="10" t="s">
        <v>12743</v>
      </c>
      <c r="K5848" s="12">
        <v>46030</v>
      </c>
      <c r="L5848" s="28" t="s">
        <v>11</v>
      </c>
      <c r="M5848" s="14"/>
      <c r="N5848" s="10" t="s">
        <v>1028</v>
      </c>
    </row>
    <row r="5849" spans="1:14" ht="22.5" customHeight="1">
      <c r="A5849" s="8">
        <v>46030.573140902779</v>
      </c>
      <c r="B5849" s="9" t="s">
        <v>14</v>
      </c>
      <c r="C5849" s="9" t="s">
        <v>15</v>
      </c>
      <c r="D5849" s="10" t="s">
        <v>7058</v>
      </c>
      <c r="E5849" s="9" t="s">
        <v>17</v>
      </c>
      <c r="F5849" s="10">
        <v>23</v>
      </c>
      <c r="G5849" s="11">
        <v>8130092094</v>
      </c>
      <c r="H5849" s="10" t="s">
        <v>7059</v>
      </c>
      <c r="I5849" s="10" t="s">
        <v>145</v>
      </c>
      <c r="J5849" s="10" t="s">
        <v>1607</v>
      </c>
      <c r="K5849" s="12">
        <v>46030</v>
      </c>
      <c r="L5849" s="28" t="s">
        <v>11</v>
      </c>
      <c r="M5849" s="14"/>
      <c r="N5849" s="10" t="s">
        <v>1028</v>
      </c>
    </row>
    <row r="5850" spans="1:14" ht="22.5" customHeight="1">
      <c r="A5850" s="8">
        <v>46030.580190185181</v>
      </c>
      <c r="B5850" s="9" t="s">
        <v>14</v>
      </c>
      <c r="C5850" s="9" t="s">
        <v>15</v>
      </c>
      <c r="D5850" s="10" t="s">
        <v>12744</v>
      </c>
      <c r="E5850" s="9" t="s">
        <v>17</v>
      </c>
      <c r="F5850" s="10">
        <v>30</v>
      </c>
      <c r="G5850" s="11">
        <f t="shared" ref="G5850" si="171">2348164732590</f>
        <v>2348164732590</v>
      </c>
      <c r="H5850" s="10" t="s">
        <v>12745</v>
      </c>
      <c r="I5850" s="10" t="s">
        <v>45</v>
      </c>
      <c r="J5850" s="10" t="s">
        <v>932</v>
      </c>
      <c r="K5850" s="12">
        <v>46030</v>
      </c>
      <c r="L5850" s="28" t="s">
        <v>11</v>
      </c>
      <c r="M5850" s="14"/>
      <c r="N5850" s="10" t="s">
        <v>1096</v>
      </c>
    </row>
    <row r="5851" spans="1:14" ht="22.5" customHeight="1">
      <c r="A5851" s="8">
        <v>46030.58078103009</v>
      </c>
      <c r="B5851" s="9" t="s">
        <v>14</v>
      </c>
      <c r="C5851" s="9" t="s">
        <v>15</v>
      </c>
      <c r="D5851" s="10" t="s">
        <v>12746</v>
      </c>
      <c r="E5851" s="9" t="s">
        <v>22</v>
      </c>
      <c r="F5851" s="10">
        <v>31</v>
      </c>
      <c r="G5851" s="11">
        <v>8063953360</v>
      </c>
      <c r="H5851" s="10" t="s">
        <v>12747</v>
      </c>
      <c r="I5851" s="10" t="s">
        <v>49</v>
      </c>
      <c r="J5851" s="10" t="s">
        <v>73</v>
      </c>
      <c r="K5851" s="12">
        <v>46030</v>
      </c>
      <c r="L5851" s="28" t="s">
        <v>11</v>
      </c>
      <c r="M5851" s="14"/>
      <c r="N5851" s="10" t="s">
        <v>1028</v>
      </c>
    </row>
    <row r="5852" spans="1:14" ht="22.5" customHeight="1">
      <c r="A5852" s="8">
        <v>46030.582161226848</v>
      </c>
      <c r="B5852" s="9" t="s">
        <v>14</v>
      </c>
      <c r="C5852" s="9" t="s">
        <v>15</v>
      </c>
      <c r="D5852" s="10" t="s">
        <v>12748</v>
      </c>
      <c r="E5852" s="9" t="s">
        <v>22</v>
      </c>
      <c r="F5852" s="10">
        <v>28</v>
      </c>
      <c r="G5852" s="11">
        <v>8067853904</v>
      </c>
      <c r="H5852" s="10" t="s">
        <v>12749</v>
      </c>
      <c r="I5852" s="10" t="s">
        <v>145</v>
      </c>
      <c r="J5852" s="10" t="s">
        <v>12750</v>
      </c>
      <c r="K5852" s="12">
        <v>46030</v>
      </c>
      <c r="L5852" s="28" t="s">
        <v>11</v>
      </c>
      <c r="M5852" s="14"/>
      <c r="N5852" s="10" t="s">
        <v>1028</v>
      </c>
    </row>
    <row r="5853" spans="1:14" ht="22.5" customHeight="1">
      <c r="A5853" s="8">
        <v>46030.5852275</v>
      </c>
      <c r="B5853" s="9" t="s">
        <v>14</v>
      </c>
      <c r="C5853" s="9" t="s">
        <v>15</v>
      </c>
      <c r="D5853" s="10" t="s">
        <v>12751</v>
      </c>
      <c r="E5853" s="9" t="s">
        <v>17</v>
      </c>
      <c r="F5853" s="10">
        <v>31</v>
      </c>
      <c r="G5853" s="11">
        <v>7037856871</v>
      </c>
      <c r="H5853" s="10" t="s">
        <v>12752</v>
      </c>
      <c r="I5853" s="10" t="s">
        <v>27</v>
      </c>
      <c r="J5853" s="10" t="s">
        <v>94</v>
      </c>
      <c r="K5853" s="12">
        <v>46030</v>
      </c>
      <c r="L5853" s="28" t="s">
        <v>11</v>
      </c>
      <c r="M5853" s="14"/>
      <c r="N5853" s="10" t="s">
        <v>1028</v>
      </c>
    </row>
    <row r="5854" spans="1:14" ht="22.5" customHeight="1">
      <c r="A5854" s="8">
        <v>46030.588773032403</v>
      </c>
      <c r="B5854" s="9" t="s">
        <v>14</v>
      </c>
      <c r="C5854" s="9" t="s">
        <v>15</v>
      </c>
      <c r="D5854" s="10" t="s">
        <v>12753</v>
      </c>
      <c r="E5854" s="9" t="s">
        <v>17</v>
      </c>
      <c r="F5854" s="10">
        <v>28</v>
      </c>
      <c r="G5854" s="11">
        <v>8033739270</v>
      </c>
      <c r="H5854" s="10" t="s">
        <v>12754</v>
      </c>
      <c r="I5854" s="10" t="s">
        <v>27</v>
      </c>
      <c r="J5854" s="10" t="s">
        <v>94</v>
      </c>
      <c r="K5854" s="12">
        <v>46030</v>
      </c>
      <c r="L5854" s="28" t="s">
        <v>11</v>
      </c>
      <c r="M5854" s="14"/>
      <c r="N5854" s="10" t="s">
        <v>1028</v>
      </c>
    </row>
    <row r="5855" spans="1:14" ht="22.5" customHeight="1">
      <c r="A5855" s="8">
        <v>46030.592333032408</v>
      </c>
      <c r="B5855" s="9" t="s">
        <v>14</v>
      </c>
      <c r="C5855" s="9" t="s">
        <v>15</v>
      </c>
      <c r="D5855" s="10" t="s">
        <v>12755</v>
      </c>
      <c r="E5855" s="9" t="s">
        <v>17</v>
      </c>
      <c r="F5855" s="10">
        <v>35</v>
      </c>
      <c r="G5855" s="11">
        <v>7036631102</v>
      </c>
      <c r="H5855" s="10" t="s">
        <v>12756</v>
      </c>
      <c r="I5855" s="10" t="s">
        <v>27</v>
      </c>
      <c r="J5855" s="10" t="s">
        <v>70</v>
      </c>
      <c r="K5855" s="12">
        <v>46030</v>
      </c>
      <c r="L5855" s="28" t="s">
        <v>11</v>
      </c>
      <c r="M5855" s="14"/>
      <c r="N5855" s="10" t="s">
        <v>1096</v>
      </c>
    </row>
    <row r="5856" spans="1:14" ht="22.5" customHeight="1">
      <c r="A5856" s="8">
        <v>46030.595128958332</v>
      </c>
      <c r="B5856" s="9" t="s">
        <v>14</v>
      </c>
      <c r="C5856" s="9" t="s">
        <v>15</v>
      </c>
      <c r="D5856" s="10" t="s">
        <v>12757</v>
      </c>
      <c r="E5856" s="9" t="s">
        <v>17</v>
      </c>
      <c r="F5856" s="10">
        <v>34</v>
      </c>
      <c r="G5856" s="11">
        <v>8063376814</v>
      </c>
      <c r="H5856" s="10" t="s">
        <v>12758</v>
      </c>
      <c r="I5856" s="10" t="s">
        <v>27</v>
      </c>
      <c r="J5856" s="10" t="s">
        <v>4338</v>
      </c>
      <c r="K5856" s="12">
        <v>46235</v>
      </c>
      <c r="L5856" s="28" t="s">
        <v>11</v>
      </c>
      <c r="M5856" s="14"/>
      <c r="N5856" s="10" t="s">
        <v>1028</v>
      </c>
    </row>
    <row r="5857" spans="1:14" ht="22.5" customHeight="1">
      <c r="A5857" s="8">
        <v>46030.597254374996</v>
      </c>
      <c r="B5857" s="9" t="s">
        <v>14</v>
      </c>
      <c r="C5857" s="9" t="s">
        <v>15</v>
      </c>
      <c r="D5857" s="10" t="s">
        <v>12759</v>
      </c>
      <c r="E5857" s="9" t="s">
        <v>17</v>
      </c>
      <c r="F5857" s="10">
        <v>25</v>
      </c>
      <c r="G5857" s="11">
        <v>7026681264</v>
      </c>
      <c r="H5857" s="10" t="s">
        <v>5178</v>
      </c>
      <c r="I5857" s="10" t="s">
        <v>27</v>
      </c>
      <c r="J5857" s="10" t="s">
        <v>1288</v>
      </c>
      <c r="K5857" s="12">
        <v>37330</v>
      </c>
      <c r="L5857" s="28" t="s">
        <v>11</v>
      </c>
      <c r="M5857" s="14"/>
      <c r="N5857" s="10" t="s">
        <v>1028</v>
      </c>
    </row>
    <row r="5858" spans="1:14" ht="22.5" customHeight="1">
      <c r="A5858" s="8">
        <v>46030.598684895835</v>
      </c>
      <c r="B5858" s="9" t="s">
        <v>14</v>
      </c>
      <c r="C5858" s="9" t="s">
        <v>15</v>
      </c>
      <c r="D5858" s="10" t="s">
        <v>12760</v>
      </c>
      <c r="E5858" s="9" t="s">
        <v>17</v>
      </c>
      <c r="F5858" s="10">
        <v>35</v>
      </c>
      <c r="G5858" s="11">
        <f t="shared" ref="G5858" si="172">2348066091994</f>
        <v>2348066091994</v>
      </c>
      <c r="H5858" s="10" t="s">
        <v>12761</v>
      </c>
      <c r="I5858" s="10" t="s">
        <v>27</v>
      </c>
      <c r="J5858" s="10" t="s">
        <v>172</v>
      </c>
      <c r="K5858" s="12">
        <v>46030</v>
      </c>
      <c r="L5858" s="28" t="s">
        <v>11</v>
      </c>
      <c r="M5858" s="14"/>
      <c r="N5858" s="10" t="s">
        <v>1028</v>
      </c>
    </row>
    <row r="5859" spans="1:14" ht="22.5" customHeight="1">
      <c r="A5859" s="8">
        <v>46030.599909525467</v>
      </c>
      <c r="B5859" s="9" t="s">
        <v>14</v>
      </c>
      <c r="C5859" s="9" t="s">
        <v>15</v>
      </c>
      <c r="D5859" s="10" t="s">
        <v>12762</v>
      </c>
      <c r="E5859" s="9" t="s">
        <v>17</v>
      </c>
      <c r="F5859" s="10">
        <v>23</v>
      </c>
      <c r="G5859" s="11">
        <v>8027665062</v>
      </c>
      <c r="H5859" s="10" t="s">
        <v>12763</v>
      </c>
      <c r="I5859" s="10" t="s">
        <v>19</v>
      </c>
      <c r="J5859" s="10" t="s">
        <v>12764</v>
      </c>
      <c r="K5859" s="12">
        <v>37585</v>
      </c>
      <c r="L5859" s="28" t="s">
        <v>11</v>
      </c>
      <c r="M5859" s="14"/>
      <c r="N5859" s="10" t="s">
        <v>1028</v>
      </c>
    </row>
    <row r="5860" spans="1:14" ht="22.5" customHeight="1">
      <c r="A5860" s="8">
        <v>46030.613808773152</v>
      </c>
      <c r="B5860" s="9" t="s">
        <v>14</v>
      </c>
      <c r="C5860" s="9" t="s">
        <v>15</v>
      </c>
      <c r="D5860" s="10" t="s">
        <v>12765</v>
      </c>
      <c r="E5860" s="9" t="s">
        <v>17</v>
      </c>
      <c r="F5860" s="18">
        <v>33</v>
      </c>
      <c r="G5860" s="11">
        <v>7066209040</v>
      </c>
      <c r="H5860" s="10" t="s">
        <v>12766</v>
      </c>
      <c r="I5860" s="10" t="s">
        <v>19</v>
      </c>
      <c r="J5860" s="10" t="s">
        <v>4603</v>
      </c>
      <c r="K5860" s="12">
        <v>46030</v>
      </c>
      <c r="L5860" s="28" t="s">
        <v>11</v>
      </c>
      <c r="M5860" s="14"/>
      <c r="N5860" s="10" t="s">
        <v>1028</v>
      </c>
    </row>
    <row r="5861" spans="1:14" ht="22.5" customHeight="1">
      <c r="A5861" s="8">
        <v>46030.614032777783</v>
      </c>
      <c r="B5861" s="9" t="s">
        <v>14</v>
      </c>
      <c r="C5861" s="9" t="s">
        <v>15</v>
      </c>
      <c r="D5861" s="10" t="s">
        <v>12767</v>
      </c>
      <c r="E5861" s="9" t="s">
        <v>17</v>
      </c>
      <c r="F5861" s="10">
        <v>25</v>
      </c>
      <c r="G5861" s="11">
        <v>8109389162</v>
      </c>
      <c r="H5861" s="10" t="s">
        <v>12768</v>
      </c>
      <c r="I5861" s="10" t="s">
        <v>202</v>
      </c>
      <c r="J5861" s="10" t="s">
        <v>1619</v>
      </c>
      <c r="K5861" s="12">
        <v>36647</v>
      </c>
      <c r="L5861" s="28" t="s">
        <v>11</v>
      </c>
      <c r="M5861" s="14"/>
      <c r="N5861" s="10" t="s">
        <v>1028</v>
      </c>
    </row>
    <row r="5862" spans="1:14" ht="22.5" customHeight="1">
      <c r="A5862" s="8">
        <v>46030.615630057873</v>
      </c>
      <c r="B5862" s="9" t="s">
        <v>14</v>
      </c>
      <c r="C5862" s="9" t="s">
        <v>15</v>
      </c>
      <c r="D5862" s="10" t="s">
        <v>12769</v>
      </c>
      <c r="E5862" s="9" t="s">
        <v>22</v>
      </c>
      <c r="F5862" s="10">
        <v>29</v>
      </c>
      <c r="G5862" s="11">
        <v>9060728114</v>
      </c>
      <c r="H5862" s="10" t="s">
        <v>12770</v>
      </c>
      <c r="I5862" s="10" t="s">
        <v>45</v>
      </c>
      <c r="J5862" s="10" t="s">
        <v>12771</v>
      </c>
      <c r="K5862" s="12">
        <v>46030</v>
      </c>
      <c r="L5862" s="28" t="s">
        <v>11</v>
      </c>
      <c r="M5862" s="14"/>
      <c r="N5862" s="10" t="s">
        <v>1028</v>
      </c>
    </row>
    <row r="5863" spans="1:14" ht="22.5" customHeight="1">
      <c r="A5863" s="8">
        <v>46030.616569224541</v>
      </c>
      <c r="B5863" s="9" t="s">
        <v>14</v>
      </c>
      <c r="C5863" s="9" t="s">
        <v>15</v>
      </c>
      <c r="D5863" s="10" t="s">
        <v>12772</v>
      </c>
      <c r="E5863" s="9" t="s">
        <v>17</v>
      </c>
      <c r="F5863" s="10">
        <v>45</v>
      </c>
      <c r="G5863" s="11">
        <v>8032369029</v>
      </c>
      <c r="H5863" s="10" t="s">
        <v>12773</v>
      </c>
      <c r="I5863" s="10" t="s">
        <v>45</v>
      </c>
      <c r="J5863" s="10" t="s">
        <v>1919</v>
      </c>
      <c r="K5863" s="12">
        <v>46030</v>
      </c>
      <c r="L5863" s="28" t="s">
        <v>11</v>
      </c>
      <c r="M5863" s="14"/>
      <c r="N5863" s="10" t="s">
        <v>1096</v>
      </c>
    </row>
    <row r="5864" spans="1:14" ht="22.5" customHeight="1">
      <c r="A5864" s="8">
        <v>46030.61735612269</v>
      </c>
      <c r="B5864" s="9" t="s">
        <v>14</v>
      </c>
      <c r="C5864" s="9" t="s">
        <v>15</v>
      </c>
      <c r="D5864" s="10" t="s">
        <v>12774</v>
      </c>
      <c r="E5864" s="9" t="s">
        <v>17</v>
      </c>
      <c r="F5864" s="10">
        <v>28</v>
      </c>
      <c r="G5864" s="11">
        <v>9038950040</v>
      </c>
      <c r="H5864" s="10" t="s">
        <v>12775</v>
      </c>
      <c r="I5864" s="10" t="s">
        <v>27</v>
      </c>
      <c r="J5864" s="10" t="s">
        <v>2417</v>
      </c>
      <c r="K5864" s="12">
        <v>46030</v>
      </c>
      <c r="L5864" s="28" t="s">
        <v>11</v>
      </c>
      <c r="M5864" s="14"/>
      <c r="N5864" s="10" t="s">
        <v>1096</v>
      </c>
    </row>
    <row r="5865" spans="1:14" ht="22.5" customHeight="1">
      <c r="A5865" s="8">
        <v>46030.619821087967</v>
      </c>
      <c r="B5865" s="9" t="s">
        <v>14</v>
      </c>
      <c r="C5865" s="9" t="s">
        <v>15</v>
      </c>
      <c r="D5865" s="10" t="s">
        <v>12776</v>
      </c>
      <c r="E5865" s="9" t="s">
        <v>22</v>
      </c>
      <c r="F5865" s="10">
        <v>35</v>
      </c>
      <c r="G5865" s="11">
        <v>8134727659</v>
      </c>
      <c r="H5865" s="10" t="s">
        <v>12777</v>
      </c>
      <c r="I5865" s="10" t="s">
        <v>19</v>
      </c>
      <c r="J5865" s="10" t="s">
        <v>4870</v>
      </c>
      <c r="K5865" s="12">
        <v>46030</v>
      </c>
      <c r="L5865" s="28" t="s">
        <v>11</v>
      </c>
      <c r="M5865" s="14"/>
      <c r="N5865" s="10" t="s">
        <v>1028</v>
      </c>
    </row>
    <row r="5866" spans="1:14" ht="22.5" customHeight="1">
      <c r="A5866" s="8">
        <v>46030.620942280089</v>
      </c>
      <c r="B5866" s="9" t="s">
        <v>14</v>
      </c>
      <c r="C5866" s="9" t="s">
        <v>15</v>
      </c>
      <c r="D5866" s="10" t="s">
        <v>12778</v>
      </c>
      <c r="E5866" s="9" t="s">
        <v>17</v>
      </c>
      <c r="F5866" s="10">
        <v>26</v>
      </c>
      <c r="G5866" s="11">
        <v>8055754170</v>
      </c>
      <c r="H5866" s="10" t="s">
        <v>12779</v>
      </c>
      <c r="I5866" s="10" t="s">
        <v>202</v>
      </c>
      <c r="J5866" s="10" t="s">
        <v>5573</v>
      </c>
      <c r="K5866" s="12">
        <v>46030</v>
      </c>
      <c r="L5866" s="28" t="s">
        <v>11</v>
      </c>
      <c r="M5866" s="14"/>
      <c r="N5866" s="10" t="s">
        <v>1028</v>
      </c>
    </row>
    <row r="5867" spans="1:14" ht="22.5" customHeight="1">
      <c r="A5867" s="8">
        <v>46030.623178298614</v>
      </c>
      <c r="B5867" s="9" t="s">
        <v>14</v>
      </c>
      <c r="C5867" s="9" t="s">
        <v>15</v>
      </c>
      <c r="D5867" s="10" t="s">
        <v>12780</v>
      </c>
      <c r="E5867" s="9" t="s">
        <v>22</v>
      </c>
      <c r="F5867" s="10">
        <v>25</v>
      </c>
      <c r="G5867" s="11">
        <v>7050621578</v>
      </c>
      <c r="H5867" s="10" t="s">
        <v>12781</v>
      </c>
      <c r="I5867" s="10" t="s">
        <v>45</v>
      </c>
      <c r="J5867" s="10" t="s">
        <v>46</v>
      </c>
      <c r="K5867" s="12">
        <v>46030</v>
      </c>
      <c r="L5867" s="28" t="s">
        <v>11</v>
      </c>
      <c r="M5867" s="14"/>
      <c r="N5867" s="10" t="s">
        <v>1028</v>
      </c>
    </row>
    <row r="5868" spans="1:14" ht="22.5" customHeight="1">
      <c r="A5868" s="8">
        <v>46030.627509780097</v>
      </c>
      <c r="B5868" s="9" t="s">
        <v>14</v>
      </c>
      <c r="C5868" s="9" t="s">
        <v>15</v>
      </c>
      <c r="D5868" s="10" t="s">
        <v>12782</v>
      </c>
      <c r="E5868" s="9" t="s">
        <v>17</v>
      </c>
      <c r="F5868" s="10">
        <v>38</v>
      </c>
      <c r="G5868" s="11">
        <v>8034694473</v>
      </c>
      <c r="H5868" s="10" t="s">
        <v>12783</v>
      </c>
      <c r="I5868" s="10" t="s">
        <v>27</v>
      </c>
      <c r="J5868" s="10" t="s">
        <v>12784</v>
      </c>
      <c r="K5868" s="12">
        <v>31790</v>
      </c>
      <c r="L5868" s="28" t="s">
        <v>11</v>
      </c>
      <c r="M5868" s="10"/>
      <c r="N5868" s="10" t="s">
        <v>1096</v>
      </c>
    </row>
    <row r="5869" spans="1:14" ht="22.5" customHeight="1">
      <c r="A5869" s="8">
        <v>46030.628099849535</v>
      </c>
      <c r="B5869" s="9" t="s">
        <v>14</v>
      </c>
      <c r="C5869" s="9" t="s">
        <v>15</v>
      </c>
      <c r="D5869" s="10" t="s">
        <v>12785</v>
      </c>
      <c r="E5869" s="9" t="s">
        <v>17</v>
      </c>
      <c r="F5869" s="10">
        <v>35</v>
      </c>
      <c r="G5869" s="11">
        <v>9135366191</v>
      </c>
      <c r="H5869" s="10" t="s">
        <v>12786</v>
      </c>
      <c r="I5869" s="10" t="s">
        <v>19</v>
      </c>
      <c r="J5869" s="10" t="s">
        <v>4182</v>
      </c>
      <c r="K5869" s="12">
        <v>46030</v>
      </c>
      <c r="L5869" s="28" t="s">
        <v>11</v>
      </c>
      <c r="M5869" s="14"/>
      <c r="N5869" s="10" t="s">
        <v>1028</v>
      </c>
    </row>
    <row r="5870" spans="1:14" ht="22.5" customHeight="1">
      <c r="A5870" s="8">
        <v>46030.630667581019</v>
      </c>
      <c r="B5870" s="9" t="s">
        <v>14</v>
      </c>
      <c r="C5870" s="9" t="s">
        <v>15</v>
      </c>
      <c r="D5870" s="10" t="s">
        <v>12787</v>
      </c>
      <c r="E5870" s="9" t="s">
        <v>17</v>
      </c>
      <c r="F5870" s="10">
        <v>27</v>
      </c>
      <c r="G5870" s="11">
        <v>9075694896</v>
      </c>
      <c r="H5870" s="10" t="s">
        <v>12788</v>
      </c>
      <c r="I5870" s="10" t="s">
        <v>202</v>
      </c>
      <c r="J5870" s="10" t="s">
        <v>12789</v>
      </c>
      <c r="K5870" s="12">
        <v>46030</v>
      </c>
      <c r="L5870" s="28" t="s">
        <v>11</v>
      </c>
      <c r="M5870" s="14"/>
      <c r="N5870" s="10" t="s">
        <v>1028</v>
      </c>
    </row>
    <row r="5871" spans="1:14" ht="22.5" hidden="1" customHeight="1">
      <c r="A5871" s="8">
        <v>46030.633090416668</v>
      </c>
      <c r="B5871" s="9" t="s">
        <v>14</v>
      </c>
      <c r="C5871" s="9" t="s">
        <v>15</v>
      </c>
      <c r="D5871" s="10" t="s">
        <v>12790</v>
      </c>
      <c r="E5871" s="9" t="s">
        <v>22</v>
      </c>
      <c r="F5871" s="10">
        <v>34</v>
      </c>
      <c r="G5871" s="11">
        <v>7060894156</v>
      </c>
      <c r="H5871" s="10" t="s">
        <v>12791</v>
      </c>
      <c r="I5871" s="10" t="s">
        <v>27</v>
      </c>
      <c r="J5871" s="10" t="s">
        <v>12792</v>
      </c>
      <c r="K5871" s="12">
        <v>46363</v>
      </c>
      <c r="L5871" s="10" t="s">
        <v>441</v>
      </c>
      <c r="M5871" s="10" t="s">
        <v>1356</v>
      </c>
      <c r="N5871" s="10" t="s">
        <v>1028</v>
      </c>
    </row>
    <row r="5872" spans="1:14" ht="22.5" customHeight="1">
      <c r="A5872" s="8">
        <v>46030.635091562501</v>
      </c>
      <c r="B5872" s="9" t="s">
        <v>14</v>
      </c>
      <c r="C5872" s="9" t="s">
        <v>15</v>
      </c>
      <c r="D5872" s="10" t="s">
        <v>12793</v>
      </c>
      <c r="E5872" s="9" t="s">
        <v>17</v>
      </c>
      <c r="F5872" s="10">
        <v>26</v>
      </c>
      <c r="G5872" s="11">
        <v>7062040627</v>
      </c>
      <c r="H5872" s="10" t="s">
        <v>12794</v>
      </c>
      <c r="I5872" s="10" t="s">
        <v>27</v>
      </c>
      <c r="J5872" s="10" t="s">
        <v>70</v>
      </c>
      <c r="K5872" s="12">
        <v>46030</v>
      </c>
      <c r="L5872" s="28" t="s">
        <v>11</v>
      </c>
      <c r="M5872" s="14"/>
      <c r="N5872" s="10" t="s">
        <v>1028</v>
      </c>
    </row>
    <row r="5873" spans="1:14" ht="22.5" customHeight="1">
      <c r="A5873" s="8">
        <v>46030.63805606481</v>
      </c>
      <c r="B5873" s="9" t="s">
        <v>14</v>
      </c>
      <c r="C5873" s="9" t="s">
        <v>15</v>
      </c>
      <c r="D5873" s="10" t="s">
        <v>12795</v>
      </c>
      <c r="E5873" s="9" t="s">
        <v>17</v>
      </c>
      <c r="F5873" s="10">
        <v>34</v>
      </c>
      <c r="G5873" s="11">
        <v>8054705961</v>
      </c>
      <c r="H5873" s="10" t="s">
        <v>12796</v>
      </c>
      <c r="I5873" s="10" t="s">
        <v>27</v>
      </c>
      <c r="J5873" s="10" t="s">
        <v>1585</v>
      </c>
      <c r="K5873" s="12">
        <v>33698</v>
      </c>
      <c r="L5873" s="28" t="s">
        <v>11</v>
      </c>
      <c r="M5873" s="14"/>
      <c r="N5873" s="10" t="s">
        <v>1028</v>
      </c>
    </row>
    <row r="5874" spans="1:14" ht="22.5" customHeight="1">
      <c r="A5874" s="8">
        <v>46030.638323680556</v>
      </c>
      <c r="B5874" s="9" t="s">
        <v>14</v>
      </c>
      <c r="C5874" s="9" t="s">
        <v>15</v>
      </c>
      <c r="D5874" s="10" t="s">
        <v>12797</v>
      </c>
      <c r="E5874" s="9" t="s">
        <v>17</v>
      </c>
      <c r="F5874" s="10">
        <v>38</v>
      </c>
      <c r="G5874" s="11">
        <v>8103187386</v>
      </c>
      <c r="H5874" s="10" t="s">
        <v>12798</v>
      </c>
      <c r="I5874" s="10" t="s">
        <v>27</v>
      </c>
      <c r="J5874" s="10" t="s">
        <v>94</v>
      </c>
      <c r="K5874" s="12">
        <v>46030</v>
      </c>
      <c r="L5874" s="28" t="s">
        <v>11</v>
      </c>
      <c r="M5874" s="14"/>
      <c r="N5874" s="10" t="s">
        <v>1028</v>
      </c>
    </row>
    <row r="5875" spans="1:14" ht="22.5" customHeight="1">
      <c r="A5875" s="8">
        <v>46030.64161486111</v>
      </c>
      <c r="B5875" s="9" t="s">
        <v>14</v>
      </c>
      <c r="C5875" s="9" t="s">
        <v>15</v>
      </c>
      <c r="D5875" s="10" t="s">
        <v>12799</v>
      </c>
      <c r="E5875" s="9" t="s">
        <v>17</v>
      </c>
      <c r="F5875" s="10">
        <v>28</v>
      </c>
      <c r="G5875" s="11">
        <v>8117509961</v>
      </c>
      <c r="H5875" s="10" t="s">
        <v>12800</v>
      </c>
      <c r="I5875" s="10" t="s">
        <v>27</v>
      </c>
      <c r="J5875" s="10" t="s">
        <v>70</v>
      </c>
      <c r="K5875" s="12">
        <v>46030</v>
      </c>
      <c r="L5875" s="28" t="s">
        <v>11</v>
      </c>
      <c r="M5875" s="14"/>
      <c r="N5875" s="10" t="s">
        <v>1096</v>
      </c>
    </row>
    <row r="5876" spans="1:14" ht="22.5" customHeight="1">
      <c r="A5876" s="8">
        <v>46030.644666481487</v>
      </c>
      <c r="B5876" s="9" t="s">
        <v>14</v>
      </c>
      <c r="C5876" s="9" t="s">
        <v>15</v>
      </c>
      <c r="D5876" s="10" t="s">
        <v>12801</v>
      </c>
      <c r="E5876" s="9" t="s">
        <v>17</v>
      </c>
      <c r="F5876" s="10">
        <v>28</v>
      </c>
      <c r="G5876" s="11">
        <v>9060783430</v>
      </c>
      <c r="H5876" s="10" t="s">
        <v>12802</v>
      </c>
      <c r="I5876" s="10" t="s">
        <v>145</v>
      </c>
      <c r="J5876" s="10" t="s">
        <v>1607</v>
      </c>
      <c r="K5876" s="12">
        <v>46030</v>
      </c>
      <c r="L5876" s="28" t="s">
        <v>11</v>
      </c>
      <c r="M5876" s="14"/>
      <c r="N5876" s="10" t="s">
        <v>1028</v>
      </c>
    </row>
    <row r="5877" spans="1:14" ht="22.5" customHeight="1">
      <c r="A5877" s="8">
        <v>46030.647085972218</v>
      </c>
      <c r="B5877" s="9" t="s">
        <v>14</v>
      </c>
      <c r="C5877" s="9" t="s">
        <v>15</v>
      </c>
      <c r="D5877" s="10" t="s">
        <v>12803</v>
      </c>
      <c r="E5877" s="9" t="s">
        <v>22</v>
      </c>
      <c r="F5877" s="10">
        <v>27</v>
      </c>
      <c r="G5877" s="11">
        <v>7014529404</v>
      </c>
      <c r="H5877" s="10" t="s">
        <v>12804</v>
      </c>
      <c r="I5877" s="10" t="s">
        <v>145</v>
      </c>
      <c r="J5877" s="10" t="s">
        <v>12805</v>
      </c>
      <c r="K5877" s="12">
        <v>46030</v>
      </c>
      <c r="L5877" s="28" t="s">
        <v>11</v>
      </c>
      <c r="M5877" s="14"/>
      <c r="N5877" s="10" t="s">
        <v>1028</v>
      </c>
    </row>
    <row r="5878" spans="1:14" ht="22.5" customHeight="1">
      <c r="A5878" s="8">
        <v>46030.649140752314</v>
      </c>
      <c r="B5878" s="9" t="s">
        <v>14</v>
      </c>
      <c r="C5878" s="9" t="s">
        <v>15</v>
      </c>
      <c r="D5878" s="10" t="s">
        <v>12806</v>
      </c>
      <c r="E5878" s="9" t="s">
        <v>22</v>
      </c>
      <c r="F5878" s="10">
        <v>23</v>
      </c>
      <c r="G5878" s="11">
        <v>7065714005</v>
      </c>
      <c r="H5878" s="10" t="s">
        <v>12807</v>
      </c>
      <c r="I5878" s="10" t="s">
        <v>45</v>
      </c>
      <c r="J5878" s="10" t="s">
        <v>100</v>
      </c>
      <c r="K5878" s="12">
        <v>46028</v>
      </c>
      <c r="L5878" s="28" t="s">
        <v>11</v>
      </c>
      <c r="M5878" s="14"/>
      <c r="N5878" s="10" t="s">
        <v>1096</v>
      </c>
    </row>
    <row r="5879" spans="1:14" ht="22.5" customHeight="1">
      <c r="A5879" s="8">
        <v>46030.649661226853</v>
      </c>
      <c r="B5879" s="9" t="s">
        <v>14</v>
      </c>
      <c r="C5879" s="9" t="s">
        <v>15</v>
      </c>
      <c r="D5879" s="10" t="s">
        <v>12808</v>
      </c>
      <c r="E5879" s="9" t="s">
        <v>17</v>
      </c>
      <c r="F5879" s="10">
        <v>33</v>
      </c>
      <c r="G5879" s="11">
        <v>8133325847</v>
      </c>
      <c r="H5879" s="10" t="s">
        <v>12809</v>
      </c>
      <c r="I5879" s="10" t="s">
        <v>45</v>
      </c>
      <c r="J5879" s="10" t="s">
        <v>12810</v>
      </c>
      <c r="K5879" s="12">
        <v>46030</v>
      </c>
      <c r="L5879" s="28" t="s">
        <v>11</v>
      </c>
      <c r="M5879" s="14"/>
      <c r="N5879" s="10" t="s">
        <v>1028</v>
      </c>
    </row>
    <row r="5880" spans="1:14" ht="22.5" customHeight="1">
      <c r="A5880" s="8">
        <v>46030.650017870372</v>
      </c>
      <c r="B5880" s="9" t="s">
        <v>14</v>
      </c>
      <c r="C5880" s="9" t="s">
        <v>15</v>
      </c>
      <c r="D5880" s="10" t="s">
        <v>12811</v>
      </c>
      <c r="E5880" s="9" t="s">
        <v>22</v>
      </c>
      <c r="F5880" s="10">
        <v>33</v>
      </c>
      <c r="G5880" s="11">
        <v>8108610907</v>
      </c>
      <c r="H5880" s="10" t="s">
        <v>12812</v>
      </c>
      <c r="I5880" s="10" t="s">
        <v>19</v>
      </c>
      <c r="J5880" s="10" t="s">
        <v>1977</v>
      </c>
      <c r="K5880" s="12">
        <v>46030</v>
      </c>
      <c r="L5880" s="28" t="s">
        <v>11</v>
      </c>
      <c r="M5880" s="14"/>
      <c r="N5880" s="10" t="s">
        <v>1028</v>
      </c>
    </row>
    <row r="5881" spans="1:14" ht="22.5" customHeight="1">
      <c r="A5881" s="8">
        <v>46030.651031643516</v>
      </c>
      <c r="B5881" s="9" t="s">
        <v>14</v>
      </c>
      <c r="C5881" s="9" t="s">
        <v>15</v>
      </c>
      <c r="D5881" s="10" t="s">
        <v>12813</v>
      </c>
      <c r="E5881" s="9" t="s">
        <v>22</v>
      </c>
      <c r="F5881" s="10">
        <v>27</v>
      </c>
      <c r="G5881" s="11">
        <v>8109422309</v>
      </c>
      <c r="H5881" s="10" t="s">
        <v>12814</v>
      </c>
      <c r="I5881" s="10" t="s">
        <v>145</v>
      </c>
      <c r="J5881" s="10" t="s">
        <v>530</v>
      </c>
      <c r="K5881" s="12">
        <v>46030</v>
      </c>
      <c r="L5881" s="28" t="s">
        <v>11</v>
      </c>
      <c r="M5881" s="10"/>
      <c r="N5881" s="10" t="s">
        <v>1028</v>
      </c>
    </row>
    <row r="5882" spans="1:14" ht="22.5" customHeight="1">
      <c r="A5882" s="8">
        <v>46030.651093379631</v>
      </c>
      <c r="B5882" s="9" t="s">
        <v>14</v>
      </c>
      <c r="C5882" s="9" t="s">
        <v>15</v>
      </c>
      <c r="D5882" s="10" t="s">
        <v>12815</v>
      </c>
      <c r="E5882" s="9" t="s">
        <v>22</v>
      </c>
      <c r="F5882" s="10">
        <v>29</v>
      </c>
      <c r="G5882" s="11">
        <v>8105016384</v>
      </c>
      <c r="H5882" s="10" t="s">
        <v>12816</v>
      </c>
      <c r="I5882" s="10" t="s">
        <v>202</v>
      </c>
      <c r="J5882" s="10" t="s">
        <v>4005</v>
      </c>
      <c r="K5882" s="12">
        <v>46030</v>
      </c>
      <c r="L5882" s="28" t="s">
        <v>11</v>
      </c>
      <c r="M5882" s="14"/>
      <c r="N5882" s="10" t="s">
        <v>1028</v>
      </c>
    </row>
    <row r="5883" spans="1:14" ht="22.5" customHeight="1">
      <c r="A5883" s="8">
        <v>46030.651378599534</v>
      </c>
      <c r="B5883" s="9" t="s">
        <v>14</v>
      </c>
      <c r="C5883" s="9" t="s">
        <v>15</v>
      </c>
      <c r="D5883" s="10" t="s">
        <v>12817</v>
      </c>
      <c r="E5883" s="9" t="s">
        <v>22</v>
      </c>
      <c r="F5883" s="10">
        <v>26</v>
      </c>
      <c r="G5883" s="11">
        <v>8101294429</v>
      </c>
      <c r="H5883" s="10" t="s">
        <v>12818</v>
      </c>
      <c r="I5883" s="10" t="s">
        <v>145</v>
      </c>
      <c r="J5883" s="10" t="s">
        <v>146</v>
      </c>
      <c r="K5883" s="12">
        <v>46030</v>
      </c>
      <c r="L5883" s="28" t="s">
        <v>11</v>
      </c>
      <c r="M5883" s="14"/>
      <c r="N5883" s="10" t="s">
        <v>1028</v>
      </c>
    </row>
    <row r="5884" spans="1:14" ht="22.5" customHeight="1">
      <c r="A5884" s="8">
        <v>46030.653511944445</v>
      </c>
      <c r="B5884" s="9" t="s">
        <v>14</v>
      </c>
      <c r="C5884" s="9" t="s">
        <v>15</v>
      </c>
      <c r="D5884" s="10" t="s">
        <v>12819</v>
      </c>
      <c r="E5884" s="9" t="s">
        <v>17</v>
      </c>
      <c r="F5884" s="10">
        <v>24</v>
      </c>
      <c r="G5884" s="11">
        <v>8108874510</v>
      </c>
      <c r="H5884" s="10" t="s">
        <v>12820</v>
      </c>
      <c r="I5884" s="10" t="s">
        <v>145</v>
      </c>
      <c r="J5884" s="10" t="s">
        <v>1607</v>
      </c>
      <c r="K5884" s="12">
        <v>46030</v>
      </c>
      <c r="L5884" s="28" t="s">
        <v>11</v>
      </c>
      <c r="M5884" s="14"/>
      <c r="N5884" s="10" t="s">
        <v>1096</v>
      </c>
    </row>
    <row r="5885" spans="1:14" ht="22.5" customHeight="1">
      <c r="A5885" s="8">
        <v>46030.653572442126</v>
      </c>
      <c r="B5885" s="9" t="s">
        <v>14</v>
      </c>
      <c r="C5885" s="9" t="s">
        <v>15</v>
      </c>
      <c r="D5885" s="10" t="s">
        <v>12821</v>
      </c>
      <c r="E5885" s="9" t="s">
        <v>22</v>
      </c>
      <c r="F5885" s="10">
        <v>38</v>
      </c>
      <c r="G5885" s="11">
        <f t="shared" ref="G5885" si="173">2347067814766</f>
        <v>2347067814766</v>
      </c>
      <c r="H5885" s="10" t="s">
        <v>12822</v>
      </c>
      <c r="I5885" s="10" t="s">
        <v>145</v>
      </c>
      <c r="J5885" s="10" t="s">
        <v>4352</v>
      </c>
      <c r="K5885" s="12">
        <v>46030</v>
      </c>
      <c r="L5885" s="28" t="s">
        <v>11</v>
      </c>
      <c r="M5885" s="14"/>
      <c r="N5885" s="10" t="s">
        <v>1028</v>
      </c>
    </row>
    <row r="5886" spans="1:14" ht="22.5" customHeight="1">
      <c r="A5886" s="8">
        <v>46030.654316863423</v>
      </c>
      <c r="B5886" s="9" t="s">
        <v>14</v>
      </c>
      <c r="C5886" s="9" t="s">
        <v>15</v>
      </c>
      <c r="D5886" s="10" t="s">
        <v>12823</v>
      </c>
      <c r="E5886" s="9" t="s">
        <v>22</v>
      </c>
      <c r="F5886" s="10">
        <v>28</v>
      </c>
      <c r="G5886" s="11">
        <v>8141980265</v>
      </c>
      <c r="H5886" s="10" t="s">
        <v>12824</v>
      </c>
      <c r="I5886" s="10" t="s">
        <v>49</v>
      </c>
      <c r="J5886" s="10" t="s">
        <v>1077</v>
      </c>
      <c r="K5886" s="12">
        <v>46030</v>
      </c>
      <c r="L5886" s="28" t="s">
        <v>11</v>
      </c>
      <c r="M5886" s="14"/>
      <c r="N5886" s="10" t="s">
        <v>1028</v>
      </c>
    </row>
    <row r="5887" spans="1:14" ht="22.5" customHeight="1">
      <c r="A5887" s="8">
        <v>46030.654418900463</v>
      </c>
      <c r="B5887" s="9" t="s">
        <v>14</v>
      </c>
      <c r="C5887" s="9" t="s">
        <v>15</v>
      </c>
      <c r="D5887" s="10" t="s">
        <v>12825</v>
      </c>
      <c r="E5887" s="9" t="s">
        <v>22</v>
      </c>
      <c r="F5887" s="10">
        <v>28</v>
      </c>
      <c r="G5887" s="11">
        <v>9031124235</v>
      </c>
      <c r="H5887" s="10" t="s">
        <v>12826</v>
      </c>
      <c r="I5887" s="10" t="s">
        <v>45</v>
      </c>
      <c r="J5887" s="10" t="s">
        <v>131</v>
      </c>
      <c r="K5887" s="12">
        <v>46030</v>
      </c>
      <c r="L5887" s="28" t="s">
        <v>11</v>
      </c>
      <c r="M5887" s="14"/>
      <c r="N5887" s="10" t="s">
        <v>1096</v>
      </c>
    </row>
    <row r="5888" spans="1:14" ht="22.5" customHeight="1">
      <c r="A5888" s="8">
        <v>46030.654440960643</v>
      </c>
      <c r="B5888" s="9" t="s">
        <v>14</v>
      </c>
      <c r="C5888" s="9" t="s">
        <v>15</v>
      </c>
      <c r="D5888" s="10" t="s">
        <v>12827</v>
      </c>
      <c r="E5888" s="9" t="s">
        <v>22</v>
      </c>
      <c r="F5888" s="10">
        <v>22</v>
      </c>
      <c r="G5888" s="11">
        <v>8160410235</v>
      </c>
      <c r="H5888" s="10" t="s">
        <v>12828</v>
      </c>
      <c r="I5888" s="10" t="s">
        <v>27</v>
      </c>
      <c r="J5888" s="10" t="s">
        <v>12829</v>
      </c>
      <c r="K5888" s="12">
        <v>46030</v>
      </c>
      <c r="L5888" s="28" t="s">
        <v>11</v>
      </c>
      <c r="M5888" s="14"/>
      <c r="N5888" s="10" t="s">
        <v>1028</v>
      </c>
    </row>
    <row r="5889" spans="1:14" ht="22.5" customHeight="1">
      <c r="A5889" s="8">
        <v>46030.655708912032</v>
      </c>
      <c r="B5889" s="9" t="s">
        <v>14</v>
      </c>
      <c r="C5889" s="9" t="s">
        <v>15</v>
      </c>
      <c r="D5889" s="10" t="s">
        <v>12830</v>
      </c>
      <c r="E5889" s="9" t="s">
        <v>22</v>
      </c>
      <c r="F5889" s="10">
        <v>25</v>
      </c>
      <c r="G5889" s="11">
        <v>9078152477</v>
      </c>
      <c r="H5889" s="10" t="s">
        <v>12831</v>
      </c>
      <c r="I5889" s="10" t="s">
        <v>145</v>
      </c>
      <c r="J5889" s="10" t="s">
        <v>12832</v>
      </c>
      <c r="K5889" s="12">
        <v>46030</v>
      </c>
      <c r="L5889" s="28" t="s">
        <v>11</v>
      </c>
      <c r="M5889" s="14"/>
      <c r="N5889" s="10" t="s">
        <v>1096</v>
      </c>
    </row>
    <row r="5890" spans="1:14" ht="22.5" customHeight="1">
      <c r="A5890" s="8">
        <v>46030.656899467591</v>
      </c>
      <c r="B5890" s="9" t="s">
        <v>14</v>
      </c>
      <c r="C5890" s="9" t="s">
        <v>15</v>
      </c>
      <c r="D5890" s="10" t="s">
        <v>12833</v>
      </c>
      <c r="E5890" s="9" t="s">
        <v>17</v>
      </c>
      <c r="F5890" s="10">
        <v>27</v>
      </c>
      <c r="G5890" s="11">
        <v>7017496681</v>
      </c>
      <c r="H5890" s="10" t="s">
        <v>12834</v>
      </c>
      <c r="I5890" s="10" t="s">
        <v>49</v>
      </c>
      <c r="J5890" s="10" t="s">
        <v>12835</v>
      </c>
      <c r="K5890" s="12">
        <v>46030</v>
      </c>
      <c r="L5890" s="28" t="s">
        <v>11</v>
      </c>
      <c r="M5890" s="14"/>
      <c r="N5890" s="10" t="s">
        <v>1096</v>
      </c>
    </row>
    <row r="5891" spans="1:14" ht="22.5" customHeight="1">
      <c r="A5891" s="8">
        <v>46030.658142789354</v>
      </c>
      <c r="B5891" s="9" t="s">
        <v>14</v>
      </c>
      <c r="C5891" s="9" t="s">
        <v>15</v>
      </c>
      <c r="D5891" s="10" t="s">
        <v>12836</v>
      </c>
      <c r="E5891" s="9" t="s">
        <v>17</v>
      </c>
      <c r="F5891" s="10">
        <v>31</v>
      </c>
      <c r="G5891" s="11">
        <v>8068578802</v>
      </c>
      <c r="H5891" s="10" t="s">
        <v>12837</v>
      </c>
      <c r="I5891" s="10" t="s">
        <v>31</v>
      </c>
      <c r="J5891" s="10" t="s">
        <v>1786</v>
      </c>
      <c r="K5891" s="12">
        <v>46030</v>
      </c>
      <c r="L5891" s="28" t="s">
        <v>11</v>
      </c>
      <c r="M5891" s="14"/>
      <c r="N5891" s="10" t="s">
        <v>1209</v>
      </c>
    </row>
    <row r="5892" spans="1:14" ht="22.5" customHeight="1">
      <c r="A5892" s="8">
        <v>46030.658617037036</v>
      </c>
      <c r="B5892" s="9" t="s">
        <v>14</v>
      </c>
      <c r="C5892" s="9" t="s">
        <v>15</v>
      </c>
      <c r="D5892" s="10" t="s">
        <v>12838</v>
      </c>
      <c r="E5892" s="9" t="s">
        <v>22</v>
      </c>
      <c r="F5892" s="10">
        <v>23</v>
      </c>
      <c r="G5892" s="11">
        <v>8113269423</v>
      </c>
      <c r="H5892" s="10" t="s">
        <v>12839</v>
      </c>
      <c r="I5892" s="10" t="s">
        <v>31</v>
      </c>
      <c r="J5892" s="10" t="s">
        <v>32</v>
      </c>
      <c r="K5892" s="12">
        <v>46030</v>
      </c>
      <c r="L5892" s="28" t="s">
        <v>11</v>
      </c>
      <c r="M5892" s="14"/>
      <c r="N5892" s="10" t="s">
        <v>1028</v>
      </c>
    </row>
    <row r="5893" spans="1:14" ht="22.5" customHeight="1">
      <c r="A5893" s="8">
        <v>46030.660795567128</v>
      </c>
      <c r="B5893" s="9" t="s">
        <v>14</v>
      </c>
      <c r="C5893" s="9" t="s">
        <v>15</v>
      </c>
      <c r="D5893" s="10" t="s">
        <v>12840</v>
      </c>
      <c r="E5893" s="9" t="s">
        <v>17</v>
      </c>
      <c r="F5893" s="10">
        <v>34</v>
      </c>
      <c r="G5893" s="11">
        <v>8134503362</v>
      </c>
      <c r="H5893" s="10" t="s">
        <v>12841</v>
      </c>
      <c r="I5893" s="10" t="s">
        <v>45</v>
      </c>
      <c r="J5893" s="10" t="s">
        <v>5507</v>
      </c>
      <c r="K5893" s="12">
        <v>46030</v>
      </c>
      <c r="L5893" s="28" t="s">
        <v>11</v>
      </c>
      <c r="M5893" s="14"/>
      <c r="N5893" s="10" t="s">
        <v>1028</v>
      </c>
    </row>
    <row r="5894" spans="1:14" ht="22.5" customHeight="1">
      <c r="A5894" s="8">
        <v>46030.664521967592</v>
      </c>
      <c r="B5894" s="9" t="s">
        <v>14</v>
      </c>
      <c r="C5894" s="9" t="s">
        <v>15</v>
      </c>
      <c r="D5894" s="10" t="s">
        <v>12842</v>
      </c>
      <c r="E5894" s="9" t="s">
        <v>17</v>
      </c>
      <c r="F5894" s="10">
        <v>25</v>
      </c>
      <c r="G5894" s="11">
        <v>9024029031</v>
      </c>
      <c r="H5894" s="10" t="s">
        <v>12843</v>
      </c>
      <c r="I5894" s="10" t="s">
        <v>27</v>
      </c>
      <c r="J5894" s="10" t="s">
        <v>12844</v>
      </c>
      <c r="K5894" s="12">
        <v>46030</v>
      </c>
      <c r="L5894" s="28" t="s">
        <v>11</v>
      </c>
      <c r="M5894" s="14"/>
      <c r="N5894" s="10" t="s">
        <v>1096</v>
      </c>
    </row>
    <row r="5895" spans="1:14" ht="22.5" customHeight="1">
      <c r="A5895" s="8">
        <v>46030.664878344905</v>
      </c>
      <c r="B5895" s="9" t="s">
        <v>14</v>
      </c>
      <c r="C5895" s="9" t="s">
        <v>15</v>
      </c>
      <c r="D5895" s="10" t="s">
        <v>12845</v>
      </c>
      <c r="E5895" s="9" t="s">
        <v>17</v>
      </c>
      <c r="F5895" s="10">
        <v>30</v>
      </c>
      <c r="G5895" s="11">
        <v>8108060864</v>
      </c>
      <c r="H5895" s="10" t="s">
        <v>12846</v>
      </c>
      <c r="I5895" s="10" t="s">
        <v>45</v>
      </c>
      <c r="J5895" s="10" t="s">
        <v>12847</v>
      </c>
      <c r="K5895" s="12">
        <v>46030</v>
      </c>
      <c r="L5895" s="28" t="s">
        <v>11</v>
      </c>
      <c r="M5895" s="14"/>
      <c r="N5895" s="10" t="s">
        <v>1028</v>
      </c>
    </row>
    <row r="5896" spans="1:14" ht="22.5" customHeight="1">
      <c r="A5896" s="8">
        <v>46030.670518368061</v>
      </c>
      <c r="B5896" s="9" t="s">
        <v>14</v>
      </c>
      <c r="C5896" s="9" t="s">
        <v>15</v>
      </c>
      <c r="D5896" s="10" t="s">
        <v>12848</v>
      </c>
      <c r="E5896" s="9" t="s">
        <v>17</v>
      </c>
      <c r="F5896" s="10">
        <v>24</v>
      </c>
      <c r="G5896" s="11">
        <v>9020926484</v>
      </c>
      <c r="H5896" s="10" t="s">
        <v>12849</v>
      </c>
      <c r="I5896" s="10" t="s">
        <v>45</v>
      </c>
      <c r="J5896" s="10" t="s">
        <v>339</v>
      </c>
      <c r="K5896" s="12">
        <v>37185</v>
      </c>
      <c r="L5896" s="28" t="s">
        <v>11</v>
      </c>
      <c r="M5896" s="14"/>
      <c r="N5896" s="10" t="s">
        <v>1028</v>
      </c>
    </row>
    <row r="5897" spans="1:14" ht="22.5" customHeight="1">
      <c r="A5897" s="8">
        <v>46030.671213229165</v>
      </c>
      <c r="B5897" s="9" t="s">
        <v>14</v>
      </c>
      <c r="C5897" s="9" t="s">
        <v>15</v>
      </c>
      <c r="D5897" s="10" t="s">
        <v>12850</v>
      </c>
      <c r="E5897" s="9" t="s">
        <v>17</v>
      </c>
      <c r="F5897" s="10">
        <v>37</v>
      </c>
      <c r="G5897" s="11">
        <v>8163032732</v>
      </c>
      <c r="H5897" s="10" t="s">
        <v>12851</v>
      </c>
      <c r="I5897" s="10" t="s">
        <v>31</v>
      </c>
      <c r="J5897" s="10" t="s">
        <v>1786</v>
      </c>
      <c r="K5897" s="12">
        <v>46030</v>
      </c>
      <c r="L5897" s="28" t="s">
        <v>11</v>
      </c>
      <c r="M5897" s="14"/>
      <c r="N5897" s="10" t="s">
        <v>1028</v>
      </c>
    </row>
    <row r="5898" spans="1:14" ht="22.5" hidden="1" customHeight="1">
      <c r="A5898" s="8">
        <v>46030.673282476855</v>
      </c>
      <c r="B5898" s="9" t="s">
        <v>14</v>
      </c>
      <c r="C5898" s="9" t="s">
        <v>15</v>
      </c>
      <c r="D5898" s="10" t="s">
        <v>12852</v>
      </c>
      <c r="E5898" s="9" t="s">
        <v>22</v>
      </c>
      <c r="F5898" s="10">
        <v>26</v>
      </c>
      <c r="G5898" s="11">
        <v>8157166244</v>
      </c>
      <c r="H5898" s="10" t="s">
        <v>12853</v>
      </c>
      <c r="I5898" s="10" t="s">
        <v>45</v>
      </c>
      <c r="J5898" s="10" t="s">
        <v>1919</v>
      </c>
      <c r="K5898" s="12">
        <v>46030</v>
      </c>
      <c r="L5898" s="10" t="s">
        <v>441</v>
      </c>
      <c r="M5898" s="10" t="s">
        <v>12854</v>
      </c>
      <c r="N5898" s="10" t="s">
        <v>1028</v>
      </c>
    </row>
    <row r="5899" spans="1:14" ht="22.5" customHeight="1">
      <c r="A5899" s="8">
        <v>46030.676279814812</v>
      </c>
      <c r="B5899" s="9" t="s">
        <v>14</v>
      </c>
      <c r="C5899" s="9" t="s">
        <v>15</v>
      </c>
      <c r="D5899" s="10" t="s">
        <v>12855</v>
      </c>
      <c r="E5899" s="9" t="s">
        <v>17</v>
      </c>
      <c r="F5899" s="10">
        <v>25</v>
      </c>
      <c r="G5899" s="11">
        <v>8105616319</v>
      </c>
      <c r="H5899" s="10" t="s">
        <v>12856</v>
      </c>
      <c r="I5899" s="10" t="s">
        <v>49</v>
      </c>
      <c r="J5899" s="10" t="s">
        <v>50</v>
      </c>
      <c r="K5899" s="12">
        <v>46030</v>
      </c>
      <c r="L5899" s="28" t="s">
        <v>11</v>
      </c>
      <c r="M5899" s="14"/>
      <c r="N5899" s="10" t="s">
        <v>1028</v>
      </c>
    </row>
    <row r="5900" spans="1:14" ht="22.5" customHeight="1">
      <c r="A5900" s="8">
        <v>46030.677525810184</v>
      </c>
      <c r="B5900" s="9" t="s">
        <v>14</v>
      </c>
      <c r="C5900" s="9" t="s">
        <v>15</v>
      </c>
      <c r="D5900" s="10" t="s">
        <v>12857</v>
      </c>
      <c r="E5900" s="9" t="s">
        <v>22</v>
      </c>
      <c r="F5900" s="10">
        <v>25</v>
      </c>
      <c r="G5900" s="11">
        <v>8062855082</v>
      </c>
      <c r="H5900" s="10" t="s">
        <v>12858</v>
      </c>
      <c r="I5900" s="10" t="s">
        <v>145</v>
      </c>
      <c r="J5900" s="10" t="s">
        <v>12859</v>
      </c>
      <c r="K5900" s="12">
        <v>46030</v>
      </c>
      <c r="L5900" s="28" t="s">
        <v>11</v>
      </c>
      <c r="M5900" s="14"/>
      <c r="N5900" s="10" t="s">
        <v>1028</v>
      </c>
    </row>
    <row r="5901" spans="1:14" ht="22.5" customHeight="1">
      <c r="A5901" s="8">
        <v>46030.679380578702</v>
      </c>
      <c r="B5901" s="9" t="s">
        <v>14</v>
      </c>
      <c r="C5901" s="9" t="s">
        <v>15</v>
      </c>
      <c r="D5901" s="10" t="s">
        <v>12860</v>
      </c>
      <c r="E5901" s="9" t="s">
        <v>22</v>
      </c>
      <c r="F5901" s="10">
        <v>18</v>
      </c>
      <c r="G5901" s="11">
        <v>8103966872</v>
      </c>
      <c r="H5901" s="10" t="s">
        <v>12861</v>
      </c>
      <c r="I5901" s="10" t="s">
        <v>202</v>
      </c>
      <c r="J5901" s="10" t="s">
        <v>2059</v>
      </c>
      <c r="K5901" s="12">
        <v>46030</v>
      </c>
      <c r="L5901" s="28" t="s">
        <v>11</v>
      </c>
      <c r="M5901" s="14"/>
      <c r="N5901" s="10" t="s">
        <v>1028</v>
      </c>
    </row>
    <row r="5902" spans="1:14" ht="22.5" customHeight="1">
      <c r="A5902" s="8">
        <v>46030.679778692131</v>
      </c>
      <c r="B5902" s="9" t="s">
        <v>14</v>
      </c>
      <c r="C5902" s="9" t="s">
        <v>15</v>
      </c>
      <c r="D5902" s="10" t="s">
        <v>12862</v>
      </c>
      <c r="E5902" s="9" t="s">
        <v>22</v>
      </c>
      <c r="F5902" s="10">
        <v>29</v>
      </c>
      <c r="G5902" s="11">
        <v>8130777423</v>
      </c>
      <c r="H5902" s="10" t="s">
        <v>12863</v>
      </c>
      <c r="I5902" s="10" t="s">
        <v>31</v>
      </c>
      <c r="J5902" s="10" t="s">
        <v>10821</v>
      </c>
      <c r="K5902" s="12">
        <v>46030</v>
      </c>
      <c r="L5902" s="28" t="s">
        <v>11</v>
      </c>
      <c r="M5902" s="14"/>
      <c r="N5902" s="10" t="s">
        <v>1028</v>
      </c>
    </row>
    <row r="5903" spans="1:14" ht="22.5" customHeight="1">
      <c r="A5903" s="8">
        <v>46030.680046203706</v>
      </c>
      <c r="B5903" s="9" t="s">
        <v>14</v>
      </c>
      <c r="C5903" s="9" t="s">
        <v>15</v>
      </c>
      <c r="D5903" s="10" t="s">
        <v>2116</v>
      </c>
      <c r="E5903" s="9" t="s">
        <v>17</v>
      </c>
      <c r="F5903" s="10">
        <v>34</v>
      </c>
      <c r="G5903" s="11">
        <v>7012050825</v>
      </c>
      <c r="H5903" s="10" t="s">
        <v>12864</v>
      </c>
      <c r="I5903" s="10" t="s">
        <v>27</v>
      </c>
      <c r="J5903" s="10" t="s">
        <v>53</v>
      </c>
      <c r="K5903" s="12">
        <v>33636</v>
      </c>
      <c r="L5903" s="28" t="s">
        <v>11</v>
      </c>
      <c r="M5903" s="14"/>
      <c r="N5903" s="10" t="s">
        <v>1028</v>
      </c>
    </row>
    <row r="5904" spans="1:14" ht="22.5" customHeight="1">
      <c r="A5904" s="8">
        <v>46030.68337993056</v>
      </c>
      <c r="B5904" s="9" t="s">
        <v>14</v>
      </c>
      <c r="C5904" s="9" t="s">
        <v>15</v>
      </c>
      <c r="D5904" s="10" t="s">
        <v>12865</v>
      </c>
      <c r="E5904" s="9" t="s">
        <v>22</v>
      </c>
      <c r="F5904" s="10">
        <v>25</v>
      </c>
      <c r="G5904" s="11">
        <v>8133438133</v>
      </c>
      <c r="H5904" s="10" t="s">
        <v>12866</v>
      </c>
      <c r="I5904" s="10" t="s">
        <v>45</v>
      </c>
      <c r="J5904" s="10" t="s">
        <v>7631</v>
      </c>
      <c r="K5904" s="12">
        <v>46030</v>
      </c>
      <c r="L5904" s="28" t="s">
        <v>11</v>
      </c>
      <c r="M5904" s="14"/>
      <c r="N5904" s="10" t="s">
        <v>1028</v>
      </c>
    </row>
    <row r="5905" spans="1:14" ht="22.5" customHeight="1">
      <c r="A5905" s="8">
        <v>46030.686235648143</v>
      </c>
      <c r="B5905" s="9" t="s">
        <v>14</v>
      </c>
      <c r="C5905" s="9" t="s">
        <v>15</v>
      </c>
      <c r="D5905" s="10" t="s">
        <v>12867</v>
      </c>
      <c r="E5905" s="9" t="s">
        <v>17</v>
      </c>
      <c r="F5905" s="10">
        <v>26</v>
      </c>
      <c r="G5905" s="11">
        <v>7084105576</v>
      </c>
      <c r="H5905" s="10" t="s">
        <v>12868</v>
      </c>
      <c r="I5905" s="10" t="s">
        <v>145</v>
      </c>
      <c r="J5905" s="10" t="s">
        <v>1607</v>
      </c>
      <c r="K5905" s="12">
        <v>46030</v>
      </c>
      <c r="L5905" s="28" t="s">
        <v>11</v>
      </c>
      <c r="M5905" s="14"/>
      <c r="N5905" s="10" t="s">
        <v>1028</v>
      </c>
    </row>
    <row r="5906" spans="1:14" ht="22.5" customHeight="1">
      <c r="A5906" s="8">
        <v>46030.688076666665</v>
      </c>
      <c r="B5906" s="9" t="s">
        <v>14</v>
      </c>
      <c r="C5906" s="9" t="s">
        <v>15</v>
      </c>
      <c r="D5906" s="10" t="s">
        <v>12869</v>
      </c>
      <c r="E5906" s="9" t="s">
        <v>22</v>
      </c>
      <c r="F5906" s="10">
        <v>27</v>
      </c>
      <c r="G5906" s="11">
        <v>8134598940</v>
      </c>
      <c r="H5906" s="10" t="s">
        <v>12870</v>
      </c>
      <c r="I5906" s="10" t="s">
        <v>145</v>
      </c>
      <c r="J5906" s="10" t="s">
        <v>7062</v>
      </c>
      <c r="K5906" s="12">
        <v>46030</v>
      </c>
      <c r="L5906" s="28" t="s">
        <v>11</v>
      </c>
      <c r="M5906" s="14"/>
      <c r="N5906" s="10" t="s">
        <v>1028</v>
      </c>
    </row>
    <row r="5907" spans="1:14" ht="22.5" customHeight="1">
      <c r="A5907" s="8">
        <v>46030.688854594904</v>
      </c>
      <c r="B5907" s="9" t="s">
        <v>14</v>
      </c>
      <c r="C5907" s="9" t="s">
        <v>15</v>
      </c>
      <c r="D5907" s="10" t="s">
        <v>12871</v>
      </c>
      <c r="E5907" s="9" t="s">
        <v>17</v>
      </c>
      <c r="F5907" s="10">
        <v>56</v>
      </c>
      <c r="G5907" s="11">
        <v>9157370575</v>
      </c>
      <c r="H5907" s="10" t="s">
        <v>12872</v>
      </c>
      <c r="I5907" s="10" t="s">
        <v>145</v>
      </c>
      <c r="J5907" s="10" t="s">
        <v>1607</v>
      </c>
      <c r="K5907" s="12">
        <v>46030</v>
      </c>
      <c r="L5907" s="28" t="s">
        <v>11</v>
      </c>
      <c r="M5907" s="14"/>
      <c r="N5907" s="10" t="s">
        <v>1028</v>
      </c>
    </row>
    <row r="5908" spans="1:14" ht="22.5" customHeight="1">
      <c r="A5908" s="8">
        <v>46030.691259965279</v>
      </c>
      <c r="B5908" s="9" t="s">
        <v>14</v>
      </c>
      <c r="C5908" s="9" t="s">
        <v>15</v>
      </c>
      <c r="D5908" s="10" t="s">
        <v>12873</v>
      </c>
      <c r="E5908" s="9" t="s">
        <v>22</v>
      </c>
      <c r="F5908" s="10">
        <v>23</v>
      </c>
      <c r="G5908" s="11">
        <v>8168941321</v>
      </c>
      <c r="H5908" s="10" t="s">
        <v>12874</v>
      </c>
      <c r="I5908" s="10" t="s">
        <v>19</v>
      </c>
      <c r="J5908" s="10" t="s">
        <v>3369</v>
      </c>
      <c r="K5908" s="12">
        <v>46030</v>
      </c>
      <c r="L5908" s="28" t="s">
        <v>11</v>
      </c>
      <c r="M5908" s="14"/>
      <c r="N5908" s="10" t="s">
        <v>1028</v>
      </c>
    </row>
    <row r="5909" spans="1:14" ht="22.5" customHeight="1">
      <c r="A5909" s="8">
        <v>46030.69440709491</v>
      </c>
      <c r="B5909" s="9" t="s">
        <v>14</v>
      </c>
      <c r="C5909" s="9" t="s">
        <v>15</v>
      </c>
      <c r="D5909" s="10" t="s">
        <v>12875</v>
      </c>
      <c r="E5909" s="9" t="s">
        <v>17</v>
      </c>
      <c r="F5909" s="10">
        <v>23</v>
      </c>
      <c r="G5909" s="11">
        <v>8147922064</v>
      </c>
      <c r="H5909" s="10" t="s">
        <v>12876</v>
      </c>
      <c r="I5909" s="10" t="s">
        <v>145</v>
      </c>
      <c r="J5909" s="10" t="s">
        <v>530</v>
      </c>
      <c r="K5909" s="12">
        <v>46030</v>
      </c>
      <c r="L5909" s="28" t="s">
        <v>11</v>
      </c>
      <c r="M5909" s="14"/>
      <c r="N5909" s="10" t="s">
        <v>1096</v>
      </c>
    </row>
    <row r="5910" spans="1:14" ht="22.5" customHeight="1">
      <c r="A5910" s="8">
        <v>46030.696106817129</v>
      </c>
      <c r="B5910" s="9" t="s">
        <v>14</v>
      </c>
      <c r="C5910" s="9" t="s">
        <v>15</v>
      </c>
      <c r="D5910" s="10" t="s">
        <v>12877</v>
      </c>
      <c r="E5910" s="9" t="s">
        <v>22</v>
      </c>
      <c r="F5910" s="10">
        <v>28</v>
      </c>
      <c r="G5910" s="11">
        <v>8168325887</v>
      </c>
      <c r="H5910" s="10" t="s">
        <v>12878</v>
      </c>
      <c r="I5910" s="10" t="s">
        <v>145</v>
      </c>
      <c r="J5910" s="10" t="s">
        <v>9968</v>
      </c>
      <c r="K5910" s="12">
        <v>46030</v>
      </c>
      <c r="L5910" s="28" t="s">
        <v>11</v>
      </c>
      <c r="M5910" s="14"/>
      <c r="N5910" s="10" t="s">
        <v>12879</v>
      </c>
    </row>
    <row r="5911" spans="1:14" ht="22.5" customHeight="1">
      <c r="A5911" s="8">
        <v>46030.696614537039</v>
      </c>
      <c r="B5911" s="9" t="s">
        <v>14</v>
      </c>
      <c r="C5911" s="9" t="s">
        <v>15</v>
      </c>
      <c r="D5911" s="10" t="s">
        <v>12880</v>
      </c>
      <c r="E5911" s="9" t="s">
        <v>17</v>
      </c>
      <c r="F5911" s="10">
        <v>36</v>
      </c>
      <c r="G5911" s="11">
        <v>8067308859</v>
      </c>
      <c r="H5911" s="10" t="s">
        <v>12881</v>
      </c>
      <c r="I5911" s="10" t="s">
        <v>49</v>
      </c>
      <c r="J5911" s="10" t="s">
        <v>192</v>
      </c>
      <c r="K5911" s="12">
        <v>46030</v>
      </c>
      <c r="L5911" s="28" t="s">
        <v>11</v>
      </c>
      <c r="M5911" s="14"/>
      <c r="N5911" s="10" t="s">
        <v>1096</v>
      </c>
    </row>
    <row r="5912" spans="1:14" ht="22.5" customHeight="1">
      <c r="A5912" s="8">
        <v>46030.698554467592</v>
      </c>
      <c r="B5912" s="9" t="s">
        <v>14</v>
      </c>
      <c r="C5912" s="9" t="s">
        <v>15</v>
      </c>
      <c r="D5912" s="10" t="s">
        <v>12882</v>
      </c>
      <c r="E5912" s="9" t="s">
        <v>17</v>
      </c>
      <c r="F5912" s="10">
        <v>31</v>
      </c>
      <c r="G5912" s="11">
        <v>8102282664</v>
      </c>
      <c r="H5912" s="10" t="s">
        <v>12883</v>
      </c>
      <c r="I5912" s="10" t="s">
        <v>45</v>
      </c>
      <c r="J5912" s="10" t="s">
        <v>2193</v>
      </c>
      <c r="K5912" s="12">
        <v>46030</v>
      </c>
      <c r="L5912" s="28" t="s">
        <v>11</v>
      </c>
      <c r="M5912" s="14"/>
      <c r="N5912" s="10" t="s">
        <v>1028</v>
      </c>
    </row>
    <row r="5913" spans="1:14" ht="22.5" customHeight="1">
      <c r="A5913" s="8">
        <v>46030.699124791667</v>
      </c>
      <c r="B5913" s="9" t="s">
        <v>14</v>
      </c>
      <c r="C5913" s="9" t="s">
        <v>15</v>
      </c>
      <c r="D5913" s="10" t="s">
        <v>12884</v>
      </c>
      <c r="E5913" s="9" t="s">
        <v>22</v>
      </c>
      <c r="F5913" s="10">
        <v>25</v>
      </c>
      <c r="G5913" s="11">
        <v>8131939191</v>
      </c>
      <c r="H5913" s="10" t="s">
        <v>12885</v>
      </c>
      <c r="I5913" s="10" t="s">
        <v>27</v>
      </c>
      <c r="J5913" s="10" t="s">
        <v>1514</v>
      </c>
      <c r="K5913" s="12">
        <v>46030</v>
      </c>
      <c r="L5913" s="28" t="s">
        <v>11</v>
      </c>
      <c r="M5913" s="14"/>
      <c r="N5913" s="10" t="s">
        <v>1028</v>
      </c>
    </row>
    <row r="5914" spans="1:14" ht="22.5" customHeight="1">
      <c r="A5914" s="8">
        <v>46030.714870914351</v>
      </c>
      <c r="B5914" s="9" t="s">
        <v>14</v>
      </c>
      <c r="C5914" s="9" t="s">
        <v>15</v>
      </c>
      <c r="D5914" s="10" t="s">
        <v>12886</v>
      </c>
      <c r="E5914" s="9" t="s">
        <v>17</v>
      </c>
      <c r="F5914" s="10">
        <v>30</v>
      </c>
      <c r="G5914" s="11">
        <v>9157591624</v>
      </c>
      <c r="H5914" s="10" t="s">
        <v>12887</v>
      </c>
      <c r="I5914" s="10" t="s">
        <v>45</v>
      </c>
      <c r="J5914" s="10" t="s">
        <v>901</v>
      </c>
      <c r="K5914" s="12">
        <v>46030</v>
      </c>
      <c r="L5914" s="28" t="s">
        <v>11</v>
      </c>
      <c r="M5914" s="14"/>
      <c r="N5914" s="10" t="s">
        <v>1028</v>
      </c>
    </row>
    <row r="5915" spans="1:14" ht="22.5" customHeight="1">
      <c r="A5915" s="8">
        <v>46030.720418923607</v>
      </c>
      <c r="B5915" s="9" t="s">
        <v>14</v>
      </c>
      <c r="C5915" s="9" t="s">
        <v>15</v>
      </c>
      <c r="D5915" s="10" t="s">
        <v>12888</v>
      </c>
      <c r="E5915" s="9" t="s">
        <v>17</v>
      </c>
      <c r="F5915" s="10">
        <v>22</v>
      </c>
      <c r="G5915" s="11">
        <v>8147863605</v>
      </c>
      <c r="H5915" s="10" t="s">
        <v>12889</v>
      </c>
      <c r="I5915" s="10" t="s">
        <v>45</v>
      </c>
      <c r="J5915" s="10" t="s">
        <v>6766</v>
      </c>
      <c r="K5915" s="12">
        <v>46030</v>
      </c>
      <c r="L5915" s="28" t="s">
        <v>11</v>
      </c>
      <c r="M5915" s="14"/>
      <c r="N5915" s="10" t="s">
        <v>1028</v>
      </c>
    </row>
    <row r="5916" spans="1:14" ht="22.5" customHeight="1">
      <c r="A5916" s="8">
        <v>46030.720729050925</v>
      </c>
      <c r="B5916" s="9" t="s">
        <v>14</v>
      </c>
      <c r="C5916" s="9" t="s">
        <v>15</v>
      </c>
      <c r="D5916" s="10" t="s">
        <v>12890</v>
      </c>
      <c r="E5916" s="9" t="s">
        <v>22</v>
      </c>
      <c r="F5916" s="10">
        <v>28</v>
      </c>
      <c r="G5916" s="11">
        <v>8104741036</v>
      </c>
      <c r="H5916" s="10" t="s">
        <v>12891</v>
      </c>
      <c r="I5916" s="10" t="s">
        <v>202</v>
      </c>
      <c r="J5916" s="10" t="s">
        <v>2059</v>
      </c>
      <c r="K5916" s="12">
        <v>46030</v>
      </c>
      <c r="L5916" s="28" t="s">
        <v>11</v>
      </c>
      <c r="M5916" s="14"/>
      <c r="N5916" s="10" t="s">
        <v>1096</v>
      </c>
    </row>
    <row r="5917" spans="1:14" ht="22.5" customHeight="1">
      <c r="A5917" s="8">
        <v>46030.722370729171</v>
      </c>
      <c r="B5917" s="9" t="s">
        <v>14</v>
      </c>
      <c r="C5917" s="9" t="s">
        <v>15</v>
      </c>
      <c r="D5917" s="10" t="s">
        <v>12892</v>
      </c>
      <c r="E5917" s="9" t="s">
        <v>17</v>
      </c>
      <c r="F5917" s="10">
        <v>33</v>
      </c>
      <c r="G5917" s="11">
        <v>7045076549</v>
      </c>
      <c r="H5917" s="10" t="s">
        <v>12893</v>
      </c>
      <c r="I5917" s="10" t="s">
        <v>31</v>
      </c>
      <c r="J5917" s="10" t="s">
        <v>32</v>
      </c>
      <c r="K5917" s="12">
        <v>46030</v>
      </c>
      <c r="L5917" s="28" t="s">
        <v>11</v>
      </c>
      <c r="M5917" s="14"/>
      <c r="N5917" s="10" t="s">
        <v>1096</v>
      </c>
    </row>
    <row r="5918" spans="1:14" ht="22.5" customHeight="1">
      <c r="A5918" s="8">
        <v>46030.728341458336</v>
      </c>
      <c r="B5918" s="9" t="s">
        <v>14</v>
      </c>
      <c r="C5918" s="9" t="s">
        <v>15</v>
      </c>
      <c r="D5918" s="10" t="s">
        <v>12894</v>
      </c>
      <c r="E5918" s="9" t="s">
        <v>17</v>
      </c>
      <c r="F5918" s="10">
        <v>24</v>
      </c>
      <c r="G5918" s="11">
        <v>8100892666</v>
      </c>
      <c r="H5918" s="10" t="s">
        <v>12895</v>
      </c>
      <c r="I5918" s="10" t="s">
        <v>45</v>
      </c>
      <c r="J5918" s="10" t="s">
        <v>125</v>
      </c>
      <c r="K5918" s="12">
        <v>46030</v>
      </c>
      <c r="L5918" s="28" t="s">
        <v>11</v>
      </c>
      <c r="M5918" s="14"/>
      <c r="N5918" s="10" t="s">
        <v>1096</v>
      </c>
    </row>
    <row r="5919" spans="1:14" ht="22.5" customHeight="1">
      <c r="A5919" s="8">
        <v>46030.729069849534</v>
      </c>
      <c r="B5919" s="9" t="s">
        <v>14</v>
      </c>
      <c r="C5919" s="9" t="s">
        <v>15</v>
      </c>
      <c r="D5919" s="10" t="s">
        <v>12896</v>
      </c>
      <c r="E5919" s="9" t="s">
        <v>17</v>
      </c>
      <c r="F5919" s="10">
        <v>32</v>
      </c>
      <c r="G5919" s="11">
        <v>9043060622</v>
      </c>
      <c r="H5919" s="10" t="s">
        <v>12897</v>
      </c>
      <c r="I5919" s="10" t="s">
        <v>27</v>
      </c>
      <c r="J5919" s="10" t="s">
        <v>2258</v>
      </c>
      <c r="K5919" s="12">
        <v>46030</v>
      </c>
      <c r="L5919" s="28" t="s">
        <v>11</v>
      </c>
      <c r="M5919" s="14"/>
      <c r="N5919" s="10" t="s">
        <v>1028</v>
      </c>
    </row>
    <row r="5920" spans="1:14" ht="22.5" customHeight="1">
      <c r="A5920" s="8">
        <v>46030.731502094903</v>
      </c>
      <c r="B5920" s="9" t="s">
        <v>14</v>
      </c>
      <c r="C5920" s="9" t="s">
        <v>15</v>
      </c>
      <c r="D5920" s="10" t="s">
        <v>12898</v>
      </c>
      <c r="E5920" s="9" t="s">
        <v>22</v>
      </c>
      <c r="F5920" s="10">
        <v>24</v>
      </c>
      <c r="G5920" s="11">
        <v>9031949707</v>
      </c>
      <c r="H5920" s="10" t="s">
        <v>12899</v>
      </c>
      <c r="I5920" s="10" t="s">
        <v>145</v>
      </c>
      <c r="J5920" s="10" t="s">
        <v>530</v>
      </c>
      <c r="K5920" s="12">
        <v>46030</v>
      </c>
      <c r="L5920" s="28" t="s">
        <v>11</v>
      </c>
      <c r="M5920" s="14"/>
      <c r="N5920" s="10" t="s">
        <v>1096</v>
      </c>
    </row>
    <row r="5921" spans="1:14" ht="22.5" customHeight="1">
      <c r="A5921" s="8">
        <v>46030.731989305554</v>
      </c>
      <c r="B5921" s="9" t="s">
        <v>14</v>
      </c>
      <c r="C5921" s="9" t="s">
        <v>15</v>
      </c>
      <c r="D5921" s="10" t="s">
        <v>12900</v>
      </c>
      <c r="E5921" s="9" t="s">
        <v>17</v>
      </c>
      <c r="F5921" s="10">
        <v>30</v>
      </c>
      <c r="G5921" s="11">
        <v>9033704899</v>
      </c>
      <c r="H5921" s="10" t="s">
        <v>12901</v>
      </c>
      <c r="I5921" s="10" t="s">
        <v>45</v>
      </c>
      <c r="J5921" s="10" t="s">
        <v>46</v>
      </c>
      <c r="K5921" s="12">
        <v>46030</v>
      </c>
      <c r="L5921" s="28" t="s">
        <v>11</v>
      </c>
      <c r="M5921" s="14"/>
      <c r="N5921" s="10" t="s">
        <v>1096</v>
      </c>
    </row>
    <row r="5922" spans="1:14" ht="22.5" customHeight="1">
      <c r="A5922" s="8">
        <v>46030.732111469908</v>
      </c>
      <c r="B5922" s="9" t="s">
        <v>14</v>
      </c>
      <c r="C5922" s="9" t="s">
        <v>15</v>
      </c>
      <c r="D5922" s="10" t="s">
        <v>12902</v>
      </c>
      <c r="E5922" s="9" t="s">
        <v>17</v>
      </c>
      <c r="F5922" s="19">
        <v>27</v>
      </c>
      <c r="G5922" s="11">
        <v>9037382952</v>
      </c>
      <c r="H5922" s="10" t="s">
        <v>12903</v>
      </c>
      <c r="I5922" s="10" t="s">
        <v>45</v>
      </c>
      <c r="J5922" s="10" t="s">
        <v>9723</v>
      </c>
      <c r="K5922" s="12">
        <v>46030</v>
      </c>
      <c r="L5922" s="28" t="s">
        <v>11</v>
      </c>
      <c r="M5922" s="14"/>
      <c r="N5922" s="10" t="s">
        <v>1028</v>
      </c>
    </row>
    <row r="5923" spans="1:14" ht="22.5" customHeight="1">
      <c r="A5923" s="8">
        <v>46030.733058784725</v>
      </c>
      <c r="B5923" s="9" t="s">
        <v>14</v>
      </c>
      <c r="C5923" s="9" t="s">
        <v>15</v>
      </c>
      <c r="D5923" s="10" t="s">
        <v>12904</v>
      </c>
      <c r="E5923" s="9" t="s">
        <v>17</v>
      </c>
      <c r="F5923" s="10">
        <v>28</v>
      </c>
      <c r="G5923" s="11">
        <v>7019897648</v>
      </c>
      <c r="H5923" s="10" t="s">
        <v>12905</v>
      </c>
      <c r="I5923" s="10" t="s">
        <v>19</v>
      </c>
      <c r="J5923" s="10" t="s">
        <v>12906</v>
      </c>
      <c r="K5923" s="12">
        <v>46030</v>
      </c>
      <c r="L5923" s="28" t="s">
        <v>11</v>
      </c>
      <c r="M5923" s="14"/>
      <c r="N5923" s="10" t="s">
        <v>1028</v>
      </c>
    </row>
    <row r="5924" spans="1:14" ht="22.5" customHeight="1">
      <c r="A5924" s="8">
        <v>46030.734146886578</v>
      </c>
      <c r="B5924" s="9" t="s">
        <v>14</v>
      </c>
      <c r="C5924" s="9" t="s">
        <v>15</v>
      </c>
      <c r="D5924" s="10" t="s">
        <v>12907</v>
      </c>
      <c r="E5924" s="9" t="s">
        <v>22</v>
      </c>
      <c r="F5924" s="10">
        <v>28</v>
      </c>
      <c r="G5924" s="11">
        <v>7064377152</v>
      </c>
      <c r="H5924" s="10" t="s">
        <v>12908</v>
      </c>
      <c r="I5924" s="10" t="s">
        <v>19</v>
      </c>
      <c r="J5924" s="10" t="s">
        <v>12909</v>
      </c>
      <c r="K5924" s="12">
        <v>46030</v>
      </c>
      <c r="L5924" s="28" t="s">
        <v>11</v>
      </c>
      <c r="M5924" s="14"/>
      <c r="N5924" s="10" t="s">
        <v>1028</v>
      </c>
    </row>
    <row r="5925" spans="1:14" ht="22.5" customHeight="1">
      <c r="A5925" s="8">
        <v>46030.738316886578</v>
      </c>
      <c r="B5925" s="9" t="s">
        <v>14</v>
      </c>
      <c r="C5925" s="9" t="s">
        <v>15</v>
      </c>
      <c r="D5925" s="10" t="s">
        <v>12910</v>
      </c>
      <c r="E5925" s="9" t="s">
        <v>22</v>
      </c>
      <c r="F5925" s="18">
        <v>25</v>
      </c>
      <c r="G5925" s="11">
        <v>9022303765</v>
      </c>
      <c r="H5925" s="10" t="s">
        <v>12911</v>
      </c>
      <c r="I5925" s="10" t="s">
        <v>202</v>
      </c>
      <c r="J5925" s="10" t="s">
        <v>2059</v>
      </c>
      <c r="K5925" s="12">
        <v>46030</v>
      </c>
      <c r="L5925" s="28" t="s">
        <v>11</v>
      </c>
      <c r="M5925" s="14"/>
      <c r="N5925" s="10" t="s">
        <v>1028</v>
      </c>
    </row>
    <row r="5926" spans="1:14" ht="22.5" customHeight="1">
      <c r="A5926" s="8">
        <v>46030.743540104166</v>
      </c>
      <c r="B5926" s="9" t="s">
        <v>14</v>
      </c>
      <c r="C5926" s="9" t="s">
        <v>15</v>
      </c>
      <c r="D5926" s="10" t="s">
        <v>12912</v>
      </c>
      <c r="E5926" s="9" t="s">
        <v>17</v>
      </c>
      <c r="F5926" s="10">
        <v>34</v>
      </c>
      <c r="G5926" s="11">
        <v>8087410706</v>
      </c>
      <c r="H5926" s="10" t="s">
        <v>12913</v>
      </c>
      <c r="I5926" s="10" t="s">
        <v>202</v>
      </c>
      <c r="J5926" s="10" t="s">
        <v>2059</v>
      </c>
      <c r="K5926" s="12">
        <v>46030</v>
      </c>
      <c r="L5926" s="28" t="s">
        <v>11</v>
      </c>
      <c r="M5926" s="14"/>
      <c r="N5926" s="10" t="s">
        <v>1028</v>
      </c>
    </row>
    <row r="5927" spans="1:14" ht="22.5" customHeight="1">
      <c r="A5927" s="8">
        <v>46030.749715358797</v>
      </c>
      <c r="B5927" s="9" t="s">
        <v>14</v>
      </c>
      <c r="C5927" s="9" t="s">
        <v>15</v>
      </c>
      <c r="D5927" s="10" t="s">
        <v>12914</v>
      </c>
      <c r="E5927" s="9" t="s">
        <v>22</v>
      </c>
      <c r="F5927" s="19">
        <v>34</v>
      </c>
      <c r="G5927" s="11">
        <v>8037088286</v>
      </c>
      <c r="H5927" s="10" t="s">
        <v>12915</v>
      </c>
      <c r="I5927" s="10" t="s">
        <v>145</v>
      </c>
      <c r="J5927" s="10" t="s">
        <v>7813</v>
      </c>
      <c r="K5927" s="12">
        <v>46030</v>
      </c>
      <c r="L5927" s="28" t="s">
        <v>11</v>
      </c>
      <c r="M5927" s="14"/>
      <c r="N5927" s="10" t="s">
        <v>1028</v>
      </c>
    </row>
    <row r="5928" spans="1:14" ht="22.5" customHeight="1">
      <c r="A5928" s="8">
        <v>46030.750915763885</v>
      </c>
      <c r="B5928" s="9" t="s">
        <v>14</v>
      </c>
      <c r="C5928" s="9" t="s">
        <v>15</v>
      </c>
      <c r="D5928" s="10" t="s">
        <v>12916</v>
      </c>
      <c r="E5928" s="9" t="s">
        <v>22</v>
      </c>
      <c r="F5928" s="10">
        <v>32</v>
      </c>
      <c r="G5928" s="11">
        <v>9023873389</v>
      </c>
      <c r="H5928" s="10" t="s">
        <v>12917</v>
      </c>
      <c r="I5928" s="10" t="s">
        <v>49</v>
      </c>
      <c r="J5928" s="10" t="s">
        <v>12918</v>
      </c>
      <c r="K5928" s="12">
        <v>46030</v>
      </c>
      <c r="L5928" s="28" t="s">
        <v>11</v>
      </c>
      <c r="M5928" s="14"/>
      <c r="N5928" s="10" t="s">
        <v>1028</v>
      </c>
    </row>
    <row r="5929" spans="1:14" ht="22.5" customHeight="1">
      <c r="A5929" s="8">
        <v>46030.753701481481</v>
      </c>
      <c r="B5929" s="9" t="s">
        <v>14</v>
      </c>
      <c r="C5929" s="9" t="s">
        <v>15</v>
      </c>
      <c r="D5929" s="10" t="s">
        <v>12919</v>
      </c>
      <c r="E5929" s="9" t="s">
        <v>17</v>
      </c>
      <c r="F5929" s="10">
        <v>28</v>
      </c>
      <c r="G5929" s="11">
        <v>9065287715</v>
      </c>
      <c r="H5929" s="10" t="s">
        <v>12920</v>
      </c>
      <c r="I5929" s="10" t="s">
        <v>45</v>
      </c>
      <c r="J5929" s="10" t="s">
        <v>84</v>
      </c>
      <c r="K5929" s="12">
        <v>46030</v>
      </c>
      <c r="L5929" s="28" t="s">
        <v>11</v>
      </c>
      <c r="M5929" s="14"/>
      <c r="N5929" s="10" t="s">
        <v>1028</v>
      </c>
    </row>
    <row r="5930" spans="1:14" ht="22.5" customHeight="1">
      <c r="A5930" s="8">
        <v>46030.76069487269</v>
      </c>
      <c r="B5930" s="9" t="s">
        <v>14</v>
      </c>
      <c r="C5930" s="9" t="s">
        <v>15</v>
      </c>
      <c r="D5930" s="10" t="s">
        <v>12921</v>
      </c>
      <c r="E5930" s="9" t="s">
        <v>17</v>
      </c>
      <c r="F5930" s="10">
        <v>35</v>
      </c>
      <c r="G5930" s="11">
        <v>7037543686</v>
      </c>
      <c r="H5930" s="10" t="s">
        <v>12922</v>
      </c>
      <c r="I5930" s="10" t="s">
        <v>27</v>
      </c>
      <c r="J5930" s="10" t="s">
        <v>70</v>
      </c>
      <c r="K5930" s="12">
        <v>46030</v>
      </c>
      <c r="L5930" s="28" t="s">
        <v>11</v>
      </c>
      <c r="M5930" s="14"/>
      <c r="N5930" s="10" t="s">
        <v>1028</v>
      </c>
    </row>
    <row r="5931" spans="1:14" ht="22.5" customHeight="1">
      <c r="A5931" s="8">
        <v>46030.764194479169</v>
      </c>
      <c r="B5931" s="9" t="s">
        <v>14</v>
      </c>
      <c r="C5931" s="9" t="s">
        <v>15</v>
      </c>
      <c r="D5931" s="10" t="s">
        <v>12923</v>
      </c>
      <c r="E5931" s="9" t="s">
        <v>22</v>
      </c>
      <c r="F5931" s="10">
        <v>29</v>
      </c>
      <c r="G5931" s="11">
        <v>8148165111</v>
      </c>
      <c r="H5931" s="10" t="s">
        <v>12924</v>
      </c>
      <c r="I5931" s="10" t="s">
        <v>19</v>
      </c>
      <c r="J5931" s="10" t="s">
        <v>1845</v>
      </c>
      <c r="K5931" s="12">
        <v>46030</v>
      </c>
      <c r="L5931" s="28" t="s">
        <v>11</v>
      </c>
      <c r="M5931" s="14"/>
      <c r="N5931" s="10" t="s">
        <v>1028</v>
      </c>
    </row>
    <row r="5932" spans="1:14" ht="22.5" customHeight="1">
      <c r="A5932" s="8">
        <v>46030.766233495371</v>
      </c>
      <c r="B5932" s="9" t="s">
        <v>14</v>
      </c>
      <c r="C5932" s="9" t="s">
        <v>15</v>
      </c>
      <c r="D5932" s="10" t="s">
        <v>12925</v>
      </c>
      <c r="E5932" s="9" t="s">
        <v>22</v>
      </c>
      <c r="F5932" s="10">
        <v>34</v>
      </c>
      <c r="G5932" s="11">
        <f t="shared" ref="G5932" si="174">2347064745183</f>
        <v>2347064745183</v>
      </c>
      <c r="H5932" s="10" t="s">
        <v>12926</v>
      </c>
      <c r="I5932" s="10" t="s">
        <v>49</v>
      </c>
      <c r="J5932" s="10" t="s">
        <v>181</v>
      </c>
      <c r="K5932" s="12">
        <v>46030</v>
      </c>
      <c r="L5932" s="28" t="s">
        <v>11</v>
      </c>
      <c r="M5932" s="14"/>
      <c r="N5932" s="10" t="s">
        <v>1096</v>
      </c>
    </row>
    <row r="5933" spans="1:14" ht="22.5" customHeight="1">
      <c r="A5933" s="8">
        <v>46030.767306493057</v>
      </c>
      <c r="B5933" s="9" t="s">
        <v>14</v>
      </c>
      <c r="C5933" s="9" t="s">
        <v>15</v>
      </c>
      <c r="D5933" s="10" t="s">
        <v>12927</v>
      </c>
      <c r="E5933" s="9" t="s">
        <v>22</v>
      </c>
      <c r="F5933" s="10">
        <v>33</v>
      </c>
      <c r="G5933" s="11">
        <v>7061399556</v>
      </c>
      <c r="H5933" s="10" t="s">
        <v>12928</v>
      </c>
      <c r="I5933" s="10" t="s">
        <v>202</v>
      </c>
      <c r="J5933" s="10" t="s">
        <v>11558</v>
      </c>
      <c r="K5933" s="12">
        <v>46030</v>
      </c>
      <c r="L5933" s="28" t="s">
        <v>11</v>
      </c>
      <c r="M5933" s="14"/>
      <c r="N5933" s="10" t="s">
        <v>1028</v>
      </c>
    </row>
    <row r="5934" spans="1:14" ht="22.5" customHeight="1">
      <c r="A5934" s="8">
        <v>46030.768765011569</v>
      </c>
      <c r="B5934" s="9" t="s">
        <v>14</v>
      </c>
      <c r="C5934" s="9" t="s">
        <v>15</v>
      </c>
      <c r="D5934" s="10" t="s">
        <v>12929</v>
      </c>
      <c r="E5934" s="9" t="s">
        <v>17</v>
      </c>
      <c r="F5934" s="10">
        <v>28</v>
      </c>
      <c r="G5934" s="11">
        <v>8168723462</v>
      </c>
      <c r="H5934" s="10" t="s">
        <v>12930</v>
      </c>
      <c r="I5934" s="10" t="s">
        <v>45</v>
      </c>
      <c r="J5934" s="10" t="s">
        <v>1173</v>
      </c>
      <c r="K5934" s="12">
        <v>46030</v>
      </c>
      <c r="L5934" s="28" t="s">
        <v>11</v>
      </c>
      <c r="M5934" s="14"/>
      <c r="N5934" s="10" t="s">
        <v>1028</v>
      </c>
    </row>
    <row r="5935" spans="1:14" ht="22.5" customHeight="1">
      <c r="A5935" s="8">
        <v>46030.774871921298</v>
      </c>
      <c r="B5935" s="9" t="s">
        <v>14</v>
      </c>
      <c r="C5935" s="9" t="s">
        <v>15</v>
      </c>
      <c r="D5935" s="10" t="s">
        <v>12931</v>
      </c>
      <c r="E5935" s="9" t="s">
        <v>22</v>
      </c>
      <c r="F5935" s="10">
        <v>27</v>
      </c>
      <c r="G5935" s="11">
        <v>9034925941</v>
      </c>
      <c r="H5935" s="10" t="s">
        <v>12932</v>
      </c>
      <c r="I5935" s="10" t="s">
        <v>19</v>
      </c>
      <c r="J5935" s="10" t="s">
        <v>12048</v>
      </c>
      <c r="K5935" s="12">
        <v>46030</v>
      </c>
      <c r="L5935" s="28" t="s">
        <v>11</v>
      </c>
      <c r="M5935" s="14"/>
      <c r="N5935" s="10" t="s">
        <v>12933</v>
      </c>
    </row>
    <row r="5936" spans="1:14" ht="22.5" customHeight="1">
      <c r="A5936" s="8">
        <v>46030.778647303239</v>
      </c>
      <c r="B5936" s="9" t="s">
        <v>14</v>
      </c>
      <c r="C5936" s="9" t="s">
        <v>15</v>
      </c>
      <c r="D5936" s="10" t="s">
        <v>12934</v>
      </c>
      <c r="E5936" s="9" t="s">
        <v>22</v>
      </c>
      <c r="F5936" s="10">
        <v>36</v>
      </c>
      <c r="G5936" s="11">
        <v>8038072886</v>
      </c>
      <c r="H5936" s="10" t="s">
        <v>12935</v>
      </c>
      <c r="I5936" s="10" t="s">
        <v>19</v>
      </c>
      <c r="J5936" s="10" t="s">
        <v>24</v>
      </c>
      <c r="K5936" s="12">
        <v>46030</v>
      </c>
      <c r="L5936" s="28" t="s">
        <v>11</v>
      </c>
      <c r="M5936" s="14"/>
      <c r="N5936" s="10" t="s">
        <v>1028</v>
      </c>
    </row>
    <row r="5937" spans="1:14" ht="22.5" customHeight="1">
      <c r="A5937" s="8">
        <v>46030.783758935184</v>
      </c>
      <c r="B5937" s="9" t="s">
        <v>14</v>
      </c>
      <c r="C5937" s="9" t="s">
        <v>15</v>
      </c>
      <c r="D5937" s="10" t="s">
        <v>12936</v>
      </c>
      <c r="E5937" s="9" t="s">
        <v>22</v>
      </c>
      <c r="F5937" s="10">
        <v>28</v>
      </c>
      <c r="G5937" s="11">
        <v>8136015711</v>
      </c>
      <c r="H5937" s="10" t="s">
        <v>12937</v>
      </c>
      <c r="I5937" s="10" t="s">
        <v>145</v>
      </c>
      <c r="J5937" s="10" t="s">
        <v>4352</v>
      </c>
      <c r="K5937" s="12">
        <v>46030</v>
      </c>
      <c r="L5937" s="28" t="s">
        <v>11</v>
      </c>
      <c r="M5937" s="14"/>
      <c r="N5937" s="10" t="s">
        <v>1028</v>
      </c>
    </row>
    <row r="5938" spans="1:14" ht="22.5" customHeight="1">
      <c r="A5938" s="8">
        <v>46030.788601157408</v>
      </c>
      <c r="B5938" s="9" t="s">
        <v>14</v>
      </c>
      <c r="C5938" s="9" t="s">
        <v>15</v>
      </c>
      <c r="D5938" s="10" t="s">
        <v>12938</v>
      </c>
      <c r="E5938" s="9" t="s">
        <v>17</v>
      </c>
      <c r="F5938" s="10">
        <v>24</v>
      </c>
      <c r="G5938" s="11">
        <v>8166559667</v>
      </c>
      <c r="H5938" s="10" t="s">
        <v>12939</v>
      </c>
      <c r="I5938" s="10" t="s">
        <v>27</v>
      </c>
      <c r="J5938" s="10" t="s">
        <v>12844</v>
      </c>
      <c r="K5938" s="12">
        <v>46030</v>
      </c>
      <c r="L5938" s="28" t="s">
        <v>11</v>
      </c>
      <c r="M5938" s="14"/>
      <c r="N5938" s="10" t="s">
        <v>1096</v>
      </c>
    </row>
    <row r="5939" spans="1:14" ht="22.5" customHeight="1">
      <c r="A5939" s="8">
        <v>46030.790475821763</v>
      </c>
      <c r="B5939" s="9" t="s">
        <v>14</v>
      </c>
      <c r="C5939" s="9" t="s">
        <v>15</v>
      </c>
      <c r="D5939" s="10" t="s">
        <v>12940</v>
      </c>
      <c r="E5939" s="9" t="s">
        <v>17</v>
      </c>
      <c r="F5939" s="10">
        <v>30</v>
      </c>
      <c r="G5939" s="11">
        <f t="shared" ref="G5939" si="175">2347084033606</f>
        <v>2347084033606</v>
      </c>
      <c r="H5939" s="10" t="s">
        <v>12941</v>
      </c>
      <c r="I5939" s="10" t="s">
        <v>45</v>
      </c>
      <c r="J5939" s="10" t="s">
        <v>12467</v>
      </c>
      <c r="K5939" s="12">
        <v>46030</v>
      </c>
      <c r="L5939" s="28" t="s">
        <v>11</v>
      </c>
      <c r="M5939" s="14"/>
      <c r="N5939" s="10" t="s">
        <v>1028</v>
      </c>
    </row>
    <row r="5940" spans="1:14" ht="22.5" customHeight="1">
      <c r="A5940" s="8">
        <v>46030.791297673612</v>
      </c>
      <c r="B5940" s="9" t="s">
        <v>14</v>
      </c>
      <c r="C5940" s="9" t="s">
        <v>15</v>
      </c>
      <c r="D5940" s="10" t="s">
        <v>6143</v>
      </c>
      <c r="E5940" s="9" t="s">
        <v>17</v>
      </c>
      <c r="F5940" s="10">
        <v>25</v>
      </c>
      <c r="G5940" s="11">
        <v>9020389342</v>
      </c>
      <c r="H5940" s="10" t="s">
        <v>6144</v>
      </c>
      <c r="I5940" s="10" t="s">
        <v>27</v>
      </c>
      <c r="J5940" s="10" t="s">
        <v>94</v>
      </c>
      <c r="K5940" s="12">
        <v>46030</v>
      </c>
      <c r="L5940" s="28" t="s">
        <v>11</v>
      </c>
      <c r="M5940" s="14"/>
      <c r="N5940" s="10" t="s">
        <v>1028</v>
      </c>
    </row>
    <row r="5941" spans="1:14" ht="22.5" customHeight="1">
      <c r="A5941" s="8">
        <v>46030.792013194441</v>
      </c>
      <c r="B5941" s="9" t="s">
        <v>14</v>
      </c>
      <c r="C5941" s="9" t="s">
        <v>15</v>
      </c>
      <c r="D5941" s="10" t="s">
        <v>12942</v>
      </c>
      <c r="E5941" s="9" t="s">
        <v>17</v>
      </c>
      <c r="F5941" s="10">
        <v>25</v>
      </c>
      <c r="G5941" s="11">
        <v>8140273290</v>
      </c>
      <c r="H5941" s="10" t="s">
        <v>12943</v>
      </c>
      <c r="I5941" s="10" t="s">
        <v>27</v>
      </c>
      <c r="J5941" s="10" t="s">
        <v>172</v>
      </c>
      <c r="K5941" s="12">
        <v>46030</v>
      </c>
      <c r="L5941" s="28" t="s">
        <v>11</v>
      </c>
      <c r="M5941" s="14"/>
      <c r="N5941" s="10" t="s">
        <v>1096</v>
      </c>
    </row>
    <row r="5942" spans="1:14" ht="22.5" customHeight="1">
      <c r="A5942" s="8">
        <v>46030.792869861107</v>
      </c>
      <c r="B5942" s="9" t="s">
        <v>14</v>
      </c>
      <c r="C5942" s="9" t="s">
        <v>15</v>
      </c>
      <c r="D5942" s="10" t="s">
        <v>12944</v>
      </c>
      <c r="E5942" s="9" t="s">
        <v>17</v>
      </c>
      <c r="F5942" s="10">
        <v>31</v>
      </c>
      <c r="G5942" s="11">
        <v>7038460876</v>
      </c>
      <c r="H5942" s="10" t="s">
        <v>12945</v>
      </c>
      <c r="I5942" s="10" t="s">
        <v>145</v>
      </c>
      <c r="J5942" s="10" t="s">
        <v>530</v>
      </c>
      <c r="K5942" s="12">
        <v>46030</v>
      </c>
      <c r="L5942" s="28" t="s">
        <v>11</v>
      </c>
      <c r="M5942" s="14"/>
      <c r="N5942" s="10" t="s">
        <v>1028</v>
      </c>
    </row>
    <row r="5943" spans="1:14" ht="22.5" customHeight="1">
      <c r="A5943" s="8">
        <v>46030.795517777777</v>
      </c>
      <c r="B5943" s="9" t="s">
        <v>14</v>
      </c>
      <c r="C5943" s="9" t="s">
        <v>15</v>
      </c>
      <c r="D5943" s="10" t="s">
        <v>12946</v>
      </c>
      <c r="E5943" s="9" t="s">
        <v>17</v>
      </c>
      <c r="F5943" s="10">
        <v>36</v>
      </c>
      <c r="G5943" s="11">
        <v>8144200007</v>
      </c>
      <c r="H5943" s="10" t="s">
        <v>12947</v>
      </c>
      <c r="I5943" s="10" t="s">
        <v>27</v>
      </c>
      <c r="J5943" s="10" t="s">
        <v>67</v>
      </c>
      <c r="K5943" s="12">
        <v>46030</v>
      </c>
      <c r="L5943" s="28" t="s">
        <v>11</v>
      </c>
      <c r="M5943" s="14"/>
      <c r="N5943" s="10" t="s">
        <v>1028</v>
      </c>
    </row>
    <row r="5944" spans="1:14" ht="22.5" customHeight="1">
      <c r="A5944" s="8">
        <v>46030.799587280097</v>
      </c>
      <c r="B5944" s="9" t="s">
        <v>14</v>
      </c>
      <c r="C5944" s="9" t="s">
        <v>15</v>
      </c>
      <c r="D5944" s="10" t="s">
        <v>12948</v>
      </c>
      <c r="E5944" s="9" t="s">
        <v>17</v>
      </c>
      <c r="F5944" s="10">
        <v>32</v>
      </c>
      <c r="G5944" s="11">
        <f t="shared" ref="G5944" si="176">2349030313783</f>
        <v>2349030313783</v>
      </c>
      <c r="H5944" s="10" t="s">
        <v>12949</v>
      </c>
      <c r="I5944" s="10" t="s">
        <v>45</v>
      </c>
      <c r="J5944" s="10" t="s">
        <v>84</v>
      </c>
      <c r="K5944" s="12">
        <v>46030</v>
      </c>
      <c r="L5944" s="28" t="s">
        <v>11</v>
      </c>
      <c r="M5944" s="14"/>
      <c r="N5944" s="10" t="s">
        <v>1028</v>
      </c>
    </row>
    <row r="5945" spans="1:14" ht="22.5" customHeight="1">
      <c r="A5945" s="8">
        <v>46030.809795057867</v>
      </c>
      <c r="B5945" s="9" t="s">
        <v>14</v>
      </c>
      <c r="C5945" s="9" t="s">
        <v>15</v>
      </c>
      <c r="D5945" s="10" t="s">
        <v>12950</v>
      </c>
      <c r="E5945" s="9" t="s">
        <v>17</v>
      </c>
      <c r="F5945" s="10">
        <v>26</v>
      </c>
      <c r="G5945" s="11">
        <f t="shared" ref="G5945" si="177">2347045308432</f>
        <v>2347045308432</v>
      </c>
      <c r="H5945" s="10" t="s">
        <v>12951</v>
      </c>
      <c r="I5945" s="10" t="s">
        <v>27</v>
      </c>
      <c r="J5945" s="10" t="s">
        <v>2639</v>
      </c>
      <c r="K5945" s="12">
        <v>46030</v>
      </c>
      <c r="L5945" s="28" t="s">
        <v>11</v>
      </c>
      <c r="M5945" s="14"/>
      <c r="N5945" s="10" t="s">
        <v>1096</v>
      </c>
    </row>
    <row r="5946" spans="1:14" ht="22.5" customHeight="1">
      <c r="A5946" s="8">
        <v>46030.810120057868</v>
      </c>
      <c r="B5946" s="9" t="s">
        <v>14</v>
      </c>
      <c r="C5946" s="9" t="s">
        <v>15</v>
      </c>
      <c r="D5946" s="10" t="s">
        <v>12952</v>
      </c>
      <c r="E5946" s="9" t="s">
        <v>22</v>
      </c>
      <c r="F5946" s="10">
        <v>27</v>
      </c>
      <c r="G5946" s="11">
        <v>8132734310</v>
      </c>
      <c r="H5946" s="10" t="s">
        <v>12953</v>
      </c>
      <c r="I5946" s="10" t="s">
        <v>19</v>
      </c>
      <c r="J5946" s="10" t="s">
        <v>3369</v>
      </c>
      <c r="K5946" s="12">
        <v>46030</v>
      </c>
      <c r="L5946" s="28" t="s">
        <v>11</v>
      </c>
      <c r="M5946" s="14"/>
      <c r="N5946" s="10" t="s">
        <v>1028</v>
      </c>
    </row>
    <row r="5947" spans="1:14" ht="22.5" hidden="1" customHeight="1">
      <c r="A5947" s="8">
        <v>46030.81375479167</v>
      </c>
      <c r="B5947" s="9" t="s">
        <v>14</v>
      </c>
      <c r="C5947" s="9" t="s">
        <v>15</v>
      </c>
      <c r="D5947" s="10" t="s">
        <v>12954</v>
      </c>
      <c r="E5947" s="9" t="s">
        <v>17</v>
      </c>
      <c r="F5947" s="10">
        <v>36</v>
      </c>
      <c r="G5947" s="11">
        <v>8066435913</v>
      </c>
      <c r="H5947" s="10" t="s">
        <v>12955</v>
      </c>
      <c r="I5947" s="10" t="s">
        <v>49</v>
      </c>
      <c r="J5947" s="10" t="s">
        <v>282</v>
      </c>
      <c r="K5947" s="12">
        <v>46030</v>
      </c>
      <c r="L5947" s="10" t="s">
        <v>441</v>
      </c>
      <c r="M5947" s="10" t="s">
        <v>1361</v>
      </c>
      <c r="N5947" s="10" t="s">
        <v>1028</v>
      </c>
    </row>
    <row r="5948" spans="1:14" ht="22.5" customHeight="1">
      <c r="A5948" s="8">
        <v>46030.821184629633</v>
      </c>
      <c r="B5948" s="9" t="s">
        <v>14</v>
      </c>
      <c r="C5948" s="9" t="s">
        <v>15</v>
      </c>
      <c r="D5948" s="10" t="s">
        <v>12956</v>
      </c>
      <c r="E5948" s="9" t="s">
        <v>17</v>
      </c>
      <c r="F5948" s="10">
        <v>35</v>
      </c>
      <c r="G5948" s="11">
        <v>1855302994</v>
      </c>
      <c r="H5948" s="10" t="s">
        <v>12957</v>
      </c>
      <c r="I5948" s="10" t="s">
        <v>19</v>
      </c>
      <c r="J5948" s="10" t="s">
        <v>166</v>
      </c>
      <c r="K5948" s="12">
        <v>46030</v>
      </c>
      <c r="L5948" s="28" t="s">
        <v>11</v>
      </c>
      <c r="M5948" s="14"/>
      <c r="N5948" s="10" t="s">
        <v>1028</v>
      </c>
    </row>
    <row r="5949" spans="1:14" ht="22.5" customHeight="1">
      <c r="A5949" s="8">
        <v>46030.823448101852</v>
      </c>
      <c r="B5949" s="9" t="s">
        <v>14</v>
      </c>
      <c r="C5949" s="9" t="s">
        <v>15</v>
      </c>
      <c r="D5949" s="10" t="s">
        <v>12958</v>
      </c>
      <c r="E5949" s="9" t="s">
        <v>22</v>
      </c>
      <c r="F5949" s="10">
        <v>28</v>
      </c>
      <c r="G5949" s="11">
        <v>8169833746</v>
      </c>
      <c r="H5949" s="10" t="s">
        <v>12959</v>
      </c>
      <c r="I5949" s="10" t="s">
        <v>45</v>
      </c>
      <c r="J5949" s="10" t="s">
        <v>1769</v>
      </c>
      <c r="K5949" s="12">
        <v>46030</v>
      </c>
      <c r="L5949" s="28" t="s">
        <v>11</v>
      </c>
      <c r="M5949" s="14"/>
      <c r="N5949" s="10" t="s">
        <v>1096</v>
      </c>
    </row>
    <row r="5950" spans="1:14" ht="22.5" customHeight="1">
      <c r="A5950" s="8">
        <v>46030.823492083335</v>
      </c>
      <c r="B5950" s="9" t="s">
        <v>14</v>
      </c>
      <c r="C5950" s="9" t="s">
        <v>15</v>
      </c>
      <c r="D5950" s="10" t="s">
        <v>12960</v>
      </c>
      <c r="E5950" s="9" t="s">
        <v>22</v>
      </c>
      <c r="F5950" s="10">
        <v>42</v>
      </c>
      <c r="G5950" s="11">
        <v>7039120775</v>
      </c>
      <c r="H5950" s="10" t="s">
        <v>12961</v>
      </c>
      <c r="I5950" s="10" t="s">
        <v>19</v>
      </c>
      <c r="J5950" s="10" t="s">
        <v>12962</v>
      </c>
      <c r="K5950" s="12">
        <v>46030</v>
      </c>
      <c r="L5950" s="28" t="s">
        <v>11</v>
      </c>
      <c r="M5950" s="14"/>
      <c r="N5950" s="10" t="s">
        <v>1028</v>
      </c>
    </row>
    <row r="5951" spans="1:14" ht="22.5" customHeight="1">
      <c r="A5951" s="8">
        <v>46030.823988611111</v>
      </c>
      <c r="B5951" s="9" t="s">
        <v>14</v>
      </c>
      <c r="C5951" s="9" t="s">
        <v>15</v>
      </c>
      <c r="D5951" s="10" t="s">
        <v>12963</v>
      </c>
      <c r="E5951" s="9" t="s">
        <v>17</v>
      </c>
      <c r="F5951" s="10">
        <v>23</v>
      </c>
      <c r="G5951" s="11">
        <v>8087203446</v>
      </c>
      <c r="H5951" s="10" t="s">
        <v>12964</v>
      </c>
      <c r="I5951" s="10" t="s">
        <v>27</v>
      </c>
      <c r="J5951" s="10" t="s">
        <v>3687</v>
      </c>
      <c r="K5951" s="12">
        <v>46030</v>
      </c>
      <c r="L5951" s="28" t="s">
        <v>11</v>
      </c>
      <c r="M5951" s="14"/>
      <c r="N5951" s="10" t="s">
        <v>1028</v>
      </c>
    </row>
    <row r="5952" spans="1:14" ht="22.5" customHeight="1">
      <c r="A5952" s="8">
        <v>46030.827244652777</v>
      </c>
      <c r="B5952" s="9" t="s">
        <v>14</v>
      </c>
      <c r="C5952" s="9" t="s">
        <v>15</v>
      </c>
      <c r="D5952" s="10" t="s">
        <v>12965</v>
      </c>
      <c r="E5952" s="9" t="s">
        <v>17</v>
      </c>
      <c r="F5952" s="10">
        <v>27</v>
      </c>
      <c r="G5952" s="11">
        <v>9074509361</v>
      </c>
      <c r="H5952" s="10" t="s">
        <v>12966</v>
      </c>
      <c r="I5952" s="10" t="s">
        <v>202</v>
      </c>
      <c r="J5952" s="10" t="s">
        <v>4177</v>
      </c>
      <c r="K5952" s="12">
        <v>46030</v>
      </c>
      <c r="L5952" s="28" t="s">
        <v>11</v>
      </c>
      <c r="M5952" s="14"/>
      <c r="N5952" s="10" t="s">
        <v>1028</v>
      </c>
    </row>
    <row r="5953" spans="1:14" ht="22.5" customHeight="1">
      <c r="A5953" s="8">
        <v>46030.833098055555</v>
      </c>
      <c r="B5953" s="9" t="s">
        <v>14</v>
      </c>
      <c r="C5953" s="9" t="s">
        <v>15</v>
      </c>
      <c r="D5953" s="10" t="s">
        <v>12967</v>
      </c>
      <c r="E5953" s="9" t="s">
        <v>17</v>
      </c>
      <c r="F5953" s="10">
        <v>25</v>
      </c>
      <c r="G5953" s="11">
        <v>7019539226</v>
      </c>
      <c r="H5953" s="10" t="s">
        <v>12968</v>
      </c>
      <c r="I5953" s="10" t="s">
        <v>27</v>
      </c>
      <c r="J5953" s="10" t="s">
        <v>12969</v>
      </c>
      <c r="K5953" s="12">
        <v>46030</v>
      </c>
      <c r="L5953" s="28" t="s">
        <v>11</v>
      </c>
      <c r="M5953" s="14"/>
      <c r="N5953" s="10" t="s">
        <v>1096</v>
      </c>
    </row>
    <row r="5954" spans="1:14" ht="22.5" customHeight="1">
      <c r="A5954" s="8">
        <v>46030.833510659722</v>
      </c>
      <c r="B5954" s="9" t="s">
        <v>14</v>
      </c>
      <c r="C5954" s="9" t="s">
        <v>15</v>
      </c>
      <c r="D5954" s="10" t="s">
        <v>12970</v>
      </c>
      <c r="E5954" s="9" t="s">
        <v>17</v>
      </c>
      <c r="F5954" s="10">
        <v>36</v>
      </c>
      <c r="G5954" s="11">
        <v>8072930652</v>
      </c>
      <c r="H5954" s="10" t="s">
        <v>12971</v>
      </c>
      <c r="I5954" s="10" t="s">
        <v>45</v>
      </c>
      <c r="J5954" s="10" t="s">
        <v>688</v>
      </c>
      <c r="K5954" s="12">
        <v>46030</v>
      </c>
      <c r="L5954" s="28" t="s">
        <v>11</v>
      </c>
      <c r="M5954" s="14"/>
      <c r="N5954" s="10" t="s">
        <v>1028</v>
      </c>
    </row>
    <row r="5955" spans="1:14" ht="22.5" customHeight="1">
      <c r="A5955" s="8">
        <v>46030.835196851855</v>
      </c>
      <c r="B5955" s="9" t="s">
        <v>14</v>
      </c>
      <c r="C5955" s="9" t="s">
        <v>15</v>
      </c>
      <c r="D5955" s="10" t="s">
        <v>4170</v>
      </c>
      <c r="E5955" s="9" t="s">
        <v>22</v>
      </c>
      <c r="F5955" s="10">
        <v>23</v>
      </c>
      <c r="G5955" s="11">
        <v>8163914342</v>
      </c>
      <c r="H5955" s="10" t="s">
        <v>4171</v>
      </c>
      <c r="I5955" s="10" t="s">
        <v>19</v>
      </c>
      <c r="J5955" s="10" t="s">
        <v>3466</v>
      </c>
      <c r="K5955" s="12">
        <v>46235</v>
      </c>
      <c r="L5955" s="28" t="s">
        <v>11</v>
      </c>
      <c r="M5955" s="10"/>
      <c r="N5955" s="10" t="s">
        <v>1028</v>
      </c>
    </row>
    <row r="5956" spans="1:14" ht="22.5" customHeight="1">
      <c r="A5956" s="8">
        <v>46030.835535891209</v>
      </c>
      <c r="B5956" s="9" t="s">
        <v>14</v>
      </c>
      <c r="C5956" s="9" t="s">
        <v>15</v>
      </c>
      <c r="D5956" s="10" t="s">
        <v>12972</v>
      </c>
      <c r="E5956" s="9" t="s">
        <v>17</v>
      </c>
      <c r="F5956" s="10">
        <v>24</v>
      </c>
      <c r="G5956" s="11">
        <v>8160233530</v>
      </c>
      <c r="H5956" s="10" t="s">
        <v>12973</v>
      </c>
      <c r="I5956" s="10" t="s">
        <v>19</v>
      </c>
      <c r="J5956" s="10" t="s">
        <v>3466</v>
      </c>
      <c r="K5956" s="12">
        <v>46030</v>
      </c>
      <c r="L5956" s="28" t="s">
        <v>11</v>
      </c>
      <c r="M5956" s="14"/>
      <c r="N5956" s="10" t="s">
        <v>1028</v>
      </c>
    </row>
    <row r="5957" spans="1:14" ht="22.5" customHeight="1">
      <c r="A5957" s="8">
        <v>46030.842205590277</v>
      </c>
      <c r="B5957" s="9" t="s">
        <v>14</v>
      </c>
      <c r="C5957" s="9" t="s">
        <v>15</v>
      </c>
      <c r="D5957" s="10" t="s">
        <v>12974</v>
      </c>
      <c r="E5957" s="9" t="s">
        <v>22</v>
      </c>
      <c r="F5957" s="10">
        <v>29</v>
      </c>
      <c r="G5957" s="11">
        <f t="shared" ref="G5957" si="178">256705887500</f>
        <v>256705887500</v>
      </c>
      <c r="H5957" s="10" t="s">
        <v>12975</v>
      </c>
      <c r="I5957" s="10" t="s">
        <v>19</v>
      </c>
      <c r="J5957" s="10" t="s">
        <v>4918</v>
      </c>
      <c r="K5957" s="12">
        <v>46030</v>
      </c>
      <c r="L5957" s="28" t="s">
        <v>11</v>
      </c>
      <c r="M5957" s="14"/>
      <c r="N5957" s="10" t="s">
        <v>1028</v>
      </c>
    </row>
    <row r="5958" spans="1:14" ht="22.5" customHeight="1">
      <c r="A5958" s="8">
        <v>46030.856819837965</v>
      </c>
      <c r="B5958" s="9" t="s">
        <v>14</v>
      </c>
      <c r="C5958" s="9" t="s">
        <v>15</v>
      </c>
      <c r="D5958" s="10" t="s">
        <v>12976</v>
      </c>
      <c r="E5958" s="9" t="s">
        <v>22</v>
      </c>
      <c r="F5958" s="10">
        <v>23</v>
      </c>
      <c r="G5958" s="11">
        <v>7083147061</v>
      </c>
      <c r="H5958" s="10" t="s">
        <v>12977</v>
      </c>
      <c r="I5958" s="10" t="s">
        <v>45</v>
      </c>
      <c r="J5958" s="10" t="s">
        <v>932</v>
      </c>
      <c r="K5958" s="12">
        <v>46030</v>
      </c>
      <c r="L5958" s="28" t="s">
        <v>11</v>
      </c>
      <c r="M5958" s="14"/>
      <c r="N5958" s="10" t="s">
        <v>1028</v>
      </c>
    </row>
    <row r="5959" spans="1:14" ht="22.5" customHeight="1">
      <c r="A5959" s="8">
        <v>46030.860214155095</v>
      </c>
      <c r="B5959" s="9" t="s">
        <v>14</v>
      </c>
      <c r="C5959" s="9" t="s">
        <v>15</v>
      </c>
      <c r="D5959" s="10" t="s">
        <v>12978</v>
      </c>
      <c r="E5959" s="9" t="s">
        <v>17</v>
      </c>
      <c r="F5959" s="10">
        <v>27</v>
      </c>
      <c r="G5959" s="11">
        <v>7060466740</v>
      </c>
      <c r="H5959" s="10" t="s">
        <v>12979</v>
      </c>
      <c r="I5959" s="10" t="s">
        <v>27</v>
      </c>
      <c r="J5959" s="10" t="s">
        <v>1559</v>
      </c>
      <c r="K5959" s="12">
        <v>46030</v>
      </c>
      <c r="L5959" s="28" t="s">
        <v>11</v>
      </c>
      <c r="M5959" s="14"/>
      <c r="N5959" s="10" t="s">
        <v>1028</v>
      </c>
    </row>
    <row r="5960" spans="1:14" ht="22.5" customHeight="1">
      <c r="A5960" s="8">
        <v>46030.860469131949</v>
      </c>
      <c r="B5960" s="9" t="s">
        <v>14</v>
      </c>
      <c r="C5960" s="9" t="s">
        <v>15</v>
      </c>
      <c r="D5960" s="10" t="s">
        <v>12980</v>
      </c>
      <c r="E5960" s="9" t="s">
        <v>17</v>
      </c>
      <c r="F5960" s="10">
        <v>25</v>
      </c>
      <c r="G5960" s="11">
        <v>8924087973</v>
      </c>
      <c r="H5960" s="10" t="s">
        <v>12981</v>
      </c>
      <c r="I5960" s="10" t="s">
        <v>49</v>
      </c>
      <c r="J5960" s="10" t="s">
        <v>109</v>
      </c>
      <c r="K5960" s="12">
        <v>46030</v>
      </c>
      <c r="L5960" s="28" t="s">
        <v>11</v>
      </c>
      <c r="M5960" s="14"/>
      <c r="N5960" s="10" t="s">
        <v>1028</v>
      </c>
    </row>
    <row r="5961" spans="1:14" ht="22.5" customHeight="1">
      <c r="A5961" s="8">
        <v>46030.861300625002</v>
      </c>
      <c r="B5961" s="9" t="s">
        <v>14</v>
      </c>
      <c r="C5961" s="9" t="s">
        <v>15</v>
      </c>
      <c r="D5961" s="10" t="s">
        <v>12982</v>
      </c>
      <c r="E5961" s="9" t="s">
        <v>17</v>
      </c>
      <c r="F5961" s="10">
        <v>31</v>
      </c>
      <c r="G5961" s="11">
        <v>8100305688</v>
      </c>
      <c r="H5961" s="10" t="s">
        <v>12983</v>
      </c>
      <c r="I5961" s="10" t="s">
        <v>202</v>
      </c>
      <c r="J5961" s="10" t="s">
        <v>2059</v>
      </c>
      <c r="K5961" s="12">
        <v>46030</v>
      </c>
      <c r="L5961" s="28" t="s">
        <v>11</v>
      </c>
      <c r="M5961" s="14"/>
      <c r="N5961" s="10" t="s">
        <v>1028</v>
      </c>
    </row>
    <row r="5962" spans="1:14" ht="22.5" customHeight="1">
      <c r="A5962" s="8">
        <v>46030.86881216435</v>
      </c>
      <c r="B5962" s="9" t="s">
        <v>14</v>
      </c>
      <c r="C5962" s="9" t="s">
        <v>15</v>
      </c>
      <c r="D5962" s="10" t="s">
        <v>12984</v>
      </c>
      <c r="E5962" s="9" t="s">
        <v>17</v>
      </c>
      <c r="F5962" s="18">
        <v>27</v>
      </c>
      <c r="G5962" s="11">
        <v>8165603009</v>
      </c>
      <c r="H5962" s="10" t="s">
        <v>12985</v>
      </c>
      <c r="I5962" s="10" t="s">
        <v>202</v>
      </c>
      <c r="J5962" s="10" t="s">
        <v>4005</v>
      </c>
      <c r="K5962" s="12">
        <v>46030</v>
      </c>
      <c r="L5962" s="28" t="s">
        <v>11</v>
      </c>
      <c r="M5962" s="14"/>
      <c r="N5962" s="10" t="s">
        <v>1028</v>
      </c>
    </row>
    <row r="5963" spans="1:14" ht="22.5" customHeight="1">
      <c r="A5963" s="8">
        <v>46030.87030480324</v>
      </c>
      <c r="B5963" s="9" t="s">
        <v>14</v>
      </c>
      <c r="C5963" s="9" t="s">
        <v>15</v>
      </c>
      <c r="D5963" s="10" t="s">
        <v>12986</v>
      </c>
      <c r="E5963" s="9" t="s">
        <v>17</v>
      </c>
      <c r="F5963" s="10">
        <v>35</v>
      </c>
      <c r="G5963" s="11">
        <v>8105522803</v>
      </c>
      <c r="H5963" s="10" t="s">
        <v>12987</v>
      </c>
      <c r="I5963" s="10" t="s">
        <v>45</v>
      </c>
      <c r="J5963" s="10" t="s">
        <v>12988</v>
      </c>
      <c r="K5963" s="12">
        <v>46030</v>
      </c>
      <c r="L5963" s="28" t="s">
        <v>11</v>
      </c>
      <c r="M5963" s="14"/>
      <c r="N5963" s="10" t="s">
        <v>12989</v>
      </c>
    </row>
    <row r="5964" spans="1:14" ht="22.5" customHeight="1">
      <c r="A5964" s="8">
        <v>46030.875625092594</v>
      </c>
      <c r="B5964" s="9" t="s">
        <v>14</v>
      </c>
      <c r="C5964" s="9" t="s">
        <v>15</v>
      </c>
      <c r="D5964" s="10" t="s">
        <v>12990</v>
      </c>
      <c r="E5964" s="9" t="s">
        <v>17</v>
      </c>
      <c r="F5964" s="10">
        <v>24</v>
      </c>
      <c r="G5964" s="11">
        <v>8137270171</v>
      </c>
      <c r="H5964" s="10" t="s">
        <v>12991</v>
      </c>
      <c r="I5964" s="10" t="s">
        <v>49</v>
      </c>
      <c r="J5964" s="10" t="s">
        <v>246</v>
      </c>
      <c r="K5964" s="12">
        <v>46030</v>
      </c>
      <c r="L5964" s="28" t="s">
        <v>11</v>
      </c>
      <c r="M5964" s="14"/>
      <c r="N5964" s="10" t="s">
        <v>1028</v>
      </c>
    </row>
    <row r="5965" spans="1:14" ht="22.5" customHeight="1">
      <c r="A5965" s="8">
        <v>46030.879833680556</v>
      </c>
      <c r="B5965" s="9" t="s">
        <v>14</v>
      </c>
      <c r="C5965" s="9" t="s">
        <v>15</v>
      </c>
      <c r="D5965" s="10" t="s">
        <v>12992</v>
      </c>
      <c r="E5965" s="9" t="s">
        <v>17</v>
      </c>
      <c r="F5965" s="10">
        <v>38</v>
      </c>
      <c r="G5965" s="11">
        <v>8103715168</v>
      </c>
      <c r="H5965" s="10" t="s">
        <v>12993</v>
      </c>
      <c r="I5965" s="10" t="s">
        <v>27</v>
      </c>
      <c r="J5965" s="10" t="s">
        <v>12994</v>
      </c>
      <c r="K5965" s="12">
        <v>46030</v>
      </c>
      <c r="L5965" s="28" t="s">
        <v>11</v>
      </c>
      <c r="M5965" s="14"/>
      <c r="N5965" s="10" t="s">
        <v>1096</v>
      </c>
    </row>
    <row r="5966" spans="1:14" ht="22.5" customHeight="1">
      <c r="A5966" s="8">
        <v>46030.880116574073</v>
      </c>
      <c r="B5966" s="9" t="s">
        <v>14</v>
      </c>
      <c r="C5966" s="9" t="s">
        <v>15</v>
      </c>
      <c r="D5966" s="10" t="s">
        <v>12995</v>
      </c>
      <c r="E5966" s="9" t="s">
        <v>17</v>
      </c>
      <c r="F5966" s="10">
        <v>35</v>
      </c>
      <c r="G5966" s="11">
        <v>8166104612</v>
      </c>
      <c r="H5966" s="10" t="s">
        <v>12996</v>
      </c>
      <c r="I5966" s="10" t="s">
        <v>49</v>
      </c>
      <c r="J5966" s="10" t="s">
        <v>106</v>
      </c>
      <c r="K5966" s="12">
        <v>46030</v>
      </c>
      <c r="L5966" s="28" t="s">
        <v>11</v>
      </c>
      <c r="M5966" s="14"/>
      <c r="N5966" s="10" t="s">
        <v>1028</v>
      </c>
    </row>
    <row r="5967" spans="1:14" ht="22.5" customHeight="1">
      <c r="A5967" s="8">
        <v>46030.881068807867</v>
      </c>
      <c r="B5967" s="9" t="s">
        <v>14</v>
      </c>
      <c r="C5967" s="9" t="s">
        <v>15</v>
      </c>
      <c r="D5967" s="10" t="s">
        <v>12997</v>
      </c>
      <c r="E5967" s="9" t="s">
        <v>22</v>
      </c>
      <c r="F5967" s="10">
        <v>26</v>
      </c>
      <c r="G5967" s="11">
        <v>9076371536</v>
      </c>
      <c r="H5967" s="10" t="s">
        <v>12998</v>
      </c>
      <c r="I5967" s="10" t="s">
        <v>45</v>
      </c>
      <c r="J5967" s="10" t="s">
        <v>131</v>
      </c>
      <c r="K5967" s="12">
        <v>46030</v>
      </c>
      <c r="L5967" s="28" t="s">
        <v>11</v>
      </c>
      <c r="M5967" s="10"/>
      <c r="N5967" s="10" t="s">
        <v>1028</v>
      </c>
    </row>
    <row r="5968" spans="1:14" ht="22.5" customHeight="1">
      <c r="A5968" s="8">
        <v>46030.890427893522</v>
      </c>
      <c r="B5968" s="9" t="s">
        <v>14</v>
      </c>
      <c r="C5968" s="9" t="s">
        <v>15</v>
      </c>
      <c r="D5968" s="10" t="s">
        <v>12999</v>
      </c>
      <c r="E5968" s="9" t="s">
        <v>17</v>
      </c>
      <c r="F5968" s="10">
        <v>21</v>
      </c>
      <c r="G5968" s="11">
        <v>8136146142</v>
      </c>
      <c r="H5968" s="10" t="s">
        <v>13000</v>
      </c>
      <c r="I5968" s="10" t="s">
        <v>49</v>
      </c>
      <c r="J5968" s="10" t="s">
        <v>319</v>
      </c>
      <c r="K5968" s="12">
        <v>46030</v>
      </c>
      <c r="L5968" s="28" t="s">
        <v>11</v>
      </c>
      <c r="M5968" s="14"/>
      <c r="N5968" s="10" t="s">
        <v>1028</v>
      </c>
    </row>
    <row r="5969" spans="1:14" ht="22.5" customHeight="1">
      <c r="A5969" s="8">
        <v>46030.893115185187</v>
      </c>
      <c r="B5969" s="9" t="s">
        <v>14</v>
      </c>
      <c r="C5969" s="9" t="s">
        <v>15</v>
      </c>
      <c r="D5969" s="10" t="s">
        <v>13001</v>
      </c>
      <c r="E5969" s="9" t="s">
        <v>17</v>
      </c>
      <c r="F5969" s="10">
        <v>29</v>
      </c>
      <c r="G5969" s="11">
        <v>7052277275</v>
      </c>
      <c r="H5969" s="10" t="s">
        <v>13002</v>
      </c>
      <c r="I5969" s="10" t="s">
        <v>45</v>
      </c>
      <c r="J5969" s="10" t="s">
        <v>688</v>
      </c>
      <c r="K5969" s="12">
        <v>46030</v>
      </c>
      <c r="L5969" s="28" t="s">
        <v>11</v>
      </c>
      <c r="M5969" s="14"/>
      <c r="N5969" s="10" t="s">
        <v>1096</v>
      </c>
    </row>
    <row r="5970" spans="1:14" ht="22.5" customHeight="1">
      <c r="A5970" s="8">
        <v>46030.900124085645</v>
      </c>
      <c r="B5970" s="9" t="s">
        <v>14</v>
      </c>
      <c r="C5970" s="9" t="s">
        <v>15</v>
      </c>
      <c r="D5970" s="10" t="s">
        <v>13003</v>
      </c>
      <c r="E5970" s="9" t="s">
        <v>17</v>
      </c>
      <c r="F5970" s="10">
        <v>35</v>
      </c>
      <c r="G5970" s="11">
        <v>8135766778</v>
      </c>
      <c r="H5970" s="10" t="s">
        <v>13004</v>
      </c>
      <c r="I5970" s="10" t="s">
        <v>45</v>
      </c>
      <c r="J5970" s="10" t="s">
        <v>3327</v>
      </c>
      <c r="K5970" s="12">
        <v>46030</v>
      </c>
      <c r="L5970" s="28" t="s">
        <v>11</v>
      </c>
      <c r="M5970" s="10"/>
      <c r="N5970" s="10" t="s">
        <v>1028</v>
      </c>
    </row>
    <row r="5971" spans="1:14" ht="22.5" customHeight="1">
      <c r="A5971" s="8">
        <v>46030.912465370369</v>
      </c>
      <c r="B5971" s="9" t="s">
        <v>14</v>
      </c>
      <c r="C5971" s="9" t="s">
        <v>15</v>
      </c>
      <c r="D5971" s="10" t="s">
        <v>13005</v>
      </c>
      <c r="E5971" s="9" t="s">
        <v>17</v>
      </c>
      <c r="F5971" s="10">
        <v>27</v>
      </c>
      <c r="G5971" s="11">
        <v>7030462896</v>
      </c>
      <c r="H5971" s="10" t="s">
        <v>13006</v>
      </c>
      <c r="I5971" s="10" t="s">
        <v>45</v>
      </c>
      <c r="J5971" s="10" t="s">
        <v>13007</v>
      </c>
      <c r="K5971" s="12">
        <v>46030</v>
      </c>
      <c r="L5971" s="28" t="s">
        <v>11</v>
      </c>
      <c r="M5971" s="14"/>
      <c r="N5971" s="10" t="s">
        <v>1028</v>
      </c>
    </row>
    <row r="5972" spans="1:14" ht="22.5" customHeight="1">
      <c r="A5972" s="8">
        <v>46030.912762083331</v>
      </c>
      <c r="B5972" s="9" t="s">
        <v>14</v>
      </c>
      <c r="C5972" s="9" t="s">
        <v>15</v>
      </c>
      <c r="D5972" s="10" t="s">
        <v>13008</v>
      </c>
      <c r="E5972" s="9" t="s">
        <v>17</v>
      </c>
      <c r="F5972" s="10">
        <v>26</v>
      </c>
      <c r="G5972" s="11">
        <v>816669697979</v>
      </c>
      <c r="H5972" s="10" t="s">
        <v>13009</v>
      </c>
      <c r="I5972" s="10" t="s">
        <v>27</v>
      </c>
      <c r="J5972" s="10" t="s">
        <v>70</v>
      </c>
      <c r="K5972" s="12">
        <v>46030</v>
      </c>
      <c r="L5972" s="28" t="s">
        <v>11</v>
      </c>
      <c r="M5972" s="14"/>
      <c r="N5972" s="10" t="s">
        <v>1028</v>
      </c>
    </row>
    <row r="5973" spans="1:14" ht="22.5" customHeight="1">
      <c r="A5973" s="8">
        <v>46030.917162233796</v>
      </c>
      <c r="B5973" s="9" t="s">
        <v>14</v>
      </c>
      <c r="C5973" s="9" t="s">
        <v>15</v>
      </c>
      <c r="D5973" s="10" t="s">
        <v>13010</v>
      </c>
      <c r="E5973" s="9" t="s">
        <v>17</v>
      </c>
      <c r="F5973" s="10">
        <v>30</v>
      </c>
      <c r="G5973" s="11">
        <v>7065001933</v>
      </c>
      <c r="H5973" s="10" t="s">
        <v>13011</v>
      </c>
      <c r="I5973" s="10" t="s">
        <v>27</v>
      </c>
      <c r="J5973" s="10" t="s">
        <v>13012</v>
      </c>
      <c r="K5973" s="12">
        <v>46030</v>
      </c>
      <c r="L5973" s="28" t="s">
        <v>11</v>
      </c>
      <c r="M5973" s="14"/>
      <c r="N5973" s="10" t="s">
        <v>1028</v>
      </c>
    </row>
    <row r="5974" spans="1:14" ht="22.5" customHeight="1">
      <c r="A5974" s="8">
        <v>46030.917482604171</v>
      </c>
      <c r="B5974" s="9" t="s">
        <v>14</v>
      </c>
      <c r="C5974" s="9" t="s">
        <v>15</v>
      </c>
      <c r="D5974" s="10" t="s">
        <v>13013</v>
      </c>
      <c r="E5974" s="9" t="s">
        <v>22</v>
      </c>
      <c r="F5974" s="19">
        <v>26</v>
      </c>
      <c r="G5974" s="11">
        <v>7063591701</v>
      </c>
      <c r="H5974" s="10" t="s">
        <v>13014</v>
      </c>
      <c r="I5974" s="10" t="s">
        <v>27</v>
      </c>
      <c r="J5974" s="10" t="s">
        <v>3992</v>
      </c>
      <c r="K5974" s="12">
        <v>46030</v>
      </c>
      <c r="L5974" s="28" t="s">
        <v>11</v>
      </c>
      <c r="M5974" s="14"/>
      <c r="N5974" s="10" t="s">
        <v>1028</v>
      </c>
    </row>
    <row r="5975" spans="1:14" ht="22.5" customHeight="1">
      <c r="A5975" s="8">
        <v>46030.919638587962</v>
      </c>
      <c r="B5975" s="9" t="s">
        <v>14</v>
      </c>
      <c r="C5975" s="9" t="s">
        <v>15</v>
      </c>
      <c r="D5975" s="10" t="s">
        <v>13015</v>
      </c>
      <c r="E5975" s="9" t="s">
        <v>17</v>
      </c>
      <c r="F5975" s="10">
        <v>27</v>
      </c>
      <c r="G5975" s="11">
        <v>8137174742</v>
      </c>
      <c r="H5975" s="10" t="s">
        <v>13016</v>
      </c>
      <c r="I5975" s="10" t="s">
        <v>27</v>
      </c>
      <c r="J5975" s="10" t="s">
        <v>1456</v>
      </c>
      <c r="K5975" s="12">
        <v>46030</v>
      </c>
      <c r="L5975" s="28" t="s">
        <v>11</v>
      </c>
      <c r="M5975" s="10"/>
      <c r="N5975" s="10" t="s">
        <v>1028</v>
      </c>
    </row>
    <row r="5976" spans="1:14" ht="22.5" customHeight="1">
      <c r="A5976" s="8">
        <v>46030.919886331016</v>
      </c>
      <c r="B5976" s="9" t="s">
        <v>14</v>
      </c>
      <c r="C5976" s="9" t="s">
        <v>15</v>
      </c>
      <c r="D5976" s="10" t="s">
        <v>13017</v>
      </c>
      <c r="E5976" s="9" t="s">
        <v>17</v>
      </c>
      <c r="F5976" s="10">
        <v>25</v>
      </c>
      <c r="G5976" s="11">
        <v>8119646478</v>
      </c>
      <c r="H5976" s="10" t="s">
        <v>13018</v>
      </c>
      <c r="I5976" s="10" t="s">
        <v>45</v>
      </c>
      <c r="J5976" s="10" t="s">
        <v>5955</v>
      </c>
      <c r="K5976" s="12">
        <v>46030</v>
      </c>
      <c r="L5976" s="28" t="s">
        <v>11</v>
      </c>
      <c r="M5976" s="14"/>
      <c r="N5976" s="10" t="s">
        <v>1028</v>
      </c>
    </row>
    <row r="5977" spans="1:14" ht="22.5" customHeight="1">
      <c r="A5977" s="8">
        <v>46030.921084791669</v>
      </c>
      <c r="B5977" s="9" t="s">
        <v>14</v>
      </c>
      <c r="C5977" s="9" t="s">
        <v>15</v>
      </c>
      <c r="D5977" s="10" t="s">
        <v>13019</v>
      </c>
      <c r="E5977" s="9" t="s">
        <v>17</v>
      </c>
      <c r="F5977" s="18">
        <v>37</v>
      </c>
      <c r="G5977" s="11">
        <v>8062848061</v>
      </c>
      <c r="H5977" s="10" t="s">
        <v>13020</v>
      </c>
      <c r="I5977" s="10" t="s">
        <v>49</v>
      </c>
      <c r="J5977" s="10" t="s">
        <v>106</v>
      </c>
      <c r="K5977" s="12">
        <v>46030</v>
      </c>
      <c r="L5977" s="28" t="s">
        <v>11</v>
      </c>
      <c r="M5977" s="14"/>
      <c r="N5977" s="10" t="s">
        <v>1028</v>
      </c>
    </row>
    <row r="5978" spans="1:14" ht="22.5" customHeight="1">
      <c r="A5978" s="8">
        <v>46030.921974340279</v>
      </c>
      <c r="B5978" s="9" t="s">
        <v>14</v>
      </c>
      <c r="C5978" s="9" t="s">
        <v>15</v>
      </c>
      <c r="D5978" s="10" t="s">
        <v>13021</v>
      </c>
      <c r="E5978" s="9" t="s">
        <v>17</v>
      </c>
      <c r="F5978" s="10">
        <v>39</v>
      </c>
      <c r="G5978" s="11">
        <v>8032136378</v>
      </c>
      <c r="H5978" s="10" t="s">
        <v>13022</v>
      </c>
      <c r="I5978" s="10" t="s">
        <v>27</v>
      </c>
      <c r="J5978" s="10" t="s">
        <v>1456</v>
      </c>
      <c r="K5978" s="12">
        <v>46030</v>
      </c>
      <c r="L5978" s="28" t="s">
        <v>11</v>
      </c>
      <c r="M5978" s="14"/>
      <c r="N5978" s="10" t="s">
        <v>1096</v>
      </c>
    </row>
    <row r="5979" spans="1:14" ht="22.5" customHeight="1">
      <c r="A5979" s="8">
        <v>46030.922110567131</v>
      </c>
      <c r="B5979" s="9" t="s">
        <v>14</v>
      </c>
      <c r="C5979" s="9" t="s">
        <v>15</v>
      </c>
      <c r="D5979" s="10" t="s">
        <v>13023</v>
      </c>
      <c r="E5979" s="9" t="s">
        <v>17</v>
      </c>
      <c r="F5979" s="10">
        <v>31</v>
      </c>
      <c r="G5979" s="11">
        <v>7061963530</v>
      </c>
      <c r="H5979" s="10" t="s">
        <v>13024</v>
      </c>
      <c r="I5979" s="10" t="s">
        <v>27</v>
      </c>
      <c r="J5979" s="10" t="s">
        <v>5395</v>
      </c>
      <c r="K5979" s="12">
        <v>46030</v>
      </c>
      <c r="L5979" s="28" t="s">
        <v>11</v>
      </c>
      <c r="M5979" s="10"/>
      <c r="N5979" s="10" t="s">
        <v>1028</v>
      </c>
    </row>
    <row r="5980" spans="1:14" ht="22.5" customHeight="1">
      <c r="A5980" s="8">
        <v>46030.92325122685</v>
      </c>
      <c r="B5980" s="9" t="s">
        <v>14</v>
      </c>
      <c r="C5980" s="9" t="s">
        <v>15</v>
      </c>
      <c r="D5980" s="10" t="s">
        <v>13025</v>
      </c>
      <c r="E5980" s="9" t="s">
        <v>17</v>
      </c>
      <c r="F5980" s="10">
        <v>21</v>
      </c>
      <c r="G5980" s="11">
        <v>7033203412</v>
      </c>
      <c r="H5980" s="10" t="s">
        <v>13026</v>
      </c>
      <c r="I5980" s="10" t="s">
        <v>27</v>
      </c>
      <c r="J5980" s="10" t="s">
        <v>28</v>
      </c>
      <c r="K5980" s="12">
        <v>46030</v>
      </c>
      <c r="L5980" s="28" t="s">
        <v>11</v>
      </c>
      <c r="M5980" s="14"/>
      <c r="N5980" s="10" t="s">
        <v>10483</v>
      </c>
    </row>
    <row r="5981" spans="1:14" ht="22.5" customHeight="1">
      <c r="A5981" s="8">
        <v>46030.92567438657</v>
      </c>
      <c r="B5981" s="9" t="s">
        <v>14</v>
      </c>
      <c r="C5981" s="9" t="s">
        <v>15</v>
      </c>
      <c r="D5981" s="10" t="s">
        <v>13027</v>
      </c>
      <c r="E5981" s="9" t="s">
        <v>17</v>
      </c>
      <c r="F5981" s="10">
        <v>37</v>
      </c>
      <c r="G5981" s="11">
        <v>8052201588</v>
      </c>
      <c r="H5981" s="10" t="s">
        <v>13028</v>
      </c>
      <c r="I5981" s="10" t="s">
        <v>45</v>
      </c>
      <c r="J5981" s="10" t="s">
        <v>84</v>
      </c>
      <c r="K5981" s="12">
        <v>46030</v>
      </c>
      <c r="L5981" s="28" t="s">
        <v>11</v>
      </c>
      <c r="M5981" s="14"/>
      <c r="N5981" s="10" t="s">
        <v>1028</v>
      </c>
    </row>
    <row r="5982" spans="1:14" ht="22.5" customHeight="1">
      <c r="A5982" s="8">
        <v>46030.926860752312</v>
      </c>
      <c r="B5982" s="9" t="s">
        <v>14</v>
      </c>
      <c r="C5982" s="9" t="s">
        <v>15</v>
      </c>
      <c r="D5982" s="10" t="s">
        <v>13029</v>
      </c>
      <c r="E5982" s="9" t="s">
        <v>17</v>
      </c>
      <c r="F5982" s="10">
        <v>23</v>
      </c>
      <c r="G5982" s="11">
        <v>9132773533</v>
      </c>
      <c r="H5982" s="10" t="s">
        <v>13030</v>
      </c>
      <c r="I5982" s="10" t="s">
        <v>27</v>
      </c>
      <c r="J5982" s="10" t="s">
        <v>6081</v>
      </c>
      <c r="K5982" s="12">
        <v>46030</v>
      </c>
      <c r="L5982" s="28" t="s">
        <v>11</v>
      </c>
      <c r="M5982" s="14"/>
      <c r="N5982" s="10" t="s">
        <v>1096</v>
      </c>
    </row>
    <row r="5983" spans="1:14" ht="22.5" customHeight="1">
      <c r="A5983" s="8">
        <v>46030.927156180551</v>
      </c>
      <c r="B5983" s="9" t="s">
        <v>14</v>
      </c>
      <c r="C5983" s="9" t="s">
        <v>15</v>
      </c>
      <c r="D5983" s="10" t="s">
        <v>13031</v>
      </c>
      <c r="E5983" s="9" t="s">
        <v>17</v>
      </c>
      <c r="F5983" s="10">
        <v>24</v>
      </c>
      <c r="G5983" s="11">
        <v>7064903024</v>
      </c>
      <c r="H5983" s="10" t="s">
        <v>13032</v>
      </c>
      <c r="I5983" s="10" t="s">
        <v>27</v>
      </c>
      <c r="J5983" s="10" t="s">
        <v>1475</v>
      </c>
      <c r="K5983" s="12">
        <v>46030</v>
      </c>
      <c r="L5983" s="28" t="s">
        <v>11</v>
      </c>
      <c r="M5983" s="14"/>
      <c r="N5983" s="10" t="s">
        <v>1028</v>
      </c>
    </row>
    <row r="5984" spans="1:14" ht="22.5" customHeight="1">
      <c r="A5984" s="8">
        <v>46030.928798460649</v>
      </c>
      <c r="B5984" s="9" t="s">
        <v>14</v>
      </c>
      <c r="C5984" s="9" t="s">
        <v>15</v>
      </c>
      <c r="D5984" s="10" t="s">
        <v>13033</v>
      </c>
      <c r="E5984" s="9" t="s">
        <v>17</v>
      </c>
      <c r="F5984" s="10">
        <v>26</v>
      </c>
      <c r="G5984" s="11">
        <v>8057992008</v>
      </c>
      <c r="H5984" s="10" t="s">
        <v>13034</v>
      </c>
      <c r="I5984" s="10" t="s">
        <v>27</v>
      </c>
      <c r="J5984" s="10" t="s">
        <v>94</v>
      </c>
      <c r="K5984" s="12">
        <v>46030</v>
      </c>
      <c r="L5984" s="28" t="s">
        <v>11</v>
      </c>
      <c r="M5984" s="14"/>
      <c r="N5984" s="10" t="s">
        <v>1028</v>
      </c>
    </row>
    <row r="5985" spans="1:14" ht="22.5" customHeight="1">
      <c r="A5985" s="8">
        <v>46030.930796875</v>
      </c>
      <c r="B5985" s="9" t="s">
        <v>14</v>
      </c>
      <c r="C5985" s="9" t="s">
        <v>15</v>
      </c>
      <c r="D5985" s="10" t="s">
        <v>13035</v>
      </c>
      <c r="E5985" s="9" t="s">
        <v>17</v>
      </c>
      <c r="F5985" s="10">
        <v>31</v>
      </c>
      <c r="G5985" s="11">
        <v>9018248625</v>
      </c>
      <c r="H5985" s="10" t="s">
        <v>13036</v>
      </c>
      <c r="I5985" s="10" t="s">
        <v>27</v>
      </c>
      <c r="J5985" s="10" t="s">
        <v>1456</v>
      </c>
      <c r="K5985" s="12">
        <v>46030</v>
      </c>
      <c r="L5985" s="28" t="s">
        <v>11</v>
      </c>
      <c r="M5985" s="14"/>
      <c r="N5985" s="10" t="s">
        <v>1096</v>
      </c>
    </row>
    <row r="5986" spans="1:14" ht="22.5" customHeight="1">
      <c r="A5986" s="8">
        <v>46030.931349305552</v>
      </c>
      <c r="B5986" s="9" t="s">
        <v>14</v>
      </c>
      <c r="C5986" s="9" t="s">
        <v>15</v>
      </c>
      <c r="D5986" s="10" t="s">
        <v>13037</v>
      </c>
      <c r="E5986" s="9" t="s">
        <v>22</v>
      </c>
      <c r="F5986" s="10">
        <v>22</v>
      </c>
      <c r="G5986" s="11">
        <v>8109082882</v>
      </c>
      <c r="H5986" s="10" t="s">
        <v>13038</v>
      </c>
      <c r="I5986" s="10" t="s">
        <v>27</v>
      </c>
      <c r="J5986" s="10" t="s">
        <v>2196</v>
      </c>
      <c r="K5986" s="12">
        <v>46030</v>
      </c>
      <c r="L5986" s="28" t="s">
        <v>11</v>
      </c>
      <c r="M5986" s="14"/>
      <c r="N5986" s="10" t="s">
        <v>1028</v>
      </c>
    </row>
    <row r="5987" spans="1:14" ht="22.5" customHeight="1">
      <c r="A5987" s="8">
        <v>46030.932839618057</v>
      </c>
      <c r="B5987" s="9" t="s">
        <v>14</v>
      </c>
      <c r="C5987" s="9" t="s">
        <v>15</v>
      </c>
      <c r="D5987" s="10" t="s">
        <v>13039</v>
      </c>
      <c r="E5987" s="9" t="s">
        <v>17</v>
      </c>
      <c r="F5987" s="10">
        <v>35</v>
      </c>
      <c r="G5987" s="11">
        <v>8062181865</v>
      </c>
      <c r="H5987" s="10" t="s">
        <v>13040</v>
      </c>
      <c r="I5987" s="10" t="s">
        <v>27</v>
      </c>
      <c r="J5987" s="10" t="s">
        <v>1949</v>
      </c>
      <c r="K5987" s="12">
        <v>46030</v>
      </c>
      <c r="L5987" s="28" t="s">
        <v>11</v>
      </c>
      <c r="M5987" s="14"/>
      <c r="N5987" s="10" t="s">
        <v>1028</v>
      </c>
    </row>
    <row r="5988" spans="1:14" ht="22.5" hidden="1" customHeight="1">
      <c r="A5988" s="8">
        <v>46030.939659085649</v>
      </c>
      <c r="B5988" s="9" t="s">
        <v>14</v>
      </c>
      <c r="C5988" s="9" t="s">
        <v>15</v>
      </c>
      <c r="D5988" s="10" t="s">
        <v>13041</v>
      </c>
      <c r="E5988" s="9" t="s">
        <v>17</v>
      </c>
      <c r="F5988" s="10">
        <v>26</v>
      </c>
      <c r="G5988" s="11">
        <v>8144609900</v>
      </c>
      <c r="H5988" s="10" t="s">
        <v>5350</v>
      </c>
      <c r="I5988" s="10" t="s">
        <v>27</v>
      </c>
      <c r="J5988" s="10" t="s">
        <v>172</v>
      </c>
      <c r="K5988" s="12">
        <v>46030</v>
      </c>
      <c r="L5988" s="10" t="s">
        <v>441</v>
      </c>
      <c r="M5988" s="10" t="s">
        <v>2999</v>
      </c>
      <c r="N5988" s="10" t="s">
        <v>1096</v>
      </c>
    </row>
    <row r="5989" spans="1:14" ht="22.5" customHeight="1">
      <c r="A5989" s="8">
        <v>46030.940282731477</v>
      </c>
      <c r="B5989" s="9" t="s">
        <v>14</v>
      </c>
      <c r="C5989" s="9" t="s">
        <v>15</v>
      </c>
      <c r="D5989" s="10" t="s">
        <v>13042</v>
      </c>
      <c r="E5989" s="9" t="s">
        <v>22</v>
      </c>
      <c r="F5989" s="10">
        <v>28</v>
      </c>
      <c r="G5989" s="11">
        <v>7085542021</v>
      </c>
      <c r="H5989" s="10" t="s">
        <v>13043</v>
      </c>
      <c r="I5989" s="10" t="s">
        <v>145</v>
      </c>
      <c r="J5989" s="10" t="s">
        <v>1607</v>
      </c>
      <c r="K5989" s="12">
        <v>46030</v>
      </c>
      <c r="L5989" s="28" t="s">
        <v>11</v>
      </c>
      <c r="M5989" s="14"/>
      <c r="N5989" s="10" t="s">
        <v>1028</v>
      </c>
    </row>
    <row r="5990" spans="1:14" ht="22.5" customHeight="1">
      <c r="A5990" s="8">
        <v>46030.94029027778</v>
      </c>
      <c r="B5990" s="9" t="s">
        <v>14</v>
      </c>
      <c r="C5990" s="9" t="s">
        <v>15</v>
      </c>
      <c r="D5990" s="10" t="s">
        <v>13042</v>
      </c>
      <c r="E5990" s="9" t="s">
        <v>22</v>
      </c>
      <c r="F5990" s="10">
        <v>28</v>
      </c>
      <c r="G5990" s="11">
        <v>7085542021</v>
      </c>
      <c r="H5990" s="10" t="s">
        <v>13043</v>
      </c>
      <c r="I5990" s="10" t="s">
        <v>145</v>
      </c>
      <c r="J5990" s="10" t="s">
        <v>1607</v>
      </c>
      <c r="K5990" s="12">
        <v>46030</v>
      </c>
      <c r="L5990" s="28" t="s">
        <v>11</v>
      </c>
      <c r="M5990" s="14"/>
      <c r="N5990" s="10" t="s">
        <v>1028</v>
      </c>
    </row>
    <row r="5991" spans="1:14" ht="22.5" customHeight="1">
      <c r="A5991" s="8">
        <v>46030.946736956015</v>
      </c>
      <c r="B5991" s="9" t="s">
        <v>14</v>
      </c>
      <c r="C5991" s="9" t="s">
        <v>15</v>
      </c>
      <c r="D5991" s="10" t="s">
        <v>13044</v>
      </c>
      <c r="E5991" s="9" t="s">
        <v>17</v>
      </c>
      <c r="F5991" s="10">
        <v>35</v>
      </c>
      <c r="G5991" s="11">
        <v>8127234411</v>
      </c>
      <c r="H5991" s="10" t="s">
        <v>13045</v>
      </c>
      <c r="I5991" s="10" t="s">
        <v>27</v>
      </c>
      <c r="J5991" s="10" t="s">
        <v>1949</v>
      </c>
      <c r="K5991" s="12">
        <v>46030</v>
      </c>
      <c r="L5991" s="28" t="s">
        <v>11</v>
      </c>
      <c r="M5991" s="14"/>
      <c r="N5991" s="10" t="s">
        <v>1028</v>
      </c>
    </row>
    <row r="5992" spans="1:14" ht="22.5" customHeight="1">
      <c r="A5992" s="8">
        <v>46030.953083194443</v>
      </c>
      <c r="B5992" s="9" t="s">
        <v>14</v>
      </c>
      <c r="C5992" s="9" t="s">
        <v>15</v>
      </c>
      <c r="D5992" s="10" t="s">
        <v>13046</v>
      </c>
      <c r="E5992" s="9" t="s">
        <v>17</v>
      </c>
      <c r="F5992" s="10">
        <v>24</v>
      </c>
      <c r="G5992" s="11">
        <v>7082089158</v>
      </c>
      <c r="H5992" s="10" t="s">
        <v>13047</v>
      </c>
      <c r="I5992" s="10" t="s">
        <v>145</v>
      </c>
      <c r="J5992" s="10" t="s">
        <v>530</v>
      </c>
      <c r="K5992" s="12">
        <v>46030</v>
      </c>
      <c r="L5992" s="28" t="s">
        <v>11</v>
      </c>
      <c r="M5992" s="14"/>
      <c r="N5992" s="10" t="s">
        <v>1028</v>
      </c>
    </row>
    <row r="5993" spans="1:14" ht="22.5" customHeight="1">
      <c r="A5993" s="8">
        <v>46030.953662511572</v>
      </c>
      <c r="B5993" s="9" t="s">
        <v>14</v>
      </c>
      <c r="C5993" s="9" t="s">
        <v>15</v>
      </c>
      <c r="D5993" s="10" t="s">
        <v>13048</v>
      </c>
      <c r="E5993" s="9" t="s">
        <v>17</v>
      </c>
      <c r="F5993" s="10">
        <v>31</v>
      </c>
      <c r="G5993" s="11">
        <v>8038310055</v>
      </c>
      <c r="H5993" s="10" t="s">
        <v>13049</v>
      </c>
      <c r="I5993" s="10" t="s">
        <v>27</v>
      </c>
      <c r="J5993" s="10" t="s">
        <v>13050</v>
      </c>
      <c r="K5993" s="12">
        <v>46030</v>
      </c>
      <c r="L5993" s="28" t="s">
        <v>11</v>
      </c>
      <c r="M5993" s="14"/>
      <c r="N5993" s="10" t="s">
        <v>1028</v>
      </c>
    </row>
    <row r="5994" spans="1:14" ht="22.5" customHeight="1">
      <c r="A5994" s="8">
        <v>46030.955847800928</v>
      </c>
      <c r="B5994" s="9" t="s">
        <v>14</v>
      </c>
      <c r="C5994" s="9" t="s">
        <v>15</v>
      </c>
      <c r="D5994" s="10" t="s">
        <v>13051</v>
      </c>
      <c r="E5994" s="9" t="s">
        <v>17</v>
      </c>
      <c r="F5994" s="10">
        <v>27</v>
      </c>
      <c r="G5994" s="11">
        <v>9039000994</v>
      </c>
      <c r="H5994" s="10" t="s">
        <v>13052</v>
      </c>
      <c r="I5994" s="10" t="s">
        <v>27</v>
      </c>
      <c r="J5994" s="10" t="s">
        <v>2836</v>
      </c>
      <c r="K5994" s="12">
        <v>46030</v>
      </c>
      <c r="L5994" s="28" t="s">
        <v>11</v>
      </c>
      <c r="M5994" s="14"/>
      <c r="N5994" s="10" t="s">
        <v>1028</v>
      </c>
    </row>
    <row r="5995" spans="1:14" ht="22.5" customHeight="1">
      <c r="A5995" s="8">
        <v>46030.957593263884</v>
      </c>
      <c r="B5995" s="9" t="s">
        <v>14</v>
      </c>
      <c r="C5995" s="9" t="s">
        <v>15</v>
      </c>
      <c r="D5995" s="10" t="s">
        <v>13053</v>
      </c>
      <c r="E5995" s="9" t="s">
        <v>22</v>
      </c>
      <c r="F5995" s="10">
        <v>44</v>
      </c>
      <c r="G5995" s="11">
        <v>8069109092</v>
      </c>
      <c r="H5995" s="10" t="s">
        <v>13054</v>
      </c>
      <c r="I5995" s="10" t="s">
        <v>49</v>
      </c>
      <c r="J5995" s="10" t="s">
        <v>106</v>
      </c>
      <c r="K5995" s="12">
        <v>46030</v>
      </c>
      <c r="L5995" s="28" t="s">
        <v>11</v>
      </c>
      <c r="M5995" s="14"/>
      <c r="N5995" s="10" t="s">
        <v>1028</v>
      </c>
    </row>
    <row r="5996" spans="1:14" ht="22.5" customHeight="1">
      <c r="A5996" s="8">
        <v>46030.958724374999</v>
      </c>
      <c r="B5996" s="9" t="s">
        <v>14</v>
      </c>
      <c r="C5996" s="9" t="s">
        <v>15</v>
      </c>
      <c r="D5996" s="10" t="s">
        <v>13055</v>
      </c>
      <c r="E5996" s="9" t="s">
        <v>17</v>
      </c>
      <c r="F5996" s="10">
        <v>35</v>
      </c>
      <c r="G5996" s="11">
        <v>7010980365</v>
      </c>
      <c r="H5996" s="10" t="s">
        <v>13056</v>
      </c>
      <c r="I5996" s="10" t="s">
        <v>27</v>
      </c>
      <c r="J5996" s="10" t="s">
        <v>2196</v>
      </c>
      <c r="K5996" s="12">
        <v>46030</v>
      </c>
      <c r="L5996" s="28" t="s">
        <v>11</v>
      </c>
      <c r="M5996" s="14"/>
      <c r="N5996" s="10" t="s">
        <v>1028</v>
      </c>
    </row>
    <row r="5997" spans="1:14" ht="22.5" customHeight="1">
      <c r="A5997" s="8">
        <v>46030.958761724542</v>
      </c>
      <c r="B5997" s="9" t="s">
        <v>14</v>
      </c>
      <c r="C5997" s="9" t="s">
        <v>15</v>
      </c>
      <c r="D5997" s="10" t="s">
        <v>13057</v>
      </c>
      <c r="E5997" s="9" t="s">
        <v>17</v>
      </c>
      <c r="F5997" s="10">
        <v>30</v>
      </c>
      <c r="G5997" s="11">
        <v>8163439466</v>
      </c>
      <c r="H5997" s="10" t="s">
        <v>13058</v>
      </c>
      <c r="I5997" s="10" t="s">
        <v>27</v>
      </c>
      <c r="J5997" s="10" t="s">
        <v>13059</v>
      </c>
      <c r="K5997" s="12">
        <v>46030</v>
      </c>
      <c r="L5997" s="28" t="s">
        <v>11</v>
      </c>
      <c r="M5997" s="14"/>
      <c r="N5997" s="10" t="s">
        <v>1028</v>
      </c>
    </row>
    <row r="5998" spans="1:14" ht="22.5" customHeight="1">
      <c r="A5998" s="8">
        <v>46030.965360543982</v>
      </c>
      <c r="B5998" s="9" t="s">
        <v>14</v>
      </c>
      <c r="C5998" s="9" t="s">
        <v>15</v>
      </c>
      <c r="D5998" s="10" t="s">
        <v>13060</v>
      </c>
      <c r="E5998" s="9" t="s">
        <v>17</v>
      </c>
      <c r="F5998" s="10">
        <v>30</v>
      </c>
      <c r="G5998" s="11">
        <v>8063931264</v>
      </c>
      <c r="H5998" s="10" t="s">
        <v>13061</v>
      </c>
      <c r="I5998" s="10" t="s">
        <v>27</v>
      </c>
      <c r="J5998" s="10" t="s">
        <v>9327</v>
      </c>
      <c r="K5998" s="12">
        <v>46030</v>
      </c>
      <c r="L5998" s="28" t="s">
        <v>11</v>
      </c>
      <c r="M5998" s="14"/>
      <c r="N5998" s="10" t="s">
        <v>1035</v>
      </c>
    </row>
    <row r="5999" spans="1:14" ht="22.5" customHeight="1">
      <c r="A5999" s="8">
        <v>46030.96590761574</v>
      </c>
      <c r="B5999" s="9" t="s">
        <v>14</v>
      </c>
      <c r="C5999" s="9" t="s">
        <v>15</v>
      </c>
      <c r="D5999" s="10" t="s">
        <v>13062</v>
      </c>
      <c r="E5999" s="9" t="s">
        <v>17</v>
      </c>
      <c r="F5999" s="10">
        <v>30</v>
      </c>
      <c r="G5999" s="11">
        <v>9024528730</v>
      </c>
      <c r="H5999" s="10" t="s">
        <v>13063</v>
      </c>
      <c r="I5999" s="10" t="s">
        <v>27</v>
      </c>
      <c r="J5999" s="10" t="s">
        <v>10709</v>
      </c>
      <c r="K5999" s="12">
        <v>46030</v>
      </c>
      <c r="L5999" s="28" t="s">
        <v>11</v>
      </c>
      <c r="M5999" s="14"/>
      <c r="N5999" s="10" t="s">
        <v>1028</v>
      </c>
    </row>
    <row r="6000" spans="1:14" ht="22.5" customHeight="1">
      <c r="A6000" s="8">
        <v>46030.96625459491</v>
      </c>
      <c r="B6000" s="9" t="s">
        <v>14</v>
      </c>
      <c r="C6000" s="9" t="s">
        <v>15</v>
      </c>
      <c r="D6000" s="10" t="s">
        <v>13064</v>
      </c>
      <c r="E6000" s="9" t="s">
        <v>17</v>
      </c>
      <c r="F6000" s="10">
        <v>33</v>
      </c>
      <c r="G6000" s="11">
        <v>7033305709</v>
      </c>
      <c r="H6000" s="10" t="s">
        <v>13065</v>
      </c>
      <c r="I6000" s="10" t="s">
        <v>27</v>
      </c>
      <c r="J6000" s="10" t="s">
        <v>3809</v>
      </c>
      <c r="K6000" s="12">
        <v>46030</v>
      </c>
      <c r="L6000" s="28" t="s">
        <v>11</v>
      </c>
      <c r="M6000" s="14"/>
      <c r="N6000" s="10" t="s">
        <v>1028</v>
      </c>
    </row>
    <row r="6001" spans="1:14" ht="22.5" customHeight="1">
      <c r="A6001" s="8">
        <v>46030.967966226854</v>
      </c>
      <c r="B6001" s="9" t="s">
        <v>14</v>
      </c>
      <c r="C6001" s="9" t="s">
        <v>15</v>
      </c>
      <c r="D6001" s="10" t="s">
        <v>13066</v>
      </c>
      <c r="E6001" s="9" t="s">
        <v>22</v>
      </c>
      <c r="F6001" s="10">
        <v>28</v>
      </c>
      <c r="G6001" s="11">
        <v>8169786455</v>
      </c>
      <c r="H6001" s="10" t="s">
        <v>13067</v>
      </c>
      <c r="I6001" s="10" t="s">
        <v>27</v>
      </c>
      <c r="J6001" s="10" t="s">
        <v>1514</v>
      </c>
      <c r="K6001" s="12">
        <v>46030</v>
      </c>
      <c r="L6001" s="28" t="s">
        <v>11</v>
      </c>
      <c r="M6001" s="14"/>
      <c r="N6001" s="10" t="s">
        <v>1028</v>
      </c>
    </row>
    <row r="6002" spans="1:14" ht="22.5" customHeight="1">
      <c r="A6002" s="8">
        <v>46030.970925462963</v>
      </c>
      <c r="B6002" s="9" t="s">
        <v>14</v>
      </c>
      <c r="C6002" s="9" t="s">
        <v>15</v>
      </c>
      <c r="D6002" s="10" t="s">
        <v>13068</v>
      </c>
      <c r="E6002" s="9" t="s">
        <v>17</v>
      </c>
      <c r="F6002" s="10">
        <v>21</v>
      </c>
      <c r="G6002" s="11">
        <v>7019521746</v>
      </c>
      <c r="H6002" s="10" t="s">
        <v>13069</v>
      </c>
      <c r="I6002" s="10" t="s">
        <v>27</v>
      </c>
      <c r="J6002" s="10" t="s">
        <v>1475</v>
      </c>
      <c r="K6002" s="12">
        <v>46030</v>
      </c>
      <c r="L6002" s="28" t="s">
        <v>11</v>
      </c>
      <c r="M6002" s="14"/>
      <c r="N6002" s="10" t="s">
        <v>1028</v>
      </c>
    </row>
    <row r="6003" spans="1:14" ht="22.5" customHeight="1">
      <c r="A6003" s="8">
        <v>46030.970960104169</v>
      </c>
      <c r="B6003" s="9" t="s">
        <v>14</v>
      </c>
      <c r="C6003" s="9" t="s">
        <v>15</v>
      </c>
      <c r="D6003" s="10" t="s">
        <v>13070</v>
      </c>
      <c r="E6003" s="9" t="s">
        <v>17</v>
      </c>
      <c r="F6003" s="10">
        <v>41</v>
      </c>
      <c r="G6003" s="11">
        <v>8032257009</v>
      </c>
      <c r="H6003" s="10" t="s">
        <v>13071</v>
      </c>
      <c r="I6003" s="10" t="s">
        <v>27</v>
      </c>
      <c r="J6003" s="10" t="s">
        <v>70</v>
      </c>
      <c r="K6003" s="12">
        <v>46030</v>
      </c>
      <c r="L6003" s="28" t="s">
        <v>11</v>
      </c>
      <c r="M6003" s="10"/>
      <c r="N6003" s="10" t="s">
        <v>1096</v>
      </c>
    </row>
    <row r="6004" spans="1:14" ht="22.5" customHeight="1">
      <c r="A6004" s="8">
        <v>46030.975076782408</v>
      </c>
      <c r="B6004" s="9" t="s">
        <v>14</v>
      </c>
      <c r="C6004" s="9" t="s">
        <v>15</v>
      </c>
      <c r="D6004" s="10" t="s">
        <v>13072</v>
      </c>
      <c r="E6004" s="9" t="s">
        <v>17</v>
      </c>
      <c r="F6004" s="10">
        <v>21</v>
      </c>
      <c r="G6004" s="11">
        <f t="shared" ref="G6004" si="179">2347047709059</f>
        <v>2347047709059</v>
      </c>
      <c r="H6004" s="10" t="s">
        <v>13073</v>
      </c>
      <c r="I6004" s="10" t="s">
        <v>49</v>
      </c>
      <c r="J6004" s="10" t="s">
        <v>50</v>
      </c>
      <c r="K6004" s="12">
        <v>46030</v>
      </c>
      <c r="L6004" s="28" t="s">
        <v>11</v>
      </c>
      <c r="M6004" s="14"/>
      <c r="N6004" s="10" t="s">
        <v>1028</v>
      </c>
    </row>
    <row r="6005" spans="1:14" ht="22.5" customHeight="1">
      <c r="A6005" s="8">
        <v>46030.976811250002</v>
      </c>
      <c r="B6005" s="9" t="s">
        <v>14</v>
      </c>
      <c r="C6005" s="9" t="s">
        <v>15</v>
      </c>
      <c r="D6005" s="10" t="s">
        <v>13074</v>
      </c>
      <c r="E6005" s="9" t="s">
        <v>17</v>
      </c>
      <c r="F6005" s="19">
        <v>33</v>
      </c>
      <c r="G6005" s="11">
        <v>9027299775</v>
      </c>
      <c r="H6005" s="10" t="s">
        <v>13075</v>
      </c>
      <c r="I6005" s="10" t="s">
        <v>27</v>
      </c>
      <c r="J6005" s="10" t="s">
        <v>13076</v>
      </c>
      <c r="K6005" s="12">
        <v>46030</v>
      </c>
      <c r="L6005" s="28" t="s">
        <v>11</v>
      </c>
      <c r="M6005" s="14"/>
      <c r="N6005" s="10" t="s">
        <v>1096</v>
      </c>
    </row>
    <row r="6006" spans="1:14" ht="22.5" customHeight="1">
      <c r="A6006" s="8">
        <v>46030.980392650468</v>
      </c>
      <c r="B6006" s="9" t="s">
        <v>14</v>
      </c>
      <c r="C6006" s="9" t="s">
        <v>15</v>
      </c>
      <c r="D6006" s="10" t="s">
        <v>13077</v>
      </c>
      <c r="E6006" s="9" t="s">
        <v>17</v>
      </c>
      <c r="F6006" s="10">
        <v>33</v>
      </c>
      <c r="G6006" s="11">
        <v>8034628174</v>
      </c>
      <c r="H6006" s="10" t="s">
        <v>13078</v>
      </c>
      <c r="I6006" s="10" t="s">
        <v>27</v>
      </c>
      <c r="J6006" s="10" t="s">
        <v>2556</v>
      </c>
      <c r="K6006" s="12">
        <v>46030</v>
      </c>
      <c r="L6006" s="28" t="s">
        <v>11</v>
      </c>
      <c r="M6006" s="14"/>
      <c r="N6006" s="10" t="s">
        <v>1028</v>
      </c>
    </row>
    <row r="6007" spans="1:14" ht="22.5" customHeight="1">
      <c r="A6007" s="8">
        <v>46030.980699826388</v>
      </c>
      <c r="B6007" s="9" t="s">
        <v>14</v>
      </c>
      <c r="C6007" s="9" t="s">
        <v>15</v>
      </c>
      <c r="D6007" s="10" t="s">
        <v>13079</v>
      </c>
      <c r="E6007" s="9" t="s">
        <v>22</v>
      </c>
      <c r="F6007" s="10">
        <v>35</v>
      </c>
      <c r="G6007" s="11">
        <v>9035475609</v>
      </c>
      <c r="H6007" s="10" t="s">
        <v>13080</v>
      </c>
      <c r="I6007" s="10" t="s">
        <v>19</v>
      </c>
      <c r="J6007" s="10" t="s">
        <v>119</v>
      </c>
      <c r="K6007" s="12">
        <v>46030</v>
      </c>
      <c r="L6007" s="28" t="s">
        <v>11</v>
      </c>
      <c r="M6007" s="14"/>
      <c r="N6007" s="10" t="s">
        <v>1096</v>
      </c>
    </row>
    <row r="6008" spans="1:14" ht="22.5" customHeight="1">
      <c r="A6008" s="8">
        <v>46030.981476539353</v>
      </c>
      <c r="B6008" s="9" t="s">
        <v>14</v>
      </c>
      <c r="C6008" s="9" t="s">
        <v>15</v>
      </c>
      <c r="D6008" s="10" t="s">
        <v>13081</v>
      </c>
      <c r="E6008" s="9" t="s">
        <v>22</v>
      </c>
      <c r="F6008" s="10">
        <v>30</v>
      </c>
      <c r="G6008" s="11">
        <v>8067364679</v>
      </c>
      <c r="H6008" s="10" t="s">
        <v>13082</v>
      </c>
      <c r="I6008" s="10" t="s">
        <v>27</v>
      </c>
      <c r="J6008" s="10" t="s">
        <v>1456</v>
      </c>
      <c r="K6008" s="12">
        <v>46030</v>
      </c>
      <c r="L6008" s="28" t="s">
        <v>11</v>
      </c>
      <c r="M6008" s="14"/>
      <c r="N6008" s="10" t="s">
        <v>1028</v>
      </c>
    </row>
    <row r="6009" spans="1:14" ht="22.5" customHeight="1">
      <c r="A6009" s="8">
        <v>46030.9819655787</v>
      </c>
      <c r="B6009" s="9" t="s">
        <v>14</v>
      </c>
      <c r="C6009" s="9" t="s">
        <v>15</v>
      </c>
      <c r="D6009" s="10" t="s">
        <v>13083</v>
      </c>
      <c r="E6009" s="9" t="s">
        <v>17</v>
      </c>
      <c r="F6009" s="10">
        <v>41</v>
      </c>
      <c r="G6009" s="11">
        <v>8053339070</v>
      </c>
      <c r="H6009" s="10" t="s">
        <v>13084</v>
      </c>
      <c r="I6009" s="10" t="s">
        <v>19</v>
      </c>
      <c r="J6009" s="10" t="s">
        <v>13085</v>
      </c>
      <c r="K6009" s="12">
        <v>46030</v>
      </c>
      <c r="L6009" s="28" t="s">
        <v>11</v>
      </c>
      <c r="M6009" s="14"/>
      <c r="N6009" s="10" t="s">
        <v>1096</v>
      </c>
    </row>
    <row r="6010" spans="1:14" ht="22.5" customHeight="1">
      <c r="A6010" s="8">
        <v>46030.984299525458</v>
      </c>
      <c r="B6010" s="9" t="s">
        <v>14</v>
      </c>
      <c r="C6010" s="9" t="s">
        <v>15</v>
      </c>
      <c r="D6010" s="10" t="s">
        <v>13086</v>
      </c>
      <c r="E6010" s="9" t="s">
        <v>17</v>
      </c>
      <c r="F6010" s="10">
        <v>32</v>
      </c>
      <c r="G6010" s="11">
        <v>8066391324</v>
      </c>
      <c r="H6010" s="10" t="s">
        <v>13087</v>
      </c>
      <c r="I6010" s="10" t="s">
        <v>27</v>
      </c>
      <c r="J6010" s="10" t="s">
        <v>1456</v>
      </c>
      <c r="K6010" s="12">
        <v>46030</v>
      </c>
      <c r="L6010" s="28" t="s">
        <v>11</v>
      </c>
      <c r="M6010" s="14"/>
      <c r="N6010" s="10" t="s">
        <v>1096</v>
      </c>
    </row>
    <row r="6011" spans="1:14" ht="22.5" customHeight="1">
      <c r="A6011" s="8">
        <v>46030.987344560184</v>
      </c>
      <c r="B6011" s="9" t="s">
        <v>14</v>
      </c>
      <c r="C6011" s="9" t="s">
        <v>15</v>
      </c>
      <c r="D6011" s="10" t="s">
        <v>13088</v>
      </c>
      <c r="E6011" s="9" t="s">
        <v>22</v>
      </c>
      <c r="F6011" s="10">
        <v>31</v>
      </c>
      <c r="G6011" s="11">
        <v>8142957548</v>
      </c>
      <c r="H6011" s="10" t="s">
        <v>13089</v>
      </c>
      <c r="I6011" s="10" t="s">
        <v>27</v>
      </c>
      <c r="J6011" s="10" t="s">
        <v>94</v>
      </c>
      <c r="K6011" s="12">
        <v>46030</v>
      </c>
      <c r="L6011" s="28" t="s">
        <v>11</v>
      </c>
      <c r="M6011" s="14"/>
      <c r="N6011" s="10" t="s">
        <v>1028</v>
      </c>
    </row>
    <row r="6012" spans="1:14" ht="22.5" customHeight="1">
      <c r="A6012" s="8">
        <v>46030.991216724535</v>
      </c>
      <c r="B6012" s="9" t="s">
        <v>14</v>
      </c>
      <c r="C6012" s="9" t="s">
        <v>15</v>
      </c>
      <c r="D6012" s="10" t="s">
        <v>13090</v>
      </c>
      <c r="E6012" s="9" t="s">
        <v>22</v>
      </c>
      <c r="F6012" s="10">
        <v>25</v>
      </c>
      <c r="G6012" s="11">
        <v>7047360744</v>
      </c>
      <c r="H6012" s="10" t="s">
        <v>13091</v>
      </c>
      <c r="I6012" s="10" t="s">
        <v>45</v>
      </c>
      <c r="J6012" s="10" t="s">
        <v>13092</v>
      </c>
      <c r="K6012" s="12">
        <v>46030</v>
      </c>
      <c r="L6012" s="28" t="s">
        <v>11</v>
      </c>
      <c r="M6012" s="14"/>
      <c r="N6012" s="10" t="s">
        <v>13093</v>
      </c>
    </row>
    <row r="6013" spans="1:14" ht="22.5" customHeight="1">
      <c r="A6013" s="8">
        <v>46030.991236574075</v>
      </c>
      <c r="B6013" s="9" t="s">
        <v>14</v>
      </c>
      <c r="C6013" s="9" t="s">
        <v>15</v>
      </c>
      <c r="D6013" s="10" t="s">
        <v>3540</v>
      </c>
      <c r="E6013" s="9" t="s">
        <v>17</v>
      </c>
      <c r="F6013" s="10">
        <v>30</v>
      </c>
      <c r="G6013" s="11">
        <v>8033563051</v>
      </c>
      <c r="H6013" s="10" t="s">
        <v>13094</v>
      </c>
      <c r="I6013" s="10" t="s">
        <v>27</v>
      </c>
      <c r="J6013" s="10" t="s">
        <v>2675</v>
      </c>
      <c r="K6013" s="12">
        <v>46030</v>
      </c>
      <c r="L6013" s="28" t="s">
        <v>11</v>
      </c>
      <c r="M6013" s="14"/>
      <c r="N6013" s="10" t="s">
        <v>1096</v>
      </c>
    </row>
    <row r="6014" spans="1:14" ht="22.5" customHeight="1">
      <c r="A6014" s="8">
        <v>46030.997481087965</v>
      </c>
      <c r="B6014" s="9" t="s">
        <v>14</v>
      </c>
      <c r="C6014" s="9" t="s">
        <v>15</v>
      </c>
      <c r="D6014" s="10" t="s">
        <v>10668</v>
      </c>
      <c r="E6014" s="9" t="s">
        <v>22</v>
      </c>
      <c r="F6014" s="10">
        <v>26</v>
      </c>
      <c r="G6014" s="11">
        <v>8107742595</v>
      </c>
      <c r="H6014" s="10" t="s">
        <v>10669</v>
      </c>
      <c r="I6014" s="10" t="s">
        <v>45</v>
      </c>
      <c r="J6014" s="10" t="s">
        <v>13095</v>
      </c>
      <c r="K6014" s="12">
        <v>46030</v>
      </c>
      <c r="L6014" s="28" t="s">
        <v>11</v>
      </c>
      <c r="M6014" s="14"/>
      <c r="N6014" s="10" t="s">
        <v>1096</v>
      </c>
    </row>
    <row r="6015" spans="1:14" ht="22.5" customHeight="1">
      <c r="A6015" s="8">
        <v>46031.002005023147</v>
      </c>
      <c r="B6015" s="9" t="s">
        <v>14</v>
      </c>
      <c r="C6015" s="9" t="s">
        <v>15</v>
      </c>
      <c r="D6015" s="10" t="s">
        <v>13096</v>
      </c>
      <c r="E6015" s="9" t="s">
        <v>17</v>
      </c>
      <c r="F6015" s="10">
        <v>24</v>
      </c>
      <c r="G6015" s="11">
        <v>7060725146</v>
      </c>
      <c r="H6015" s="10" t="s">
        <v>13097</v>
      </c>
      <c r="I6015" s="10" t="s">
        <v>27</v>
      </c>
      <c r="J6015" s="10" t="s">
        <v>13098</v>
      </c>
      <c r="K6015" s="12">
        <v>46031</v>
      </c>
      <c r="L6015" s="28" t="s">
        <v>11</v>
      </c>
      <c r="M6015" s="14"/>
      <c r="N6015" s="10" t="s">
        <v>1096</v>
      </c>
    </row>
    <row r="6016" spans="1:14" ht="22.5" customHeight="1">
      <c r="A6016" s="8">
        <v>46031.002812094906</v>
      </c>
      <c r="B6016" s="9" t="s">
        <v>14</v>
      </c>
      <c r="C6016" s="9" t="s">
        <v>15</v>
      </c>
      <c r="D6016" s="10" t="s">
        <v>13099</v>
      </c>
      <c r="E6016" s="9" t="s">
        <v>17</v>
      </c>
      <c r="F6016" s="10">
        <v>31</v>
      </c>
      <c r="G6016" s="11">
        <v>8141605657</v>
      </c>
      <c r="H6016" s="10" t="s">
        <v>13100</v>
      </c>
      <c r="I6016" s="10" t="s">
        <v>27</v>
      </c>
      <c r="J6016" s="10" t="s">
        <v>2328</v>
      </c>
      <c r="K6016" s="12">
        <v>46031</v>
      </c>
      <c r="L6016" s="28" t="s">
        <v>11</v>
      </c>
      <c r="M6016" s="14"/>
      <c r="N6016" s="10" t="s">
        <v>1028</v>
      </c>
    </row>
    <row r="6017" spans="1:14" ht="22.5" customHeight="1">
      <c r="A6017" s="8">
        <v>46031.005394097221</v>
      </c>
      <c r="B6017" s="9" t="s">
        <v>14</v>
      </c>
      <c r="C6017" s="9" t="s">
        <v>15</v>
      </c>
      <c r="D6017" s="10" t="s">
        <v>13101</v>
      </c>
      <c r="E6017" s="9" t="s">
        <v>17</v>
      </c>
      <c r="F6017" s="10">
        <v>34</v>
      </c>
      <c r="G6017" s="11">
        <v>8060205050</v>
      </c>
      <c r="H6017" s="10" t="s">
        <v>13102</v>
      </c>
      <c r="I6017" s="10" t="s">
        <v>27</v>
      </c>
      <c r="J6017" s="10" t="s">
        <v>42</v>
      </c>
      <c r="K6017" s="12">
        <v>46031</v>
      </c>
      <c r="L6017" s="28" t="s">
        <v>11</v>
      </c>
      <c r="M6017" s="14"/>
      <c r="N6017" s="10" t="s">
        <v>1028</v>
      </c>
    </row>
    <row r="6018" spans="1:14" ht="22.5" customHeight="1">
      <c r="A6018" s="8">
        <v>46031.007973831016</v>
      </c>
      <c r="B6018" s="9" t="s">
        <v>14</v>
      </c>
      <c r="C6018" s="9" t="s">
        <v>15</v>
      </c>
      <c r="D6018" s="10" t="s">
        <v>13103</v>
      </c>
      <c r="E6018" s="9" t="s">
        <v>17</v>
      </c>
      <c r="F6018" s="10">
        <v>30</v>
      </c>
      <c r="G6018" s="11">
        <v>8138428277</v>
      </c>
      <c r="H6018" s="10" t="s">
        <v>13104</v>
      </c>
      <c r="I6018" s="10" t="s">
        <v>27</v>
      </c>
      <c r="J6018" s="10" t="s">
        <v>172</v>
      </c>
      <c r="K6018" s="12">
        <v>35064</v>
      </c>
      <c r="L6018" s="28" t="s">
        <v>11</v>
      </c>
      <c r="M6018" s="14"/>
      <c r="N6018" s="10" t="s">
        <v>1028</v>
      </c>
    </row>
    <row r="6019" spans="1:14" ht="22.5" customHeight="1">
      <c r="A6019" s="8">
        <v>46031.008440185185</v>
      </c>
      <c r="B6019" s="9" t="s">
        <v>14</v>
      </c>
      <c r="C6019" s="9" t="s">
        <v>15</v>
      </c>
      <c r="D6019" s="10" t="s">
        <v>13105</v>
      </c>
      <c r="E6019" s="9" t="s">
        <v>17</v>
      </c>
      <c r="F6019" s="10">
        <v>34</v>
      </c>
      <c r="G6019" s="11">
        <v>8109003705</v>
      </c>
      <c r="H6019" s="10" t="s">
        <v>13106</v>
      </c>
      <c r="I6019" s="10" t="s">
        <v>27</v>
      </c>
      <c r="J6019" s="10" t="s">
        <v>13107</v>
      </c>
      <c r="K6019" s="12">
        <v>46031</v>
      </c>
      <c r="L6019" s="28" t="s">
        <v>11</v>
      </c>
      <c r="M6019" s="14"/>
      <c r="N6019" s="10" t="s">
        <v>1096</v>
      </c>
    </row>
    <row r="6020" spans="1:14" ht="22.5" customHeight="1">
      <c r="A6020" s="8">
        <v>46031.010404351851</v>
      </c>
      <c r="B6020" s="9" t="s">
        <v>14</v>
      </c>
      <c r="C6020" s="9" t="s">
        <v>15</v>
      </c>
      <c r="D6020" s="10" t="s">
        <v>13108</v>
      </c>
      <c r="E6020" s="9" t="s">
        <v>17</v>
      </c>
      <c r="F6020" s="10">
        <v>24</v>
      </c>
      <c r="G6020" s="11">
        <v>7031325778</v>
      </c>
      <c r="H6020" s="10" t="s">
        <v>13109</v>
      </c>
      <c r="I6020" s="10" t="s">
        <v>49</v>
      </c>
      <c r="J6020" s="10" t="s">
        <v>50</v>
      </c>
      <c r="K6020" s="12">
        <v>46031</v>
      </c>
      <c r="L6020" s="28" t="s">
        <v>11</v>
      </c>
      <c r="M6020" s="14"/>
      <c r="N6020" s="10" t="s">
        <v>1028</v>
      </c>
    </row>
    <row r="6021" spans="1:14" ht="22.5" customHeight="1">
      <c r="A6021" s="8">
        <v>46031.020288020838</v>
      </c>
      <c r="B6021" s="9" t="s">
        <v>14</v>
      </c>
      <c r="C6021" s="9" t="s">
        <v>15</v>
      </c>
      <c r="D6021" s="10" t="s">
        <v>13110</v>
      </c>
      <c r="E6021" s="9" t="s">
        <v>22</v>
      </c>
      <c r="F6021" s="10">
        <v>32</v>
      </c>
      <c r="G6021" s="11">
        <v>8103991919</v>
      </c>
      <c r="H6021" s="10" t="s">
        <v>13111</v>
      </c>
      <c r="I6021" s="10" t="s">
        <v>49</v>
      </c>
      <c r="J6021" s="10" t="s">
        <v>73</v>
      </c>
      <c r="K6021" s="12">
        <v>46031</v>
      </c>
      <c r="L6021" s="28" t="s">
        <v>11</v>
      </c>
      <c r="M6021" s="10"/>
      <c r="N6021" s="10" t="s">
        <v>1028</v>
      </c>
    </row>
    <row r="6022" spans="1:14" ht="22.5" customHeight="1">
      <c r="A6022" s="8">
        <v>46031.023785347221</v>
      </c>
      <c r="B6022" s="9" t="s">
        <v>14</v>
      </c>
      <c r="C6022" s="9" t="s">
        <v>15</v>
      </c>
      <c r="D6022" s="10" t="s">
        <v>13112</v>
      </c>
      <c r="E6022" s="9" t="s">
        <v>17</v>
      </c>
      <c r="F6022" s="10">
        <v>25</v>
      </c>
      <c r="G6022" s="11">
        <v>9060330321</v>
      </c>
      <c r="H6022" s="10" t="s">
        <v>13113</v>
      </c>
      <c r="I6022" s="10" t="s">
        <v>45</v>
      </c>
      <c r="J6022" s="10" t="s">
        <v>287</v>
      </c>
      <c r="K6022" s="12">
        <v>46031</v>
      </c>
      <c r="L6022" s="28" t="s">
        <v>11</v>
      </c>
      <c r="M6022" s="14"/>
      <c r="N6022" s="10" t="s">
        <v>1028</v>
      </c>
    </row>
    <row r="6023" spans="1:14" ht="22.5" customHeight="1">
      <c r="A6023" s="8">
        <v>46031.039760567131</v>
      </c>
      <c r="B6023" s="9" t="s">
        <v>14</v>
      </c>
      <c r="C6023" s="9" t="s">
        <v>15</v>
      </c>
      <c r="D6023" s="10" t="s">
        <v>13114</v>
      </c>
      <c r="E6023" s="9" t="s">
        <v>17</v>
      </c>
      <c r="F6023" s="10">
        <v>19</v>
      </c>
      <c r="G6023" s="11">
        <v>8106202186</v>
      </c>
      <c r="H6023" s="10" t="s">
        <v>13115</v>
      </c>
      <c r="I6023" s="10" t="s">
        <v>45</v>
      </c>
      <c r="J6023" s="10" t="s">
        <v>131</v>
      </c>
      <c r="K6023" s="12">
        <v>46031</v>
      </c>
      <c r="L6023" s="28" t="s">
        <v>11</v>
      </c>
      <c r="M6023" s="14"/>
      <c r="N6023" s="10" t="s">
        <v>1096</v>
      </c>
    </row>
    <row r="6024" spans="1:14" ht="22.5" customHeight="1">
      <c r="A6024" s="8">
        <v>46031.049622916667</v>
      </c>
      <c r="B6024" s="9" t="s">
        <v>14</v>
      </c>
      <c r="C6024" s="9" t="s">
        <v>15</v>
      </c>
      <c r="D6024" s="10" t="s">
        <v>13116</v>
      </c>
      <c r="E6024" s="9" t="s">
        <v>17</v>
      </c>
      <c r="F6024" s="10">
        <v>28</v>
      </c>
      <c r="G6024" s="11">
        <v>8147863768</v>
      </c>
      <c r="H6024" s="10" t="s">
        <v>13117</v>
      </c>
      <c r="I6024" s="10" t="s">
        <v>27</v>
      </c>
      <c r="J6024" s="10" t="s">
        <v>13118</v>
      </c>
      <c r="K6024" s="12">
        <v>46031</v>
      </c>
      <c r="L6024" s="28" t="s">
        <v>11</v>
      </c>
      <c r="M6024" s="10"/>
      <c r="N6024" s="10" t="s">
        <v>1028</v>
      </c>
    </row>
    <row r="6025" spans="1:14" ht="22.5" customHeight="1">
      <c r="A6025" s="8">
        <v>46031.058989317127</v>
      </c>
      <c r="B6025" s="9" t="s">
        <v>14</v>
      </c>
      <c r="C6025" s="9" t="s">
        <v>15</v>
      </c>
      <c r="D6025" s="10" t="s">
        <v>13119</v>
      </c>
      <c r="E6025" s="9" t="s">
        <v>22</v>
      </c>
      <c r="F6025" s="10">
        <v>33</v>
      </c>
      <c r="G6025" s="11">
        <v>7032829569</v>
      </c>
      <c r="H6025" s="10" t="s">
        <v>13120</v>
      </c>
      <c r="I6025" s="10" t="s">
        <v>202</v>
      </c>
      <c r="J6025" s="10" t="s">
        <v>1839</v>
      </c>
      <c r="K6025" s="12">
        <v>46031</v>
      </c>
      <c r="L6025" s="28" t="s">
        <v>11</v>
      </c>
      <c r="M6025" s="14"/>
      <c r="N6025" s="10" t="s">
        <v>1028</v>
      </c>
    </row>
    <row r="6026" spans="1:14" ht="22.5" customHeight="1">
      <c r="A6026" s="8">
        <v>46031.063051898149</v>
      </c>
      <c r="B6026" s="9" t="s">
        <v>14</v>
      </c>
      <c r="C6026" s="9" t="s">
        <v>15</v>
      </c>
      <c r="D6026" s="10" t="s">
        <v>13121</v>
      </c>
      <c r="E6026" s="9" t="s">
        <v>22</v>
      </c>
      <c r="F6026" s="10">
        <v>25</v>
      </c>
      <c r="G6026" s="11">
        <v>9058037775</v>
      </c>
      <c r="H6026" s="10" t="s">
        <v>13122</v>
      </c>
      <c r="I6026" s="10" t="s">
        <v>45</v>
      </c>
      <c r="J6026" s="10" t="s">
        <v>1919</v>
      </c>
      <c r="K6026" s="12">
        <v>46031</v>
      </c>
      <c r="L6026" s="28" t="s">
        <v>11</v>
      </c>
      <c r="M6026" s="14"/>
      <c r="N6026" s="10" t="s">
        <v>1028</v>
      </c>
    </row>
    <row r="6027" spans="1:14" ht="22.5" customHeight="1">
      <c r="A6027" s="8">
        <v>46031.068094027782</v>
      </c>
      <c r="B6027" s="9" t="s">
        <v>14</v>
      </c>
      <c r="C6027" s="9" t="s">
        <v>15</v>
      </c>
      <c r="D6027" s="10" t="s">
        <v>13123</v>
      </c>
      <c r="E6027" s="9" t="s">
        <v>17</v>
      </c>
      <c r="F6027" s="10">
        <v>21</v>
      </c>
      <c r="G6027" s="11">
        <v>7026071029</v>
      </c>
      <c r="H6027" s="10" t="s">
        <v>13124</v>
      </c>
      <c r="I6027" s="10" t="s">
        <v>19</v>
      </c>
      <c r="J6027" s="10" t="s">
        <v>13125</v>
      </c>
      <c r="K6027" s="12">
        <v>46031</v>
      </c>
      <c r="L6027" s="28" t="s">
        <v>11</v>
      </c>
      <c r="M6027" s="14"/>
      <c r="N6027" s="10" t="s">
        <v>1035</v>
      </c>
    </row>
    <row r="6028" spans="1:14" ht="22.5" customHeight="1">
      <c r="A6028" s="8">
        <v>46031.070149016203</v>
      </c>
      <c r="B6028" s="9" t="s">
        <v>14</v>
      </c>
      <c r="C6028" s="9" t="s">
        <v>15</v>
      </c>
      <c r="D6028" s="10" t="s">
        <v>13126</v>
      </c>
      <c r="E6028" s="9" t="s">
        <v>17</v>
      </c>
      <c r="F6028" s="10">
        <v>22</v>
      </c>
      <c r="G6028" s="11">
        <v>7066413689</v>
      </c>
      <c r="H6028" s="10" t="s">
        <v>13127</v>
      </c>
      <c r="I6028" s="10" t="s">
        <v>27</v>
      </c>
      <c r="J6028" s="10" t="s">
        <v>13128</v>
      </c>
      <c r="K6028" s="12">
        <v>46266</v>
      </c>
      <c r="L6028" s="28" t="s">
        <v>11</v>
      </c>
      <c r="M6028" s="10"/>
      <c r="N6028" s="10" t="s">
        <v>1209</v>
      </c>
    </row>
    <row r="6029" spans="1:14" ht="22.5" customHeight="1">
      <c r="A6029" s="8">
        <v>46031.075347118051</v>
      </c>
      <c r="B6029" s="9" t="s">
        <v>14</v>
      </c>
      <c r="C6029" s="9" t="s">
        <v>15</v>
      </c>
      <c r="D6029" s="10" t="s">
        <v>13129</v>
      </c>
      <c r="E6029" s="9" t="s">
        <v>22</v>
      </c>
      <c r="F6029" s="10">
        <v>41</v>
      </c>
      <c r="G6029" s="11">
        <v>9050645697</v>
      </c>
      <c r="H6029" s="10" t="s">
        <v>3533</v>
      </c>
      <c r="I6029" s="10" t="s">
        <v>27</v>
      </c>
      <c r="J6029" s="10" t="s">
        <v>42</v>
      </c>
      <c r="K6029" s="12">
        <v>46030</v>
      </c>
      <c r="L6029" s="28" t="s">
        <v>11</v>
      </c>
      <c r="M6029" s="14"/>
      <c r="N6029" s="10" t="s">
        <v>1028</v>
      </c>
    </row>
    <row r="6030" spans="1:14" ht="22.5" customHeight="1">
      <c r="A6030" s="8">
        <v>46031.091584583337</v>
      </c>
      <c r="B6030" s="9" t="s">
        <v>14</v>
      </c>
      <c r="C6030" s="9" t="s">
        <v>15</v>
      </c>
      <c r="D6030" s="10" t="s">
        <v>13130</v>
      </c>
      <c r="E6030" s="9" t="s">
        <v>17</v>
      </c>
      <c r="F6030" s="10">
        <v>28</v>
      </c>
      <c r="G6030" s="11">
        <v>8109433196</v>
      </c>
      <c r="H6030" s="10" t="s">
        <v>13131</v>
      </c>
      <c r="I6030" s="10" t="s">
        <v>27</v>
      </c>
      <c r="J6030" s="10" t="s">
        <v>1949</v>
      </c>
      <c r="K6030" s="12">
        <v>46031</v>
      </c>
      <c r="L6030" s="28" t="s">
        <v>11</v>
      </c>
      <c r="M6030" s="14"/>
      <c r="N6030" s="10" t="s">
        <v>1096</v>
      </c>
    </row>
    <row r="6031" spans="1:14" ht="22.5" customHeight="1">
      <c r="A6031" s="8">
        <v>46031.097390891198</v>
      </c>
      <c r="B6031" s="9" t="s">
        <v>14</v>
      </c>
      <c r="C6031" s="9" t="s">
        <v>15</v>
      </c>
      <c r="D6031" s="10" t="s">
        <v>13132</v>
      </c>
      <c r="E6031" s="9" t="s">
        <v>22</v>
      </c>
      <c r="F6031" s="10">
        <v>27</v>
      </c>
      <c r="G6031" s="11">
        <v>9035029318</v>
      </c>
      <c r="H6031" s="10" t="s">
        <v>13133</v>
      </c>
      <c r="I6031" s="10" t="s">
        <v>19</v>
      </c>
      <c r="J6031" s="10" t="s">
        <v>13134</v>
      </c>
      <c r="K6031" s="12">
        <v>46031</v>
      </c>
      <c r="L6031" s="28" t="s">
        <v>11</v>
      </c>
      <c r="M6031" s="14"/>
      <c r="N6031" s="10" t="s">
        <v>1096</v>
      </c>
    </row>
    <row r="6032" spans="1:14" ht="22.5" customHeight="1">
      <c r="A6032" s="8">
        <v>46031.098703124997</v>
      </c>
      <c r="B6032" s="9" t="s">
        <v>14</v>
      </c>
      <c r="C6032" s="9" t="s">
        <v>15</v>
      </c>
      <c r="D6032" s="10" t="s">
        <v>13135</v>
      </c>
      <c r="E6032" s="9" t="s">
        <v>17</v>
      </c>
      <c r="F6032" s="10">
        <v>30</v>
      </c>
      <c r="G6032" s="11">
        <v>7039385173</v>
      </c>
      <c r="H6032" s="10" t="s">
        <v>13136</v>
      </c>
      <c r="I6032" s="10" t="s">
        <v>27</v>
      </c>
      <c r="J6032" s="10" t="s">
        <v>9623</v>
      </c>
      <c r="K6032" s="12">
        <v>46031</v>
      </c>
      <c r="L6032" s="28" t="s">
        <v>11</v>
      </c>
      <c r="M6032" s="14"/>
      <c r="N6032" s="10" t="s">
        <v>1096</v>
      </c>
    </row>
    <row r="6033" spans="1:14" ht="22.5" customHeight="1">
      <c r="A6033" s="8">
        <v>46031.102866701389</v>
      </c>
      <c r="B6033" s="9" t="s">
        <v>14</v>
      </c>
      <c r="C6033" s="9" t="s">
        <v>15</v>
      </c>
      <c r="D6033" s="10" t="s">
        <v>13137</v>
      </c>
      <c r="E6033" s="9" t="s">
        <v>17</v>
      </c>
      <c r="F6033" s="10">
        <v>31</v>
      </c>
      <c r="G6033" s="11">
        <v>8030603376</v>
      </c>
      <c r="H6033" s="10" t="s">
        <v>13138</v>
      </c>
      <c r="I6033" s="10" t="s">
        <v>27</v>
      </c>
      <c r="J6033" s="10" t="s">
        <v>28</v>
      </c>
      <c r="K6033" s="12">
        <v>46031</v>
      </c>
      <c r="L6033" s="28" t="s">
        <v>11</v>
      </c>
      <c r="M6033" s="14"/>
      <c r="N6033" s="10" t="s">
        <v>1028</v>
      </c>
    </row>
    <row r="6034" spans="1:14" ht="22.5" customHeight="1">
      <c r="A6034" s="8">
        <v>46031.10740572917</v>
      </c>
      <c r="B6034" s="9" t="s">
        <v>14</v>
      </c>
      <c r="C6034" s="9" t="s">
        <v>15</v>
      </c>
      <c r="D6034" s="10" t="s">
        <v>13139</v>
      </c>
      <c r="E6034" s="9" t="s">
        <v>22</v>
      </c>
      <c r="F6034" s="10">
        <v>36</v>
      </c>
      <c r="G6034" s="11">
        <v>7044144222</v>
      </c>
      <c r="H6034" s="10" t="s">
        <v>13140</v>
      </c>
      <c r="I6034" s="10" t="s">
        <v>27</v>
      </c>
      <c r="J6034" s="10" t="s">
        <v>13141</v>
      </c>
      <c r="K6034" s="12">
        <v>46031</v>
      </c>
      <c r="L6034" s="28" t="s">
        <v>11</v>
      </c>
      <c r="M6034" s="14"/>
      <c r="N6034" s="10" t="s">
        <v>1028</v>
      </c>
    </row>
    <row r="6035" spans="1:14" ht="22.5" customHeight="1">
      <c r="A6035" s="8">
        <v>46031.113297372685</v>
      </c>
      <c r="B6035" s="9" t="s">
        <v>14</v>
      </c>
      <c r="C6035" s="9" t="s">
        <v>15</v>
      </c>
      <c r="D6035" s="10" t="s">
        <v>13142</v>
      </c>
      <c r="E6035" s="9" t="s">
        <v>17</v>
      </c>
      <c r="F6035" s="10">
        <v>34</v>
      </c>
      <c r="G6035" s="11">
        <v>7063501514</v>
      </c>
      <c r="H6035" s="10" t="s">
        <v>13143</v>
      </c>
      <c r="I6035" s="10" t="s">
        <v>27</v>
      </c>
      <c r="J6035" s="10" t="s">
        <v>27</v>
      </c>
      <c r="K6035" s="12">
        <v>46031</v>
      </c>
      <c r="L6035" s="28" t="s">
        <v>11</v>
      </c>
      <c r="M6035" s="14"/>
      <c r="N6035" s="10" t="s">
        <v>1096</v>
      </c>
    </row>
    <row r="6036" spans="1:14" ht="22.5" customHeight="1">
      <c r="A6036" s="8">
        <v>46031.118097199069</v>
      </c>
      <c r="B6036" s="9" t="s">
        <v>14</v>
      </c>
      <c r="C6036" s="9" t="s">
        <v>15</v>
      </c>
      <c r="D6036" s="10" t="s">
        <v>13144</v>
      </c>
      <c r="E6036" s="9" t="s">
        <v>17</v>
      </c>
      <c r="F6036" s="10">
        <v>40</v>
      </c>
      <c r="G6036" s="11">
        <v>8034372424</v>
      </c>
      <c r="H6036" s="10" t="s">
        <v>13145</v>
      </c>
      <c r="I6036" s="10" t="s">
        <v>27</v>
      </c>
      <c r="J6036" s="10" t="s">
        <v>70</v>
      </c>
      <c r="K6036" s="12">
        <v>46031</v>
      </c>
      <c r="L6036" s="28" t="s">
        <v>11</v>
      </c>
      <c r="M6036" s="14"/>
      <c r="N6036" s="10" t="s">
        <v>1028</v>
      </c>
    </row>
    <row r="6037" spans="1:14" ht="22.5" customHeight="1">
      <c r="A6037" s="8">
        <v>46031.128530844908</v>
      </c>
      <c r="B6037" s="9" t="s">
        <v>14</v>
      </c>
      <c r="C6037" s="9" t="s">
        <v>15</v>
      </c>
      <c r="D6037" s="10" t="s">
        <v>13146</v>
      </c>
      <c r="E6037" s="9" t="s">
        <v>22</v>
      </c>
      <c r="F6037" s="10">
        <v>21</v>
      </c>
      <c r="G6037" s="11">
        <v>7025798939</v>
      </c>
      <c r="H6037" s="10" t="s">
        <v>13147</v>
      </c>
      <c r="I6037" s="10" t="s">
        <v>145</v>
      </c>
      <c r="J6037" s="10" t="s">
        <v>146</v>
      </c>
      <c r="K6037" s="12">
        <v>46031</v>
      </c>
      <c r="L6037" s="28" t="s">
        <v>11</v>
      </c>
      <c r="M6037" s="14"/>
      <c r="N6037" s="10" t="s">
        <v>1028</v>
      </c>
    </row>
    <row r="6038" spans="1:14" ht="22.5" customHeight="1">
      <c r="A6038" s="8">
        <v>46031.135844236109</v>
      </c>
      <c r="B6038" s="9" t="s">
        <v>14</v>
      </c>
      <c r="C6038" s="9" t="s">
        <v>15</v>
      </c>
      <c r="D6038" s="10" t="s">
        <v>13148</v>
      </c>
      <c r="E6038" s="9" t="s">
        <v>22</v>
      </c>
      <c r="F6038" s="10">
        <v>26</v>
      </c>
      <c r="G6038" s="11">
        <v>9029853114</v>
      </c>
      <c r="H6038" s="10" t="s">
        <v>13149</v>
      </c>
      <c r="I6038" s="10" t="s">
        <v>45</v>
      </c>
      <c r="J6038" s="10" t="s">
        <v>11632</v>
      </c>
      <c r="K6038" s="12">
        <v>46031</v>
      </c>
      <c r="L6038" s="28" t="s">
        <v>11</v>
      </c>
      <c r="M6038" s="14"/>
      <c r="N6038" s="10" t="s">
        <v>1028</v>
      </c>
    </row>
    <row r="6039" spans="1:14" ht="22.5" customHeight="1">
      <c r="A6039" s="8">
        <v>46031.13623491898</v>
      </c>
      <c r="B6039" s="9" t="s">
        <v>14</v>
      </c>
      <c r="C6039" s="9" t="s">
        <v>15</v>
      </c>
      <c r="D6039" s="10" t="s">
        <v>13150</v>
      </c>
      <c r="E6039" s="9" t="s">
        <v>17</v>
      </c>
      <c r="F6039" s="10">
        <v>27</v>
      </c>
      <c r="G6039" s="11">
        <v>8101023065</v>
      </c>
      <c r="H6039" s="10" t="s">
        <v>13151</v>
      </c>
      <c r="I6039" s="10" t="s">
        <v>49</v>
      </c>
      <c r="J6039" s="10" t="s">
        <v>73</v>
      </c>
      <c r="K6039" s="12">
        <v>46031</v>
      </c>
      <c r="L6039" s="28" t="s">
        <v>11</v>
      </c>
      <c r="M6039" s="14"/>
      <c r="N6039" s="10" t="s">
        <v>1096</v>
      </c>
    </row>
    <row r="6040" spans="1:14" ht="22.5" customHeight="1">
      <c r="A6040" s="8">
        <v>46031.136877395838</v>
      </c>
      <c r="B6040" s="9" t="s">
        <v>14</v>
      </c>
      <c r="C6040" s="9" t="s">
        <v>15</v>
      </c>
      <c r="D6040" s="10" t="s">
        <v>1330</v>
      </c>
      <c r="E6040" s="9" t="s">
        <v>22</v>
      </c>
      <c r="F6040" s="10">
        <v>30</v>
      </c>
      <c r="G6040" s="11">
        <v>8162227123</v>
      </c>
      <c r="H6040" s="10" t="s">
        <v>13152</v>
      </c>
      <c r="I6040" s="10" t="s">
        <v>27</v>
      </c>
      <c r="J6040" s="10" t="s">
        <v>172</v>
      </c>
      <c r="K6040" s="12">
        <v>46031</v>
      </c>
      <c r="L6040" s="28" t="s">
        <v>11</v>
      </c>
      <c r="M6040" s="14"/>
      <c r="N6040" s="10" t="s">
        <v>1096</v>
      </c>
    </row>
    <row r="6041" spans="1:14" ht="22.5" customHeight="1">
      <c r="A6041" s="8">
        <v>46031.174359363431</v>
      </c>
      <c r="B6041" s="9" t="s">
        <v>14</v>
      </c>
      <c r="C6041" s="9" t="s">
        <v>15</v>
      </c>
      <c r="D6041" s="10" t="s">
        <v>13153</v>
      </c>
      <c r="E6041" s="9" t="s">
        <v>22</v>
      </c>
      <c r="F6041" s="10">
        <v>26</v>
      </c>
      <c r="G6041" s="11">
        <v>8036788166</v>
      </c>
      <c r="H6041" s="10" t="s">
        <v>13154</v>
      </c>
      <c r="I6041" s="10" t="s">
        <v>145</v>
      </c>
      <c r="J6041" s="10" t="s">
        <v>4352</v>
      </c>
      <c r="K6041" s="12">
        <v>36169</v>
      </c>
      <c r="L6041" s="28" t="s">
        <v>11</v>
      </c>
      <c r="M6041" s="14"/>
      <c r="N6041" s="10" t="s">
        <v>1028</v>
      </c>
    </row>
    <row r="6042" spans="1:14" ht="22.5" customHeight="1">
      <c r="A6042" s="8">
        <v>46031.186787199069</v>
      </c>
      <c r="B6042" s="9" t="s">
        <v>14</v>
      </c>
      <c r="C6042" s="9" t="s">
        <v>15</v>
      </c>
      <c r="D6042" s="10" t="s">
        <v>13155</v>
      </c>
      <c r="E6042" s="9" t="s">
        <v>17</v>
      </c>
      <c r="F6042" s="10">
        <v>25</v>
      </c>
      <c r="G6042" s="11">
        <v>8037477100</v>
      </c>
      <c r="H6042" s="10" t="s">
        <v>13156</v>
      </c>
      <c r="I6042" s="10" t="s">
        <v>49</v>
      </c>
      <c r="J6042" s="10" t="s">
        <v>362</v>
      </c>
      <c r="K6042" s="12">
        <v>46031</v>
      </c>
      <c r="L6042" s="28" t="s">
        <v>11</v>
      </c>
      <c r="M6042" s="14"/>
      <c r="N6042" s="10" t="s">
        <v>1028</v>
      </c>
    </row>
    <row r="6043" spans="1:14" ht="22.5" customHeight="1">
      <c r="A6043" s="8">
        <v>46031.191697013885</v>
      </c>
      <c r="B6043" s="9" t="s">
        <v>14</v>
      </c>
      <c r="C6043" s="9" t="s">
        <v>15</v>
      </c>
      <c r="D6043" s="10" t="s">
        <v>13157</v>
      </c>
      <c r="E6043" s="9" t="s">
        <v>17</v>
      </c>
      <c r="F6043" s="10">
        <v>34</v>
      </c>
      <c r="G6043" s="11">
        <v>8158183815</v>
      </c>
      <c r="H6043" s="10" t="s">
        <v>13158</v>
      </c>
      <c r="I6043" s="10" t="s">
        <v>45</v>
      </c>
      <c r="J6043" s="10" t="s">
        <v>46</v>
      </c>
      <c r="K6043" s="12">
        <v>46031</v>
      </c>
      <c r="L6043" s="28" t="s">
        <v>11</v>
      </c>
      <c r="M6043" s="14"/>
      <c r="N6043" s="10" t="s">
        <v>1096</v>
      </c>
    </row>
    <row r="6044" spans="1:14" ht="22.5" customHeight="1">
      <c r="A6044" s="8">
        <v>46031.203540000002</v>
      </c>
      <c r="B6044" s="9" t="s">
        <v>14</v>
      </c>
      <c r="C6044" s="9" t="s">
        <v>15</v>
      </c>
      <c r="D6044" s="10" t="s">
        <v>8248</v>
      </c>
      <c r="E6044" s="9" t="s">
        <v>17</v>
      </c>
      <c r="F6044" s="10">
        <v>34</v>
      </c>
      <c r="G6044" s="11">
        <v>8166188614</v>
      </c>
      <c r="H6044" s="10" t="s">
        <v>8249</v>
      </c>
      <c r="I6044" s="10" t="s">
        <v>27</v>
      </c>
      <c r="J6044" s="10" t="s">
        <v>1456</v>
      </c>
      <c r="K6044" s="12">
        <v>46031</v>
      </c>
      <c r="L6044" s="28" t="s">
        <v>11</v>
      </c>
      <c r="M6044" s="14"/>
      <c r="N6044" s="10" t="s">
        <v>1028</v>
      </c>
    </row>
    <row r="6045" spans="1:14" ht="22.5" customHeight="1">
      <c r="A6045" s="8">
        <v>46031.217246863423</v>
      </c>
      <c r="B6045" s="9" t="s">
        <v>14</v>
      </c>
      <c r="C6045" s="9" t="s">
        <v>15</v>
      </c>
      <c r="D6045" s="10" t="s">
        <v>13159</v>
      </c>
      <c r="E6045" s="9" t="s">
        <v>17</v>
      </c>
      <c r="F6045" s="10">
        <v>27</v>
      </c>
      <c r="G6045" s="11">
        <v>9078133630</v>
      </c>
      <c r="H6045" s="10" t="s">
        <v>13160</v>
      </c>
      <c r="I6045" s="10" t="s">
        <v>19</v>
      </c>
      <c r="J6045" s="10" t="s">
        <v>812</v>
      </c>
      <c r="K6045" s="12">
        <v>46031</v>
      </c>
      <c r="L6045" s="28" t="s">
        <v>11</v>
      </c>
      <c r="M6045" s="14"/>
      <c r="N6045" s="10" t="s">
        <v>1028</v>
      </c>
    </row>
    <row r="6046" spans="1:14" ht="22.5" customHeight="1">
      <c r="A6046" s="8">
        <v>46031.228233437505</v>
      </c>
      <c r="B6046" s="9" t="s">
        <v>14</v>
      </c>
      <c r="C6046" s="9" t="s">
        <v>15</v>
      </c>
      <c r="D6046" s="10" t="s">
        <v>13161</v>
      </c>
      <c r="E6046" s="9" t="s">
        <v>17</v>
      </c>
      <c r="F6046" s="10">
        <v>29</v>
      </c>
      <c r="G6046" s="11">
        <v>8167668942</v>
      </c>
      <c r="H6046" s="10" t="s">
        <v>13162</v>
      </c>
      <c r="I6046" s="10" t="s">
        <v>27</v>
      </c>
      <c r="J6046" s="10" t="s">
        <v>1559</v>
      </c>
      <c r="K6046" s="12">
        <v>46031</v>
      </c>
      <c r="L6046" s="28" t="s">
        <v>11</v>
      </c>
      <c r="M6046" s="14"/>
      <c r="N6046" s="10" t="s">
        <v>1035</v>
      </c>
    </row>
    <row r="6047" spans="1:14" ht="22.5" hidden="1" customHeight="1">
      <c r="A6047" s="8">
        <v>46031.231120405093</v>
      </c>
      <c r="B6047" s="9" t="s">
        <v>14</v>
      </c>
      <c r="C6047" s="9" t="s">
        <v>15</v>
      </c>
      <c r="D6047" s="10" t="s">
        <v>13163</v>
      </c>
      <c r="E6047" s="9" t="s">
        <v>17</v>
      </c>
      <c r="F6047" s="10">
        <v>27</v>
      </c>
      <c r="G6047" s="11">
        <v>9079134526</v>
      </c>
      <c r="H6047" s="10" t="s">
        <v>13164</v>
      </c>
      <c r="I6047" s="10" t="s">
        <v>45</v>
      </c>
      <c r="J6047" s="10" t="s">
        <v>932</v>
      </c>
      <c r="K6047" s="12">
        <v>46031</v>
      </c>
      <c r="L6047" s="10" t="s">
        <v>441</v>
      </c>
      <c r="M6047" s="10" t="s">
        <v>1827</v>
      </c>
      <c r="N6047" s="10" t="s">
        <v>1028</v>
      </c>
    </row>
    <row r="6048" spans="1:14" ht="22.5" customHeight="1">
      <c r="A6048" s="8">
        <v>46031.23233431713</v>
      </c>
      <c r="B6048" s="9" t="s">
        <v>14</v>
      </c>
      <c r="C6048" s="9" t="s">
        <v>15</v>
      </c>
      <c r="D6048" s="10" t="s">
        <v>13165</v>
      </c>
      <c r="E6048" s="9" t="s">
        <v>17</v>
      </c>
      <c r="F6048" s="10">
        <v>25</v>
      </c>
      <c r="G6048" s="11">
        <v>8137968913</v>
      </c>
      <c r="H6048" s="10" t="s">
        <v>13166</v>
      </c>
      <c r="I6048" s="10" t="s">
        <v>145</v>
      </c>
      <c r="J6048" s="10" t="s">
        <v>13167</v>
      </c>
      <c r="K6048" s="12">
        <v>46031</v>
      </c>
      <c r="L6048" s="28" t="s">
        <v>11</v>
      </c>
      <c r="M6048" s="14"/>
      <c r="N6048" s="10" t="s">
        <v>1096</v>
      </c>
    </row>
    <row r="6049" spans="1:14" ht="22.5" customHeight="1">
      <c r="A6049" s="8">
        <v>46031.238849224537</v>
      </c>
      <c r="B6049" s="9" t="s">
        <v>14</v>
      </c>
      <c r="C6049" s="9" t="s">
        <v>15</v>
      </c>
      <c r="D6049" s="10" t="s">
        <v>13168</v>
      </c>
      <c r="E6049" s="9" t="s">
        <v>22</v>
      </c>
      <c r="F6049" s="10">
        <v>35</v>
      </c>
      <c r="G6049" s="11">
        <v>7039274127</v>
      </c>
      <c r="H6049" s="10" t="s">
        <v>13169</v>
      </c>
      <c r="I6049" s="10" t="s">
        <v>19</v>
      </c>
      <c r="J6049" s="10" t="s">
        <v>5064</v>
      </c>
      <c r="K6049" s="12">
        <v>46031</v>
      </c>
      <c r="L6049" s="28" t="s">
        <v>11</v>
      </c>
      <c r="M6049" s="14"/>
      <c r="N6049" s="10" t="s">
        <v>1028</v>
      </c>
    </row>
    <row r="6050" spans="1:14" ht="22.5" customHeight="1">
      <c r="A6050" s="8">
        <v>46031.240458518514</v>
      </c>
      <c r="B6050" s="9" t="s">
        <v>14</v>
      </c>
      <c r="C6050" s="9" t="s">
        <v>15</v>
      </c>
      <c r="D6050" s="10" t="s">
        <v>13170</v>
      </c>
      <c r="E6050" s="9" t="s">
        <v>17</v>
      </c>
      <c r="F6050" s="10">
        <v>43</v>
      </c>
      <c r="G6050" s="11">
        <v>8030680168</v>
      </c>
      <c r="H6050" s="10" t="s">
        <v>13171</v>
      </c>
      <c r="I6050" s="10" t="s">
        <v>27</v>
      </c>
      <c r="J6050" s="10" t="s">
        <v>1456</v>
      </c>
      <c r="K6050" s="12">
        <v>46031</v>
      </c>
      <c r="L6050" s="28" t="s">
        <v>11</v>
      </c>
      <c r="M6050" s="14"/>
      <c r="N6050" s="10" t="s">
        <v>1096</v>
      </c>
    </row>
    <row r="6051" spans="1:14" ht="22.5" customHeight="1">
      <c r="A6051" s="8">
        <v>46031.243907870376</v>
      </c>
      <c r="B6051" s="9" t="s">
        <v>14</v>
      </c>
      <c r="C6051" s="9" t="s">
        <v>15</v>
      </c>
      <c r="D6051" s="10" t="s">
        <v>13172</v>
      </c>
      <c r="E6051" s="9" t="s">
        <v>17</v>
      </c>
      <c r="F6051" s="10">
        <v>35</v>
      </c>
      <c r="G6051" s="11">
        <v>8087541327</v>
      </c>
      <c r="H6051" s="10" t="s">
        <v>13173</v>
      </c>
      <c r="I6051" s="10" t="s">
        <v>145</v>
      </c>
      <c r="J6051" s="10" t="s">
        <v>10276</v>
      </c>
      <c r="K6051" s="12">
        <v>46031</v>
      </c>
      <c r="L6051" s="28" t="s">
        <v>11</v>
      </c>
      <c r="M6051" s="14"/>
      <c r="N6051" s="10" t="s">
        <v>1028</v>
      </c>
    </row>
    <row r="6052" spans="1:14" ht="22.5" customHeight="1">
      <c r="A6052" s="8">
        <v>46031.245706666668</v>
      </c>
      <c r="B6052" s="9" t="s">
        <v>14</v>
      </c>
      <c r="C6052" s="9" t="s">
        <v>15</v>
      </c>
      <c r="D6052" s="10" t="s">
        <v>13174</v>
      </c>
      <c r="E6052" s="9" t="s">
        <v>22</v>
      </c>
      <c r="F6052" s="10">
        <v>23</v>
      </c>
      <c r="G6052" s="11">
        <v>9036110129</v>
      </c>
      <c r="H6052" s="10" t="s">
        <v>13175</v>
      </c>
      <c r="I6052" s="10" t="s">
        <v>145</v>
      </c>
      <c r="J6052" s="10" t="s">
        <v>4100</v>
      </c>
      <c r="K6052" s="12">
        <v>46031</v>
      </c>
      <c r="L6052" s="28" t="s">
        <v>11</v>
      </c>
      <c r="M6052" s="14"/>
      <c r="N6052" s="10" t="s">
        <v>1028</v>
      </c>
    </row>
    <row r="6053" spans="1:14" ht="22.5" customHeight="1">
      <c r="A6053" s="8">
        <v>46031.248603368054</v>
      </c>
      <c r="B6053" s="9" t="s">
        <v>14</v>
      </c>
      <c r="C6053" s="9" t="s">
        <v>15</v>
      </c>
      <c r="D6053" s="10" t="s">
        <v>13176</v>
      </c>
      <c r="E6053" s="9" t="s">
        <v>22</v>
      </c>
      <c r="F6053" s="10">
        <v>27</v>
      </c>
      <c r="G6053" s="11">
        <v>8035423968</v>
      </c>
      <c r="H6053" s="10" t="s">
        <v>13177</v>
      </c>
      <c r="I6053" s="10" t="s">
        <v>202</v>
      </c>
      <c r="J6053" s="10" t="s">
        <v>13178</v>
      </c>
      <c r="K6053" s="12">
        <v>46031</v>
      </c>
      <c r="L6053" s="28" t="s">
        <v>11</v>
      </c>
      <c r="M6053" s="14"/>
      <c r="N6053" s="10" t="s">
        <v>1028</v>
      </c>
    </row>
    <row r="6054" spans="1:14" ht="22.5" customHeight="1">
      <c r="A6054" s="8">
        <v>46031.253203310189</v>
      </c>
      <c r="B6054" s="9" t="s">
        <v>14</v>
      </c>
      <c r="C6054" s="9" t="s">
        <v>15</v>
      </c>
      <c r="D6054" s="10" t="s">
        <v>13179</v>
      </c>
      <c r="E6054" s="9" t="s">
        <v>22</v>
      </c>
      <c r="F6054" s="10">
        <v>33</v>
      </c>
      <c r="G6054" s="11">
        <v>9021836983</v>
      </c>
      <c r="H6054" s="10" t="s">
        <v>13180</v>
      </c>
      <c r="I6054" s="10" t="s">
        <v>27</v>
      </c>
      <c r="J6054" s="10" t="s">
        <v>5189</v>
      </c>
      <c r="K6054" s="12">
        <v>46031</v>
      </c>
      <c r="L6054" s="28" t="s">
        <v>11</v>
      </c>
      <c r="M6054" s="14"/>
      <c r="N6054" s="10" t="s">
        <v>1028</v>
      </c>
    </row>
    <row r="6055" spans="1:14" ht="22.5" customHeight="1">
      <c r="A6055" s="8">
        <v>46031.254481967597</v>
      </c>
      <c r="B6055" s="9" t="s">
        <v>14</v>
      </c>
      <c r="C6055" s="9" t="s">
        <v>15</v>
      </c>
      <c r="D6055" s="10" t="s">
        <v>13181</v>
      </c>
      <c r="E6055" s="9" t="s">
        <v>22</v>
      </c>
      <c r="F6055" s="10">
        <v>34</v>
      </c>
      <c r="G6055" s="11">
        <v>8038895432</v>
      </c>
      <c r="H6055" s="10" t="s">
        <v>13182</v>
      </c>
      <c r="I6055" s="10" t="s">
        <v>19</v>
      </c>
      <c r="J6055" s="10" t="s">
        <v>3466</v>
      </c>
      <c r="K6055" s="12">
        <v>46031</v>
      </c>
      <c r="L6055" s="28" t="s">
        <v>11</v>
      </c>
      <c r="M6055" s="10"/>
      <c r="N6055" s="10" t="s">
        <v>1028</v>
      </c>
    </row>
    <row r="6056" spans="1:14" ht="22.5" customHeight="1">
      <c r="A6056" s="8">
        <v>46031.269002337962</v>
      </c>
      <c r="B6056" s="9" t="s">
        <v>14</v>
      </c>
      <c r="C6056" s="9" t="s">
        <v>15</v>
      </c>
      <c r="D6056" s="10" t="s">
        <v>13183</v>
      </c>
      <c r="E6056" s="9" t="s">
        <v>22</v>
      </c>
      <c r="F6056" s="10">
        <v>30</v>
      </c>
      <c r="G6056" s="11">
        <v>8142275796</v>
      </c>
      <c r="H6056" s="10" t="s">
        <v>13184</v>
      </c>
      <c r="I6056" s="10" t="s">
        <v>49</v>
      </c>
      <c r="J6056" s="10" t="s">
        <v>73</v>
      </c>
      <c r="K6056" s="12">
        <v>46031</v>
      </c>
      <c r="L6056" s="28" t="s">
        <v>11</v>
      </c>
      <c r="M6056" s="14"/>
      <c r="N6056" s="10" t="s">
        <v>1096</v>
      </c>
    </row>
    <row r="6057" spans="1:14" ht="22.5" customHeight="1">
      <c r="A6057" s="8">
        <v>46031.282944849532</v>
      </c>
      <c r="B6057" s="9" t="s">
        <v>14</v>
      </c>
      <c r="C6057" s="9" t="s">
        <v>15</v>
      </c>
      <c r="D6057" s="10" t="s">
        <v>5602</v>
      </c>
      <c r="E6057" s="9" t="s">
        <v>17</v>
      </c>
      <c r="F6057" s="10">
        <v>30</v>
      </c>
      <c r="G6057" s="11">
        <v>8102756078</v>
      </c>
      <c r="H6057" s="10" t="s">
        <v>13185</v>
      </c>
      <c r="I6057" s="10" t="s">
        <v>27</v>
      </c>
      <c r="J6057" s="10" t="s">
        <v>53</v>
      </c>
      <c r="K6057" s="12">
        <v>46031</v>
      </c>
      <c r="L6057" s="28" t="s">
        <v>11</v>
      </c>
      <c r="M6057" s="14"/>
      <c r="N6057" s="10" t="s">
        <v>1028</v>
      </c>
    </row>
    <row r="6058" spans="1:14" ht="22.5" customHeight="1">
      <c r="A6058" s="8">
        <v>46031.283317777779</v>
      </c>
      <c r="B6058" s="9" t="s">
        <v>14</v>
      </c>
      <c r="C6058" s="9" t="s">
        <v>15</v>
      </c>
      <c r="D6058" s="10" t="s">
        <v>13186</v>
      </c>
      <c r="E6058" s="9" t="s">
        <v>17</v>
      </c>
      <c r="F6058" s="10">
        <v>35</v>
      </c>
      <c r="G6058" s="11">
        <v>8066081928</v>
      </c>
      <c r="H6058" s="10" t="s">
        <v>13187</v>
      </c>
      <c r="I6058" s="10" t="s">
        <v>27</v>
      </c>
      <c r="J6058" s="10" t="s">
        <v>3305</v>
      </c>
      <c r="K6058" s="12">
        <v>46031</v>
      </c>
      <c r="L6058" s="28" t="s">
        <v>11</v>
      </c>
      <c r="M6058" s="14"/>
      <c r="N6058" s="10" t="s">
        <v>1028</v>
      </c>
    </row>
    <row r="6059" spans="1:14" ht="22.5" customHeight="1">
      <c r="A6059" s="8">
        <v>46031.285184953704</v>
      </c>
      <c r="B6059" s="9" t="s">
        <v>14</v>
      </c>
      <c r="C6059" s="9" t="s">
        <v>15</v>
      </c>
      <c r="D6059" s="10" t="s">
        <v>13188</v>
      </c>
      <c r="E6059" s="9" t="s">
        <v>22</v>
      </c>
      <c r="F6059" s="10">
        <v>26</v>
      </c>
      <c r="G6059" s="11">
        <v>7065251121</v>
      </c>
      <c r="H6059" s="10" t="s">
        <v>13189</v>
      </c>
      <c r="I6059" s="10" t="s">
        <v>27</v>
      </c>
      <c r="J6059" s="10" t="s">
        <v>1456</v>
      </c>
      <c r="K6059" s="12">
        <v>46031</v>
      </c>
      <c r="L6059" s="28" t="s">
        <v>11</v>
      </c>
      <c r="M6059" s="10"/>
      <c r="N6059" s="10" t="s">
        <v>1028</v>
      </c>
    </row>
    <row r="6060" spans="1:14" ht="22.5" customHeight="1">
      <c r="A6060" s="8">
        <v>46031.285940729169</v>
      </c>
      <c r="B6060" s="9" t="s">
        <v>14</v>
      </c>
      <c r="C6060" s="9" t="s">
        <v>15</v>
      </c>
      <c r="D6060" s="10" t="s">
        <v>13190</v>
      </c>
      <c r="E6060" s="9" t="s">
        <v>17</v>
      </c>
      <c r="F6060" s="10">
        <v>35</v>
      </c>
      <c r="G6060" s="11">
        <v>8132320953</v>
      </c>
      <c r="H6060" s="10" t="s">
        <v>13191</v>
      </c>
      <c r="I6060" s="10" t="s">
        <v>19</v>
      </c>
      <c r="J6060" s="10" t="s">
        <v>13192</v>
      </c>
      <c r="K6060" s="12">
        <v>46031</v>
      </c>
      <c r="L6060" s="28" t="s">
        <v>11</v>
      </c>
      <c r="M6060" s="14"/>
      <c r="N6060" s="10" t="s">
        <v>1028</v>
      </c>
    </row>
    <row r="6061" spans="1:14" ht="22.5" customHeight="1">
      <c r="A6061" s="8">
        <v>46031.291225266206</v>
      </c>
      <c r="B6061" s="9" t="s">
        <v>14</v>
      </c>
      <c r="C6061" s="9" t="s">
        <v>15</v>
      </c>
      <c r="D6061" s="10" t="s">
        <v>13193</v>
      </c>
      <c r="E6061" s="9" t="s">
        <v>17</v>
      </c>
      <c r="F6061" s="10">
        <v>29</v>
      </c>
      <c r="G6061" s="11">
        <v>7037477157</v>
      </c>
      <c r="H6061" s="10" t="s">
        <v>13194</v>
      </c>
      <c r="I6061" s="10" t="s">
        <v>49</v>
      </c>
      <c r="J6061" s="10" t="s">
        <v>106</v>
      </c>
      <c r="K6061" s="12">
        <v>46031</v>
      </c>
      <c r="L6061" s="28" t="s">
        <v>11</v>
      </c>
      <c r="M6061" s="14"/>
      <c r="N6061" s="10" t="s">
        <v>1028</v>
      </c>
    </row>
    <row r="6062" spans="1:14" ht="22.5" customHeight="1">
      <c r="A6062" s="8">
        <v>46031.295949432868</v>
      </c>
      <c r="B6062" s="9" t="s">
        <v>14</v>
      </c>
      <c r="C6062" s="9" t="s">
        <v>15</v>
      </c>
      <c r="D6062" s="10" t="s">
        <v>5418</v>
      </c>
      <c r="E6062" s="9" t="s">
        <v>17</v>
      </c>
      <c r="F6062" s="10">
        <v>30</v>
      </c>
      <c r="G6062" s="11">
        <v>7039086911</v>
      </c>
      <c r="H6062" s="10" t="s">
        <v>13195</v>
      </c>
      <c r="I6062" s="10" t="s">
        <v>27</v>
      </c>
      <c r="J6062" s="10" t="s">
        <v>13196</v>
      </c>
      <c r="K6062" s="12">
        <v>34805</v>
      </c>
      <c r="L6062" s="28" t="s">
        <v>11</v>
      </c>
      <c r="M6062" s="14"/>
      <c r="N6062" s="10" t="s">
        <v>1028</v>
      </c>
    </row>
    <row r="6063" spans="1:14" ht="22.5" customHeight="1">
      <c r="A6063" s="8">
        <v>46031.2961234838</v>
      </c>
      <c r="B6063" s="9" t="s">
        <v>14</v>
      </c>
      <c r="C6063" s="9" t="s">
        <v>15</v>
      </c>
      <c r="D6063" s="10" t="s">
        <v>13197</v>
      </c>
      <c r="E6063" s="9" t="s">
        <v>22</v>
      </c>
      <c r="F6063" s="10">
        <v>34</v>
      </c>
      <c r="G6063" s="11">
        <v>9058549437</v>
      </c>
      <c r="H6063" s="10" t="s">
        <v>13198</v>
      </c>
      <c r="I6063" s="10" t="s">
        <v>145</v>
      </c>
      <c r="J6063" s="10" t="s">
        <v>4100</v>
      </c>
      <c r="K6063" s="12">
        <v>46031</v>
      </c>
      <c r="L6063" s="28" t="s">
        <v>11</v>
      </c>
      <c r="M6063" s="14"/>
      <c r="N6063" s="10" t="s">
        <v>1028</v>
      </c>
    </row>
    <row r="6064" spans="1:14" ht="22.5" customHeight="1">
      <c r="A6064" s="8">
        <v>46031.299935462965</v>
      </c>
      <c r="B6064" s="9" t="s">
        <v>14</v>
      </c>
      <c r="C6064" s="9" t="s">
        <v>15</v>
      </c>
      <c r="D6064" s="10" t="s">
        <v>13199</v>
      </c>
      <c r="E6064" s="9" t="s">
        <v>17</v>
      </c>
      <c r="F6064" s="10">
        <v>38</v>
      </c>
      <c r="G6064" s="11">
        <v>8031342728</v>
      </c>
      <c r="H6064" s="10" t="s">
        <v>13200</v>
      </c>
      <c r="I6064" s="10" t="s">
        <v>27</v>
      </c>
      <c r="J6064" s="10" t="s">
        <v>2258</v>
      </c>
      <c r="K6064" s="12">
        <v>46031</v>
      </c>
      <c r="L6064" s="28" t="s">
        <v>11</v>
      </c>
      <c r="M6064" s="14"/>
      <c r="N6064" s="10" t="s">
        <v>1096</v>
      </c>
    </row>
    <row r="6065" spans="1:14" ht="22.5" customHeight="1">
      <c r="A6065" s="8">
        <v>46031.3007946875</v>
      </c>
      <c r="B6065" s="9" t="s">
        <v>14</v>
      </c>
      <c r="C6065" s="9" t="s">
        <v>15</v>
      </c>
      <c r="D6065" s="10" t="s">
        <v>13201</v>
      </c>
      <c r="E6065" s="9" t="s">
        <v>22</v>
      </c>
      <c r="F6065" s="10">
        <v>26</v>
      </c>
      <c r="G6065" s="11">
        <v>8144042269</v>
      </c>
      <c r="H6065" s="10" t="s">
        <v>13202</v>
      </c>
      <c r="I6065" s="10" t="s">
        <v>19</v>
      </c>
      <c r="J6065" s="10" t="s">
        <v>1228</v>
      </c>
      <c r="K6065" s="12">
        <v>46031</v>
      </c>
      <c r="L6065" s="28" t="s">
        <v>11</v>
      </c>
      <c r="M6065" s="14"/>
      <c r="N6065" s="10" t="s">
        <v>1096</v>
      </c>
    </row>
    <row r="6066" spans="1:14" ht="22.5" customHeight="1">
      <c r="A6066" s="8">
        <v>46031.303104097227</v>
      </c>
      <c r="B6066" s="9" t="s">
        <v>14</v>
      </c>
      <c r="C6066" s="9" t="s">
        <v>15</v>
      </c>
      <c r="D6066" s="10" t="s">
        <v>13203</v>
      </c>
      <c r="E6066" s="9" t="s">
        <v>17</v>
      </c>
      <c r="F6066" s="10">
        <v>35</v>
      </c>
      <c r="G6066" s="11">
        <v>8109992452</v>
      </c>
      <c r="H6066" s="10" t="s">
        <v>13204</v>
      </c>
      <c r="I6066" s="10" t="s">
        <v>145</v>
      </c>
      <c r="J6066" s="10" t="s">
        <v>4100</v>
      </c>
      <c r="K6066" s="12">
        <v>46031</v>
      </c>
      <c r="L6066" s="28" t="s">
        <v>11</v>
      </c>
      <c r="M6066" s="14"/>
      <c r="N6066" s="10" t="s">
        <v>1096</v>
      </c>
    </row>
    <row r="6067" spans="1:14" ht="22.5" customHeight="1">
      <c r="A6067" s="8">
        <v>46031.304276354167</v>
      </c>
      <c r="B6067" s="9" t="s">
        <v>14</v>
      </c>
      <c r="C6067" s="9" t="s">
        <v>15</v>
      </c>
      <c r="D6067" s="10" t="s">
        <v>13205</v>
      </c>
      <c r="E6067" s="9" t="s">
        <v>17</v>
      </c>
      <c r="F6067" s="10">
        <v>28</v>
      </c>
      <c r="G6067" s="11">
        <v>8143612982</v>
      </c>
      <c r="H6067" s="10" t="s">
        <v>13206</v>
      </c>
      <c r="I6067" s="10" t="s">
        <v>27</v>
      </c>
      <c r="J6067" s="10" t="s">
        <v>372</v>
      </c>
      <c r="K6067" s="12">
        <v>46031</v>
      </c>
      <c r="L6067" s="28" t="s">
        <v>11</v>
      </c>
      <c r="M6067" s="14"/>
      <c r="N6067" s="10" t="s">
        <v>1035</v>
      </c>
    </row>
    <row r="6068" spans="1:14" ht="22.5" customHeight="1">
      <c r="A6068" s="8">
        <v>46031.305041215281</v>
      </c>
      <c r="B6068" s="9" t="s">
        <v>14</v>
      </c>
      <c r="C6068" s="9" t="s">
        <v>15</v>
      </c>
      <c r="D6068" s="10" t="s">
        <v>13207</v>
      </c>
      <c r="E6068" s="9" t="s">
        <v>17</v>
      </c>
      <c r="F6068" s="10">
        <v>28</v>
      </c>
      <c r="G6068" s="11">
        <v>8109836075</v>
      </c>
      <c r="H6068" s="10" t="s">
        <v>13208</v>
      </c>
      <c r="I6068" s="10" t="s">
        <v>202</v>
      </c>
      <c r="J6068" s="10" t="s">
        <v>4020</v>
      </c>
      <c r="K6068" s="12">
        <v>46031</v>
      </c>
      <c r="L6068" s="28" t="s">
        <v>11</v>
      </c>
      <c r="M6068" s="14"/>
      <c r="N6068" s="10" t="s">
        <v>1028</v>
      </c>
    </row>
    <row r="6069" spans="1:14" ht="22.5" hidden="1" customHeight="1">
      <c r="A6069" s="8">
        <v>46031.306970578706</v>
      </c>
      <c r="B6069" s="9" t="s">
        <v>14</v>
      </c>
      <c r="C6069" s="9" t="s">
        <v>15</v>
      </c>
      <c r="D6069" s="10" t="s">
        <v>13209</v>
      </c>
      <c r="E6069" s="9" t="s">
        <v>17</v>
      </c>
      <c r="F6069" s="10">
        <v>27</v>
      </c>
      <c r="G6069" s="11">
        <v>768025476</v>
      </c>
      <c r="H6069" s="10" t="s">
        <v>13210</v>
      </c>
      <c r="I6069" s="10" t="s">
        <v>27</v>
      </c>
      <c r="J6069" s="10" t="s">
        <v>7050</v>
      </c>
      <c r="K6069" s="12">
        <v>46031</v>
      </c>
      <c r="L6069" s="10" t="s">
        <v>441</v>
      </c>
      <c r="M6069" s="10" t="s">
        <v>1161</v>
      </c>
      <c r="N6069" s="10" t="s">
        <v>1028</v>
      </c>
    </row>
    <row r="6070" spans="1:14" ht="22.5" customHeight="1">
      <c r="A6070" s="8">
        <v>46031.308778321763</v>
      </c>
      <c r="B6070" s="9" t="s">
        <v>14</v>
      </c>
      <c r="C6070" s="9" t="s">
        <v>15</v>
      </c>
      <c r="D6070" s="10" t="s">
        <v>13211</v>
      </c>
      <c r="E6070" s="9" t="s">
        <v>17</v>
      </c>
      <c r="F6070" s="10">
        <v>20</v>
      </c>
      <c r="G6070" s="11">
        <v>2347049700884</v>
      </c>
      <c r="H6070" s="10" t="s">
        <v>13212</v>
      </c>
      <c r="I6070" s="10" t="s">
        <v>19</v>
      </c>
      <c r="J6070" s="10" t="s">
        <v>812</v>
      </c>
      <c r="K6070" s="12">
        <v>46031</v>
      </c>
      <c r="L6070" s="28" t="s">
        <v>11</v>
      </c>
      <c r="M6070" s="14"/>
      <c r="N6070" s="10" t="s">
        <v>1028</v>
      </c>
    </row>
    <row r="6071" spans="1:14" ht="22.5" customHeight="1">
      <c r="A6071" s="8">
        <v>46031.310925902777</v>
      </c>
      <c r="B6071" s="9" t="s">
        <v>14</v>
      </c>
      <c r="C6071" s="9" t="s">
        <v>15</v>
      </c>
      <c r="D6071" s="10" t="s">
        <v>13213</v>
      </c>
      <c r="E6071" s="9" t="s">
        <v>17</v>
      </c>
      <c r="F6071" s="10">
        <v>32</v>
      </c>
      <c r="G6071" s="11">
        <v>8080424292</v>
      </c>
      <c r="H6071" s="10" t="s">
        <v>13214</v>
      </c>
      <c r="I6071" s="10" t="s">
        <v>19</v>
      </c>
      <c r="J6071" s="10" t="s">
        <v>13215</v>
      </c>
      <c r="K6071" s="12">
        <v>46031</v>
      </c>
      <c r="L6071" s="28" t="s">
        <v>11</v>
      </c>
      <c r="M6071" s="14"/>
      <c r="N6071" s="10" t="s">
        <v>1096</v>
      </c>
    </row>
    <row r="6072" spans="1:14" ht="22.5" customHeight="1">
      <c r="A6072" s="8">
        <v>46031.312069699074</v>
      </c>
      <c r="B6072" s="9" t="s">
        <v>14</v>
      </c>
      <c r="C6072" s="9" t="s">
        <v>15</v>
      </c>
      <c r="D6072" s="10" t="s">
        <v>13216</v>
      </c>
      <c r="E6072" s="9" t="s">
        <v>17</v>
      </c>
      <c r="F6072" s="10">
        <v>30</v>
      </c>
      <c r="G6072" s="11">
        <f>2349074575444</f>
        <v>2349074575444</v>
      </c>
      <c r="H6072" s="10" t="s">
        <v>13217</v>
      </c>
      <c r="I6072" s="10" t="s">
        <v>19</v>
      </c>
      <c r="J6072" s="10" t="s">
        <v>13218</v>
      </c>
      <c r="K6072" s="12">
        <v>46031</v>
      </c>
      <c r="L6072" s="28" t="s">
        <v>11</v>
      </c>
      <c r="M6072" s="14"/>
      <c r="N6072" s="10" t="s">
        <v>1028</v>
      </c>
    </row>
    <row r="6073" spans="1:14" ht="22.5" customHeight="1">
      <c r="A6073" s="8">
        <v>46031.312853043986</v>
      </c>
      <c r="B6073" s="9" t="s">
        <v>14</v>
      </c>
      <c r="C6073" s="9" t="s">
        <v>15</v>
      </c>
      <c r="D6073" s="10" t="s">
        <v>13219</v>
      </c>
      <c r="E6073" s="9" t="s">
        <v>17</v>
      </c>
      <c r="F6073" s="10">
        <v>28</v>
      </c>
      <c r="G6073" s="11">
        <v>8137575373</v>
      </c>
      <c r="H6073" s="10" t="s">
        <v>13220</v>
      </c>
      <c r="I6073" s="10" t="s">
        <v>145</v>
      </c>
      <c r="J6073" s="10" t="s">
        <v>7435</v>
      </c>
      <c r="K6073" s="12">
        <v>35598</v>
      </c>
      <c r="L6073" s="28" t="s">
        <v>11</v>
      </c>
      <c r="M6073" s="14"/>
      <c r="N6073" s="10" t="s">
        <v>1028</v>
      </c>
    </row>
    <row r="6074" spans="1:14" ht="22.5" customHeight="1">
      <c r="A6074" s="8">
        <v>46031.313456562501</v>
      </c>
      <c r="B6074" s="9" t="s">
        <v>14</v>
      </c>
      <c r="C6074" s="9" t="s">
        <v>15</v>
      </c>
      <c r="D6074" s="10" t="s">
        <v>13221</v>
      </c>
      <c r="E6074" s="9" t="s">
        <v>22</v>
      </c>
      <c r="F6074" s="10">
        <v>23</v>
      </c>
      <c r="G6074" s="11">
        <v>8023259631</v>
      </c>
      <c r="H6074" s="10" t="s">
        <v>13222</v>
      </c>
      <c r="I6074" s="10" t="s">
        <v>45</v>
      </c>
      <c r="J6074" s="10" t="s">
        <v>1421</v>
      </c>
      <c r="K6074" s="12">
        <v>46031</v>
      </c>
      <c r="L6074" s="28" t="s">
        <v>11</v>
      </c>
      <c r="M6074" s="14"/>
      <c r="N6074" s="10" t="s">
        <v>1028</v>
      </c>
    </row>
    <row r="6075" spans="1:14" ht="22.5" customHeight="1">
      <c r="A6075" s="8">
        <v>46031.317000844909</v>
      </c>
      <c r="B6075" s="9" t="s">
        <v>14</v>
      </c>
      <c r="C6075" s="9" t="s">
        <v>15</v>
      </c>
      <c r="D6075" s="10" t="s">
        <v>13223</v>
      </c>
      <c r="E6075" s="9" t="s">
        <v>17</v>
      </c>
      <c r="F6075" s="10">
        <v>27</v>
      </c>
      <c r="G6075" s="11">
        <f>2347032301203</f>
        <v>2347032301203</v>
      </c>
      <c r="H6075" s="10" t="s">
        <v>13224</v>
      </c>
      <c r="I6075" s="10" t="s">
        <v>27</v>
      </c>
      <c r="J6075" s="10" t="s">
        <v>13225</v>
      </c>
      <c r="K6075" s="12">
        <v>46031</v>
      </c>
      <c r="L6075" s="28" t="s">
        <v>11</v>
      </c>
      <c r="M6075" s="14"/>
      <c r="N6075" s="10" t="s">
        <v>1035</v>
      </c>
    </row>
    <row r="6076" spans="1:14" ht="22.5" customHeight="1">
      <c r="A6076" s="8">
        <v>46031.317169479167</v>
      </c>
      <c r="B6076" s="9" t="s">
        <v>14</v>
      </c>
      <c r="C6076" s="9" t="s">
        <v>15</v>
      </c>
      <c r="D6076" s="10" t="s">
        <v>13226</v>
      </c>
      <c r="E6076" s="9" t="s">
        <v>17</v>
      </c>
      <c r="F6076" s="10">
        <v>28</v>
      </c>
      <c r="G6076" s="11">
        <v>8115671535</v>
      </c>
      <c r="H6076" s="10" t="s">
        <v>13227</v>
      </c>
      <c r="I6076" s="10" t="s">
        <v>145</v>
      </c>
      <c r="J6076" s="10" t="s">
        <v>13228</v>
      </c>
      <c r="K6076" s="12">
        <v>46031</v>
      </c>
      <c r="L6076" s="28" t="s">
        <v>11</v>
      </c>
      <c r="M6076" s="14"/>
      <c r="N6076" s="10" t="s">
        <v>1028</v>
      </c>
    </row>
    <row r="6077" spans="1:14" ht="22.5" customHeight="1">
      <c r="A6077" s="8">
        <v>46031.317192557872</v>
      </c>
      <c r="B6077" s="9" t="s">
        <v>14</v>
      </c>
      <c r="C6077" s="9" t="s">
        <v>15</v>
      </c>
      <c r="D6077" s="10" t="s">
        <v>13229</v>
      </c>
      <c r="E6077" s="9" t="s">
        <v>17</v>
      </c>
      <c r="F6077" s="10">
        <v>33</v>
      </c>
      <c r="G6077" s="11">
        <v>8167598086</v>
      </c>
      <c r="H6077" s="10" t="s">
        <v>13230</v>
      </c>
      <c r="I6077" s="10" t="s">
        <v>49</v>
      </c>
      <c r="J6077" s="10" t="s">
        <v>160</v>
      </c>
      <c r="K6077" s="12">
        <v>46031</v>
      </c>
      <c r="L6077" s="28" t="s">
        <v>11</v>
      </c>
      <c r="M6077" s="14"/>
      <c r="N6077" s="10" t="s">
        <v>1028</v>
      </c>
    </row>
    <row r="6078" spans="1:14" ht="22.5" customHeight="1">
      <c r="A6078" s="8">
        <v>46031.31844797454</v>
      </c>
      <c r="B6078" s="9" t="s">
        <v>14</v>
      </c>
      <c r="C6078" s="9" t="s">
        <v>15</v>
      </c>
      <c r="D6078" s="10" t="s">
        <v>13231</v>
      </c>
      <c r="E6078" s="9" t="s">
        <v>22</v>
      </c>
      <c r="F6078" s="10">
        <v>33</v>
      </c>
      <c r="G6078" s="11">
        <v>8039182669</v>
      </c>
      <c r="H6078" s="10" t="s">
        <v>13232</v>
      </c>
      <c r="I6078" s="10" t="s">
        <v>27</v>
      </c>
      <c r="J6078" s="10" t="s">
        <v>70</v>
      </c>
      <c r="K6078" s="12">
        <v>46031</v>
      </c>
      <c r="L6078" s="28" t="s">
        <v>11</v>
      </c>
      <c r="M6078" s="14"/>
      <c r="N6078" s="10" t="s">
        <v>1028</v>
      </c>
    </row>
    <row r="6079" spans="1:14" ht="22.5" customHeight="1">
      <c r="A6079" s="8">
        <v>46031.318958993055</v>
      </c>
      <c r="B6079" s="9" t="s">
        <v>14</v>
      </c>
      <c r="C6079" s="9" t="s">
        <v>15</v>
      </c>
      <c r="D6079" s="10" t="s">
        <v>13233</v>
      </c>
      <c r="E6079" s="9" t="s">
        <v>17</v>
      </c>
      <c r="F6079" s="10">
        <v>24</v>
      </c>
      <c r="G6079" s="11">
        <v>8160095513</v>
      </c>
      <c r="H6079" s="10" t="s">
        <v>13234</v>
      </c>
      <c r="I6079" s="10" t="s">
        <v>27</v>
      </c>
      <c r="J6079" s="10" t="s">
        <v>372</v>
      </c>
      <c r="K6079" s="12">
        <v>46031</v>
      </c>
      <c r="L6079" s="28" t="s">
        <v>11</v>
      </c>
      <c r="M6079" s="14"/>
      <c r="N6079" s="10" t="s">
        <v>1028</v>
      </c>
    </row>
    <row r="6080" spans="1:14" ht="22.5" customHeight="1">
      <c r="A6080" s="8">
        <v>46031.319125775466</v>
      </c>
      <c r="B6080" s="9" t="s">
        <v>14</v>
      </c>
      <c r="C6080" s="9" t="s">
        <v>15</v>
      </c>
      <c r="D6080" s="10" t="s">
        <v>13235</v>
      </c>
      <c r="E6080" s="9" t="s">
        <v>17</v>
      </c>
      <c r="F6080" s="10">
        <v>30</v>
      </c>
      <c r="G6080" s="11">
        <v>7031966063</v>
      </c>
      <c r="H6080" s="10" t="s">
        <v>13236</v>
      </c>
      <c r="I6080" s="10" t="s">
        <v>27</v>
      </c>
      <c r="J6080" s="10" t="s">
        <v>3992</v>
      </c>
      <c r="K6080" s="12">
        <v>46031</v>
      </c>
      <c r="L6080" s="28" t="s">
        <v>11</v>
      </c>
      <c r="M6080" s="14"/>
      <c r="N6080" s="10" t="s">
        <v>1028</v>
      </c>
    </row>
    <row r="6081" spans="1:14" ht="22.5" customHeight="1">
      <c r="A6081" s="8">
        <v>46031.320073182869</v>
      </c>
      <c r="B6081" s="9" t="s">
        <v>14</v>
      </c>
      <c r="C6081" s="9" t="s">
        <v>15</v>
      </c>
      <c r="D6081" s="10" t="s">
        <v>2046</v>
      </c>
      <c r="E6081" s="9" t="s">
        <v>17</v>
      </c>
      <c r="F6081" s="10">
        <v>29</v>
      </c>
      <c r="G6081" s="11">
        <f t="shared" ref="G6081" si="180">2348149690108</f>
        <v>2348149690108</v>
      </c>
      <c r="H6081" s="10" t="s">
        <v>13237</v>
      </c>
      <c r="I6081" s="10" t="s">
        <v>49</v>
      </c>
      <c r="J6081" s="10" t="s">
        <v>215</v>
      </c>
      <c r="K6081" s="12">
        <v>46031</v>
      </c>
      <c r="L6081" s="28" t="s">
        <v>11</v>
      </c>
      <c r="M6081" s="14"/>
      <c r="N6081" s="10" t="s">
        <v>1028</v>
      </c>
    </row>
    <row r="6082" spans="1:14" ht="22.5" customHeight="1">
      <c r="A6082" s="8">
        <v>46031.321383703704</v>
      </c>
      <c r="B6082" s="9" t="s">
        <v>14</v>
      </c>
      <c r="C6082" s="9" t="s">
        <v>15</v>
      </c>
      <c r="D6082" s="10" t="s">
        <v>13238</v>
      </c>
      <c r="E6082" s="9" t="s">
        <v>17</v>
      </c>
      <c r="F6082" s="10">
        <v>30</v>
      </c>
      <c r="G6082" s="11">
        <v>8038752686</v>
      </c>
      <c r="H6082" s="10" t="s">
        <v>13239</v>
      </c>
      <c r="I6082" s="10" t="s">
        <v>27</v>
      </c>
      <c r="J6082" s="10" t="s">
        <v>53</v>
      </c>
      <c r="K6082" s="12">
        <v>46031</v>
      </c>
      <c r="L6082" s="28" t="s">
        <v>11</v>
      </c>
      <c r="M6082" s="14"/>
      <c r="N6082" s="10" t="s">
        <v>1096</v>
      </c>
    </row>
    <row r="6083" spans="1:14" ht="22.5" customHeight="1">
      <c r="A6083" s="8">
        <v>46031.322071354167</v>
      </c>
      <c r="B6083" s="9" t="s">
        <v>14</v>
      </c>
      <c r="C6083" s="9" t="s">
        <v>15</v>
      </c>
      <c r="D6083" s="10" t="s">
        <v>13240</v>
      </c>
      <c r="E6083" s="9" t="s">
        <v>17</v>
      </c>
      <c r="F6083" s="10">
        <v>39</v>
      </c>
      <c r="G6083" s="11">
        <v>9153894840</v>
      </c>
      <c r="H6083" s="10" t="s">
        <v>13241</v>
      </c>
      <c r="I6083" s="10" t="s">
        <v>45</v>
      </c>
      <c r="J6083" s="10" t="s">
        <v>6439</v>
      </c>
      <c r="K6083" s="12">
        <v>46031</v>
      </c>
      <c r="L6083" s="28" t="s">
        <v>11</v>
      </c>
      <c r="M6083" s="14"/>
      <c r="N6083" s="10" t="s">
        <v>1028</v>
      </c>
    </row>
    <row r="6084" spans="1:14" ht="22.5" customHeight="1">
      <c r="A6084" s="8">
        <v>46031.322387708336</v>
      </c>
      <c r="B6084" s="9" t="s">
        <v>14</v>
      </c>
      <c r="C6084" s="9" t="s">
        <v>15</v>
      </c>
      <c r="D6084" s="10" t="s">
        <v>13242</v>
      </c>
      <c r="E6084" s="9" t="s">
        <v>22</v>
      </c>
      <c r="F6084" s="10">
        <v>21</v>
      </c>
      <c r="G6084" s="11">
        <v>9138870335</v>
      </c>
      <c r="H6084" s="10" t="s">
        <v>13243</v>
      </c>
      <c r="I6084" s="10" t="s">
        <v>31</v>
      </c>
      <c r="J6084" s="10" t="s">
        <v>1582</v>
      </c>
      <c r="K6084" s="12">
        <v>46031</v>
      </c>
      <c r="L6084" s="28" t="s">
        <v>11</v>
      </c>
      <c r="M6084" s="14"/>
      <c r="N6084" s="10" t="s">
        <v>1028</v>
      </c>
    </row>
    <row r="6085" spans="1:14" ht="22.5" customHeight="1">
      <c r="A6085" s="8">
        <v>46031.323572002315</v>
      </c>
      <c r="B6085" s="9" t="s">
        <v>14</v>
      </c>
      <c r="C6085" s="9" t="s">
        <v>15</v>
      </c>
      <c r="D6085" s="10" t="s">
        <v>13244</v>
      </c>
      <c r="E6085" s="9" t="s">
        <v>17</v>
      </c>
      <c r="F6085" s="10">
        <v>25</v>
      </c>
      <c r="G6085" s="11">
        <v>8064961800</v>
      </c>
      <c r="H6085" s="10" t="s">
        <v>13245</v>
      </c>
      <c r="I6085" s="10" t="s">
        <v>19</v>
      </c>
      <c r="J6085" s="10" t="s">
        <v>4139</v>
      </c>
      <c r="K6085" s="12">
        <v>46031</v>
      </c>
      <c r="L6085" s="28" t="s">
        <v>11</v>
      </c>
      <c r="M6085" s="14"/>
      <c r="N6085" s="10" t="s">
        <v>1028</v>
      </c>
    </row>
    <row r="6086" spans="1:14" ht="22.5" customHeight="1">
      <c r="A6086" s="8">
        <v>46031.326242268522</v>
      </c>
      <c r="B6086" s="9" t="s">
        <v>14</v>
      </c>
      <c r="C6086" s="9" t="s">
        <v>15</v>
      </c>
      <c r="D6086" s="10" t="s">
        <v>13246</v>
      </c>
      <c r="E6086" s="9" t="s">
        <v>17</v>
      </c>
      <c r="F6086" s="10">
        <v>39</v>
      </c>
      <c r="G6086" s="11">
        <v>7030485164</v>
      </c>
      <c r="H6086" s="10" t="s">
        <v>13247</v>
      </c>
      <c r="I6086" s="10" t="s">
        <v>19</v>
      </c>
      <c r="J6086" s="10" t="s">
        <v>1664</v>
      </c>
      <c r="K6086" s="12">
        <v>46031</v>
      </c>
      <c r="L6086" s="28" t="s">
        <v>11</v>
      </c>
      <c r="M6086" s="14"/>
      <c r="N6086" s="10" t="s">
        <v>1028</v>
      </c>
    </row>
    <row r="6087" spans="1:14" ht="22.5" customHeight="1">
      <c r="A6087" s="8">
        <v>46031.329048854168</v>
      </c>
      <c r="B6087" s="9" t="s">
        <v>14</v>
      </c>
      <c r="C6087" s="9" t="s">
        <v>15</v>
      </c>
      <c r="D6087" s="10" t="s">
        <v>12495</v>
      </c>
      <c r="E6087" s="9" t="s">
        <v>17</v>
      </c>
      <c r="F6087" s="10">
        <v>26</v>
      </c>
      <c r="G6087" s="11">
        <v>9077386068</v>
      </c>
      <c r="H6087" s="10" t="s">
        <v>12496</v>
      </c>
      <c r="I6087" s="10" t="s">
        <v>202</v>
      </c>
      <c r="J6087" s="10" t="s">
        <v>4651</v>
      </c>
      <c r="K6087" s="12">
        <v>46031</v>
      </c>
      <c r="L6087" s="28" t="s">
        <v>11</v>
      </c>
      <c r="M6087" s="14"/>
      <c r="N6087" s="10" t="s">
        <v>1028</v>
      </c>
    </row>
    <row r="6088" spans="1:14" ht="22.5" customHeight="1">
      <c r="A6088" s="8">
        <v>46031.331268726848</v>
      </c>
      <c r="B6088" s="9" t="s">
        <v>14</v>
      </c>
      <c r="C6088" s="9" t="s">
        <v>15</v>
      </c>
      <c r="D6088" s="10" t="s">
        <v>13248</v>
      </c>
      <c r="E6088" s="9" t="s">
        <v>22</v>
      </c>
      <c r="F6088" s="18">
        <v>24</v>
      </c>
      <c r="G6088" s="11">
        <v>9063639810</v>
      </c>
      <c r="H6088" s="10" t="s">
        <v>13249</v>
      </c>
      <c r="I6088" s="10" t="s">
        <v>145</v>
      </c>
      <c r="J6088" s="10" t="s">
        <v>530</v>
      </c>
      <c r="K6088" s="12">
        <v>46031</v>
      </c>
      <c r="L6088" s="28" t="s">
        <v>11</v>
      </c>
      <c r="M6088" s="14"/>
      <c r="N6088" s="10" t="s">
        <v>1028</v>
      </c>
    </row>
    <row r="6089" spans="1:14" ht="22.5" customHeight="1">
      <c r="A6089" s="8">
        <v>46031.337442453703</v>
      </c>
      <c r="B6089" s="9" t="s">
        <v>14</v>
      </c>
      <c r="C6089" s="9" t="s">
        <v>15</v>
      </c>
      <c r="D6089" s="10" t="s">
        <v>13250</v>
      </c>
      <c r="E6089" s="9" t="s">
        <v>17</v>
      </c>
      <c r="F6089" s="10">
        <v>32</v>
      </c>
      <c r="G6089" s="11">
        <v>8136431947</v>
      </c>
      <c r="H6089" s="10" t="s">
        <v>13251</v>
      </c>
      <c r="I6089" s="10" t="s">
        <v>27</v>
      </c>
      <c r="J6089" s="10" t="s">
        <v>2675</v>
      </c>
      <c r="K6089" s="12">
        <v>46031</v>
      </c>
      <c r="L6089" s="28" t="s">
        <v>11</v>
      </c>
      <c r="M6089" s="14"/>
      <c r="N6089" s="10" t="s">
        <v>1028</v>
      </c>
    </row>
    <row r="6090" spans="1:14" ht="22.5" customHeight="1">
      <c r="A6090" s="8">
        <v>46031.33979106482</v>
      </c>
      <c r="B6090" s="9" t="s">
        <v>14</v>
      </c>
      <c r="C6090" s="9" t="s">
        <v>15</v>
      </c>
      <c r="D6090" s="10" t="s">
        <v>13252</v>
      </c>
      <c r="E6090" s="9" t="s">
        <v>17</v>
      </c>
      <c r="F6090" s="10">
        <v>25</v>
      </c>
      <c r="G6090" s="11">
        <v>8126648484</v>
      </c>
      <c r="H6090" s="10" t="s">
        <v>13253</v>
      </c>
      <c r="I6090" s="10" t="s">
        <v>45</v>
      </c>
      <c r="J6090" s="10" t="s">
        <v>521</v>
      </c>
      <c r="K6090" s="12">
        <v>46031</v>
      </c>
      <c r="L6090" s="28" t="s">
        <v>11</v>
      </c>
      <c r="M6090" s="14"/>
      <c r="N6090" s="10" t="s">
        <v>1028</v>
      </c>
    </row>
    <row r="6091" spans="1:14" ht="22.5" customHeight="1">
      <c r="A6091" s="8">
        <v>46031.340786076384</v>
      </c>
      <c r="B6091" s="9" t="s">
        <v>14</v>
      </c>
      <c r="C6091" s="9" t="s">
        <v>15</v>
      </c>
      <c r="D6091" s="10" t="s">
        <v>13254</v>
      </c>
      <c r="E6091" s="9" t="s">
        <v>17</v>
      </c>
      <c r="F6091" s="10">
        <v>34</v>
      </c>
      <c r="G6091" s="11">
        <v>7031055163</v>
      </c>
      <c r="H6091" s="10" t="s">
        <v>13255</v>
      </c>
      <c r="I6091" s="10" t="s">
        <v>27</v>
      </c>
      <c r="J6091" s="10" t="s">
        <v>1559</v>
      </c>
      <c r="K6091" s="12">
        <v>33274</v>
      </c>
      <c r="L6091" s="28" t="s">
        <v>11</v>
      </c>
      <c r="M6091" s="14"/>
      <c r="N6091" s="10" t="s">
        <v>1028</v>
      </c>
    </row>
    <row r="6092" spans="1:14" ht="22.5" customHeight="1">
      <c r="A6092" s="8">
        <v>46031.344425474541</v>
      </c>
      <c r="B6092" s="9" t="s">
        <v>14</v>
      </c>
      <c r="C6092" s="9" t="s">
        <v>15</v>
      </c>
      <c r="D6092" s="10" t="s">
        <v>13256</v>
      </c>
      <c r="E6092" s="9" t="s">
        <v>17</v>
      </c>
      <c r="F6092" s="10">
        <v>33</v>
      </c>
      <c r="G6092" s="11">
        <f>2349138485425</f>
        <v>2349138485425</v>
      </c>
      <c r="H6092" s="10" t="s">
        <v>13257</v>
      </c>
      <c r="I6092" s="10" t="s">
        <v>27</v>
      </c>
      <c r="J6092" s="10" t="s">
        <v>172</v>
      </c>
      <c r="K6092" s="12">
        <v>46031</v>
      </c>
      <c r="L6092" s="28" t="s">
        <v>11</v>
      </c>
      <c r="M6092" s="14"/>
      <c r="N6092" s="10" t="s">
        <v>1096</v>
      </c>
    </row>
    <row r="6093" spans="1:14" ht="22.5" customHeight="1">
      <c r="A6093" s="8">
        <v>46031.344600659722</v>
      </c>
      <c r="B6093" s="9" t="s">
        <v>14</v>
      </c>
      <c r="C6093" s="9" t="s">
        <v>15</v>
      </c>
      <c r="D6093" s="10" t="s">
        <v>13258</v>
      </c>
      <c r="E6093" s="9" t="s">
        <v>17</v>
      </c>
      <c r="F6093" s="10">
        <v>33</v>
      </c>
      <c r="G6093" s="11">
        <v>8148984932</v>
      </c>
      <c r="H6093" s="10" t="s">
        <v>13259</v>
      </c>
      <c r="I6093" s="10" t="s">
        <v>19</v>
      </c>
      <c r="J6093" s="10" t="s">
        <v>13260</v>
      </c>
      <c r="K6093" s="12">
        <v>33772</v>
      </c>
      <c r="L6093" s="28" t="s">
        <v>11</v>
      </c>
      <c r="M6093" s="14"/>
      <c r="N6093" s="10" t="s">
        <v>1096</v>
      </c>
    </row>
    <row r="6094" spans="1:14" ht="22.5" customHeight="1">
      <c r="A6094" s="8">
        <v>46031.346582129627</v>
      </c>
      <c r="B6094" s="9" t="s">
        <v>14</v>
      </c>
      <c r="C6094" s="9" t="s">
        <v>15</v>
      </c>
      <c r="D6094" s="10" t="s">
        <v>13261</v>
      </c>
      <c r="E6094" s="9" t="s">
        <v>17</v>
      </c>
      <c r="F6094" s="10">
        <v>34</v>
      </c>
      <c r="G6094" s="11">
        <v>7034736098</v>
      </c>
      <c r="H6094" s="10" t="s">
        <v>13262</v>
      </c>
      <c r="I6094" s="10" t="s">
        <v>45</v>
      </c>
      <c r="J6094" s="10" t="s">
        <v>287</v>
      </c>
      <c r="K6094" s="12">
        <v>46031</v>
      </c>
      <c r="L6094" s="28" t="s">
        <v>11</v>
      </c>
      <c r="M6094" s="14"/>
      <c r="N6094" s="10" t="s">
        <v>1028</v>
      </c>
    </row>
    <row r="6095" spans="1:14" ht="22.5" customHeight="1">
      <c r="A6095" s="8">
        <v>46031.348183472219</v>
      </c>
      <c r="B6095" s="9" t="s">
        <v>14</v>
      </c>
      <c r="C6095" s="9" t="s">
        <v>15</v>
      </c>
      <c r="D6095" s="10" t="s">
        <v>13263</v>
      </c>
      <c r="E6095" s="9" t="s">
        <v>17</v>
      </c>
      <c r="F6095" s="10">
        <v>29</v>
      </c>
      <c r="G6095" s="11">
        <v>8038270109</v>
      </c>
      <c r="H6095" s="10" t="s">
        <v>13264</v>
      </c>
      <c r="I6095" s="10" t="s">
        <v>27</v>
      </c>
      <c r="J6095" s="10" t="s">
        <v>172</v>
      </c>
      <c r="K6095" s="12">
        <v>46031</v>
      </c>
      <c r="L6095" s="28" t="s">
        <v>11</v>
      </c>
      <c r="M6095" s="10"/>
      <c r="N6095" s="10" t="s">
        <v>1028</v>
      </c>
    </row>
    <row r="6096" spans="1:14" ht="22.5" customHeight="1">
      <c r="A6096" s="8">
        <v>46031.348507465278</v>
      </c>
      <c r="B6096" s="9" t="s">
        <v>14</v>
      </c>
      <c r="C6096" s="9" t="s">
        <v>15</v>
      </c>
      <c r="D6096" s="10" t="s">
        <v>13265</v>
      </c>
      <c r="E6096" s="9" t="s">
        <v>22</v>
      </c>
      <c r="F6096" s="10">
        <v>32</v>
      </c>
      <c r="G6096" s="11">
        <v>7066831999</v>
      </c>
      <c r="H6096" s="10" t="s">
        <v>13266</v>
      </c>
      <c r="I6096" s="10" t="s">
        <v>202</v>
      </c>
      <c r="J6096" s="10" t="s">
        <v>203</v>
      </c>
      <c r="K6096" s="12">
        <v>46031</v>
      </c>
      <c r="L6096" s="28" t="s">
        <v>11</v>
      </c>
      <c r="M6096" s="14"/>
      <c r="N6096" s="10" t="s">
        <v>1028</v>
      </c>
    </row>
    <row r="6097" spans="1:14" ht="22.5" customHeight="1">
      <c r="A6097" s="8">
        <v>46031.350317199074</v>
      </c>
      <c r="B6097" s="9" t="s">
        <v>14</v>
      </c>
      <c r="C6097" s="9" t="s">
        <v>15</v>
      </c>
      <c r="D6097" s="10" t="s">
        <v>2356</v>
      </c>
      <c r="E6097" s="9" t="s">
        <v>17</v>
      </c>
      <c r="F6097" s="10">
        <v>28</v>
      </c>
      <c r="G6097" s="11">
        <v>9030981185</v>
      </c>
      <c r="H6097" s="10" t="s">
        <v>2357</v>
      </c>
      <c r="I6097" s="10" t="s">
        <v>31</v>
      </c>
      <c r="J6097" s="10" t="s">
        <v>2358</v>
      </c>
      <c r="K6097" s="12">
        <v>46031</v>
      </c>
      <c r="L6097" s="28" t="s">
        <v>11</v>
      </c>
      <c r="M6097" s="14"/>
      <c r="N6097" s="10" t="s">
        <v>1028</v>
      </c>
    </row>
    <row r="6098" spans="1:14" ht="22.5" customHeight="1">
      <c r="A6098" s="8">
        <v>46031.350754976855</v>
      </c>
      <c r="B6098" s="9" t="s">
        <v>14</v>
      </c>
      <c r="C6098" s="9" t="s">
        <v>15</v>
      </c>
      <c r="D6098" s="10" t="s">
        <v>13267</v>
      </c>
      <c r="E6098" s="9" t="s">
        <v>22</v>
      </c>
      <c r="F6098" s="10">
        <v>25</v>
      </c>
      <c r="G6098" s="11">
        <v>8080264233</v>
      </c>
      <c r="H6098" s="10" t="s">
        <v>13268</v>
      </c>
      <c r="I6098" s="10" t="s">
        <v>19</v>
      </c>
      <c r="J6098" s="10" t="s">
        <v>1664</v>
      </c>
      <c r="K6098" s="12">
        <v>46031</v>
      </c>
      <c r="L6098" s="28" t="s">
        <v>11</v>
      </c>
      <c r="M6098" s="14"/>
      <c r="N6098" s="10" t="s">
        <v>1096</v>
      </c>
    </row>
    <row r="6099" spans="1:14" ht="22.5" customHeight="1">
      <c r="A6099" s="8">
        <v>46031.350901504629</v>
      </c>
      <c r="B6099" s="9" t="s">
        <v>14</v>
      </c>
      <c r="C6099" s="9" t="s">
        <v>15</v>
      </c>
      <c r="D6099" s="10" t="s">
        <v>13269</v>
      </c>
      <c r="E6099" s="9" t="s">
        <v>22</v>
      </c>
      <c r="F6099" s="10">
        <v>31</v>
      </c>
      <c r="G6099" s="11">
        <v>8167242567</v>
      </c>
      <c r="H6099" s="10" t="s">
        <v>13270</v>
      </c>
      <c r="I6099" s="10" t="s">
        <v>19</v>
      </c>
      <c r="J6099" s="10" t="s">
        <v>3448</v>
      </c>
      <c r="K6099" s="12">
        <v>46031</v>
      </c>
      <c r="L6099" s="28" t="s">
        <v>11</v>
      </c>
      <c r="M6099" s="14"/>
      <c r="N6099" s="10" t="s">
        <v>1096</v>
      </c>
    </row>
    <row r="6100" spans="1:14" ht="22.5" customHeight="1">
      <c r="A6100" s="8">
        <v>46031.352168136575</v>
      </c>
      <c r="B6100" s="9" t="s">
        <v>14</v>
      </c>
      <c r="C6100" s="9" t="s">
        <v>15</v>
      </c>
      <c r="D6100" s="10" t="s">
        <v>13271</v>
      </c>
      <c r="E6100" s="9" t="s">
        <v>17</v>
      </c>
      <c r="F6100" s="10">
        <v>47</v>
      </c>
      <c r="G6100" s="11">
        <v>1</v>
      </c>
      <c r="H6100" s="10" t="s">
        <v>13272</v>
      </c>
      <c r="I6100" s="10" t="s">
        <v>202</v>
      </c>
      <c r="J6100" s="10" t="s">
        <v>203</v>
      </c>
      <c r="K6100" s="12">
        <v>28653</v>
      </c>
      <c r="L6100" s="28" t="s">
        <v>11</v>
      </c>
      <c r="M6100" s="14"/>
      <c r="N6100" s="10" t="s">
        <v>1028</v>
      </c>
    </row>
    <row r="6101" spans="1:14" ht="22.5" customHeight="1">
      <c r="A6101" s="8">
        <v>46031.355896956018</v>
      </c>
      <c r="B6101" s="9" t="s">
        <v>14</v>
      </c>
      <c r="C6101" s="9" t="s">
        <v>15</v>
      </c>
      <c r="D6101" s="10" t="s">
        <v>13273</v>
      </c>
      <c r="E6101" s="9" t="s">
        <v>17</v>
      </c>
      <c r="F6101" s="10">
        <v>28</v>
      </c>
      <c r="G6101" s="11">
        <v>8061187147</v>
      </c>
      <c r="H6101" s="10" t="s">
        <v>13274</v>
      </c>
      <c r="I6101" s="10" t="s">
        <v>145</v>
      </c>
      <c r="J6101" s="10" t="s">
        <v>530</v>
      </c>
      <c r="K6101" s="12">
        <v>46031</v>
      </c>
      <c r="L6101" s="28" t="s">
        <v>11</v>
      </c>
      <c r="M6101" s="14"/>
      <c r="N6101" s="10" t="s">
        <v>1028</v>
      </c>
    </row>
    <row r="6102" spans="1:14" ht="22.5" customHeight="1">
      <c r="A6102" s="8">
        <v>46031.357972951388</v>
      </c>
      <c r="B6102" s="9" t="s">
        <v>14</v>
      </c>
      <c r="C6102" s="9" t="s">
        <v>15</v>
      </c>
      <c r="D6102" s="10" t="s">
        <v>13275</v>
      </c>
      <c r="E6102" s="9" t="s">
        <v>17</v>
      </c>
      <c r="F6102" s="19">
        <v>34</v>
      </c>
      <c r="G6102" s="11">
        <v>8033650373</v>
      </c>
      <c r="H6102" s="10" t="s">
        <v>13276</v>
      </c>
      <c r="I6102" s="10" t="s">
        <v>45</v>
      </c>
      <c r="J6102" s="10" t="s">
        <v>901</v>
      </c>
      <c r="K6102" s="12">
        <v>46031</v>
      </c>
      <c r="L6102" s="28" t="s">
        <v>11</v>
      </c>
      <c r="M6102" s="14"/>
      <c r="N6102" s="10" t="s">
        <v>1028</v>
      </c>
    </row>
    <row r="6103" spans="1:14" ht="22.5" customHeight="1">
      <c r="A6103" s="8">
        <v>46031.360632071759</v>
      </c>
      <c r="B6103" s="9" t="s">
        <v>14</v>
      </c>
      <c r="C6103" s="9" t="s">
        <v>15</v>
      </c>
      <c r="D6103" s="10" t="s">
        <v>13277</v>
      </c>
      <c r="E6103" s="9" t="s">
        <v>22</v>
      </c>
      <c r="F6103" s="10">
        <v>26</v>
      </c>
      <c r="G6103" s="11">
        <v>8103481560</v>
      </c>
      <c r="H6103" s="10" t="s">
        <v>13278</v>
      </c>
      <c r="I6103" s="10" t="s">
        <v>49</v>
      </c>
      <c r="J6103" s="10" t="s">
        <v>13279</v>
      </c>
      <c r="K6103" s="12">
        <v>46031</v>
      </c>
      <c r="L6103" s="28" t="s">
        <v>11</v>
      </c>
      <c r="M6103" s="14"/>
      <c r="N6103" s="10" t="s">
        <v>1028</v>
      </c>
    </row>
    <row r="6104" spans="1:14" ht="22.5" customHeight="1">
      <c r="A6104" s="8">
        <v>46031.361509664348</v>
      </c>
      <c r="B6104" s="9" t="s">
        <v>14</v>
      </c>
      <c r="C6104" s="9" t="s">
        <v>15</v>
      </c>
      <c r="D6104" s="10" t="s">
        <v>13280</v>
      </c>
      <c r="E6104" s="9" t="s">
        <v>22</v>
      </c>
      <c r="F6104" s="10">
        <v>33</v>
      </c>
      <c r="G6104" s="11">
        <v>8107610687</v>
      </c>
      <c r="H6104" s="10" t="s">
        <v>13281</v>
      </c>
      <c r="I6104" s="10" t="s">
        <v>31</v>
      </c>
      <c r="J6104" s="10" t="s">
        <v>32</v>
      </c>
      <c r="K6104" s="12">
        <v>46031</v>
      </c>
      <c r="L6104" s="28" t="s">
        <v>11</v>
      </c>
      <c r="M6104" s="14"/>
      <c r="N6104" s="10" t="s">
        <v>1028</v>
      </c>
    </row>
    <row r="6105" spans="1:14" ht="22.5" customHeight="1">
      <c r="A6105" s="8">
        <v>46031.363085486111</v>
      </c>
      <c r="B6105" s="9" t="s">
        <v>14</v>
      </c>
      <c r="C6105" s="9" t="s">
        <v>15</v>
      </c>
      <c r="D6105" s="10" t="s">
        <v>13282</v>
      </c>
      <c r="E6105" s="9" t="s">
        <v>22</v>
      </c>
      <c r="F6105" s="10">
        <v>28</v>
      </c>
      <c r="G6105" s="11">
        <v>8059869328</v>
      </c>
      <c r="H6105" s="10" t="s">
        <v>13283</v>
      </c>
      <c r="I6105" s="10" t="s">
        <v>45</v>
      </c>
      <c r="J6105" s="10" t="s">
        <v>6841</v>
      </c>
      <c r="K6105" s="12">
        <v>46031</v>
      </c>
      <c r="L6105" s="28" t="s">
        <v>11</v>
      </c>
      <c r="M6105" s="14"/>
      <c r="N6105" s="10" t="s">
        <v>1028</v>
      </c>
    </row>
    <row r="6106" spans="1:14" ht="22.5" customHeight="1">
      <c r="A6106" s="8">
        <v>46031.364304131945</v>
      </c>
      <c r="B6106" s="9" t="s">
        <v>14</v>
      </c>
      <c r="C6106" s="9" t="s">
        <v>15</v>
      </c>
      <c r="D6106" s="10" t="s">
        <v>13284</v>
      </c>
      <c r="E6106" s="9" t="s">
        <v>17</v>
      </c>
      <c r="F6106" s="10">
        <v>22</v>
      </c>
      <c r="G6106" s="11">
        <v>9063823890</v>
      </c>
      <c r="H6106" s="10" t="s">
        <v>13285</v>
      </c>
      <c r="I6106" s="10" t="s">
        <v>31</v>
      </c>
      <c r="J6106" s="10" t="s">
        <v>1808</v>
      </c>
      <c r="K6106" s="12">
        <v>46031</v>
      </c>
      <c r="L6106" s="28" t="s">
        <v>11</v>
      </c>
      <c r="M6106" s="14"/>
      <c r="N6106" s="10" t="s">
        <v>1028</v>
      </c>
    </row>
    <row r="6107" spans="1:14" ht="22.5" customHeight="1">
      <c r="A6107" s="8">
        <v>46031.36590153935</v>
      </c>
      <c r="B6107" s="9" t="s">
        <v>14</v>
      </c>
      <c r="C6107" s="9" t="s">
        <v>15</v>
      </c>
      <c r="D6107" s="10" t="s">
        <v>9818</v>
      </c>
      <c r="E6107" s="9" t="s">
        <v>17</v>
      </c>
      <c r="F6107" s="10">
        <v>35</v>
      </c>
      <c r="G6107" s="11">
        <v>9062191459</v>
      </c>
      <c r="H6107" s="10" t="s">
        <v>9819</v>
      </c>
      <c r="I6107" s="10" t="s">
        <v>202</v>
      </c>
      <c r="J6107" s="10" t="s">
        <v>3682</v>
      </c>
      <c r="K6107" s="12">
        <v>46031</v>
      </c>
      <c r="L6107" s="28" t="s">
        <v>11</v>
      </c>
      <c r="M6107" s="14"/>
      <c r="N6107" s="10" t="s">
        <v>1028</v>
      </c>
    </row>
    <row r="6108" spans="1:14" ht="22.5" customHeight="1">
      <c r="A6108" s="8">
        <v>46031.366461111116</v>
      </c>
      <c r="B6108" s="9" t="s">
        <v>14</v>
      </c>
      <c r="C6108" s="9" t="s">
        <v>15</v>
      </c>
      <c r="D6108" s="10" t="s">
        <v>13286</v>
      </c>
      <c r="E6108" s="9" t="s">
        <v>17</v>
      </c>
      <c r="F6108" s="10">
        <v>33</v>
      </c>
      <c r="G6108" s="11">
        <v>9126610266</v>
      </c>
      <c r="H6108" s="10" t="s">
        <v>13287</v>
      </c>
      <c r="I6108" s="10" t="s">
        <v>45</v>
      </c>
      <c r="J6108" s="10" t="s">
        <v>13288</v>
      </c>
      <c r="K6108" s="12">
        <v>46031</v>
      </c>
      <c r="L6108" s="28" t="s">
        <v>11</v>
      </c>
      <c r="M6108" s="14"/>
      <c r="N6108" s="10" t="s">
        <v>1028</v>
      </c>
    </row>
    <row r="6109" spans="1:14" ht="22.5" customHeight="1">
      <c r="A6109" s="8">
        <v>46031.366523206016</v>
      </c>
      <c r="B6109" s="9" t="s">
        <v>14</v>
      </c>
      <c r="C6109" s="9" t="s">
        <v>15</v>
      </c>
      <c r="D6109" s="10" t="s">
        <v>13289</v>
      </c>
      <c r="E6109" s="9" t="s">
        <v>17</v>
      </c>
      <c r="F6109" s="10">
        <v>24</v>
      </c>
      <c r="G6109" s="11">
        <v>8030611984</v>
      </c>
      <c r="H6109" s="10" t="s">
        <v>13290</v>
      </c>
      <c r="I6109" s="10" t="s">
        <v>27</v>
      </c>
      <c r="J6109" s="10" t="s">
        <v>1559</v>
      </c>
      <c r="K6109" s="12">
        <v>46031</v>
      </c>
      <c r="L6109" s="28" t="s">
        <v>11</v>
      </c>
      <c r="M6109" s="14"/>
      <c r="N6109" s="10" t="s">
        <v>1028</v>
      </c>
    </row>
    <row r="6110" spans="1:14" ht="22.5" customHeight="1">
      <c r="A6110" s="8">
        <v>46031.369093981484</v>
      </c>
      <c r="B6110" s="9" t="s">
        <v>14</v>
      </c>
      <c r="C6110" s="9" t="s">
        <v>15</v>
      </c>
      <c r="D6110" s="10" t="s">
        <v>13291</v>
      </c>
      <c r="E6110" s="9" t="s">
        <v>17</v>
      </c>
      <c r="F6110" s="10">
        <v>30</v>
      </c>
      <c r="G6110" s="11">
        <v>8071352102</v>
      </c>
      <c r="H6110" s="10" t="s">
        <v>13292</v>
      </c>
      <c r="I6110" s="10" t="s">
        <v>145</v>
      </c>
      <c r="J6110" s="10" t="s">
        <v>530</v>
      </c>
      <c r="K6110" s="12">
        <v>46000</v>
      </c>
      <c r="L6110" s="28" t="s">
        <v>11</v>
      </c>
      <c r="M6110" s="14"/>
      <c r="N6110" s="10" t="s">
        <v>1028</v>
      </c>
    </row>
    <row r="6111" spans="1:14" ht="22.5" customHeight="1">
      <c r="A6111" s="8">
        <v>46031.376556365736</v>
      </c>
      <c r="B6111" s="9" t="s">
        <v>14</v>
      </c>
      <c r="C6111" s="9" t="s">
        <v>15</v>
      </c>
      <c r="D6111" s="10" t="s">
        <v>13293</v>
      </c>
      <c r="E6111" s="9" t="s">
        <v>17</v>
      </c>
      <c r="F6111" s="10">
        <v>36</v>
      </c>
      <c r="G6111" s="11">
        <v>8139014675</v>
      </c>
      <c r="H6111" s="10" t="s">
        <v>13294</v>
      </c>
      <c r="I6111" s="10" t="s">
        <v>27</v>
      </c>
      <c r="J6111" s="10" t="s">
        <v>172</v>
      </c>
      <c r="K6111" s="12">
        <v>46031</v>
      </c>
      <c r="L6111" s="28" t="s">
        <v>11</v>
      </c>
      <c r="M6111" s="14"/>
      <c r="N6111" s="10" t="s">
        <v>1096</v>
      </c>
    </row>
    <row r="6112" spans="1:14" ht="22.5" customHeight="1">
      <c r="A6112" s="8">
        <v>46031.379276562497</v>
      </c>
      <c r="B6112" s="9" t="s">
        <v>14</v>
      </c>
      <c r="C6112" s="9" t="s">
        <v>15</v>
      </c>
      <c r="D6112" s="10" t="s">
        <v>13295</v>
      </c>
      <c r="E6112" s="9" t="s">
        <v>17</v>
      </c>
      <c r="F6112" s="10">
        <v>29</v>
      </c>
      <c r="G6112" s="11">
        <v>8057498927</v>
      </c>
      <c r="H6112" s="10" t="s">
        <v>13296</v>
      </c>
      <c r="I6112" s="10" t="s">
        <v>145</v>
      </c>
      <c r="J6112" s="10" t="s">
        <v>10276</v>
      </c>
      <c r="K6112" s="12">
        <v>46031</v>
      </c>
      <c r="L6112" s="28" t="s">
        <v>11</v>
      </c>
      <c r="M6112" s="14"/>
      <c r="N6112" s="10" t="s">
        <v>13297</v>
      </c>
    </row>
    <row r="6113" spans="1:14" ht="22.5" customHeight="1">
      <c r="A6113" s="8">
        <v>46031.380038773146</v>
      </c>
      <c r="B6113" s="9" t="s">
        <v>14</v>
      </c>
      <c r="C6113" s="9" t="s">
        <v>15</v>
      </c>
      <c r="D6113" s="10" t="s">
        <v>13298</v>
      </c>
      <c r="E6113" s="9" t="s">
        <v>22</v>
      </c>
      <c r="F6113" s="10">
        <v>20</v>
      </c>
      <c r="G6113" s="11">
        <v>8078099404</v>
      </c>
      <c r="H6113" s="10" t="s">
        <v>13299</v>
      </c>
      <c r="I6113" s="10" t="s">
        <v>45</v>
      </c>
      <c r="J6113" s="10" t="s">
        <v>84</v>
      </c>
      <c r="K6113" s="12">
        <v>46031</v>
      </c>
      <c r="L6113" s="28" t="s">
        <v>11</v>
      </c>
      <c r="M6113" s="14"/>
      <c r="N6113" s="10" t="s">
        <v>1028</v>
      </c>
    </row>
    <row r="6114" spans="1:14" ht="22.5" customHeight="1">
      <c r="A6114" s="8">
        <v>46031.381679247686</v>
      </c>
      <c r="B6114" s="9" t="s">
        <v>14</v>
      </c>
      <c r="C6114" s="9" t="s">
        <v>15</v>
      </c>
      <c r="D6114" s="10" t="s">
        <v>13300</v>
      </c>
      <c r="E6114" s="9" t="s">
        <v>22</v>
      </c>
      <c r="F6114" s="10">
        <v>26</v>
      </c>
      <c r="G6114" s="11">
        <v>7036838655</v>
      </c>
      <c r="H6114" s="10" t="s">
        <v>13301</v>
      </c>
      <c r="I6114" s="10" t="s">
        <v>27</v>
      </c>
      <c r="J6114" s="10" t="s">
        <v>13302</v>
      </c>
      <c r="K6114" s="12">
        <v>46031</v>
      </c>
      <c r="L6114" s="28" t="s">
        <v>11</v>
      </c>
      <c r="M6114" s="14"/>
      <c r="N6114" s="10" t="s">
        <v>1096</v>
      </c>
    </row>
    <row r="6115" spans="1:14" ht="22.5" customHeight="1">
      <c r="A6115" s="8">
        <v>46031.381821284725</v>
      </c>
      <c r="B6115" s="9" t="s">
        <v>14</v>
      </c>
      <c r="C6115" s="9" t="s">
        <v>15</v>
      </c>
      <c r="D6115" s="10" t="s">
        <v>13303</v>
      </c>
      <c r="E6115" s="9" t="s">
        <v>17</v>
      </c>
      <c r="F6115" s="10">
        <v>33</v>
      </c>
      <c r="G6115" s="11">
        <v>8130528065</v>
      </c>
      <c r="H6115" s="10" t="s">
        <v>13304</v>
      </c>
      <c r="I6115" s="10" t="s">
        <v>145</v>
      </c>
      <c r="J6115" s="10" t="s">
        <v>3584</v>
      </c>
      <c r="K6115" s="12">
        <v>46031</v>
      </c>
      <c r="L6115" s="28" t="s">
        <v>11</v>
      </c>
      <c r="M6115" s="14"/>
      <c r="N6115" s="10" t="s">
        <v>1028</v>
      </c>
    </row>
    <row r="6116" spans="1:14" ht="22.5" hidden="1" customHeight="1">
      <c r="A6116" s="8">
        <v>46031.383038564818</v>
      </c>
      <c r="B6116" s="9" t="s">
        <v>14</v>
      </c>
      <c r="C6116" s="9" t="s">
        <v>15</v>
      </c>
      <c r="D6116" s="10" t="s">
        <v>13305</v>
      </c>
      <c r="E6116" s="9" t="s">
        <v>22</v>
      </c>
      <c r="F6116" s="10">
        <v>18</v>
      </c>
      <c r="G6116" s="11">
        <v>7044610560</v>
      </c>
      <c r="H6116" s="10" t="s">
        <v>13306</v>
      </c>
      <c r="I6116" s="10" t="s">
        <v>31</v>
      </c>
      <c r="J6116" s="10" t="s">
        <v>32</v>
      </c>
      <c r="K6116" s="12">
        <v>46031</v>
      </c>
      <c r="L6116" s="10" t="s">
        <v>441</v>
      </c>
      <c r="M6116" s="10" t="s">
        <v>1827</v>
      </c>
      <c r="N6116" s="10" t="s">
        <v>1028</v>
      </c>
    </row>
    <row r="6117" spans="1:14" ht="22.5" customHeight="1">
      <c r="A6117" s="8">
        <v>46031.383314027778</v>
      </c>
      <c r="B6117" s="9" t="s">
        <v>14</v>
      </c>
      <c r="C6117" s="9" t="s">
        <v>15</v>
      </c>
      <c r="D6117" s="10" t="s">
        <v>13307</v>
      </c>
      <c r="E6117" s="9" t="s">
        <v>17</v>
      </c>
      <c r="F6117" s="10">
        <v>20</v>
      </c>
      <c r="G6117" s="11">
        <v>8166579430</v>
      </c>
      <c r="H6117" s="10" t="s">
        <v>13308</v>
      </c>
      <c r="I6117" s="10" t="s">
        <v>45</v>
      </c>
      <c r="J6117" s="10" t="s">
        <v>279</v>
      </c>
      <c r="K6117" s="12">
        <v>46031</v>
      </c>
      <c r="L6117" s="28" t="s">
        <v>11</v>
      </c>
      <c r="M6117" s="14"/>
      <c r="N6117" s="10" t="s">
        <v>1096</v>
      </c>
    </row>
    <row r="6118" spans="1:14" ht="22.5" customHeight="1">
      <c r="A6118" s="8">
        <v>46031.385861979172</v>
      </c>
      <c r="B6118" s="9" t="s">
        <v>14</v>
      </c>
      <c r="C6118" s="9" t="s">
        <v>15</v>
      </c>
      <c r="D6118" s="10" t="s">
        <v>13309</v>
      </c>
      <c r="E6118" s="9" t="s">
        <v>17</v>
      </c>
      <c r="F6118" s="10">
        <v>29</v>
      </c>
      <c r="G6118" s="11">
        <v>8139689770</v>
      </c>
      <c r="H6118" s="10" t="s">
        <v>13310</v>
      </c>
      <c r="I6118" s="10" t="s">
        <v>27</v>
      </c>
      <c r="J6118" s="10" t="s">
        <v>703</v>
      </c>
      <c r="K6118" s="12">
        <v>46031</v>
      </c>
      <c r="L6118" s="28" t="s">
        <v>11</v>
      </c>
      <c r="M6118" s="14"/>
      <c r="N6118" s="10" t="s">
        <v>1096</v>
      </c>
    </row>
    <row r="6119" spans="1:14" ht="22.5" customHeight="1">
      <c r="A6119" s="8">
        <v>46031.386777280088</v>
      </c>
      <c r="B6119" s="9" t="s">
        <v>14</v>
      </c>
      <c r="C6119" s="9" t="s">
        <v>15</v>
      </c>
      <c r="D6119" s="10" t="s">
        <v>13311</v>
      </c>
      <c r="E6119" s="9" t="s">
        <v>17</v>
      </c>
      <c r="F6119" s="10">
        <v>24</v>
      </c>
      <c r="G6119" s="11">
        <v>7064766182</v>
      </c>
      <c r="H6119" s="10" t="s">
        <v>13312</v>
      </c>
      <c r="I6119" s="10" t="s">
        <v>49</v>
      </c>
      <c r="J6119" s="10" t="s">
        <v>106</v>
      </c>
      <c r="K6119" s="12">
        <v>46031</v>
      </c>
      <c r="L6119" s="28" t="s">
        <v>11</v>
      </c>
      <c r="M6119" s="14"/>
      <c r="N6119" s="10" t="s">
        <v>1028</v>
      </c>
    </row>
    <row r="6120" spans="1:14" ht="22.5" customHeight="1">
      <c r="A6120" s="8">
        <v>46031.388345231477</v>
      </c>
      <c r="B6120" s="9" t="s">
        <v>14</v>
      </c>
      <c r="C6120" s="9" t="s">
        <v>15</v>
      </c>
      <c r="D6120" s="10" t="s">
        <v>13313</v>
      </c>
      <c r="E6120" s="9" t="s">
        <v>17</v>
      </c>
      <c r="F6120" s="10">
        <v>22</v>
      </c>
      <c r="G6120" s="11">
        <f t="shared" ref="G6120" si="181">258855657051</f>
        <v>258855657051</v>
      </c>
      <c r="H6120" s="10" t="s">
        <v>13314</v>
      </c>
      <c r="I6120" s="10" t="s">
        <v>202</v>
      </c>
      <c r="J6120" s="10" t="s">
        <v>13315</v>
      </c>
      <c r="K6120" s="12">
        <v>46031</v>
      </c>
      <c r="L6120" s="28" t="s">
        <v>11</v>
      </c>
      <c r="M6120" s="14"/>
      <c r="N6120" s="10" t="s">
        <v>1028</v>
      </c>
    </row>
    <row r="6121" spans="1:14" ht="22.5" customHeight="1">
      <c r="A6121" s="8">
        <v>46031.391557152776</v>
      </c>
      <c r="B6121" s="9" t="s">
        <v>14</v>
      </c>
      <c r="C6121" s="9" t="s">
        <v>15</v>
      </c>
      <c r="D6121" s="10" t="s">
        <v>13316</v>
      </c>
      <c r="E6121" s="9" t="s">
        <v>17</v>
      </c>
      <c r="F6121" s="10">
        <v>30</v>
      </c>
      <c r="G6121" s="11">
        <v>7038852500</v>
      </c>
      <c r="H6121" s="10" t="s">
        <v>13317</v>
      </c>
      <c r="I6121" s="10" t="s">
        <v>27</v>
      </c>
      <c r="J6121" s="10" t="s">
        <v>1907</v>
      </c>
      <c r="K6121" s="12">
        <v>46031</v>
      </c>
      <c r="L6121" s="28" t="s">
        <v>11</v>
      </c>
      <c r="M6121" s="14"/>
      <c r="N6121" s="10" t="s">
        <v>1140</v>
      </c>
    </row>
    <row r="6122" spans="1:14" ht="22.5" customHeight="1">
      <c r="A6122" s="8">
        <v>46031.39583627315</v>
      </c>
      <c r="B6122" s="9" t="s">
        <v>14</v>
      </c>
      <c r="C6122" s="9" t="s">
        <v>15</v>
      </c>
      <c r="D6122" s="10" t="s">
        <v>13318</v>
      </c>
      <c r="E6122" s="9" t="s">
        <v>22</v>
      </c>
      <c r="F6122" s="10">
        <v>22</v>
      </c>
      <c r="G6122" s="11">
        <v>7057272764</v>
      </c>
      <c r="H6122" s="10" t="s">
        <v>13319</v>
      </c>
      <c r="I6122" s="10" t="s">
        <v>202</v>
      </c>
      <c r="J6122" s="10" t="s">
        <v>4005</v>
      </c>
      <c r="K6122" s="12">
        <v>46031</v>
      </c>
      <c r="L6122" s="28" t="s">
        <v>11</v>
      </c>
      <c r="M6122" s="14"/>
      <c r="N6122" s="10" t="s">
        <v>1028</v>
      </c>
    </row>
    <row r="6123" spans="1:14" ht="22.5" customHeight="1">
      <c r="A6123" s="8">
        <v>46031.399763576388</v>
      </c>
      <c r="B6123" s="9" t="s">
        <v>14</v>
      </c>
      <c r="C6123" s="9" t="s">
        <v>15</v>
      </c>
      <c r="D6123" s="10" t="s">
        <v>9056</v>
      </c>
      <c r="E6123" s="9" t="s">
        <v>17</v>
      </c>
      <c r="F6123" s="10">
        <v>34</v>
      </c>
      <c r="G6123" s="11">
        <v>8037770941</v>
      </c>
      <c r="H6123" s="10" t="s">
        <v>9057</v>
      </c>
      <c r="I6123" s="10" t="s">
        <v>27</v>
      </c>
      <c r="J6123" s="10" t="s">
        <v>703</v>
      </c>
      <c r="K6123" s="12">
        <v>33886</v>
      </c>
      <c r="L6123" s="28" t="s">
        <v>11</v>
      </c>
      <c r="M6123" s="14"/>
      <c r="N6123" s="10" t="s">
        <v>1028</v>
      </c>
    </row>
    <row r="6124" spans="1:14" ht="22.5" customHeight="1">
      <c r="A6124" s="8">
        <v>46031.399818298611</v>
      </c>
      <c r="B6124" s="9" t="s">
        <v>14</v>
      </c>
      <c r="C6124" s="9" t="s">
        <v>15</v>
      </c>
      <c r="D6124" s="10" t="s">
        <v>13320</v>
      </c>
      <c r="E6124" s="9" t="s">
        <v>17</v>
      </c>
      <c r="F6124" s="10">
        <v>32</v>
      </c>
      <c r="G6124" s="11">
        <v>7062604943</v>
      </c>
      <c r="H6124" s="10" t="s">
        <v>13321</v>
      </c>
      <c r="I6124" s="10" t="s">
        <v>27</v>
      </c>
      <c r="J6124" s="10" t="s">
        <v>1559</v>
      </c>
      <c r="K6124" s="12">
        <v>46031</v>
      </c>
      <c r="L6124" s="28" t="s">
        <v>11</v>
      </c>
      <c r="M6124" s="14"/>
      <c r="N6124" s="10" t="s">
        <v>1035</v>
      </c>
    </row>
    <row r="6125" spans="1:14" ht="22.5" customHeight="1">
      <c r="A6125" s="8">
        <v>46031.401254305558</v>
      </c>
      <c r="B6125" s="9" t="s">
        <v>14</v>
      </c>
      <c r="C6125" s="9" t="s">
        <v>15</v>
      </c>
      <c r="D6125" s="10" t="s">
        <v>13322</v>
      </c>
      <c r="E6125" s="9" t="s">
        <v>17</v>
      </c>
      <c r="F6125" s="10">
        <v>28</v>
      </c>
      <c r="G6125" s="11">
        <v>8062498359</v>
      </c>
      <c r="H6125" s="10" t="s">
        <v>13323</v>
      </c>
      <c r="I6125" s="10" t="s">
        <v>27</v>
      </c>
      <c r="J6125" s="10" t="s">
        <v>1895</v>
      </c>
      <c r="K6125" s="12">
        <v>46031</v>
      </c>
      <c r="L6125" s="28" t="s">
        <v>11</v>
      </c>
      <c r="M6125" s="14"/>
      <c r="N6125" s="10" t="s">
        <v>1028</v>
      </c>
    </row>
    <row r="6126" spans="1:14" ht="22.5" customHeight="1">
      <c r="A6126" s="8">
        <v>46031.401257372687</v>
      </c>
      <c r="B6126" s="9" t="s">
        <v>14</v>
      </c>
      <c r="C6126" s="9" t="s">
        <v>15</v>
      </c>
      <c r="D6126" s="10" t="s">
        <v>13324</v>
      </c>
      <c r="E6126" s="9" t="s">
        <v>17</v>
      </c>
      <c r="F6126" s="10">
        <v>28</v>
      </c>
      <c r="G6126" s="11">
        <v>8081198757</v>
      </c>
      <c r="H6126" s="10" t="s">
        <v>13325</v>
      </c>
      <c r="I6126" s="10" t="s">
        <v>27</v>
      </c>
      <c r="J6126" s="10" t="s">
        <v>2861</v>
      </c>
      <c r="K6126" s="12">
        <v>46031</v>
      </c>
      <c r="L6126" s="28" t="s">
        <v>11</v>
      </c>
      <c r="M6126" s="14"/>
      <c r="N6126" s="10" t="s">
        <v>1140</v>
      </c>
    </row>
    <row r="6127" spans="1:14" ht="22.5" customHeight="1">
      <c r="A6127" s="8">
        <v>46031.401767881944</v>
      </c>
      <c r="B6127" s="9" t="s">
        <v>14</v>
      </c>
      <c r="C6127" s="9" t="s">
        <v>15</v>
      </c>
      <c r="D6127" s="10" t="s">
        <v>13326</v>
      </c>
      <c r="E6127" s="9" t="s">
        <v>17</v>
      </c>
      <c r="F6127" s="18">
        <v>21</v>
      </c>
      <c r="G6127" s="11">
        <v>8024894028</v>
      </c>
      <c r="H6127" s="10" t="s">
        <v>13327</v>
      </c>
      <c r="I6127" s="10" t="s">
        <v>19</v>
      </c>
      <c r="J6127" s="10" t="s">
        <v>3495</v>
      </c>
      <c r="K6127" s="12">
        <v>46031</v>
      </c>
      <c r="L6127" s="28" t="s">
        <v>11</v>
      </c>
      <c r="M6127" s="14"/>
      <c r="N6127" s="10" t="s">
        <v>1028</v>
      </c>
    </row>
    <row r="6128" spans="1:14" ht="22.5" customHeight="1">
      <c r="A6128" s="8">
        <v>46031.404601585644</v>
      </c>
      <c r="B6128" s="9" t="s">
        <v>14</v>
      </c>
      <c r="C6128" s="9" t="s">
        <v>15</v>
      </c>
      <c r="D6128" s="10" t="s">
        <v>13328</v>
      </c>
      <c r="E6128" s="9" t="s">
        <v>17</v>
      </c>
      <c r="F6128" s="10">
        <v>29</v>
      </c>
      <c r="G6128" s="11">
        <v>8145974759</v>
      </c>
      <c r="H6128" s="10" t="s">
        <v>13329</v>
      </c>
      <c r="I6128" s="10" t="s">
        <v>27</v>
      </c>
      <c r="J6128" s="10" t="s">
        <v>2069</v>
      </c>
      <c r="K6128" s="12">
        <v>46031</v>
      </c>
      <c r="L6128" s="28" t="s">
        <v>11</v>
      </c>
      <c r="M6128" s="14"/>
      <c r="N6128" s="10" t="s">
        <v>1028</v>
      </c>
    </row>
    <row r="6129" spans="1:14" ht="22.5" customHeight="1">
      <c r="A6129" s="8">
        <v>46031.404711030089</v>
      </c>
      <c r="B6129" s="9" t="s">
        <v>14</v>
      </c>
      <c r="C6129" s="9" t="s">
        <v>15</v>
      </c>
      <c r="D6129" s="10" t="s">
        <v>13330</v>
      </c>
      <c r="E6129" s="9" t="s">
        <v>17</v>
      </c>
      <c r="F6129" s="10">
        <v>31</v>
      </c>
      <c r="G6129" s="11">
        <v>8107668260</v>
      </c>
      <c r="H6129" s="10" t="s">
        <v>13331</v>
      </c>
      <c r="I6129" s="10" t="s">
        <v>19</v>
      </c>
      <c r="J6129" s="10" t="s">
        <v>13332</v>
      </c>
      <c r="K6129" s="12">
        <v>46031</v>
      </c>
      <c r="L6129" s="28" t="s">
        <v>11</v>
      </c>
      <c r="M6129" s="14"/>
      <c r="N6129" s="10" t="s">
        <v>1028</v>
      </c>
    </row>
    <row r="6130" spans="1:14" ht="22.5" customHeight="1">
      <c r="A6130" s="8">
        <v>46031.405990266205</v>
      </c>
      <c r="B6130" s="9" t="s">
        <v>14</v>
      </c>
      <c r="C6130" s="9" t="s">
        <v>15</v>
      </c>
      <c r="D6130" s="10" t="s">
        <v>13333</v>
      </c>
      <c r="E6130" s="9" t="s">
        <v>17</v>
      </c>
      <c r="F6130" s="10">
        <v>33</v>
      </c>
      <c r="G6130" s="11">
        <v>8035161776</v>
      </c>
      <c r="H6130" s="10" t="s">
        <v>13334</v>
      </c>
      <c r="I6130" s="10" t="s">
        <v>27</v>
      </c>
      <c r="J6130" s="10" t="s">
        <v>3992</v>
      </c>
      <c r="K6130" s="12">
        <v>46031</v>
      </c>
      <c r="L6130" s="28" t="s">
        <v>11</v>
      </c>
      <c r="M6130" s="14"/>
      <c r="N6130" s="10" t="s">
        <v>1096</v>
      </c>
    </row>
    <row r="6131" spans="1:14" ht="22.5" customHeight="1">
      <c r="A6131" s="8">
        <v>46031.406079560184</v>
      </c>
      <c r="B6131" s="9" t="s">
        <v>14</v>
      </c>
      <c r="C6131" s="9" t="s">
        <v>15</v>
      </c>
      <c r="D6131" s="10" t="s">
        <v>13335</v>
      </c>
      <c r="E6131" s="9" t="s">
        <v>22</v>
      </c>
      <c r="F6131" s="10">
        <v>26</v>
      </c>
      <c r="G6131" s="11">
        <v>8109816905</v>
      </c>
      <c r="H6131" s="10" t="s">
        <v>13336</v>
      </c>
      <c r="I6131" s="10" t="s">
        <v>27</v>
      </c>
      <c r="J6131" s="10" t="s">
        <v>2734</v>
      </c>
      <c r="K6131" s="12">
        <v>46031</v>
      </c>
      <c r="L6131" s="28" t="s">
        <v>11</v>
      </c>
      <c r="M6131" s="14"/>
      <c r="N6131" s="10" t="s">
        <v>1028</v>
      </c>
    </row>
    <row r="6132" spans="1:14" ht="22.5" customHeight="1">
      <c r="A6132" s="8">
        <v>46031.409200636575</v>
      </c>
      <c r="B6132" s="9" t="s">
        <v>14</v>
      </c>
      <c r="C6132" s="9" t="s">
        <v>15</v>
      </c>
      <c r="D6132" s="10" t="s">
        <v>13337</v>
      </c>
      <c r="E6132" s="9" t="s">
        <v>22</v>
      </c>
      <c r="F6132" s="10">
        <v>24</v>
      </c>
      <c r="G6132" s="11">
        <v>9030325831</v>
      </c>
      <c r="H6132" s="10" t="s">
        <v>13338</v>
      </c>
      <c r="I6132" s="10" t="s">
        <v>27</v>
      </c>
      <c r="J6132" s="10" t="s">
        <v>372</v>
      </c>
      <c r="K6132" s="12">
        <v>46031</v>
      </c>
      <c r="L6132" s="28" t="s">
        <v>11</v>
      </c>
      <c r="M6132" s="10"/>
      <c r="N6132" s="10" t="s">
        <v>1028</v>
      </c>
    </row>
    <row r="6133" spans="1:14" ht="22.5" customHeight="1">
      <c r="A6133" s="8">
        <v>46031.410509664347</v>
      </c>
      <c r="B6133" s="9" t="s">
        <v>14</v>
      </c>
      <c r="C6133" s="9" t="s">
        <v>15</v>
      </c>
      <c r="D6133" s="10" t="s">
        <v>13339</v>
      </c>
      <c r="E6133" s="9" t="s">
        <v>17</v>
      </c>
      <c r="F6133" s="10">
        <v>39</v>
      </c>
      <c r="G6133" s="11">
        <v>8036296949</v>
      </c>
      <c r="H6133" s="10" t="s">
        <v>13340</v>
      </c>
      <c r="I6133" s="10" t="s">
        <v>27</v>
      </c>
      <c r="J6133" s="10" t="s">
        <v>2328</v>
      </c>
      <c r="K6133" s="12">
        <v>46031</v>
      </c>
      <c r="L6133" s="28" t="s">
        <v>11</v>
      </c>
      <c r="M6133" s="14"/>
      <c r="N6133" s="10" t="s">
        <v>1028</v>
      </c>
    </row>
    <row r="6134" spans="1:14" ht="22.5" customHeight="1">
      <c r="A6134" s="8">
        <v>46031.410722407411</v>
      </c>
      <c r="B6134" s="9" t="s">
        <v>14</v>
      </c>
      <c r="C6134" s="9" t="s">
        <v>15</v>
      </c>
      <c r="D6134" s="10" t="s">
        <v>13341</v>
      </c>
      <c r="E6134" s="9" t="s">
        <v>22</v>
      </c>
      <c r="F6134" s="10">
        <v>23</v>
      </c>
      <c r="G6134" s="11">
        <v>8143654711</v>
      </c>
      <c r="H6134" s="10" t="s">
        <v>13342</v>
      </c>
      <c r="I6134" s="10" t="s">
        <v>27</v>
      </c>
      <c r="J6134" s="10" t="s">
        <v>2734</v>
      </c>
      <c r="K6134" s="12">
        <v>46031</v>
      </c>
      <c r="L6134" s="28" t="s">
        <v>11</v>
      </c>
      <c r="M6134" s="14"/>
      <c r="N6134" s="10" t="s">
        <v>1096</v>
      </c>
    </row>
    <row r="6135" spans="1:14" ht="22.5" customHeight="1">
      <c r="A6135" s="8">
        <v>46031.411212916668</v>
      </c>
      <c r="B6135" s="9" t="s">
        <v>14</v>
      </c>
      <c r="C6135" s="9" t="s">
        <v>15</v>
      </c>
      <c r="D6135" s="10" t="s">
        <v>13343</v>
      </c>
      <c r="E6135" s="9" t="s">
        <v>22</v>
      </c>
      <c r="F6135" s="10">
        <v>31</v>
      </c>
      <c r="G6135" s="11">
        <v>8115808515</v>
      </c>
      <c r="H6135" s="10" t="s">
        <v>13344</v>
      </c>
      <c r="I6135" s="10" t="s">
        <v>19</v>
      </c>
      <c r="J6135" s="10" t="s">
        <v>13345</v>
      </c>
      <c r="K6135" s="12">
        <v>46031</v>
      </c>
      <c r="L6135" s="28" t="s">
        <v>11</v>
      </c>
      <c r="M6135" s="14"/>
      <c r="N6135" s="10" t="s">
        <v>1028</v>
      </c>
    </row>
    <row r="6136" spans="1:14" ht="22.5" customHeight="1">
      <c r="A6136" s="8">
        <v>46031.412479247687</v>
      </c>
      <c r="B6136" s="9" t="s">
        <v>14</v>
      </c>
      <c r="C6136" s="9" t="s">
        <v>15</v>
      </c>
      <c r="D6136" s="10" t="s">
        <v>13346</v>
      </c>
      <c r="E6136" s="9" t="s">
        <v>17</v>
      </c>
      <c r="F6136" s="10">
        <v>30</v>
      </c>
      <c r="G6136" s="11">
        <v>7012843855</v>
      </c>
      <c r="H6136" s="10" t="s">
        <v>13347</v>
      </c>
      <c r="I6136" s="10" t="s">
        <v>31</v>
      </c>
      <c r="J6136" s="10" t="s">
        <v>13348</v>
      </c>
      <c r="K6136" s="12">
        <v>46031</v>
      </c>
      <c r="L6136" s="28" t="s">
        <v>11</v>
      </c>
      <c r="M6136" s="14"/>
      <c r="N6136" s="10" t="s">
        <v>1028</v>
      </c>
    </row>
    <row r="6137" spans="1:14" ht="22.5" customHeight="1">
      <c r="A6137" s="8">
        <v>46031.412618784721</v>
      </c>
      <c r="B6137" s="9" t="s">
        <v>14</v>
      </c>
      <c r="C6137" s="9" t="s">
        <v>15</v>
      </c>
      <c r="D6137" s="10" t="s">
        <v>13349</v>
      </c>
      <c r="E6137" s="9" t="s">
        <v>17</v>
      </c>
      <c r="F6137" s="10">
        <v>30</v>
      </c>
      <c r="G6137" s="11">
        <v>8064662422</v>
      </c>
      <c r="H6137" s="10" t="s">
        <v>13350</v>
      </c>
      <c r="I6137" s="10" t="s">
        <v>27</v>
      </c>
      <c r="J6137" s="10" t="s">
        <v>9623</v>
      </c>
      <c r="K6137" s="12">
        <v>46031</v>
      </c>
      <c r="L6137" s="28" t="s">
        <v>11</v>
      </c>
      <c r="M6137" s="14"/>
      <c r="N6137" s="10" t="s">
        <v>1096</v>
      </c>
    </row>
    <row r="6138" spans="1:14" ht="22.5" customHeight="1">
      <c r="A6138" s="8">
        <v>46031.413462824072</v>
      </c>
      <c r="B6138" s="9" t="s">
        <v>14</v>
      </c>
      <c r="C6138" s="9" t="s">
        <v>15</v>
      </c>
      <c r="D6138" s="10" t="s">
        <v>13351</v>
      </c>
      <c r="E6138" s="9" t="s">
        <v>22</v>
      </c>
      <c r="F6138" s="10">
        <v>27</v>
      </c>
      <c r="G6138" s="11">
        <v>8142464264</v>
      </c>
      <c r="H6138" s="10" t="s">
        <v>13352</v>
      </c>
      <c r="I6138" s="10" t="s">
        <v>27</v>
      </c>
      <c r="J6138" s="10" t="s">
        <v>172</v>
      </c>
      <c r="K6138" s="12">
        <v>46031</v>
      </c>
      <c r="L6138" s="28" t="s">
        <v>11</v>
      </c>
      <c r="M6138" s="14"/>
      <c r="N6138" s="10" t="s">
        <v>1028</v>
      </c>
    </row>
    <row r="6139" spans="1:14" ht="22.5" customHeight="1">
      <c r="A6139" s="8">
        <v>46031.415918217594</v>
      </c>
      <c r="B6139" s="9" t="s">
        <v>14</v>
      </c>
      <c r="C6139" s="9" t="s">
        <v>15</v>
      </c>
      <c r="D6139" s="10" t="s">
        <v>13353</v>
      </c>
      <c r="E6139" s="9" t="s">
        <v>22</v>
      </c>
      <c r="F6139" s="10">
        <v>24</v>
      </c>
      <c r="G6139" s="11">
        <v>8160224641</v>
      </c>
      <c r="H6139" s="10" t="s">
        <v>13354</v>
      </c>
      <c r="I6139" s="10" t="s">
        <v>19</v>
      </c>
      <c r="J6139" s="10" t="s">
        <v>4870</v>
      </c>
      <c r="K6139" s="12">
        <v>46031</v>
      </c>
      <c r="L6139" s="28" t="s">
        <v>11</v>
      </c>
      <c r="M6139" s="14"/>
      <c r="N6139" s="10" t="s">
        <v>1028</v>
      </c>
    </row>
    <row r="6140" spans="1:14" ht="22.5" customHeight="1">
      <c r="A6140" s="8">
        <v>46031.417449097222</v>
      </c>
      <c r="B6140" s="9" t="s">
        <v>14</v>
      </c>
      <c r="C6140" s="9" t="s">
        <v>15</v>
      </c>
      <c r="D6140" s="10" t="s">
        <v>13355</v>
      </c>
      <c r="E6140" s="9" t="s">
        <v>22</v>
      </c>
      <c r="F6140" s="10">
        <v>32</v>
      </c>
      <c r="G6140" s="11">
        <v>7063039756</v>
      </c>
      <c r="H6140" s="10" t="s">
        <v>13356</v>
      </c>
      <c r="I6140" s="10" t="s">
        <v>19</v>
      </c>
      <c r="J6140" s="10" t="s">
        <v>812</v>
      </c>
      <c r="K6140" s="12">
        <v>46031</v>
      </c>
      <c r="L6140" s="28" t="s">
        <v>11</v>
      </c>
      <c r="M6140" s="14"/>
      <c r="N6140" s="10" t="s">
        <v>1028</v>
      </c>
    </row>
    <row r="6141" spans="1:14" ht="22.5" customHeight="1">
      <c r="A6141" s="8">
        <v>46031.419261759263</v>
      </c>
      <c r="B6141" s="9" t="s">
        <v>14</v>
      </c>
      <c r="C6141" s="9" t="s">
        <v>15</v>
      </c>
      <c r="D6141" s="10" t="s">
        <v>13357</v>
      </c>
      <c r="E6141" s="9" t="s">
        <v>17</v>
      </c>
      <c r="F6141" s="10">
        <v>31</v>
      </c>
      <c r="G6141" s="11">
        <v>8100910147</v>
      </c>
      <c r="H6141" s="10" t="s">
        <v>13358</v>
      </c>
      <c r="I6141" s="10" t="s">
        <v>19</v>
      </c>
      <c r="J6141" s="10" t="s">
        <v>4349</v>
      </c>
      <c r="K6141" s="12">
        <v>46031</v>
      </c>
      <c r="L6141" s="28" t="s">
        <v>11</v>
      </c>
      <c r="M6141" s="14"/>
      <c r="N6141" s="10" t="s">
        <v>1096</v>
      </c>
    </row>
    <row r="6142" spans="1:14" ht="22.5" customHeight="1">
      <c r="A6142" s="8">
        <v>46031.420026689811</v>
      </c>
      <c r="B6142" s="9" t="s">
        <v>14</v>
      </c>
      <c r="C6142" s="9" t="s">
        <v>15</v>
      </c>
      <c r="D6142" s="10" t="s">
        <v>13359</v>
      </c>
      <c r="E6142" s="9" t="s">
        <v>17</v>
      </c>
      <c r="F6142" s="10">
        <v>31</v>
      </c>
      <c r="G6142" s="11">
        <v>7033603546</v>
      </c>
      <c r="H6142" s="10" t="s">
        <v>13360</v>
      </c>
      <c r="I6142" s="10" t="s">
        <v>27</v>
      </c>
      <c r="J6142" s="10" t="s">
        <v>70</v>
      </c>
      <c r="K6142" s="12">
        <v>46031</v>
      </c>
      <c r="L6142" s="28" t="s">
        <v>11</v>
      </c>
      <c r="M6142" s="10"/>
      <c r="N6142" s="10" t="s">
        <v>1028</v>
      </c>
    </row>
    <row r="6143" spans="1:14" ht="22.5" customHeight="1">
      <c r="A6143" s="8">
        <v>46031.420786886578</v>
      </c>
      <c r="B6143" s="9" t="s">
        <v>14</v>
      </c>
      <c r="C6143" s="9" t="s">
        <v>15</v>
      </c>
      <c r="D6143" s="10" t="s">
        <v>13361</v>
      </c>
      <c r="E6143" s="9" t="s">
        <v>22</v>
      </c>
      <c r="F6143" s="10">
        <v>26</v>
      </c>
      <c r="G6143" s="11">
        <v>9132308383</v>
      </c>
      <c r="H6143" s="10" t="s">
        <v>13362</v>
      </c>
      <c r="I6143" s="10" t="s">
        <v>27</v>
      </c>
      <c r="J6143" s="10" t="s">
        <v>2105</v>
      </c>
      <c r="K6143" s="12">
        <v>46031</v>
      </c>
      <c r="L6143" s="28" t="s">
        <v>11</v>
      </c>
      <c r="M6143" s="14"/>
      <c r="N6143" s="10" t="s">
        <v>1028</v>
      </c>
    </row>
    <row r="6144" spans="1:14" ht="22.5" customHeight="1">
      <c r="A6144" s="8">
        <v>46031.421558935181</v>
      </c>
      <c r="B6144" s="9" t="s">
        <v>14</v>
      </c>
      <c r="C6144" s="9" t="s">
        <v>15</v>
      </c>
      <c r="D6144" s="10" t="s">
        <v>13363</v>
      </c>
      <c r="E6144" s="9" t="s">
        <v>17</v>
      </c>
      <c r="F6144" s="10">
        <v>42</v>
      </c>
      <c r="G6144" s="11">
        <v>7062726085</v>
      </c>
      <c r="H6144" s="10" t="s">
        <v>13364</v>
      </c>
      <c r="I6144" s="10" t="s">
        <v>31</v>
      </c>
      <c r="J6144" s="10" t="s">
        <v>32</v>
      </c>
      <c r="K6144" s="12">
        <v>46031</v>
      </c>
      <c r="L6144" s="28" t="s">
        <v>11</v>
      </c>
      <c r="M6144" s="14"/>
      <c r="N6144" s="10" t="s">
        <v>1096</v>
      </c>
    </row>
    <row r="6145" spans="1:14" ht="22.5" customHeight="1">
      <c r="A6145" s="8">
        <v>46031.421890520833</v>
      </c>
      <c r="B6145" s="9" t="s">
        <v>14</v>
      </c>
      <c r="C6145" s="9" t="s">
        <v>15</v>
      </c>
      <c r="D6145" s="10" t="s">
        <v>13365</v>
      </c>
      <c r="E6145" s="9" t="s">
        <v>17</v>
      </c>
      <c r="F6145" s="10">
        <v>25</v>
      </c>
      <c r="G6145" s="11">
        <v>8148867591</v>
      </c>
      <c r="H6145" s="10" t="s">
        <v>13366</v>
      </c>
      <c r="I6145" s="10" t="s">
        <v>27</v>
      </c>
      <c r="J6145" s="10" t="s">
        <v>703</v>
      </c>
      <c r="K6145" s="12">
        <v>46031</v>
      </c>
      <c r="L6145" s="28" t="s">
        <v>11</v>
      </c>
      <c r="M6145" s="14"/>
      <c r="N6145" s="10" t="s">
        <v>1028</v>
      </c>
    </row>
    <row r="6146" spans="1:14" ht="22.5" customHeight="1">
      <c r="A6146" s="8">
        <v>46031.422089583335</v>
      </c>
      <c r="B6146" s="9" t="s">
        <v>14</v>
      </c>
      <c r="C6146" s="9" t="s">
        <v>15</v>
      </c>
      <c r="D6146" s="10" t="s">
        <v>13367</v>
      </c>
      <c r="E6146" s="9" t="s">
        <v>17</v>
      </c>
      <c r="F6146" s="10">
        <v>31</v>
      </c>
      <c r="G6146" s="11">
        <v>7064291797</v>
      </c>
      <c r="H6146" s="10" t="s">
        <v>13368</v>
      </c>
      <c r="I6146" s="10" t="s">
        <v>27</v>
      </c>
      <c r="J6146" s="10" t="s">
        <v>172</v>
      </c>
      <c r="K6146" s="12">
        <v>46031</v>
      </c>
      <c r="L6146" s="28" t="s">
        <v>11</v>
      </c>
      <c r="M6146" s="14"/>
      <c r="N6146" s="10" t="s">
        <v>1028</v>
      </c>
    </row>
    <row r="6147" spans="1:14" ht="22.5" customHeight="1">
      <c r="A6147" s="8">
        <v>46031.422164791671</v>
      </c>
      <c r="B6147" s="9" t="s">
        <v>14</v>
      </c>
      <c r="C6147" s="9" t="s">
        <v>15</v>
      </c>
      <c r="D6147" s="10" t="s">
        <v>13369</v>
      </c>
      <c r="E6147" s="9" t="s">
        <v>17</v>
      </c>
      <c r="F6147" s="10">
        <v>27</v>
      </c>
      <c r="G6147" s="11">
        <v>8105032128</v>
      </c>
      <c r="H6147" s="10" t="s">
        <v>13370</v>
      </c>
      <c r="I6147" s="10" t="s">
        <v>45</v>
      </c>
      <c r="J6147" s="10" t="s">
        <v>287</v>
      </c>
      <c r="K6147" s="12">
        <v>46031</v>
      </c>
      <c r="L6147" s="28" t="s">
        <v>11</v>
      </c>
      <c r="M6147" s="14"/>
      <c r="N6147" s="10" t="s">
        <v>1096</v>
      </c>
    </row>
    <row r="6148" spans="1:14" ht="22.5" customHeight="1">
      <c r="A6148" s="8">
        <v>46031.423107002316</v>
      </c>
      <c r="B6148" s="9" t="s">
        <v>14</v>
      </c>
      <c r="C6148" s="9" t="s">
        <v>15</v>
      </c>
      <c r="D6148" s="10" t="s">
        <v>13371</v>
      </c>
      <c r="E6148" s="9" t="s">
        <v>22</v>
      </c>
      <c r="F6148" s="10">
        <v>26</v>
      </c>
      <c r="G6148" s="11">
        <v>8125758756</v>
      </c>
      <c r="H6148" s="10" t="s">
        <v>13372</v>
      </c>
      <c r="I6148" s="10" t="s">
        <v>27</v>
      </c>
      <c r="J6148" s="10" t="s">
        <v>27</v>
      </c>
      <c r="K6148" s="12">
        <v>46031</v>
      </c>
      <c r="L6148" s="28" t="s">
        <v>11</v>
      </c>
      <c r="M6148" s="14"/>
      <c r="N6148" s="10" t="s">
        <v>1028</v>
      </c>
    </row>
    <row r="6149" spans="1:14" ht="22.5" customHeight="1">
      <c r="A6149" s="8">
        <v>46031.425599618058</v>
      </c>
      <c r="B6149" s="9" t="s">
        <v>14</v>
      </c>
      <c r="C6149" s="9" t="s">
        <v>15</v>
      </c>
      <c r="D6149" s="10" t="s">
        <v>13373</v>
      </c>
      <c r="E6149" s="9" t="s">
        <v>17</v>
      </c>
      <c r="F6149" s="10">
        <v>32</v>
      </c>
      <c r="G6149" s="11">
        <v>8063272719</v>
      </c>
      <c r="H6149" s="10" t="s">
        <v>13374</v>
      </c>
      <c r="I6149" s="10" t="s">
        <v>49</v>
      </c>
      <c r="J6149" s="10" t="s">
        <v>103</v>
      </c>
      <c r="K6149" s="12">
        <v>46031</v>
      </c>
      <c r="L6149" s="28" t="s">
        <v>11</v>
      </c>
      <c r="M6149" s="14"/>
      <c r="N6149" s="10" t="s">
        <v>1028</v>
      </c>
    </row>
    <row r="6150" spans="1:14" ht="22.5" customHeight="1">
      <c r="A6150" s="8">
        <v>46031.425908553239</v>
      </c>
      <c r="B6150" s="9" t="s">
        <v>14</v>
      </c>
      <c r="C6150" s="9" t="s">
        <v>15</v>
      </c>
      <c r="D6150" s="10" t="s">
        <v>13375</v>
      </c>
      <c r="E6150" s="9" t="s">
        <v>22</v>
      </c>
      <c r="F6150" s="10">
        <v>19</v>
      </c>
      <c r="G6150" s="11">
        <v>9153210728</v>
      </c>
      <c r="H6150" s="10" t="s">
        <v>13376</v>
      </c>
      <c r="I6150" s="10" t="s">
        <v>45</v>
      </c>
      <c r="J6150" s="10" t="s">
        <v>13377</v>
      </c>
      <c r="K6150" s="12">
        <v>46031</v>
      </c>
      <c r="L6150" s="28" t="s">
        <v>11</v>
      </c>
      <c r="M6150" s="14"/>
      <c r="N6150" s="10" t="s">
        <v>1028</v>
      </c>
    </row>
    <row r="6151" spans="1:14" ht="22.5" customHeight="1">
      <c r="A6151" s="8">
        <v>46031.426319050923</v>
      </c>
      <c r="B6151" s="9" t="s">
        <v>14</v>
      </c>
      <c r="C6151" s="9" t="s">
        <v>15</v>
      </c>
      <c r="D6151" s="10" t="s">
        <v>13378</v>
      </c>
      <c r="E6151" s="9" t="s">
        <v>17</v>
      </c>
      <c r="F6151" s="10">
        <v>25</v>
      </c>
      <c r="G6151" s="11">
        <v>707058964</v>
      </c>
      <c r="H6151" s="10" t="s">
        <v>13379</v>
      </c>
      <c r="I6151" s="10" t="s">
        <v>19</v>
      </c>
      <c r="J6151" s="10" t="s">
        <v>7050</v>
      </c>
      <c r="K6151" s="12">
        <v>46031</v>
      </c>
      <c r="L6151" s="28" t="s">
        <v>11</v>
      </c>
      <c r="M6151" s="14"/>
      <c r="N6151" s="10" t="s">
        <v>1028</v>
      </c>
    </row>
    <row r="6152" spans="1:14" ht="22.5" customHeight="1">
      <c r="A6152" s="8">
        <v>46031.427508043984</v>
      </c>
      <c r="B6152" s="9" t="s">
        <v>14</v>
      </c>
      <c r="C6152" s="9" t="s">
        <v>15</v>
      </c>
      <c r="D6152" s="10" t="s">
        <v>13380</v>
      </c>
      <c r="E6152" s="9" t="s">
        <v>17</v>
      </c>
      <c r="F6152" s="10">
        <v>45</v>
      </c>
      <c r="G6152" s="11">
        <f t="shared" ref="G6152" si="182">263774094397</f>
        <v>263774094397</v>
      </c>
      <c r="H6152" s="10" t="s">
        <v>13381</v>
      </c>
      <c r="I6152" s="10" t="s">
        <v>31</v>
      </c>
      <c r="J6152" s="10" t="s">
        <v>13382</v>
      </c>
      <c r="K6152" s="12">
        <v>46031</v>
      </c>
      <c r="L6152" s="28" t="s">
        <v>11</v>
      </c>
      <c r="M6152" s="14"/>
      <c r="N6152" s="10" t="s">
        <v>13383</v>
      </c>
    </row>
    <row r="6153" spans="1:14" ht="22.5" customHeight="1">
      <c r="A6153" s="8">
        <v>46031.430039756946</v>
      </c>
      <c r="B6153" s="9" t="s">
        <v>14</v>
      </c>
      <c r="C6153" s="9" t="s">
        <v>15</v>
      </c>
      <c r="D6153" s="10" t="s">
        <v>13384</v>
      </c>
      <c r="E6153" s="9" t="s">
        <v>22</v>
      </c>
      <c r="F6153" s="10">
        <v>25</v>
      </c>
      <c r="G6153" s="11">
        <v>9059974056</v>
      </c>
      <c r="H6153" s="10" t="s">
        <v>13385</v>
      </c>
      <c r="I6153" s="10" t="s">
        <v>45</v>
      </c>
      <c r="J6153" s="10" t="s">
        <v>287</v>
      </c>
      <c r="K6153" s="12">
        <v>46031</v>
      </c>
      <c r="L6153" s="28" t="s">
        <v>11</v>
      </c>
      <c r="M6153" s="14"/>
      <c r="N6153" s="10" t="s">
        <v>1028</v>
      </c>
    </row>
    <row r="6154" spans="1:14" ht="22.5" customHeight="1">
      <c r="A6154" s="8">
        <v>46031.432480578704</v>
      </c>
      <c r="B6154" s="9" t="s">
        <v>14</v>
      </c>
      <c r="C6154" s="9" t="s">
        <v>15</v>
      </c>
      <c r="D6154" s="10" t="s">
        <v>13386</v>
      </c>
      <c r="E6154" s="9" t="s">
        <v>17</v>
      </c>
      <c r="F6154" s="10">
        <v>21</v>
      </c>
      <c r="G6154" s="11">
        <v>8033396996</v>
      </c>
      <c r="H6154" s="10" t="s">
        <v>13387</v>
      </c>
      <c r="I6154" s="10" t="s">
        <v>27</v>
      </c>
      <c r="J6154" s="10" t="s">
        <v>13388</v>
      </c>
      <c r="K6154" s="12">
        <v>46031</v>
      </c>
      <c r="L6154" s="28" t="s">
        <v>11</v>
      </c>
      <c r="M6154" s="14"/>
      <c r="N6154" s="10" t="s">
        <v>2482</v>
      </c>
    </row>
    <row r="6155" spans="1:14" ht="22.5" customHeight="1">
      <c r="A6155" s="8">
        <v>46031.433419884255</v>
      </c>
      <c r="B6155" s="9" t="s">
        <v>14</v>
      </c>
      <c r="C6155" s="9" t="s">
        <v>15</v>
      </c>
      <c r="D6155" s="10" t="s">
        <v>13389</v>
      </c>
      <c r="E6155" s="9" t="s">
        <v>17</v>
      </c>
      <c r="F6155" s="10">
        <v>29</v>
      </c>
      <c r="G6155" s="11">
        <v>776194841</v>
      </c>
      <c r="H6155" s="10" t="s">
        <v>13390</v>
      </c>
      <c r="I6155" s="10" t="s">
        <v>202</v>
      </c>
      <c r="J6155" s="10" t="s">
        <v>13391</v>
      </c>
      <c r="K6155" s="12">
        <v>46031</v>
      </c>
      <c r="L6155" s="28" t="s">
        <v>11</v>
      </c>
      <c r="M6155" s="14"/>
      <c r="N6155" s="10" t="s">
        <v>1028</v>
      </c>
    </row>
    <row r="6156" spans="1:14" ht="22.5" customHeight="1">
      <c r="A6156" s="8">
        <v>46031.43403866898</v>
      </c>
      <c r="B6156" s="9" t="s">
        <v>14</v>
      </c>
      <c r="C6156" s="9" t="s">
        <v>15</v>
      </c>
      <c r="D6156" s="10" t="s">
        <v>13392</v>
      </c>
      <c r="E6156" s="9" t="s">
        <v>22</v>
      </c>
      <c r="F6156" s="10">
        <v>33</v>
      </c>
      <c r="G6156" s="11">
        <v>8148488140</v>
      </c>
      <c r="H6156" s="10" t="s">
        <v>13393</v>
      </c>
      <c r="I6156" s="10" t="s">
        <v>49</v>
      </c>
      <c r="J6156" s="10" t="s">
        <v>106</v>
      </c>
      <c r="K6156" s="12">
        <v>46031</v>
      </c>
      <c r="L6156" s="28" t="s">
        <v>11</v>
      </c>
      <c r="M6156" s="14"/>
      <c r="N6156" s="10" t="s">
        <v>1028</v>
      </c>
    </row>
    <row r="6157" spans="1:14" ht="22.5" customHeight="1">
      <c r="A6157" s="8">
        <v>46031.434450682871</v>
      </c>
      <c r="B6157" s="9" t="s">
        <v>14</v>
      </c>
      <c r="C6157" s="9" t="s">
        <v>15</v>
      </c>
      <c r="D6157" s="10" t="s">
        <v>13394</v>
      </c>
      <c r="E6157" s="9" t="s">
        <v>17</v>
      </c>
      <c r="F6157" s="10">
        <v>25</v>
      </c>
      <c r="G6157" s="11">
        <v>9063658235</v>
      </c>
      <c r="H6157" s="10" t="s">
        <v>13395</v>
      </c>
      <c r="I6157" s="10" t="s">
        <v>27</v>
      </c>
      <c r="J6157" s="10" t="s">
        <v>2069</v>
      </c>
      <c r="K6157" s="12">
        <v>46031</v>
      </c>
      <c r="L6157" s="28" t="s">
        <v>11</v>
      </c>
      <c r="M6157" s="14"/>
      <c r="N6157" s="10" t="s">
        <v>1028</v>
      </c>
    </row>
    <row r="6158" spans="1:14" ht="22.5" customHeight="1">
      <c r="A6158" s="8">
        <v>46031.434887152776</v>
      </c>
      <c r="B6158" s="9" t="s">
        <v>14</v>
      </c>
      <c r="C6158" s="9" t="s">
        <v>15</v>
      </c>
      <c r="D6158" s="10" t="s">
        <v>13396</v>
      </c>
      <c r="E6158" s="9" t="s">
        <v>17</v>
      </c>
      <c r="F6158" s="10">
        <v>33</v>
      </c>
      <c r="G6158" s="11">
        <v>8136863490</v>
      </c>
      <c r="H6158" s="10" t="s">
        <v>13397</v>
      </c>
      <c r="I6158" s="10" t="s">
        <v>202</v>
      </c>
      <c r="J6158" s="10" t="s">
        <v>13398</v>
      </c>
      <c r="K6158" s="12">
        <v>46031</v>
      </c>
      <c r="L6158" s="28" t="s">
        <v>11</v>
      </c>
      <c r="M6158" s="14"/>
      <c r="N6158" s="10" t="s">
        <v>1028</v>
      </c>
    </row>
    <row r="6159" spans="1:14" ht="22.5" customHeight="1">
      <c r="A6159" s="8">
        <v>46031.43966679398</v>
      </c>
      <c r="B6159" s="9" t="s">
        <v>14</v>
      </c>
      <c r="C6159" s="9" t="s">
        <v>15</v>
      </c>
      <c r="D6159" s="10" t="s">
        <v>13399</v>
      </c>
      <c r="E6159" s="9" t="s">
        <v>17</v>
      </c>
      <c r="F6159" s="10">
        <v>28</v>
      </c>
      <c r="G6159" s="11">
        <v>8092924534</v>
      </c>
      <c r="H6159" s="10" t="s">
        <v>13400</v>
      </c>
      <c r="I6159" s="10" t="s">
        <v>45</v>
      </c>
      <c r="J6159" s="10" t="s">
        <v>2331</v>
      </c>
      <c r="K6159" s="12">
        <v>46031</v>
      </c>
      <c r="L6159" s="28" t="s">
        <v>11</v>
      </c>
      <c r="M6159" s="14"/>
      <c r="N6159" s="10" t="s">
        <v>1028</v>
      </c>
    </row>
    <row r="6160" spans="1:14" ht="22.5" customHeight="1">
      <c r="A6160" s="8">
        <v>46031.442063472219</v>
      </c>
      <c r="B6160" s="9" t="s">
        <v>14</v>
      </c>
      <c r="C6160" s="9" t="s">
        <v>15</v>
      </c>
      <c r="D6160" s="10" t="s">
        <v>13401</v>
      </c>
      <c r="E6160" s="9" t="s">
        <v>22</v>
      </c>
      <c r="F6160" s="10">
        <v>26</v>
      </c>
      <c r="G6160" s="11">
        <v>8131888138</v>
      </c>
      <c r="H6160" s="10" t="s">
        <v>13402</v>
      </c>
      <c r="I6160" s="10" t="s">
        <v>27</v>
      </c>
      <c r="J6160" s="10" t="s">
        <v>372</v>
      </c>
      <c r="K6160" s="12">
        <v>46030</v>
      </c>
      <c r="L6160" s="28" t="s">
        <v>11</v>
      </c>
      <c r="M6160" s="10"/>
      <c r="N6160" s="10" t="s">
        <v>1028</v>
      </c>
    </row>
    <row r="6161" spans="1:14" ht="22.5" customHeight="1">
      <c r="A6161" s="8">
        <v>46031.442154432865</v>
      </c>
      <c r="B6161" s="9" t="s">
        <v>14</v>
      </c>
      <c r="C6161" s="9" t="s">
        <v>15</v>
      </c>
      <c r="D6161" s="10" t="s">
        <v>13403</v>
      </c>
      <c r="E6161" s="9" t="s">
        <v>22</v>
      </c>
      <c r="F6161" s="10">
        <v>25</v>
      </c>
      <c r="G6161" s="11">
        <v>8146647125</v>
      </c>
      <c r="H6161" s="10" t="s">
        <v>13404</v>
      </c>
      <c r="I6161" s="10" t="s">
        <v>27</v>
      </c>
      <c r="J6161" s="10" t="s">
        <v>70</v>
      </c>
      <c r="K6161" s="12">
        <v>46031</v>
      </c>
      <c r="L6161" s="28" t="s">
        <v>11</v>
      </c>
      <c r="M6161" s="14"/>
      <c r="N6161" s="10" t="s">
        <v>1028</v>
      </c>
    </row>
    <row r="6162" spans="1:14" ht="22.5" customHeight="1">
      <c r="A6162" s="8">
        <v>46031.443316122684</v>
      </c>
      <c r="B6162" s="9" t="s">
        <v>14</v>
      </c>
      <c r="C6162" s="9" t="s">
        <v>15</v>
      </c>
      <c r="D6162" s="10" t="s">
        <v>13405</v>
      </c>
      <c r="E6162" s="9" t="s">
        <v>17</v>
      </c>
      <c r="F6162" s="10">
        <v>33</v>
      </c>
      <c r="G6162" s="11">
        <v>7062902968</v>
      </c>
      <c r="H6162" s="10" t="s">
        <v>13406</v>
      </c>
      <c r="I6162" s="10" t="s">
        <v>49</v>
      </c>
      <c r="J6162" s="10" t="s">
        <v>160</v>
      </c>
      <c r="K6162" s="12">
        <v>46031</v>
      </c>
      <c r="L6162" s="28" t="s">
        <v>11</v>
      </c>
      <c r="M6162" s="14"/>
      <c r="N6162" s="10" t="s">
        <v>1028</v>
      </c>
    </row>
    <row r="6163" spans="1:14" ht="22.5" customHeight="1">
      <c r="A6163" s="8">
        <v>46031.443803101851</v>
      </c>
      <c r="B6163" s="9" t="s">
        <v>14</v>
      </c>
      <c r="C6163" s="9" t="s">
        <v>15</v>
      </c>
      <c r="D6163" s="10" t="s">
        <v>13407</v>
      </c>
      <c r="E6163" s="9" t="s">
        <v>17</v>
      </c>
      <c r="F6163" s="10">
        <v>32</v>
      </c>
      <c r="G6163" s="11">
        <v>8063336123</v>
      </c>
      <c r="H6163" s="10" t="s">
        <v>13408</v>
      </c>
      <c r="I6163" s="10" t="s">
        <v>27</v>
      </c>
      <c r="J6163" s="10" t="s">
        <v>13409</v>
      </c>
      <c r="K6163" s="12">
        <v>46031</v>
      </c>
      <c r="L6163" s="28" t="s">
        <v>11</v>
      </c>
      <c r="M6163" s="14"/>
      <c r="N6163" s="10" t="s">
        <v>1028</v>
      </c>
    </row>
    <row r="6164" spans="1:14" ht="22.5" customHeight="1">
      <c r="A6164" s="8">
        <v>46031.448504016204</v>
      </c>
      <c r="B6164" s="9" t="s">
        <v>14</v>
      </c>
      <c r="C6164" s="9" t="s">
        <v>15</v>
      </c>
      <c r="D6164" s="10" t="s">
        <v>13410</v>
      </c>
      <c r="E6164" s="9" t="s">
        <v>17</v>
      </c>
      <c r="F6164" s="10">
        <v>19</v>
      </c>
      <c r="G6164" s="11">
        <v>8108416164</v>
      </c>
      <c r="H6164" s="10" t="s">
        <v>13411</v>
      </c>
      <c r="I6164" s="10" t="s">
        <v>202</v>
      </c>
      <c r="J6164" s="10" t="s">
        <v>3396</v>
      </c>
      <c r="K6164" s="12">
        <v>46031</v>
      </c>
      <c r="L6164" s="28" t="s">
        <v>11</v>
      </c>
      <c r="M6164" s="14"/>
      <c r="N6164" s="10" t="s">
        <v>1028</v>
      </c>
    </row>
    <row r="6165" spans="1:14" ht="22.5" customHeight="1">
      <c r="A6165" s="8">
        <v>46031.449316388884</v>
      </c>
      <c r="B6165" s="9" t="s">
        <v>14</v>
      </c>
      <c r="C6165" s="9" t="s">
        <v>15</v>
      </c>
      <c r="D6165" s="10" t="s">
        <v>13412</v>
      </c>
      <c r="E6165" s="9" t="s">
        <v>17</v>
      </c>
      <c r="F6165" s="10">
        <v>35</v>
      </c>
      <c r="G6165" s="11">
        <v>8069484734</v>
      </c>
      <c r="H6165" s="10" t="s">
        <v>13413</v>
      </c>
      <c r="I6165" s="10" t="s">
        <v>27</v>
      </c>
      <c r="J6165" s="10" t="s">
        <v>13414</v>
      </c>
      <c r="K6165" s="12">
        <v>46031</v>
      </c>
      <c r="L6165" s="28" t="s">
        <v>11</v>
      </c>
      <c r="M6165" s="14"/>
      <c r="N6165" s="10" t="s">
        <v>1096</v>
      </c>
    </row>
    <row r="6166" spans="1:14" ht="22.5" customHeight="1">
      <c r="A6166" s="8">
        <v>46031.449856296298</v>
      </c>
      <c r="B6166" s="9" t="s">
        <v>14</v>
      </c>
      <c r="C6166" s="9" t="s">
        <v>15</v>
      </c>
      <c r="D6166" s="10" t="s">
        <v>13415</v>
      </c>
      <c r="E6166" s="9" t="s">
        <v>22</v>
      </c>
      <c r="F6166" s="10">
        <v>26</v>
      </c>
      <c r="G6166" s="11">
        <v>7026999016</v>
      </c>
      <c r="H6166" s="10" t="s">
        <v>13416</v>
      </c>
      <c r="I6166" s="10" t="s">
        <v>27</v>
      </c>
      <c r="J6166" s="10" t="s">
        <v>1907</v>
      </c>
      <c r="K6166" s="12">
        <v>36648</v>
      </c>
      <c r="L6166" s="28" t="s">
        <v>11</v>
      </c>
      <c r="M6166" s="10"/>
      <c r="N6166" s="10" t="s">
        <v>7170</v>
      </c>
    </row>
    <row r="6167" spans="1:14" ht="22.5" customHeight="1">
      <c r="A6167" s="8">
        <v>46031.453170381945</v>
      </c>
      <c r="B6167" s="9" t="s">
        <v>14</v>
      </c>
      <c r="C6167" s="9" t="s">
        <v>15</v>
      </c>
      <c r="D6167" s="10" t="s">
        <v>13417</v>
      </c>
      <c r="E6167" s="9" t="s">
        <v>17</v>
      </c>
      <c r="F6167" s="10">
        <v>35</v>
      </c>
      <c r="G6167" s="11">
        <v>8163459816</v>
      </c>
      <c r="H6167" s="10" t="s">
        <v>13418</v>
      </c>
      <c r="I6167" s="10" t="s">
        <v>19</v>
      </c>
      <c r="J6167" s="10" t="s">
        <v>2311</v>
      </c>
      <c r="K6167" s="12">
        <v>46031</v>
      </c>
      <c r="L6167" s="28" t="s">
        <v>11</v>
      </c>
      <c r="M6167" s="14"/>
      <c r="N6167" s="10" t="s">
        <v>1028</v>
      </c>
    </row>
    <row r="6168" spans="1:14" ht="22.5" customHeight="1">
      <c r="A6168" s="8">
        <v>46031.453895613427</v>
      </c>
      <c r="B6168" s="9" t="s">
        <v>14</v>
      </c>
      <c r="C6168" s="9" t="s">
        <v>15</v>
      </c>
      <c r="D6168" s="10" t="s">
        <v>5449</v>
      </c>
      <c r="E6168" s="9" t="s">
        <v>17</v>
      </c>
      <c r="F6168" s="10">
        <v>26</v>
      </c>
      <c r="G6168" s="11">
        <v>8023720356</v>
      </c>
      <c r="H6168" s="10" t="s">
        <v>5450</v>
      </c>
      <c r="I6168" s="10" t="s">
        <v>27</v>
      </c>
      <c r="J6168" s="10" t="s">
        <v>1293</v>
      </c>
      <c r="K6168" s="12">
        <v>46031</v>
      </c>
      <c r="L6168" s="28" t="s">
        <v>11</v>
      </c>
      <c r="M6168" s="14"/>
      <c r="N6168" s="10" t="s">
        <v>1028</v>
      </c>
    </row>
    <row r="6169" spans="1:14" ht="22.5" customHeight="1">
      <c r="A6169" s="8">
        <v>46031.454206655093</v>
      </c>
      <c r="B6169" s="9" t="s">
        <v>14</v>
      </c>
      <c r="C6169" s="9" t="s">
        <v>15</v>
      </c>
      <c r="D6169" s="10" t="s">
        <v>13419</v>
      </c>
      <c r="E6169" s="9" t="s">
        <v>17</v>
      </c>
      <c r="F6169" s="10">
        <v>28</v>
      </c>
      <c r="G6169" s="11">
        <v>8038523403</v>
      </c>
      <c r="H6169" s="10" t="s">
        <v>13420</v>
      </c>
      <c r="I6169" s="10" t="s">
        <v>27</v>
      </c>
      <c r="J6169" s="10" t="s">
        <v>172</v>
      </c>
      <c r="K6169" s="12">
        <v>46031</v>
      </c>
      <c r="L6169" s="28" t="s">
        <v>11</v>
      </c>
      <c r="M6169" s="14"/>
      <c r="N6169" s="10" t="s">
        <v>1028</v>
      </c>
    </row>
    <row r="6170" spans="1:14" ht="22.5" customHeight="1">
      <c r="A6170" s="8">
        <v>46031.454324143517</v>
      </c>
      <c r="B6170" s="9" t="s">
        <v>14</v>
      </c>
      <c r="C6170" s="9" t="s">
        <v>15</v>
      </c>
      <c r="D6170" s="10" t="s">
        <v>13421</v>
      </c>
      <c r="E6170" s="9" t="s">
        <v>17</v>
      </c>
      <c r="F6170" s="10">
        <v>35</v>
      </c>
      <c r="G6170" s="11">
        <v>8038653855</v>
      </c>
      <c r="H6170" s="10" t="s">
        <v>13422</v>
      </c>
      <c r="I6170" s="10" t="s">
        <v>19</v>
      </c>
      <c r="J6170" s="10" t="s">
        <v>166</v>
      </c>
      <c r="K6170" s="12">
        <v>46031</v>
      </c>
      <c r="L6170" s="28" t="s">
        <v>11</v>
      </c>
      <c r="M6170" s="14"/>
      <c r="N6170" s="10" t="s">
        <v>1028</v>
      </c>
    </row>
    <row r="6171" spans="1:14" ht="22.5" customHeight="1">
      <c r="A6171" s="8">
        <v>46031.455245173609</v>
      </c>
      <c r="B6171" s="9" t="s">
        <v>14</v>
      </c>
      <c r="C6171" s="9" t="s">
        <v>15</v>
      </c>
      <c r="D6171" s="10" t="s">
        <v>13423</v>
      </c>
      <c r="E6171" s="9" t="s">
        <v>22</v>
      </c>
      <c r="F6171" s="10">
        <v>28</v>
      </c>
      <c r="G6171" s="11">
        <v>9019247311</v>
      </c>
      <c r="H6171" s="10" t="s">
        <v>13424</v>
      </c>
      <c r="I6171" s="10" t="s">
        <v>49</v>
      </c>
      <c r="J6171" s="10" t="s">
        <v>362</v>
      </c>
      <c r="K6171" s="12">
        <v>46031</v>
      </c>
      <c r="L6171" s="28" t="s">
        <v>11</v>
      </c>
      <c r="M6171" s="14"/>
      <c r="N6171" s="10" t="s">
        <v>1028</v>
      </c>
    </row>
    <row r="6172" spans="1:14" ht="22.5" customHeight="1">
      <c r="A6172" s="8">
        <v>46031.455690243056</v>
      </c>
      <c r="B6172" s="9" t="s">
        <v>14</v>
      </c>
      <c r="C6172" s="9" t="s">
        <v>15</v>
      </c>
      <c r="D6172" s="10" t="s">
        <v>13425</v>
      </c>
      <c r="E6172" s="9" t="s">
        <v>22</v>
      </c>
      <c r="F6172" s="19">
        <v>29</v>
      </c>
      <c r="G6172" s="11">
        <v>788566530</v>
      </c>
      <c r="H6172" s="10" t="s">
        <v>13426</v>
      </c>
      <c r="I6172" s="10" t="s">
        <v>202</v>
      </c>
      <c r="J6172" s="10" t="s">
        <v>13391</v>
      </c>
      <c r="K6172" s="12">
        <v>46031</v>
      </c>
      <c r="L6172" s="28" t="s">
        <v>11</v>
      </c>
      <c r="M6172" s="14"/>
      <c r="N6172" s="10" t="s">
        <v>1028</v>
      </c>
    </row>
    <row r="6173" spans="1:14" ht="22.5" customHeight="1">
      <c r="A6173" s="8">
        <v>46031.456675844907</v>
      </c>
      <c r="B6173" s="9" t="s">
        <v>14</v>
      </c>
      <c r="C6173" s="9" t="s">
        <v>15</v>
      </c>
      <c r="D6173" s="10" t="s">
        <v>13427</v>
      </c>
      <c r="E6173" s="9" t="s">
        <v>17</v>
      </c>
      <c r="F6173" s="10">
        <v>32</v>
      </c>
      <c r="G6173" s="11">
        <f>2349042524901</f>
        <v>2349042524901</v>
      </c>
      <c r="H6173" s="10" t="s">
        <v>13428</v>
      </c>
      <c r="I6173" s="10" t="s">
        <v>145</v>
      </c>
      <c r="J6173" s="10" t="s">
        <v>13429</v>
      </c>
      <c r="K6173" s="12">
        <v>46031</v>
      </c>
      <c r="L6173" s="28" t="s">
        <v>11</v>
      </c>
      <c r="M6173" s="14"/>
      <c r="N6173" s="10" t="s">
        <v>1028</v>
      </c>
    </row>
    <row r="6174" spans="1:14" ht="22.5" customHeight="1">
      <c r="A6174" s="8">
        <v>46031.456975347217</v>
      </c>
      <c r="B6174" s="9" t="s">
        <v>14</v>
      </c>
      <c r="C6174" s="9" t="s">
        <v>15</v>
      </c>
      <c r="D6174" s="10" t="s">
        <v>13430</v>
      </c>
      <c r="E6174" s="9" t="s">
        <v>17</v>
      </c>
      <c r="F6174" s="18">
        <v>20</v>
      </c>
      <c r="G6174" s="11">
        <v>9069610793</v>
      </c>
      <c r="H6174" s="10" t="s">
        <v>13431</v>
      </c>
      <c r="I6174" s="10" t="s">
        <v>27</v>
      </c>
      <c r="J6174" s="10" t="s">
        <v>13432</v>
      </c>
      <c r="K6174" s="12">
        <v>46031</v>
      </c>
      <c r="L6174" s="28" t="s">
        <v>11</v>
      </c>
      <c r="M6174" s="10"/>
      <c r="N6174" s="10" t="s">
        <v>13433</v>
      </c>
    </row>
    <row r="6175" spans="1:14" ht="22.5" customHeight="1">
      <c r="A6175" s="8">
        <v>46031.457422025458</v>
      </c>
      <c r="B6175" s="9" t="s">
        <v>14</v>
      </c>
      <c r="C6175" s="9" t="s">
        <v>15</v>
      </c>
      <c r="D6175" s="10" t="s">
        <v>13434</v>
      </c>
      <c r="E6175" s="9" t="s">
        <v>17</v>
      </c>
      <c r="F6175" s="10">
        <v>33</v>
      </c>
      <c r="G6175" s="11">
        <v>7037001725</v>
      </c>
      <c r="H6175" s="10" t="s">
        <v>13435</v>
      </c>
      <c r="I6175" s="10" t="s">
        <v>49</v>
      </c>
      <c r="J6175" s="10" t="s">
        <v>73</v>
      </c>
      <c r="K6175" s="12">
        <v>46031</v>
      </c>
      <c r="L6175" s="28" t="s">
        <v>11</v>
      </c>
      <c r="M6175" s="14"/>
      <c r="N6175" s="10" t="s">
        <v>1028</v>
      </c>
    </row>
    <row r="6176" spans="1:14" ht="22.5" customHeight="1">
      <c r="A6176" s="8">
        <v>46031.457743032406</v>
      </c>
      <c r="B6176" s="9" t="s">
        <v>14</v>
      </c>
      <c r="C6176" s="9" t="s">
        <v>15</v>
      </c>
      <c r="D6176" s="10" t="s">
        <v>13436</v>
      </c>
      <c r="E6176" s="9" t="s">
        <v>22</v>
      </c>
      <c r="F6176" s="10">
        <v>27</v>
      </c>
      <c r="G6176" s="11">
        <v>9038805845</v>
      </c>
      <c r="H6176" s="10" t="s">
        <v>13437</v>
      </c>
      <c r="I6176" s="10" t="s">
        <v>145</v>
      </c>
      <c r="J6176" s="10" t="s">
        <v>1607</v>
      </c>
      <c r="K6176" s="12">
        <v>46031</v>
      </c>
      <c r="L6176" s="28" t="s">
        <v>11</v>
      </c>
      <c r="M6176" s="14"/>
      <c r="N6176" s="10" t="s">
        <v>1028</v>
      </c>
    </row>
    <row r="6177" spans="1:14" ht="22.5" customHeight="1">
      <c r="A6177" s="8">
        <v>46031.458403506942</v>
      </c>
      <c r="B6177" s="9" t="s">
        <v>14</v>
      </c>
      <c r="C6177" s="9" t="s">
        <v>15</v>
      </c>
      <c r="D6177" s="10" t="s">
        <v>13438</v>
      </c>
      <c r="E6177" s="9" t="s">
        <v>17</v>
      </c>
      <c r="F6177" s="10">
        <v>39</v>
      </c>
      <c r="G6177" s="11">
        <v>8066948568</v>
      </c>
      <c r="H6177" s="10" t="s">
        <v>13439</v>
      </c>
      <c r="I6177" s="10" t="s">
        <v>27</v>
      </c>
      <c r="J6177" s="10" t="s">
        <v>372</v>
      </c>
      <c r="K6177" s="12">
        <v>46031</v>
      </c>
      <c r="L6177" s="28" t="s">
        <v>11</v>
      </c>
      <c r="M6177" s="14"/>
      <c r="N6177" s="10" t="s">
        <v>1028</v>
      </c>
    </row>
    <row r="6178" spans="1:14" ht="22.5" customHeight="1">
      <c r="A6178" s="8">
        <v>46031.459881273149</v>
      </c>
      <c r="B6178" s="9" t="s">
        <v>14</v>
      </c>
      <c r="C6178" s="9" t="s">
        <v>15</v>
      </c>
      <c r="D6178" s="10" t="s">
        <v>13440</v>
      </c>
      <c r="E6178" s="9" t="s">
        <v>17</v>
      </c>
      <c r="F6178" s="10">
        <v>27</v>
      </c>
      <c r="G6178" s="11">
        <v>9036481431</v>
      </c>
      <c r="H6178" s="10" t="s">
        <v>13441</v>
      </c>
      <c r="I6178" s="10" t="s">
        <v>31</v>
      </c>
      <c r="J6178" s="10" t="s">
        <v>1582</v>
      </c>
      <c r="K6178" s="12">
        <v>36051</v>
      </c>
      <c r="L6178" s="28" t="s">
        <v>11</v>
      </c>
      <c r="M6178" s="14"/>
      <c r="N6178" s="10" t="s">
        <v>1028</v>
      </c>
    </row>
    <row r="6179" spans="1:14" ht="22.5" customHeight="1">
      <c r="A6179" s="8">
        <v>46031.460104201389</v>
      </c>
      <c r="B6179" s="9" t="s">
        <v>14</v>
      </c>
      <c r="C6179" s="9" t="s">
        <v>15</v>
      </c>
      <c r="D6179" s="10" t="s">
        <v>13442</v>
      </c>
      <c r="E6179" s="9" t="s">
        <v>17</v>
      </c>
      <c r="F6179" s="10">
        <v>24</v>
      </c>
      <c r="G6179" s="11">
        <v>7053827625</v>
      </c>
      <c r="H6179" s="10" t="s">
        <v>13443</v>
      </c>
      <c r="I6179" s="10" t="s">
        <v>27</v>
      </c>
      <c r="J6179" s="10" t="s">
        <v>1890</v>
      </c>
      <c r="K6179" s="12">
        <v>46031</v>
      </c>
      <c r="L6179" s="28" t="s">
        <v>11</v>
      </c>
      <c r="M6179" s="14"/>
      <c r="N6179" s="10" t="s">
        <v>1028</v>
      </c>
    </row>
    <row r="6180" spans="1:14" ht="22.5" customHeight="1">
      <c r="A6180" s="8">
        <v>46031.468900648149</v>
      </c>
      <c r="B6180" s="9" t="s">
        <v>14</v>
      </c>
      <c r="C6180" s="9" t="s">
        <v>15</v>
      </c>
      <c r="D6180" s="10" t="s">
        <v>13444</v>
      </c>
      <c r="E6180" s="9" t="s">
        <v>22</v>
      </c>
      <c r="F6180" s="10">
        <v>33</v>
      </c>
      <c r="G6180" s="11">
        <v>9068393106</v>
      </c>
      <c r="H6180" s="10" t="s">
        <v>13445</v>
      </c>
      <c r="I6180" s="10" t="s">
        <v>49</v>
      </c>
      <c r="J6180" s="10" t="s">
        <v>50</v>
      </c>
      <c r="K6180" s="12">
        <v>46031</v>
      </c>
      <c r="L6180" s="28" t="s">
        <v>11</v>
      </c>
      <c r="M6180" s="14"/>
      <c r="N6180" s="10" t="s">
        <v>1028</v>
      </c>
    </row>
    <row r="6181" spans="1:14" ht="22.5" customHeight="1">
      <c r="A6181" s="8">
        <v>46031.469034201393</v>
      </c>
      <c r="B6181" s="9" t="s">
        <v>14</v>
      </c>
      <c r="C6181" s="9" t="s">
        <v>15</v>
      </c>
      <c r="D6181" s="10" t="s">
        <v>13446</v>
      </c>
      <c r="E6181" s="9" t="s">
        <v>17</v>
      </c>
      <c r="F6181" s="10">
        <v>29</v>
      </c>
      <c r="G6181" s="11">
        <v>9075100032</v>
      </c>
      <c r="H6181" s="10" t="s">
        <v>13447</v>
      </c>
      <c r="I6181" s="10" t="s">
        <v>27</v>
      </c>
      <c r="J6181" s="10" t="s">
        <v>28</v>
      </c>
      <c r="K6181" s="12">
        <v>46031</v>
      </c>
      <c r="L6181" s="28" t="s">
        <v>11</v>
      </c>
      <c r="M6181" s="10"/>
      <c r="N6181" s="10" t="s">
        <v>1096</v>
      </c>
    </row>
    <row r="6182" spans="1:14" ht="22.5" customHeight="1">
      <c r="A6182" s="8">
        <v>46031.472228888888</v>
      </c>
      <c r="B6182" s="9" t="s">
        <v>14</v>
      </c>
      <c r="C6182" s="9" t="s">
        <v>15</v>
      </c>
      <c r="D6182" s="10" t="s">
        <v>9669</v>
      </c>
      <c r="E6182" s="9" t="s">
        <v>17</v>
      </c>
      <c r="F6182" s="10">
        <v>34</v>
      </c>
      <c r="G6182" s="11">
        <v>9063992247</v>
      </c>
      <c r="H6182" s="10" t="s">
        <v>9670</v>
      </c>
      <c r="I6182" s="10" t="s">
        <v>19</v>
      </c>
      <c r="J6182" s="10" t="s">
        <v>13448</v>
      </c>
      <c r="K6182" s="12">
        <v>46031</v>
      </c>
      <c r="L6182" s="28" t="s">
        <v>11</v>
      </c>
      <c r="M6182" s="14"/>
      <c r="N6182" s="10" t="s">
        <v>1028</v>
      </c>
    </row>
    <row r="6183" spans="1:14" ht="22.5" customHeight="1">
      <c r="A6183" s="8">
        <v>46031.472414872682</v>
      </c>
      <c r="B6183" s="9" t="s">
        <v>14</v>
      </c>
      <c r="C6183" s="9" t="s">
        <v>15</v>
      </c>
      <c r="D6183" s="10" t="s">
        <v>13449</v>
      </c>
      <c r="E6183" s="9" t="s">
        <v>17</v>
      </c>
      <c r="F6183" s="10">
        <v>26</v>
      </c>
      <c r="G6183" s="11">
        <v>8164787069</v>
      </c>
      <c r="H6183" s="10" t="s">
        <v>13450</v>
      </c>
      <c r="I6183" s="10" t="s">
        <v>45</v>
      </c>
      <c r="J6183" s="10" t="s">
        <v>279</v>
      </c>
      <c r="K6183" s="12">
        <v>46031</v>
      </c>
      <c r="L6183" s="28" t="s">
        <v>11</v>
      </c>
      <c r="M6183" s="14"/>
      <c r="N6183" s="10" t="s">
        <v>1028</v>
      </c>
    </row>
    <row r="6184" spans="1:14" ht="22.5" customHeight="1">
      <c r="A6184" s="8">
        <v>46031.473617326388</v>
      </c>
      <c r="B6184" s="9" t="s">
        <v>14</v>
      </c>
      <c r="C6184" s="9" t="s">
        <v>15</v>
      </c>
      <c r="D6184" s="10" t="s">
        <v>13451</v>
      </c>
      <c r="E6184" s="9" t="s">
        <v>22</v>
      </c>
      <c r="F6184" s="10">
        <v>33</v>
      </c>
      <c r="G6184" s="11">
        <v>9074894460</v>
      </c>
      <c r="H6184" s="10" t="s">
        <v>13452</v>
      </c>
      <c r="I6184" s="10" t="s">
        <v>27</v>
      </c>
      <c r="J6184" s="10" t="s">
        <v>372</v>
      </c>
      <c r="K6184" s="12">
        <v>46031</v>
      </c>
      <c r="L6184" s="28" t="s">
        <v>11</v>
      </c>
      <c r="M6184" s="14"/>
      <c r="N6184" s="10" t="s">
        <v>1028</v>
      </c>
    </row>
    <row r="6185" spans="1:14" ht="22.5" customHeight="1">
      <c r="A6185" s="8">
        <v>46031.474295173612</v>
      </c>
      <c r="B6185" s="9" t="s">
        <v>14</v>
      </c>
      <c r="C6185" s="9" t="s">
        <v>15</v>
      </c>
      <c r="D6185" s="10" t="s">
        <v>13453</v>
      </c>
      <c r="E6185" s="9" t="s">
        <v>17</v>
      </c>
      <c r="F6185" s="10">
        <v>25</v>
      </c>
      <c r="G6185" s="11">
        <f t="shared" ref="G6185" si="183">2348129144668</f>
        <v>2348129144668</v>
      </c>
      <c r="H6185" s="10" t="s">
        <v>13454</v>
      </c>
      <c r="I6185" s="10" t="s">
        <v>27</v>
      </c>
      <c r="J6185" s="10" t="s">
        <v>70</v>
      </c>
      <c r="K6185" s="12">
        <v>46031</v>
      </c>
      <c r="L6185" s="28" t="s">
        <v>11</v>
      </c>
      <c r="M6185" s="14"/>
      <c r="N6185" s="10" t="s">
        <v>1028</v>
      </c>
    </row>
    <row r="6186" spans="1:14" ht="22.5" customHeight="1">
      <c r="A6186" s="8">
        <v>46031.474797905088</v>
      </c>
      <c r="B6186" s="9" t="s">
        <v>14</v>
      </c>
      <c r="C6186" s="9" t="s">
        <v>15</v>
      </c>
      <c r="D6186" s="10" t="s">
        <v>13455</v>
      </c>
      <c r="E6186" s="9" t="s">
        <v>17</v>
      </c>
      <c r="F6186" s="10">
        <v>30</v>
      </c>
      <c r="G6186" s="11">
        <v>9036169531</v>
      </c>
      <c r="H6186" s="10" t="s">
        <v>13456</v>
      </c>
      <c r="I6186" s="10" t="s">
        <v>145</v>
      </c>
      <c r="J6186" s="10" t="s">
        <v>13457</v>
      </c>
      <c r="K6186" s="12">
        <v>46031</v>
      </c>
      <c r="L6186" s="28" t="s">
        <v>11</v>
      </c>
      <c r="M6186" s="14"/>
      <c r="N6186" s="10" t="s">
        <v>1028</v>
      </c>
    </row>
    <row r="6187" spans="1:14" ht="22.5" customHeight="1">
      <c r="A6187" s="8">
        <v>46031.475234039353</v>
      </c>
      <c r="B6187" s="9" t="s">
        <v>14</v>
      </c>
      <c r="C6187" s="9" t="s">
        <v>15</v>
      </c>
      <c r="D6187" s="10" t="s">
        <v>13458</v>
      </c>
      <c r="E6187" s="9" t="s">
        <v>17</v>
      </c>
      <c r="F6187" s="10">
        <v>29</v>
      </c>
      <c r="G6187" s="11">
        <v>8130222436</v>
      </c>
      <c r="H6187" s="10" t="s">
        <v>13459</v>
      </c>
      <c r="I6187" s="10" t="s">
        <v>45</v>
      </c>
      <c r="J6187" s="10" t="s">
        <v>13460</v>
      </c>
      <c r="K6187" s="12">
        <v>46031</v>
      </c>
      <c r="L6187" s="28" t="s">
        <v>11</v>
      </c>
      <c r="M6187" s="14"/>
      <c r="N6187" s="10" t="s">
        <v>1028</v>
      </c>
    </row>
    <row r="6188" spans="1:14" ht="22.5" customHeight="1">
      <c r="A6188" s="8">
        <v>46031.47748538194</v>
      </c>
      <c r="B6188" s="9" t="s">
        <v>14</v>
      </c>
      <c r="C6188" s="9" t="s">
        <v>15</v>
      </c>
      <c r="D6188" s="10" t="s">
        <v>13461</v>
      </c>
      <c r="E6188" s="9" t="s">
        <v>17</v>
      </c>
      <c r="F6188" s="10">
        <v>26</v>
      </c>
      <c r="G6188" s="11">
        <v>9054154276</v>
      </c>
      <c r="H6188" s="10" t="s">
        <v>13462</v>
      </c>
      <c r="I6188" s="10" t="s">
        <v>45</v>
      </c>
      <c r="J6188" s="10" t="s">
        <v>932</v>
      </c>
      <c r="K6188" s="12">
        <v>46031</v>
      </c>
      <c r="L6188" s="28" t="s">
        <v>11</v>
      </c>
      <c r="M6188" s="14"/>
      <c r="N6188" s="10" t="s">
        <v>1028</v>
      </c>
    </row>
    <row r="6189" spans="1:14" ht="22.5" customHeight="1">
      <c r="A6189" s="8">
        <v>46031.478979143518</v>
      </c>
      <c r="B6189" s="9" t="s">
        <v>14</v>
      </c>
      <c r="C6189" s="9" t="s">
        <v>15</v>
      </c>
      <c r="D6189" s="10" t="s">
        <v>2970</v>
      </c>
      <c r="E6189" s="9" t="s">
        <v>17</v>
      </c>
      <c r="F6189" s="10">
        <v>25</v>
      </c>
      <c r="G6189" s="11">
        <v>8163845405</v>
      </c>
      <c r="H6189" s="10" t="s">
        <v>13463</v>
      </c>
      <c r="I6189" s="10" t="s">
        <v>27</v>
      </c>
      <c r="J6189" s="10" t="s">
        <v>1585</v>
      </c>
      <c r="K6189" s="12">
        <v>46031</v>
      </c>
      <c r="L6189" s="28" t="s">
        <v>11</v>
      </c>
      <c r="M6189" s="14"/>
      <c r="N6189" s="10" t="s">
        <v>1028</v>
      </c>
    </row>
    <row r="6190" spans="1:14" ht="22.5" customHeight="1">
      <c r="A6190" s="8">
        <v>46031.48126158565</v>
      </c>
      <c r="B6190" s="9" t="s">
        <v>14</v>
      </c>
      <c r="C6190" s="9" t="s">
        <v>15</v>
      </c>
      <c r="D6190" s="10" t="s">
        <v>13464</v>
      </c>
      <c r="E6190" s="9" t="s">
        <v>22</v>
      </c>
      <c r="F6190" s="10">
        <v>29</v>
      </c>
      <c r="G6190" s="11">
        <v>788566530</v>
      </c>
      <c r="H6190" s="10" t="s">
        <v>13465</v>
      </c>
      <c r="I6190" s="10" t="s">
        <v>202</v>
      </c>
      <c r="J6190" s="10" t="s">
        <v>13391</v>
      </c>
      <c r="K6190" s="12">
        <v>46031</v>
      </c>
      <c r="L6190" s="28" t="s">
        <v>11</v>
      </c>
      <c r="M6190" s="14"/>
      <c r="N6190" s="10" t="s">
        <v>1028</v>
      </c>
    </row>
    <row r="6191" spans="1:14" ht="22.5" customHeight="1">
      <c r="A6191" s="8">
        <v>46031.481684363425</v>
      </c>
      <c r="B6191" s="9" t="s">
        <v>14</v>
      </c>
      <c r="C6191" s="9" t="s">
        <v>15</v>
      </c>
      <c r="D6191" s="10" t="s">
        <v>13466</v>
      </c>
      <c r="E6191" s="9" t="s">
        <v>17</v>
      </c>
      <c r="F6191" s="10">
        <v>35</v>
      </c>
      <c r="G6191" s="11">
        <v>8034523971</v>
      </c>
      <c r="H6191" s="10" t="s">
        <v>13467</v>
      </c>
      <c r="I6191" s="10" t="s">
        <v>27</v>
      </c>
      <c r="J6191" s="10" t="s">
        <v>13468</v>
      </c>
      <c r="K6191" s="12">
        <v>46031</v>
      </c>
      <c r="L6191" s="28" t="s">
        <v>11</v>
      </c>
      <c r="M6191" s="14"/>
      <c r="N6191" s="10" t="s">
        <v>1028</v>
      </c>
    </row>
    <row r="6192" spans="1:14" ht="22.5" customHeight="1">
      <c r="A6192" s="8">
        <v>46031.482091990736</v>
      </c>
      <c r="B6192" s="9" t="s">
        <v>14</v>
      </c>
      <c r="C6192" s="9" t="s">
        <v>15</v>
      </c>
      <c r="D6192" s="10" t="s">
        <v>13469</v>
      </c>
      <c r="E6192" s="9" t="s">
        <v>17</v>
      </c>
      <c r="F6192" s="10">
        <v>27</v>
      </c>
      <c r="G6192" s="11">
        <v>9033353846</v>
      </c>
      <c r="H6192" s="10" t="s">
        <v>13470</v>
      </c>
      <c r="I6192" s="10" t="s">
        <v>45</v>
      </c>
      <c r="J6192" s="10" t="s">
        <v>688</v>
      </c>
      <c r="K6192" s="12">
        <v>46031</v>
      </c>
      <c r="L6192" s="28" t="s">
        <v>11</v>
      </c>
      <c r="M6192" s="10"/>
      <c r="N6192" s="10" t="s">
        <v>1028</v>
      </c>
    </row>
    <row r="6193" spans="1:14" ht="22.5" customHeight="1">
      <c r="A6193" s="8">
        <v>46031.482523738421</v>
      </c>
      <c r="B6193" s="9" t="s">
        <v>14</v>
      </c>
      <c r="C6193" s="9" t="s">
        <v>15</v>
      </c>
      <c r="D6193" s="10" t="s">
        <v>13471</v>
      </c>
      <c r="E6193" s="9" t="s">
        <v>17</v>
      </c>
      <c r="F6193" s="10">
        <v>31</v>
      </c>
      <c r="G6193" s="11">
        <v>8062576909</v>
      </c>
      <c r="H6193" s="10" t="s">
        <v>13472</v>
      </c>
      <c r="I6193" s="10" t="s">
        <v>27</v>
      </c>
      <c r="J6193" s="10" t="s">
        <v>2836</v>
      </c>
      <c r="K6193" s="12">
        <v>46031</v>
      </c>
      <c r="L6193" s="28" t="s">
        <v>11</v>
      </c>
      <c r="M6193" s="14"/>
      <c r="N6193" s="10" t="s">
        <v>1028</v>
      </c>
    </row>
    <row r="6194" spans="1:14" ht="22.5" customHeight="1">
      <c r="A6194" s="8">
        <v>46031.482746516209</v>
      </c>
      <c r="B6194" s="9" t="s">
        <v>14</v>
      </c>
      <c r="C6194" s="9" t="s">
        <v>15</v>
      </c>
      <c r="D6194" s="10" t="s">
        <v>13473</v>
      </c>
      <c r="E6194" s="9" t="s">
        <v>22</v>
      </c>
      <c r="F6194" s="10">
        <v>26</v>
      </c>
      <c r="G6194" s="11">
        <v>9063546098</v>
      </c>
      <c r="H6194" s="10" t="s">
        <v>13474</v>
      </c>
      <c r="I6194" s="10" t="s">
        <v>145</v>
      </c>
      <c r="J6194" s="10" t="s">
        <v>530</v>
      </c>
      <c r="K6194" s="12">
        <v>46031</v>
      </c>
      <c r="L6194" s="28" t="s">
        <v>11</v>
      </c>
      <c r="M6194" s="14"/>
      <c r="N6194" s="10" t="s">
        <v>1028</v>
      </c>
    </row>
    <row r="6195" spans="1:14" ht="22.5" customHeight="1">
      <c r="A6195" s="8">
        <v>46031.483082106482</v>
      </c>
      <c r="B6195" s="9" t="s">
        <v>14</v>
      </c>
      <c r="C6195" s="9" t="s">
        <v>15</v>
      </c>
      <c r="D6195" s="10" t="s">
        <v>13475</v>
      </c>
      <c r="E6195" s="9" t="s">
        <v>22</v>
      </c>
      <c r="F6195" s="10">
        <v>33</v>
      </c>
      <c r="G6195" s="11">
        <v>8140611423</v>
      </c>
      <c r="H6195" s="10" t="s">
        <v>13476</v>
      </c>
      <c r="I6195" s="10" t="s">
        <v>19</v>
      </c>
      <c r="J6195" s="10" t="s">
        <v>4139</v>
      </c>
      <c r="K6195" s="12">
        <v>46031</v>
      </c>
      <c r="L6195" s="28" t="s">
        <v>11</v>
      </c>
      <c r="M6195" s="14"/>
      <c r="N6195" s="10" t="s">
        <v>1028</v>
      </c>
    </row>
    <row r="6196" spans="1:14" ht="22.5" customHeight="1">
      <c r="A6196" s="8">
        <v>46031.483568888885</v>
      </c>
      <c r="B6196" s="9" t="s">
        <v>14</v>
      </c>
      <c r="C6196" s="9" t="s">
        <v>15</v>
      </c>
      <c r="D6196" s="10" t="s">
        <v>13477</v>
      </c>
      <c r="E6196" s="9" t="s">
        <v>17</v>
      </c>
      <c r="F6196" s="10">
        <v>19</v>
      </c>
      <c r="G6196" s="11">
        <v>8121305724</v>
      </c>
      <c r="H6196" s="10" t="s">
        <v>13478</v>
      </c>
      <c r="I6196" s="10" t="s">
        <v>27</v>
      </c>
      <c r="J6196" s="10" t="s">
        <v>703</v>
      </c>
      <c r="K6196" s="12">
        <v>46031</v>
      </c>
      <c r="L6196" s="28" t="s">
        <v>11</v>
      </c>
      <c r="M6196" s="10"/>
      <c r="N6196" s="10" t="s">
        <v>1028</v>
      </c>
    </row>
    <row r="6197" spans="1:14" ht="22.5" customHeight="1">
      <c r="A6197" s="8">
        <v>46031.484854247683</v>
      </c>
      <c r="B6197" s="9" t="s">
        <v>14</v>
      </c>
      <c r="C6197" s="9" t="s">
        <v>15</v>
      </c>
      <c r="D6197" s="10" t="s">
        <v>13479</v>
      </c>
      <c r="E6197" s="9" t="s">
        <v>22</v>
      </c>
      <c r="F6197" s="10">
        <v>30</v>
      </c>
      <c r="G6197" s="11">
        <v>7036860141</v>
      </c>
      <c r="H6197" s="10" t="s">
        <v>13480</v>
      </c>
      <c r="I6197" s="10" t="s">
        <v>145</v>
      </c>
      <c r="J6197" s="10" t="s">
        <v>10276</v>
      </c>
      <c r="K6197" s="12">
        <v>46031</v>
      </c>
      <c r="L6197" s="28" t="s">
        <v>11</v>
      </c>
      <c r="M6197" s="14"/>
      <c r="N6197" s="10" t="s">
        <v>1096</v>
      </c>
    </row>
    <row r="6198" spans="1:14" ht="22.5" customHeight="1">
      <c r="A6198" s="8">
        <v>46031.48551431713</v>
      </c>
      <c r="B6198" s="9" t="s">
        <v>14</v>
      </c>
      <c r="C6198" s="9" t="s">
        <v>15</v>
      </c>
      <c r="D6198" s="10" t="s">
        <v>13481</v>
      </c>
      <c r="E6198" s="9" t="s">
        <v>17</v>
      </c>
      <c r="F6198" s="10">
        <v>37</v>
      </c>
      <c r="G6198" s="11">
        <v>7063294053</v>
      </c>
      <c r="H6198" s="10" t="s">
        <v>13482</v>
      </c>
      <c r="I6198" s="10" t="s">
        <v>27</v>
      </c>
      <c r="J6198" s="10" t="s">
        <v>172</v>
      </c>
      <c r="K6198" s="12">
        <v>46031</v>
      </c>
      <c r="L6198" s="28" t="s">
        <v>11</v>
      </c>
      <c r="M6198" s="14"/>
      <c r="N6198" s="10" t="s">
        <v>1028</v>
      </c>
    </row>
    <row r="6199" spans="1:14" ht="22.5" customHeight="1">
      <c r="A6199" s="8">
        <v>46031.487198645831</v>
      </c>
      <c r="B6199" s="9" t="s">
        <v>14</v>
      </c>
      <c r="C6199" s="9" t="s">
        <v>15</v>
      </c>
      <c r="D6199" s="10" t="s">
        <v>13483</v>
      </c>
      <c r="E6199" s="9" t="s">
        <v>17</v>
      </c>
      <c r="F6199" s="10">
        <v>22</v>
      </c>
      <c r="G6199" s="11">
        <v>990800084</v>
      </c>
      <c r="H6199" s="10" t="s">
        <v>13484</v>
      </c>
      <c r="I6199" s="10" t="s">
        <v>49</v>
      </c>
      <c r="J6199" s="10" t="s">
        <v>13485</v>
      </c>
      <c r="K6199" s="12">
        <v>46031</v>
      </c>
      <c r="L6199" s="28" t="s">
        <v>11</v>
      </c>
      <c r="M6199" s="14"/>
      <c r="N6199" s="10" t="s">
        <v>1028</v>
      </c>
    </row>
    <row r="6200" spans="1:14" ht="22.5" customHeight="1">
      <c r="A6200" s="8">
        <v>46031.487273773149</v>
      </c>
      <c r="B6200" s="9" t="s">
        <v>14</v>
      </c>
      <c r="C6200" s="9" t="s">
        <v>15</v>
      </c>
      <c r="D6200" s="10" t="s">
        <v>13486</v>
      </c>
      <c r="E6200" s="9" t="s">
        <v>17</v>
      </c>
      <c r="F6200" s="10">
        <v>31</v>
      </c>
      <c r="G6200" s="11">
        <v>7065408781</v>
      </c>
      <c r="H6200" s="10" t="s">
        <v>13487</v>
      </c>
      <c r="I6200" s="10" t="s">
        <v>27</v>
      </c>
      <c r="J6200" s="10" t="s">
        <v>27</v>
      </c>
      <c r="K6200" s="12">
        <v>46031</v>
      </c>
      <c r="L6200" s="28" t="s">
        <v>11</v>
      </c>
      <c r="M6200" s="10"/>
      <c r="N6200" s="10" t="s">
        <v>1028</v>
      </c>
    </row>
    <row r="6201" spans="1:14" ht="22.5" customHeight="1">
      <c r="A6201" s="8">
        <v>46031.487806354169</v>
      </c>
      <c r="B6201" s="9" t="s">
        <v>14</v>
      </c>
      <c r="C6201" s="9" t="s">
        <v>15</v>
      </c>
      <c r="D6201" s="10" t="s">
        <v>13488</v>
      </c>
      <c r="E6201" s="9" t="s">
        <v>17</v>
      </c>
      <c r="F6201" s="10">
        <v>35</v>
      </c>
      <c r="G6201" s="11">
        <v>8128133555</v>
      </c>
      <c r="H6201" s="10" t="s">
        <v>13489</v>
      </c>
      <c r="I6201" s="10" t="s">
        <v>202</v>
      </c>
      <c r="J6201" s="10" t="s">
        <v>4020</v>
      </c>
      <c r="K6201" s="12">
        <v>46031</v>
      </c>
      <c r="L6201" s="28" t="s">
        <v>11</v>
      </c>
      <c r="M6201" s="14"/>
      <c r="N6201" s="10" t="s">
        <v>1028</v>
      </c>
    </row>
    <row r="6202" spans="1:14" ht="22.5" customHeight="1">
      <c r="A6202" s="8">
        <v>46031.488143472219</v>
      </c>
      <c r="B6202" s="9" t="s">
        <v>14</v>
      </c>
      <c r="C6202" s="9" t="s">
        <v>15</v>
      </c>
      <c r="D6202" s="10" t="s">
        <v>13490</v>
      </c>
      <c r="E6202" s="9" t="s">
        <v>22</v>
      </c>
      <c r="F6202" s="10">
        <v>27</v>
      </c>
      <c r="G6202" s="11">
        <v>9077047848</v>
      </c>
      <c r="H6202" s="10" t="s">
        <v>13491</v>
      </c>
      <c r="I6202" s="10" t="s">
        <v>27</v>
      </c>
      <c r="J6202" s="10" t="s">
        <v>172</v>
      </c>
      <c r="K6202" s="12">
        <v>46031</v>
      </c>
      <c r="L6202" s="28" t="s">
        <v>11</v>
      </c>
      <c r="M6202" s="14"/>
      <c r="N6202" s="10" t="s">
        <v>1028</v>
      </c>
    </row>
    <row r="6203" spans="1:14" ht="22.5" customHeight="1">
      <c r="A6203" s="8">
        <v>46031.489218414354</v>
      </c>
      <c r="B6203" s="9" t="s">
        <v>14</v>
      </c>
      <c r="C6203" s="9" t="s">
        <v>15</v>
      </c>
      <c r="D6203" s="10" t="s">
        <v>13492</v>
      </c>
      <c r="E6203" s="9" t="s">
        <v>22</v>
      </c>
      <c r="F6203" s="10">
        <v>26</v>
      </c>
      <c r="G6203" s="11">
        <v>9037237333</v>
      </c>
      <c r="H6203" s="10" t="s">
        <v>13493</v>
      </c>
      <c r="I6203" s="10" t="s">
        <v>27</v>
      </c>
      <c r="J6203" s="10" t="s">
        <v>1456</v>
      </c>
      <c r="K6203" s="12">
        <v>46031</v>
      </c>
      <c r="L6203" s="28" t="s">
        <v>11</v>
      </c>
      <c r="M6203" s="14"/>
      <c r="N6203" s="10" t="s">
        <v>7233</v>
      </c>
    </row>
    <row r="6204" spans="1:14" ht="22.5" customHeight="1">
      <c r="A6204" s="8">
        <v>46031.490433344909</v>
      </c>
      <c r="B6204" s="9" t="s">
        <v>14</v>
      </c>
      <c r="C6204" s="9" t="s">
        <v>15</v>
      </c>
      <c r="D6204" s="10" t="s">
        <v>13494</v>
      </c>
      <c r="E6204" s="9" t="s">
        <v>17</v>
      </c>
      <c r="F6204" s="10">
        <v>24</v>
      </c>
      <c r="G6204" s="11">
        <v>8135850336</v>
      </c>
      <c r="H6204" s="10" t="s">
        <v>13495</v>
      </c>
      <c r="I6204" s="10" t="s">
        <v>45</v>
      </c>
      <c r="J6204" s="10" t="s">
        <v>1191</v>
      </c>
      <c r="K6204" s="12">
        <v>46031</v>
      </c>
      <c r="L6204" s="28" t="s">
        <v>11</v>
      </c>
      <c r="M6204" s="14"/>
      <c r="N6204" s="10" t="s">
        <v>13496</v>
      </c>
    </row>
    <row r="6205" spans="1:14" ht="22.5" customHeight="1">
      <c r="A6205" s="8">
        <v>46031.492730578699</v>
      </c>
      <c r="B6205" s="9" t="s">
        <v>14</v>
      </c>
      <c r="C6205" s="9" t="s">
        <v>15</v>
      </c>
      <c r="D6205" s="10" t="s">
        <v>13497</v>
      </c>
      <c r="E6205" s="9" t="s">
        <v>22</v>
      </c>
      <c r="F6205" s="10">
        <v>27</v>
      </c>
      <c r="G6205" s="11">
        <v>8146274627</v>
      </c>
      <c r="H6205" s="10" t="s">
        <v>13498</v>
      </c>
      <c r="I6205" s="10" t="s">
        <v>27</v>
      </c>
      <c r="J6205" s="10" t="s">
        <v>70</v>
      </c>
      <c r="K6205" s="12">
        <v>46031</v>
      </c>
      <c r="L6205" s="28" t="s">
        <v>11</v>
      </c>
      <c r="M6205" s="14"/>
      <c r="N6205" s="10" t="s">
        <v>1028</v>
      </c>
    </row>
    <row r="6206" spans="1:14" ht="22.5" customHeight="1">
      <c r="A6206" s="8">
        <v>46031.495586527773</v>
      </c>
      <c r="B6206" s="9" t="s">
        <v>14</v>
      </c>
      <c r="C6206" s="9" t="s">
        <v>15</v>
      </c>
      <c r="D6206" s="10" t="s">
        <v>13499</v>
      </c>
      <c r="E6206" s="9" t="s">
        <v>17</v>
      </c>
      <c r="F6206" s="10">
        <v>28</v>
      </c>
      <c r="G6206" s="11">
        <v>8135290790</v>
      </c>
      <c r="H6206" s="10" t="s">
        <v>13500</v>
      </c>
      <c r="I6206" s="10" t="s">
        <v>27</v>
      </c>
      <c r="J6206" s="10" t="s">
        <v>13501</v>
      </c>
      <c r="K6206" s="12">
        <v>46031</v>
      </c>
      <c r="L6206" s="28" t="s">
        <v>11</v>
      </c>
      <c r="M6206" s="14"/>
      <c r="N6206" s="10" t="s">
        <v>1028</v>
      </c>
    </row>
    <row r="6207" spans="1:14" ht="22.5" customHeight="1">
      <c r="A6207" s="8">
        <v>46031.498171284722</v>
      </c>
      <c r="B6207" s="9" t="s">
        <v>14</v>
      </c>
      <c r="C6207" s="9" t="s">
        <v>15</v>
      </c>
      <c r="D6207" s="10" t="s">
        <v>13502</v>
      </c>
      <c r="E6207" s="9" t="s">
        <v>17</v>
      </c>
      <c r="F6207" s="10">
        <v>27</v>
      </c>
      <c r="G6207" s="11">
        <v>9037351003</v>
      </c>
      <c r="H6207" s="10" t="s">
        <v>13503</v>
      </c>
      <c r="I6207" s="10" t="s">
        <v>27</v>
      </c>
      <c r="J6207" s="10" t="s">
        <v>1514</v>
      </c>
      <c r="K6207" s="12">
        <v>46031</v>
      </c>
      <c r="L6207" s="28" t="s">
        <v>11</v>
      </c>
      <c r="M6207" s="14"/>
      <c r="N6207" s="10" t="s">
        <v>1028</v>
      </c>
    </row>
    <row r="6208" spans="1:14" ht="22.5" customHeight="1">
      <c r="A6208" s="8">
        <v>46031.498339999998</v>
      </c>
      <c r="B6208" s="9" t="s">
        <v>14</v>
      </c>
      <c r="C6208" s="9" t="s">
        <v>15</v>
      </c>
      <c r="D6208" s="10" t="s">
        <v>13504</v>
      </c>
      <c r="E6208" s="9" t="s">
        <v>17</v>
      </c>
      <c r="F6208" s="10">
        <v>28</v>
      </c>
      <c r="G6208" s="11">
        <v>7052017152</v>
      </c>
      <c r="H6208" s="10" t="s">
        <v>13505</v>
      </c>
      <c r="I6208" s="10" t="s">
        <v>45</v>
      </c>
      <c r="J6208" s="10" t="s">
        <v>13506</v>
      </c>
      <c r="K6208" s="12">
        <v>46031</v>
      </c>
      <c r="L6208" s="28" t="s">
        <v>11</v>
      </c>
      <c r="M6208" s="14"/>
      <c r="N6208" s="10" t="s">
        <v>1028</v>
      </c>
    </row>
    <row r="6209" spans="1:14" ht="22.5" customHeight="1">
      <c r="A6209" s="8">
        <v>46031.501939953705</v>
      </c>
      <c r="B6209" s="9" t="s">
        <v>14</v>
      </c>
      <c r="C6209" s="9" t="s">
        <v>15</v>
      </c>
      <c r="D6209" s="10" t="s">
        <v>13507</v>
      </c>
      <c r="E6209" s="9" t="s">
        <v>22</v>
      </c>
      <c r="F6209" s="10">
        <v>32</v>
      </c>
      <c r="G6209" s="11">
        <v>7043230877</v>
      </c>
      <c r="H6209" s="10" t="s">
        <v>13508</v>
      </c>
      <c r="I6209" s="10" t="s">
        <v>27</v>
      </c>
      <c r="J6209" s="10" t="s">
        <v>1559</v>
      </c>
      <c r="K6209" s="12">
        <v>46031</v>
      </c>
      <c r="L6209" s="28" t="s">
        <v>11</v>
      </c>
      <c r="M6209" s="14"/>
      <c r="N6209" s="10" t="s">
        <v>1028</v>
      </c>
    </row>
    <row r="6210" spans="1:14" ht="22.5" customHeight="1">
      <c r="A6210" s="8">
        <v>46031.502371759256</v>
      </c>
      <c r="B6210" s="9" t="s">
        <v>14</v>
      </c>
      <c r="C6210" s="9" t="s">
        <v>15</v>
      </c>
      <c r="D6210" s="10" t="s">
        <v>13509</v>
      </c>
      <c r="E6210" s="9" t="s">
        <v>17</v>
      </c>
      <c r="F6210" s="10">
        <v>25</v>
      </c>
      <c r="G6210" s="11">
        <v>8137787303</v>
      </c>
      <c r="H6210" s="10" t="s">
        <v>13510</v>
      </c>
      <c r="I6210" s="10" t="s">
        <v>27</v>
      </c>
      <c r="J6210" s="10" t="s">
        <v>1559</v>
      </c>
      <c r="K6210" s="12">
        <v>46031</v>
      </c>
      <c r="L6210" s="28" t="s">
        <v>11</v>
      </c>
      <c r="M6210" s="14"/>
      <c r="N6210" s="10" t="s">
        <v>2482</v>
      </c>
    </row>
    <row r="6211" spans="1:14" ht="22.5" customHeight="1">
      <c r="A6211" s="8">
        <v>46031.502753564811</v>
      </c>
      <c r="B6211" s="9" t="s">
        <v>14</v>
      </c>
      <c r="C6211" s="9" t="s">
        <v>15</v>
      </c>
      <c r="D6211" s="10" t="s">
        <v>13511</v>
      </c>
      <c r="E6211" s="9" t="s">
        <v>17</v>
      </c>
      <c r="F6211" s="10">
        <v>24</v>
      </c>
      <c r="G6211" s="11">
        <v>7078242123</v>
      </c>
      <c r="H6211" s="10" t="s">
        <v>13512</v>
      </c>
      <c r="I6211" s="10" t="s">
        <v>27</v>
      </c>
      <c r="J6211" s="10" t="s">
        <v>1456</v>
      </c>
      <c r="K6211" s="12">
        <v>46031</v>
      </c>
      <c r="L6211" s="28" t="s">
        <v>11</v>
      </c>
      <c r="M6211" s="14"/>
      <c r="N6211" s="10" t="s">
        <v>1028</v>
      </c>
    </row>
    <row r="6212" spans="1:14" ht="22.5" customHeight="1">
      <c r="A6212" s="8">
        <v>46031.50308130787</v>
      </c>
      <c r="B6212" s="9" t="s">
        <v>14</v>
      </c>
      <c r="C6212" s="9" t="s">
        <v>15</v>
      </c>
      <c r="D6212" s="10" t="s">
        <v>13513</v>
      </c>
      <c r="E6212" s="9" t="s">
        <v>17</v>
      </c>
      <c r="F6212" s="10">
        <v>27</v>
      </c>
      <c r="G6212" s="11">
        <v>8160540315</v>
      </c>
      <c r="H6212" s="10" t="s">
        <v>13514</v>
      </c>
      <c r="I6212" s="10" t="s">
        <v>27</v>
      </c>
      <c r="J6212" s="10" t="s">
        <v>70</v>
      </c>
      <c r="K6212" s="12">
        <v>35851</v>
      </c>
      <c r="L6212" s="28" t="s">
        <v>11</v>
      </c>
      <c r="M6212" s="14"/>
      <c r="N6212" s="10" t="s">
        <v>1028</v>
      </c>
    </row>
    <row r="6213" spans="1:14" ht="22.5" customHeight="1">
      <c r="A6213" s="8">
        <v>46031.503849525463</v>
      </c>
      <c r="B6213" s="9" t="s">
        <v>14</v>
      </c>
      <c r="C6213" s="9" t="s">
        <v>15</v>
      </c>
      <c r="D6213" s="10" t="s">
        <v>13515</v>
      </c>
      <c r="E6213" s="9" t="s">
        <v>22</v>
      </c>
      <c r="F6213" s="10">
        <v>29</v>
      </c>
      <c r="G6213" s="11">
        <v>8061666998</v>
      </c>
      <c r="H6213" s="10" t="s">
        <v>8854</v>
      </c>
      <c r="I6213" s="10" t="s">
        <v>27</v>
      </c>
      <c r="J6213" s="10" t="s">
        <v>70</v>
      </c>
      <c r="K6213" s="12">
        <v>46031</v>
      </c>
      <c r="L6213" s="28" t="s">
        <v>11</v>
      </c>
      <c r="M6213" s="10"/>
      <c r="N6213" s="10" t="s">
        <v>1028</v>
      </c>
    </row>
    <row r="6214" spans="1:14" ht="22.5" customHeight="1">
      <c r="A6214" s="8">
        <v>46031.50557523148</v>
      </c>
      <c r="B6214" s="9" t="s">
        <v>14</v>
      </c>
      <c r="C6214" s="9" t="s">
        <v>15</v>
      </c>
      <c r="D6214" s="10" t="s">
        <v>13516</v>
      </c>
      <c r="E6214" s="9" t="s">
        <v>17</v>
      </c>
      <c r="F6214" s="10">
        <v>32</v>
      </c>
      <c r="G6214" s="11">
        <v>7069598261</v>
      </c>
      <c r="H6214" s="10" t="s">
        <v>13517</v>
      </c>
      <c r="I6214" s="10" t="s">
        <v>27</v>
      </c>
      <c r="J6214" s="10" t="s">
        <v>1924</v>
      </c>
      <c r="K6214" s="12">
        <v>46266</v>
      </c>
      <c r="L6214" s="28" t="s">
        <v>11</v>
      </c>
      <c r="M6214" s="14"/>
      <c r="N6214" s="10" t="s">
        <v>1028</v>
      </c>
    </row>
    <row r="6215" spans="1:14" ht="22.5" customHeight="1">
      <c r="A6215" s="8">
        <v>46031.507670949075</v>
      </c>
      <c r="B6215" s="9" t="s">
        <v>14</v>
      </c>
      <c r="C6215" s="9" t="s">
        <v>15</v>
      </c>
      <c r="D6215" s="10" t="s">
        <v>13518</v>
      </c>
      <c r="E6215" s="9" t="s">
        <v>17</v>
      </c>
      <c r="F6215" s="10">
        <v>37</v>
      </c>
      <c r="G6215" s="11">
        <v>7030489296</v>
      </c>
      <c r="H6215" s="10" t="s">
        <v>13519</v>
      </c>
      <c r="I6215" s="10" t="s">
        <v>45</v>
      </c>
      <c r="J6215" s="10" t="s">
        <v>623</v>
      </c>
      <c r="K6215" s="12">
        <v>46031</v>
      </c>
      <c r="L6215" s="28" t="s">
        <v>11</v>
      </c>
      <c r="M6215" s="14"/>
      <c r="N6215" s="10" t="s">
        <v>1028</v>
      </c>
    </row>
    <row r="6216" spans="1:14" ht="22.5" customHeight="1">
      <c r="A6216" s="8">
        <v>46031.507899745367</v>
      </c>
      <c r="B6216" s="9" t="s">
        <v>14</v>
      </c>
      <c r="C6216" s="9" t="s">
        <v>15</v>
      </c>
      <c r="D6216" s="10" t="s">
        <v>13520</v>
      </c>
      <c r="E6216" s="9" t="s">
        <v>17</v>
      </c>
      <c r="F6216" s="10">
        <v>25</v>
      </c>
      <c r="G6216" s="11">
        <v>9066429859</v>
      </c>
      <c r="H6216" s="10" t="s">
        <v>13521</v>
      </c>
      <c r="I6216" s="10" t="s">
        <v>45</v>
      </c>
      <c r="J6216" s="10" t="s">
        <v>1191</v>
      </c>
      <c r="K6216" s="12">
        <v>46031</v>
      </c>
      <c r="L6216" s="28" t="s">
        <v>11</v>
      </c>
      <c r="M6216" s="14"/>
      <c r="N6216" s="10" t="s">
        <v>1028</v>
      </c>
    </row>
    <row r="6217" spans="1:14" ht="22.5" customHeight="1">
      <c r="A6217" s="8">
        <v>46031.50893895833</v>
      </c>
      <c r="B6217" s="9" t="s">
        <v>14</v>
      </c>
      <c r="C6217" s="9" t="s">
        <v>15</v>
      </c>
      <c r="D6217" s="10" t="s">
        <v>13522</v>
      </c>
      <c r="E6217" s="9" t="s">
        <v>22</v>
      </c>
      <c r="F6217" s="10">
        <v>32</v>
      </c>
      <c r="G6217" s="11">
        <v>8033806756</v>
      </c>
      <c r="H6217" s="10" t="s">
        <v>13523</v>
      </c>
      <c r="I6217" s="10" t="s">
        <v>27</v>
      </c>
      <c r="J6217" s="10" t="s">
        <v>703</v>
      </c>
      <c r="K6217" s="12">
        <v>46031</v>
      </c>
      <c r="L6217" s="28" t="s">
        <v>11</v>
      </c>
      <c r="M6217" s="14"/>
      <c r="N6217" s="10" t="s">
        <v>1028</v>
      </c>
    </row>
    <row r="6218" spans="1:14" ht="22.5" customHeight="1">
      <c r="A6218" s="8">
        <v>46031.513126238424</v>
      </c>
      <c r="B6218" s="9" t="s">
        <v>14</v>
      </c>
      <c r="C6218" s="9" t="s">
        <v>15</v>
      </c>
      <c r="D6218" s="10" t="s">
        <v>6379</v>
      </c>
      <c r="E6218" s="9" t="s">
        <v>17</v>
      </c>
      <c r="F6218" s="10">
        <v>29</v>
      </c>
      <c r="G6218" s="11">
        <v>7031015940</v>
      </c>
      <c r="H6218" s="10" t="s">
        <v>6380</v>
      </c>
      <c r="I6218" s="10" t="s">
        <v>27</v>
      </c>
      <c r="J6218" s="10" t="s">
        <v>2196</v>
      </c>
      <c r="K6218" s="12">
        <v>46031</v>
      </c>
      <c r="L6218" s="28" t="s">
        <v>11</v>
      </c>
      <c r="M6218" s="14"/>
      <c r="N6218" s="10" t="s">
        <v>1028</v>
      </c>
    </row>
    <row r="6219" spans="1:14" ht="22.5" customHeight="1">
      <c r="A6219" s="8">
        <v>46031.514890520833</v>
      </c>
      <c r="B6219" s="9" t="s">
        <v>14</v>
      </c>
      <c r="C6219" s="9" t="s">
        <v>15</v>
      </c>
      <c r="D6219" s="10" t="s">
        <v>8288</v>
      </c>
      <c r="E6219" s="9" t="s">
        <v>17</v>
      </c>
      <c r="F6219" s="10">
        <v>24</v>
      </c>
      <c r="G6219" s="11">
        <v>7039427059</v>
      </c>
      <c r="H6219" s="10" t="s">
        <v>13524</v>
      </c>
      <c r="I6219" s="10" t="s">
        <v>27</v>
      </c>
      <c r="J6219" s="10" t="s">
        <v>13525</v>
      </c>
      <c r="K6219" s="12">
        <v>46031</v>
      </c>
      <c r="L6219" s="28" t="s">
        <v>11</v>
      </c>
      <c r="M6219" s="14"/>
      <c r="N6219" s="10" t="s">
        <v>1028</v>
      </c>
    </row>
    <row r="6220" spans="1:14" ht="22.5" customHeight="1">
      <c r="A6220" s="8">
        <v>46031.516014247682</v>
      </c>
      <c r="B6220" s="9" t="s">
        <v>14</v>
      </c>
      <c r="C6220" s="9" t="s">
        <v>15</v>
      </c>
      <c r="D6220" s="10" t="s">
        <v>13526</v>
      </c>
      <c r="E6220" s="9" t="s">
        <v>17</v>
      </c>
      <c r="F6220" s="10">
        <v>38</v>
      </c>
      <c r="G6220" s="11">
        <v>7039462216</v>
      </c>
      <c r="H6220" s="10" t="s">
        <v>13527</v>
      </c>
      <c r="I6220" s="10" t="s">
        <v>45</v>
      </c>
      <c r="J6220" s="10" t="s">
        <v>1919</v>
      </c>
      <c r="K6220" s="12">
        <v>46031</v>
      </c>
      <c r="L6220" s="28" t="s">
        <v>11</v>
      </c>
      <c r="M6220" s="14"/>
      <c r="N6220" s="10" t="s">
        <v>1028</v>
      </c>
    </row>
    <row r="6221" spans="1:14" ht="22.5" hidden="1" customHeight="1">
      <c r="A6221" s="8">
        <v>46031.517110462963</v>
      </c>
      <c r="B6221" s="9" t="s">
        <v>14</v>
      </c>
      <c r="C6221" s="9" t="s">
        <v>15</v>
      </c>
      <c r="D6221" s="10" t="s">
        <v>13528</v>
      </c>
      <c r="E6221" s="9" t="s">
        <v>17</v>
      </c>
      <c r="F6221" s="10">
        <v>34</v>
      </c>
      <c r="G6221" s="11">
        <v>8148783565</v>
      </c>
      <c r="H6221" s="10" t="s">
        <v>13529</v>
      </c>
      <c r="I6221" s="10" t="s">
        <v>27</v>
      </c>
      <c r="J6221" s="10" t="s">
        <v>28</v>
      </c>
      <c r="K6221" s="12">
        <v>46031</v>
      </c>
      <c r="L6221" s="10" t="s">
        <v>441</v>
      </c>
      <c r="M6221" s="10" t="s">
        <v>1356</v>
      </c>
      <c r="N6221" s="10" t="s">
        <v>1096</v>
      </c>
    </row>
    <row r="6222" spans="1:14" ht="22.5" customHeight="1">
      <c r="A6222" s="8">
        <v>46031.518266307874</v>
      </c>
      <c r="B6222" s="9" t="s">
        <v>14</v>
      </c>
      <c r="C6222" s="9" t="s">
        <v>15</v>
      </c>
      <c r="D6222" s="10" t="s">
        <v>948</v>
      </c>
      <c r="E6222" s="9" t="s">
        <v>22</v>
      </c>
      <c r="F6222" s="10">
        <v>32</v>
      </c>
      <c r="G6222" s="11">
        <f t="shared" ref="G6222" si="184">2348104391845</f>
        <v>2348104391845</v>
      </c>
      <c r="H6222" s="10" t="s">
        <v>13530</v>
      </c>
      <c r="I6222" s="10" t="s">
        <v>49</v>
      </c>
      <c r="J6222" s="10" t="s">
        <v>246</v>
      </c>
      <c r="K6222" s="12">
        <v>46031</v>
      </c>
      <c r="L6222" s="28" t="s">
        <v>11</v>
      </c>
      <c r="M6222" s="14"/>
      <c r="N6222" s="10" t="s">
        <v>1028</v>
      </c>
    </row>
    <row r="6223" spans="1:14" ht="22.5" customHeight="1">
      <c r="A6223" s="8">
        <v>46031.51860398148</v>
      </c>
      <c r="B6223" s="9" t="s">
        <v>14</v>
      </c>
      <c r="C6223" s="9" t="s">
        <v>15</v>
      </c>
      <c r="D6223" s="10" t="s">
        <v>13531</v>
      </c>
      <c r="E6223" s="9" t="s">
        <v>17</v>
      </c>
      <c r="F6223" s="10">
        <v>35</v>
      </c>
      <c r="G6223" s="11">
        <f t="shared" ref="G6223" si="185">2348060117825</f>
        <v>2348060117825</v>
      </c>
      <c r="H6223" s="10" t="s">
        <v>13532</v>
      </c>
      <c r="I6223" s="10" t="s">
        <v>45</v>
      </c>
      <c r="J6223" s="10" t="s">
        <v>84</v>
      </c>
      <c r="K6223" s="12">
        <v>46031</v>
      </c>
      <c r="L6223" s="28" t="s">
        <v>11</v>
      </c>
      <c r="M6223" s="14"/>
      <c r="N6223" s="10" t="s">
        <v>1028</v>
      </c>
    </row>
    <row r="6224" spans="1:14" ht="22.5" customHeight="1">
      <c r="A6224" s="8">
        <v>46031.520673067134</v>
      </c>
      <c r="B6224" s="9" t="s">
        <v>14</v>
      </c>
      <c r="C6224" s="9" t="s">
        <v>15</v>
      </c>
      <c r="D6224" s="10" t="s">
        <v>13533</v>
      </c>
      <c r="E6224" s="9" t="s">
        <v>22</v>
      </c>
      <c r="F6224" s="10">
        <v>33</v>
      </c>
      <c r="G6224" s="11">
        <f t="shared" ref="G6224" si="186">2347038690859</f>
        <v>2347038690859</v>
      </c>
      <c r="H6224" s="10" t="s">
        <v>13534</v>
      </c>
      <c r="I6224" s="10" t="s">
        <v>19</v>
      </c>
      <c r="J6224" s="10" t="s">
        <v>7492</v>
      </c>
      <c r="K6224" s="12">
        <v>46031</v>
      </c>
      <c r="L6224" s="28" t="s">
        <v>11</v>
      </c>
      <c r="M6224" s="14"/>
      <c r="N6224" s="10" t="s">
        <v>1096</v>
      </c>
    </row>
    <row r="6225" spans="1:14" ht="22.5" customHeight="1">
      <c r="A6225" s="8">
        <v>46031.521566817129</v>
      </c>
      <c r="B6225" s="9" t="s">
        <v>14</v>
      </c>
      <c r="C6225" s="9" t="s">
        <v>15</v>
      </c>
      <c r="D6225" s="10" t="s">
        <v>13535</v>
      </c>
      <c r="E6225" s="9" t="s">
        <v>17</v>
      </c>
      <c r="F6225" s="10">
        <v>30</v>
      </c>
      <c r="G6225" s="11">
        <v>7035315806</v>
      </c>
      <c r="H6225" s="10" t="s">
        <v>13536</v>
      </c>
      <c r="I6225" s="10" t="s">
        <v>27</v>
      </c>
      <c r="J6225" s="10" t="s">
        <v>1902</v>
      </c>
      <c r="K6225" s="12">
        <v>46031</v>
      </c>
      <c r="L6225" s="28" t="s">
        <v>11</v>
      </c>
      <c r="M6225" s="14"/>
      <c r="N6225" s="10" t="s">
        <v>1028</v>
      </c>
    </row>
    <row r="6226" spans="1:14" ht="22.5" customHeight="1">
      <c r="A6226" s="8">
        <v>46031.521982696759</v>
      </c>
      <c r="B6226" s="9" t="s">
        <v>14</v>
      </c>
      <c r="C6226" s="9" t="s">
        <v>15</v>
      </c>
      <c r="D6226" s="10" t="s">
        <v>13537</v>
      </c>
      <c r="E6226" s="9" t="s">
        <v>22</v>
      </c>
      <c r="F6226" s="10">
        <v>29</v>
      </c>
      <c r="G6226" s="11">
        <v>9071764841</v>
      </c>
      <c r="H6226" s="10" t="s">
        <v>13538</v>
      </c>
      <c r="I6226" s="10" t="s">
        <v>27</v>
      </c>
      <c r="J6226" s="10" t="s">
        <v>94</v>
      </c>
      <c r="K6226" s="12">
        <v>46031</v>
      </c>
      <c r="L6226" s="28" t="s">
        <v>11</v>
      </c>
      <c r="M6226" s="10"/>
      <c r="N6226" s="10" t="s">
        <v>1028</v>
      </c>
    </row>
    <row r="6227" spans="1:14" ht="22.5" customHeight="1">
      <c r="A6227" s="8">
        <v>46031.523594421291</v>
      </c>
      <c r="B6227" s="9" t="s">
        <v>14</v>
      </c>
      <c r="C6227" s="9" t="s">
        <v>15</v>
      </c>
      <c r="D6227" s="10" t="s">
        <v>13539</v>
      </c>
      <c r="E6227" s="9" t="s">
        <v>17</v>
      </c>
      <c r="F6227" s="10">
        <v>26</v>
      </c>
      <c r="G6227" s="11">
        <v>7046512765</v>
      </c>
      <c r="H6227" s="10" t="s">
        <v>13540</v>
      </c>
      <c r="I6227" s="10" t="s">
        <v>45</v>
      </c>
      <c r="J6227" s="10" t="s">
        <v>84</v>
      </c>
      <c r="K6227" s="12">
        <v>46031</v>
      </c>
      <c r="L6227" s="28" t="s">
        <v>11</v>
      </c>
      <c r="M6227" s="14"/>
      <c r="N6227" s="10" t="s">
        <v>1096</v>
      </c>
    </row>
    <row r="6228" spans="1:14" ht="22.5" customHeight="1">
      <c r="A6228" s="8">
        <v>46031.52540835648</v>
      </c>
      <c r="B6228" s="9" t="s">
        <v>14</v>
      </c>
      <c r="C6228" s="9" t="s">
        <v>15</v>
      </c>
      <c r="D6228" s="10" t="s">
        <v>13541</v>
      </c>
      <c r="E6228" s="9" t="s">
        <v>22</v>
      </c>
      <c r="F6228" s="10">
        <v>29</v>
      </c>
      <c r="G6228" s="11">
        <v>8106757817</v>
      </c>
      <c r="H6228" s="10" t="s">
        <v>13542</v>
      </c>
      <c r="I6228" s="10" t="s">
        <v>27</v>
      </c>
      <c r="J6228" s="10" t="s">
        <v>5709</v>
      </c>
      <c r="K6228" s="12">
        <v>46031</v>
      </c>
      <c r="L6228" s="28" t="s">
        <v>11</v>
      </c>
      <c r="M6228" s="14"/>
      <c r="N6228" s="10" t="s">
        <v>1096</v>
      </c>
    </row>
    <row r="6229" spans="1:14" ht="22.5" customHeight="1">
      <c r="A6229" s="8">
        <v>46031.527549062499</v>
      </c>
      <c r="B6229" s="9" t="s">
        <v>14</v>
      </c>
      <c r="C6229" s="9" t="s">
        <v>15</v>
      </c>
      <c r="D6229" s="10" t="s">
        <v>13543</v>
      </c>
      <c r="E6229" s="9" t="s">
        <v>22</v>
      </c>
      <c r="F6229" s="10">
        <v>35</v>
      </c>
      <c r="G6229" s="11">
        <v>8067509018</v>
      </c>
      <c r="H6229" s="10" t="s">
        <v>13544</v>
      </c>
      <c r="I6229" s="10" t="s">
        <v>27</v>
      </c>
      <c r="J6229" s="10" t="s">
        <v>67</v>
      </c>
      <c r="K6229" s="12">
        <v>46031</v>
      </c>
      <c r="L6229" s="28" t="s">
        <v>11</v>
      </c>
      <c r="M6229" s="14"/>
      <c r="N6229" s="10" t="s">
        <v>1028</v>
      </c>
    </row>
    <row r="6230" spans="1:14" ht="22.5" customHeight="1">
      <c r="A6230" s="8">
        <v>46031.53166537037</v>
      </c>
      <c r="B6230" s="9" t="s">
        <v>14</v>
      </c>
      <c r="C6230" s="9" t="s">
        <v>15</v>
      </c>
      <c r="D6230" s="10" t="s">
        <v>13545</v>
      </c>
      <c r="E6230" s="9" t="s">
        <v>17</v>
      </c>
      <c r="F6230" s="19">
        <v>28</v>
      </c>
      <c r="G6230" s="11">
        <v>8021173191</v>
      </c>
      <c r="H6230" s="10" t="s">
        <v>13546</v>
      </c>
      <c r="I6230" s="10" t="s">
        <v>27</v>
      </c>
      <c r="J6230" s="10" t="s">
        <v>3399</v>
      </c>
      <c r="K6230" s="12">
        <v>46031</v>
      </c>
      <c r="L6230" s="28" t="s">
        <v>11</v>
      </c>
      <c r="M6230" s="14"/>
      <c r="N6230" s="10" t="s">
        <v>1096</v>
      </c>
    </row>
    <row r="6231" spans="1:14" ht="22.5" customHeight="1">
      <c r="A6231" s="8">
        <v>46031.531858078699</v>
      </c>
      <c r="B6231" s="9" t="s">
        <v>14</v>
      </c>
      <c r="C6231" s="9" t="s">
        <v>15</v>
      </c>
      <c r="D6231" s="10" t="s">
        <v>13547</v>
      </c>
      <c r="E6231" s="9" t="s">
        <v>17</v>
      </c>
      <c r="F6231" s="10">
        <v>33</v>
      </c>
      <c r="G6231" s="11">
        <v>9032487955</v>
      </c>
      <c r="H6231" s="10" t="s">
        <v>13548</v>
      </c>
      <c r="I6231" s="10" t="s">
        <v>27</v>
      </c>
      <c r="J6231" s="10" t="s">
        <v>703</v>
      </c>
      <c r="K6231" s="12">
        <v>46031</v>
      </c>
      <c r="L6231" s="28" t="s">
        <v>11</v>
      </c>
      <c r="M6231" s="14"/>
      <c r="N6231" s="10" t="s">
        <v>1028</v>
      </c>
    </row>
    <row r="6232" spans="1:14" ht="22.5" customHeight="1">
      <c r="A6232" s="8">
        <v>46031.53287653935</v>
      </c>
      <c r="B6232" s="9" t="s">
        <v>14</v>
      </c>
      <c r="C6232" s="9" t="s">
        <v>15</v>
      </c>
      <c r="D6232" s="10" t="s">
        <v>13549</v>
      </c>
      <c r="E6232" s="9" t="s">
        <v>17</v>
      </c>
      <c r="F6232" s="10">
        <v>28</v>
      </c>
      <c r="G6232" s="11">
        <v>8141929554</v>
      </c>
      <c r="H6232" s="10" t="s">
        <v>13550</v>
      </c>
      <c r="I6232" s="10" t="s">
        <v>45</v>
      </c>
      <c r="J6232" s="10" t="s">
        <v>13551</v>
      </c>
      <c r="K6232" s="12">
        <v>46031</v>
      </c>
      <c r="L6232" s="28" t="s">
        <v>11</v>
      </c>
      <c r="M6232" s="14"/>
      <c r="N6232" s="10" t="s">
        <v>1028</v>
      </c>
    </row>
    <row r="6233" spans="1:14" ht="22.5" customHeight="1">
      <c r="A6233" s="8">
        <v>46031.534221979164</v>
      </c>
      <c r="B6233" s="9" t="s">
        <v>14</v>
      </c>
      <c r="C6233" s="9" t="s">
        <v>15</v>
      </c>
      <c r="D6233" s="10" t="s">
        <v>13552</v>
      </c>
      <c r="E6233" s="9" t="s">
        <v>17</v>
      </c>
      <c r="F6233" s="10">
        <v>28</v>
      </c>
      <c r="G6233" s="11">
        <v>8144470487</v>
      </c>
      <c r="H6233" s="10" t="s">
        <v>13553</v>
      </c>
      <c r="I6233" s="10" t="s">
        <v>27</v>
      </c>
      <c r="J6233" s="10" t="s">
        <v>3797</v>
      </c>
      <c r="K6233" s="12">
        <v>46031</v>
      </c>
      <c r="L6233" s="28" t="s">
        <v>11</v>
      </c>
      <c r="M6233" s="14"/>
      <c r="N6233" s="10" t="s">
        <v>13554</v>
      </c>
    </row>
    <row r="6234" spans="1:14" ht="22.5" customHeight="1">
      <c r="A6234" s="8">
        <v>46031.535091898149</v>
      </c>
      <c r="B6234" s="9" t="s">
        <v>14</v>
      </c>
      <c r="C6234" s="9" t="s">
        <v>15</v>
      </c>
      <c r="D6234" s="10" t="s">
        <v>13555</v>
      </c>
      <c r="E6234" s="9" t="s">
        <v>17</v>
      </c>
      <c r="F6234" s="10">
        <v>31</v>
      </c>
      <c r="G6234" s="11">
        <v>8085486978</v>
      </c>
      <c r="H6234" s="10" t="s">
        <v>13556</v>
      </c>
      <c r="I6234" s="10" t="s">
        <v>27</v>
      </c>
      <c r="J6234" s="10" t="s">
        <v>94</v>
      </c>
      <c r="K6234" s="12">
        <v>46031</v>
      </c>
      <c r="L6234" s="28" t="s">
        <v>11</v>
      </c>
      <c r="M6234" s="14"/>
      <c r="N6234" s="10" t="s">
        <v>1096</v>
      </c>
    </row>
    <row r="6235" spans="1:14" ht="22.5" customHeight="1">
      <c r="A6235" s="8">
        <v>46031.536232314815</v>
      </c>
      <c r="B6235" s="9" t="s">
        <v>14</v>
      </c>
      <c r="C6235" s="9" t="s">
        <v>15</v>
      </c>
      <c r="D6235" s="10" t="s">
        <v>13557</v>
      </c>
      <c r="E6235" s="9" t="s">
        <v>17</v>
      </c>
      <c r="F6235" s="10">
        <v>20</v>
      </c>
      <c r="G6235" s="11">
        <v>8110448217</v>
      </c>
      <c r="H6235" s="10" t="s">
        <v>13558</v>
      </c>
      <c r="I6235" s="10" t="s">
        <v>45</v>
      </c>
      <c r="J6235" s="10" t="s">
        <v>5955</v>
      </c>
      <c r="K6235" s="12">
        <v>46031</v>
      </c>
      <c r="L6235" s="28" t="s">
        <v>11</v>
      </c>
      <c r="M6235" s="14"/>
      <c r="N6235" s="10" t="s">
        <v>1028</v>
      </c>
    </row>
    <row r="6236" spans="1:14" ht="22.5" customHeight="1">
      <c r="A6236" s="8">
        <v>46031.537131087964</v>
      </c>
      <c r="B6236" s="9" t="s">
        <v>14</v>
      </c>
      <c r="C6236" s="9" t="s">
        <v>15</v>
      </c>
      <c r="D6236" s="10" t="s">
        <v>13559</v>
      </c>
      <c r="E6236" s="9" t="s">
        <v>17</v>
      </c>
      <c r="F6236" s="10">
        <v>26</v>
      </c>
      <c r="G6236" s="11">
        <v>7045782619</v>
      </c>
      <c r="H6236" s="10" t="s">
        <v>13560</v>
      </c>
      <c r="I6236" s="10" t="s">
        <v>45</v>
      </c>
      <c r="J6236" s="10" t="s">
        <v>339</v>
      </c>
      <c r="K6236" s="12">
        <v>46031</v>
      </c>
      <c r="L6236" s="28" t="s">
        <v>11</v>
      </c>
      <c r="M6236" s="14"/>
      <c r="N6236" s="10" t="s">
        <v>1096</v>
      </c>
    </row>
    <row r="6237" spans="1:14" ht="22.5" customHeight="1">
      <c r="A6237" s="8">
        <v>46031.53761885417</v>
      </c>
      <c r="B6237" s="9" t="s">
        <v>14</v>
      </c>
      <c r="C6237" s="9" t="s">
        <v>15</v>
      </c>
      <c r="D6237" s="10" t="s">
        <v>13561</v>
      </c>
      <c r="E6237" s="9" t="s">
        <v>17</v>
      </c>
      <c r="F6237" s="10">
        <v>25</v>
      </c>
      <c r="G6237" s="11">
        <v>8128461645</v>
      </c>
      <c r="H6237" s="10" t="s">
        <v>13562</v>
      </c>
      <c r="I6237" s="10" t="s">
        <v>27</v>
      </c>
      <c r="J6237" s="10" t="s">
        <v>372</v>
      </c>
      <c r="K6237" s="12">
        <v>46031</v>
      </c>
      <c r="L6237" s="28" t="s">
        <v>11</v>
      </c>
      <c r="M6237" s="14"/>
      <c r="N6237" s="10" t="s">
        <v>1028</v>
      </c>
    </row>
    <row r="6238" spans="1:14" ht="22.5" customHeight="1">
      <c r="A6238" s="8">
        <v>46031.537778877318</v>
      </c>
      <c r="B6238" s="9" t="s">
        <v>14</v>
      </c>
      <c r="C6238" s="9" t="s">
        <v>15</v>
      </c>
      <c r="D6238" s="10" t="s">
        <v>13563</v>
      </c>
      <c r="E6238" s="9" t="s">
        <v>17</v>
      </c>
      <c r="F6238" s="10">
        <v>26</v>
      </c>
      <c r="G6238" s="11">
        <v>8076767460</v>
      </c>
      <c r="H6238" s="10" t="s">
        <v>13564</v>
      </c>
      <c r="I6238" s="10" t="s">
        <v>45</v>
      </c>
      <c r="J6238" s="10" t="s">
        <v>6578</v>
      </c>
      <c r="K6238" s="12">
        <v>46031</v>
      </c>
      <c r="L6238" s="28" t="s">
        <v>11</v>
      </c>
      <c r="M6238" s="14"/>
      <c r="N6238" s="10" t="s">
        <v>1028</v>
      </c>
    </row>
    <row r="6239" spans="1:14" ht="22.5" customHeight="1">
      <c r="A6239" s="8">
        <v>46031.539074733795</v>
      </c>
      <c r="B6239" s="9" t="s">
        <v>14</v>
      </c>
      <c r="C6239" s="9" t="s">
        <v>15</v>
      </c>
      <c r="D6239" s="10" t="s">
        <v>13565</v>
      </c>
      <c r="E6239" s="9" t="s">
        <v>17</v>
      </c>
      <c r="F6239" s="10">
        <v>28</v>
      </c>
      <c r="G6239" s="11">
        <v>8148881336</v>
      </c>
      <c r="H6239" s="10" t="s">
        <v>13566</v>
      </c>
      <c r="I6239" s="10" t="s">
        <v>49</v>
      </c>
      <c r="J6239" s="10" t="s">
        <v>13567</v>
      </c>
      <c r="K6239" s="12">
        <v>46031</v>
      </c>
      <c r="L6239" s="28" t="s">
        <v>11</v>
      </c>
      <c r="M6239" s="14"/>
      <c r="N6239" s="10" t="s">
        <v>1028</v>
      </c>
    </row>
    <row r="6240" spans="1:14" ht="22.5" customHeight="1">
      <c r="A6240" s="8">
        <v>46031.540397337958</v>
      </c>
      <c r="B6240" s="9" t="s">
        <v>14</v>
      </c>
      <c r="C6240" s="9" t="s">
        <v>15</v>
      </c>
      <c r="D6240" s="10" t="s">
        <v>13568</v>
      </c>
      <c r="E6240" s="9" t="s">
        <v>17</v>
      </c>
      <c r="F6240" s="10">
        <v>28</v>
      </c>
      <c r="G6240" s="11">
        <v>7066165023</v>
      </c>
      <c r="H6240" s="10" t="s">
        <v>13569</v>
      </c>
      <c r="I6240" s="10" t="s">
        <v>19</v>
      </c>
      <c r="J6240" s="10" t="s">
        <v>5227</v>
      </c>
      <c r="K6240" s="12">
        <v>46031</v>
      </c>
      <c r="L6240" s="28" t="s">
        <v>11</v>
      </c>
      <c r="M6240" s="14"/>
      <c r="N6240" s="10" t="s">
        <v>1028</v>
      </c>
    </row>
    <row r="6241" spans="1:14" ht="22.5" customHeight="1">
      <c r="A6241" s="8">
        <v>46031.540643067128</v>
      </c>
      <c r="B6241" s="9" t="s">
        <v>14</v>
      </c>
      <c r="C6241" s="9" t="s">
        <v>15</v>
      </c>
      <c r="D6241" s="10" t="s">
        <v>13570</v>
      </c>
      <c r="E6241" s="9" t="s">
        <v>17</v>
      </c>
      <c r="F6241" s="10">
        <v>26</v>
      </c>
      <c r="G6241" s="11">
        <v>8064615899</v>
      </c>
      <c r="H6241" s="10" t="s">
        <v>13571</v>
      </c>
      <c r="I6241" s="10" t="s">
        <v>27</v>
      </c>
      <c r="J6241" s="10" t="s">
        <v>1456</v>
      </c>
      <c r="K6241" s="12">
        <v>46031</v>
      </c>
      <c r="L6241" s="28" t="s">
        <v>11</v>
      </c>
      <c r="M6241" s="14"/>
      <c r="N6241" s="10" t="s">
        <v>1028</v>
      </c>
    </row>
    <row r="6242" spans="1:14" ht="22.5" customHeight="1">
      <c r="A6242" s="8">
        <v>46031.54128701389</v>
      </c>
      <c r="B6242" s="9" t="s">
        <v>14</v>
      </c>
      <c r="C6242" s="9" t="s">
        <v>15</v>
      </c>
      <c r="D6242" s="10" t="s">
        <v>13572</v>
      </c>
      <c r="E6242" s="9" t="s">
        <v>17</v>
      </c>
      <c r="F6242" s="10">
        <v>28</v>
      </c>
      <c r="G6242" s="11">
        <v>7039505531</v>
      </c>
      <c r="H6242" s="10" t="s">
        <v>13573</v>
      </c>
      <c r="I6242" s="10" t="s">
        <v>27</v>
      </c>
      <c r="J6242" s="10" t="s">
        <v>2669</v>
      </c>
      <c r="K6242" s="12">
        <v>46031</v>
      </c>
      <c r="L6242" s="28" t="s">
        <v>11</v>
      </c>
      <c r="M6242" s="14"/>
      <c r="N6242" s="10" t="s">
        <v>1028</v>
      </c>
    </row>
    <row r="6243" spans="1:14" ht="22.5" customHeight="1">
      <c r="A6243" s="8">
        <v>46031.542388807866</v>
      </c>
      <c r="B6243" s="9" t="s">
        <v>14</v>
      </c>
      <c r="C6243" s="9" t="s">
        <v>15</v>
      </c>
      <c r="D6243" s="10" t="s">
        <v>13574</v>
      </c>
      <c r="E6243" s="9" t="s">
        <v>17</v>
      </c>
      <c r="F6243" s="10">
        <v>20</v>
      </c>
      <c r="G6243" s="11">
        <v>8125878487</v>
      </c>
      <c r="H6243" s="10" t="s">
        <v>13575</v>
      </c>
      <c r="I6243" s="10" t="s">
        <v>27</v>
      </c>
      <c r="J6243" s="10" t="s">
        <v>67</v>
      </c>
      <c r="K6243" s="12">
        <v>46031</v>
      </c>
      <c r="L6243" s="28" t="s">
        <v>11</v>
      </c>
      <c r="M6243" s="14"/>
      <c r="N6243" s="10" t="s">
        <v>1028</v>
      </c>
    </row>
    <row r="6244" spans="1:14" ht="22.5" customHeight="1">
      <c r="A6244" s="8">
        <v>46031.545495405095</v>
      </c>
      <c r="B6244" s="9" t="s">
        <v>14</v>
      </c>
      <c r="C6244" s="9" t="s">
        <v>15</v>
      </c>
      <c r="D6244" s="10" t="s">
        <v>13576</v>
      </c>
      <c r="E6244" s="9" t="s">
        <v>17</v>
      </c>
      <c r="F6244" s="10">
        <v>33</v>
      </c>
      <c r="G6244" s="11">
        <v>8161802415</v>
      </c>
      <c r="H6244" s="10" t="s">
        <v>13577</v>
      </c>
      <c r="I6244" s="10" t="s">
        <v>31</v>
      </c>
      <c r="J6244" s="10" t="s">
        <v>1582</v>
      </c>
      <c r="K6244" s="12">
        <v>46031</v>
      </c>
      <c r="L6244" s="28" t="s">
        <v>11</v>
      </c>
      <c r="M6244" s="14"/>
      <c r="N6244" s="10" t="s">
        <v>1028</v>
      </c>
    </row>
    <row r="6245" spans="1:14" ht="22.5" customHeight="1">
      <c r="A6245" s="8">
        <v>46031.54652585648</v>
      </c>
      <c r="B6245" s="9" t="s">
        <v>14</v>
      </c>
      <c r="C6245" s="9" t="s">
        <v>15</v>
      </c>
      <c r="D6245" s="10" t="s">
        <v>13578</v>
      </c>
      <c r="E6245" s="9" t="s">
        <v>17</v>
      </c>
      <c r="F6245" s="10">
        <v>31</v>
      </c>
      <c r="G6245" s="11">
        <v>8064602668</v>
      </c>
      <c r="H6245" s="10" t="s">
        <v>13579</v>
      </c>
      <c r="I6245" s="10" t="s">
        <v>27</v>
      </c>
      <c r="J6245" s="10" t="s">
        <v>70</v>
      </c>
      <c r="K6245" s="12">
        <v>46031</v>
      </c>
      <c r="L6245" s="28" t="s">
        <v>11</v>
      </c>
      <c r="M6245" s="14"/>
      <c r="N6245" s="10" t="s">
        <v>1563</v>
      </c>
    </row>
    <row r="6246" spans="1:14" ht="22.5" customHeight="1">
      <c r="A6246" s="8">
        <v>46031.552702106477</v>
      </c>
      <c r="B6246" s="9" t="s">
        <v>14</v>
      </c>
      <c r="C6246" s="9" t="s">
        <v>15</v>
      </c>
      <c r="D6246" s="10" t="s">
        <v>13580</v>
      </c>
      <c r="E6246" s="9" t="s">
        <v>17</v>
      </c>
      <c r="F6246" s="10">
        <v>23</v>
      </c>
      <c r="G6246" s="11">
        <v>8114523492</v>
      </c>
      <c r="H6246" s="10" t="s">
        <v>9164</v>
      </c>
      <c r="I6246" s="10" t="s">
        <v>202</v>
      </c>
      <c r="J6246" s="10" t="s">
        <v>13581</v>
      </c>
      <c r="K6246" s="12">
        <v>46031</v>
      </c>
      <c r="L6246" s="28" t="s">
        <v>11</v>
      </c>
      <c r="M6246" s="10"/>
      <c r="N6246" s="10" t="s">
        <v>1028</v>
      </c>
    </row>
    <row r="6247" spans="1:14" ht="22.5" customHeight="1">
      <c r="A6247" s="8">
        <v>46031.552789918976</v>
      </c>
      <c r="B6247" s="9" t="s">
        <v>14</v>
      </c>
      <c r="C6247" s="9" t="s">
        <v>15</v>
      </c>
      <c r="D6247" s="10" t="s">
        <v>13582</v>
      </c>
      <c r="E6247" s="9" t="s">
        <v>17</v>
      </c>
      <c r="F6247" s="10">
        <v>28</v>
      </c>
      <c r="G6247" s="11">
        <v>8168738787</v>
      </c>
      <c r="H6247" s="10" t="s">
        <v>13583</v>
      </c>
      <c r="I6247" s="10" t="s">
        <v>45</v>
      </c>
      <c r="J6247" s="10" t="s">
        <v>521</v>
      </c>
      <c r="K6247" s="12">
        <v>46031</v>
      </c>
      <c r="L6247" s="28" t="s">
        <v>11</v>
      </c>
      <c r="M6247" s="14"/>
      <c r="N6247" s="10" t="s">
        <v>1028</v>
      </c>
    </row>
    <row r="6248" spans="1:14" ht="22.5" customHeight="1">
      <c r="A6248" s="8">
        <v>46031.553297719904</v>
      </c>
      <c r="B6248" s="9" t="s">
        <v>14</v>
      </c>
      <c r="C6248" s="9" t="s">
        <v>15</v>
      </c>
      <c r="D6248" s="10" t="s">
        <v>13584</v>
      </c>
      <c r="E6248" s="9" t="s">
        <v>17</v>
      </c>
      <c r="F6248" s="10">
        <v>20</v>
      </c>
      <c r="G6248" s="11">
        <v>9074941997</v>
      </c>
      <c r="H6248" s="10" t="s">
        <v>13585</v>
      </c>
      <c r="I6248" s="10" t="s">
        <v>27</v>
      </c>
      <c r="J6248" s="10" t="s">
        <v>94</v>
      </c>
      <c r="K6248" s="12">
        <v>46031</v>
      </c>
      <c r="L6248" s="28" t="s">
        <v>11</v>
      </c>
      <c r="M6248" s="14"/>
      <c r="N6248" s="10" t="s">
        <v>1028</v>
      </c>
    </row>
    <row r="6249" spans="1:14" ht="22.5" customHeight="1">
      <c r="A6249" s="8">
        <v>46031.553970092587</v>
      </c>
      <c r="B6249" s="9" t="s">
        <v>14</v>
      </c>
      <c r="C6249" s="9" t="s">
        <v>15</v>
      </c>
      <c r="D6249" s="10" t="s">
        <v>13586</v>
      </c>
      <c r="E6249" s="9" t="s">
        <v>22</v>
      </c>
      <c r="F6249" s="10">
        <v>30</v>
      </c>
      <c r="G6249" s="11">
        <v>9037713100</v>
      </c>
      <c r="H6249" s="10" t="s">
        <v>995</v>
      </c>
      <c r="I6249" s="10" t="s">
        <v>49</v>
      </c>
      <c r="J6249" s="10" t="s">
        <v>50</v>
      </c>
      <c r="K6249" s="12">
        <v>46031</v>
      </c>
      <c r="L6249" s="28" t="s">
        <v>11</v>
      </c>
      <c r="M6249" s="14"/>
      <c r="N6249" s="10" t="s">
        <v>1028</v>
      </c>
    </row>
    <row r="6250" spans="1:14" ht="22.5" customHeight="1">
      <c r="A6250" s="8">
        <v>46031.554148055555</v>
      </c>
      <c r="B6250" s="9" t="s">
        <v>14</v>
      </c>
      <c r="C6250" s="9" t="s">
        <v>15</v>
      </c>
      <c r="D6250" s="10" t="s">
        <v>13587</v>
      </c>
      <c r="E6250" s="9" t="s">
        <v>22</v>
      </c>
      <c r="F6250" s="10">
        <v>27</v>
      </c>
      <c r="G6250" s="11">
        <v>9063443831</v>
      </c>
      <c r="H6250" s="10" t="s">
        <v>13588</v>
      </c>
      <c r="I6250" s="10" t="s">
        <v>27</v>
      </c>
      <c r="J6250" s="10" t="s">
        <v>70</v>
      </c>
      <c r="K6250" s="12">
        <v>46031</v>
      </c>
      <c r="L6250" s="28" t="s">
        <v>11</v>
      </c>
      <c r="M6250" s="14"/>
      <c r="N6250" s="10" t="s">
        <v>1096</v>
      </c>
    </row>
    <row r="6251" spans="1:14" ht="22.5" customHeight="1">
      <c r="A6251" s="8">
        <v>46031.55425951389</v>
      </c>
      <c r="B6251" s="9" t="s">
        <v>14</v>
      </c>
      <c r="C6251" s="9" t="s">
        <v>15</v>
      </c>
      <c r="D6251" s="10" t="s">
        <v>13589</v>
      </c>
      <c r="E6251" s="9" t="s">
        <v>22</v>
      </c>
      <c r="F6251" s="10">
        <v>25</v>
      </c>
      <c r="G6251" s="11">
        <v>8137206780</v>
      </c>
      <c r="H6251" s="10" t="s">
        <v>13590</v>
      </c>
      <c r="I6251" s="10" t="s">
        <v>27</v>
      </c>
      <c r="J6251" s="10" t="s">
        <v>13591</v>
      </c>
      <c r="K6251" s="12">
        <v>46031</v>
      </c>
      <c r="L6251" s="28" t="s">
        <v>11</v>
      </c>
      <c r="M6251" s="10"/>
      <c r="N6251" s="10" t="s">
        <v>1028</v>
      </c>
    </row>
    <row r="6252" spans="1:14" ht="22.5" customHeight="1">
      <c r="A6252" s="8">
        <v>46031.555989490742</v>
      </c>
      <c r="B6252" s="9" t="s">
        <v>14</v>
      </c>
      <c r="C6252" s="9" t="s">
        <v>15</v>
      </c>
      <c r="D6252" s="10" t="s">
        <v>13592</v>
      </c>
      <c r="E6252" s="9" t="s">
        <v>17</v>
      </c>
      <c r="F6252" s="10">
        <v>23</v>
      </c>
      <c r="G6252" s="11">
        <v>9164821636</v>
      </c>
      <c r="H6252" s="10" t="s">
        <v>13593</v>
      </c>
      <c r="I6252" s="10" t="s">
        <v>27</v>
      </c>
      <c r="J6252" s="10" t="s">
        <v>94</v>
      </c>
      <c r="K6252" s="12">
        <v>46031</v>
      </c>
      <c r="L6252" s="28" t="s">
        <v>11</v>
      </c>
      <c r="M6252" s="14"/>
      <c r="N6252" s="10" t="s">
        <v>1028</v>
      </c>
    </row>
    <row r="6253" spans="1:14" ht="22.5" customHeight="1">
      <c r="A6253" s="8">
        <v>46031.558879548611</v>
      </c>
      <c r="B6253" s="9" t="s">
        <v>14</v>
      </c>
      <c r="C6253" s="9" t="s">
        <v>15</v>
      </c>
      <c r="D6253" s="10" t="s">
        <v>13594</v>
      </c>
      <c r="E6253" s="9" t="s">
        <v>17</v>
      </c>
      <c r="F6253" s="10">
        <v>22</v>
      </c>
      <c r="G6253" s="11">
        <v>7042945475</v>
      </c>
      <c r="H6253" s="10" t="s">
        <v>13595</v>
      </c>
      <c r="I6253" s="10" t="s">
        <v>145</v>
      </c>
      <c r="J6253" s="10" t="s">
        <v>4352</v>
      </c>
      <c r="K6253" s="12">
        <v>46031</v>
      </c>
      <c r="L6253" s="28" t="s">
        <v>11</v>
      </c>
      <c r="M6253" s="14"/>
      <c r="N6253" s="10" t="s">
        <v>1028</v>
      </c>
    </row>
    <row r="6254" spans="1:14" ht="22.5" customHeight="1">
      <c r="A6254" s="8">
        <v>46031.559199710653</v>
      </c>
      <c r="B6254" s="9" t="s">
        <v>14</v>
      </c>
      <c r="C6254" s="9" t="s">
        <v>15</v>
      </c>
      <c r="D6254" s="10" t="s">
        <v>13596</v>
      </c>
      <c r="E6254" s="9" t="s">
        <v>22</v>
      </c>
      <c r="F6254" s="10">
        <v>27</v>
      </c>
      <c r="G6254" s="11">
        <v>8030711139</v>
      </c>
      <c r="H6254" s="10" t="s">
        <v>13597</v>
      </c>
      <c r="I6254" s="10" t="s">
        <v>27</v>
      </c>
      <c r="J6254" s="10" t="s">
        <v>2105</v>
      </c>
      <c r="K6254" s="12">
        <v>46031</v>
      </c>
      <c r="L6254" s="28" t="s">
        <v>11</v>
      </c>
      <c r="M6254" s="14"/>
      <c r="N6254" s="10" t="s">
        <v>1028</v>
      </c>
    </row>
    <row r="6255" spans="1:14" ht="22.5" customHeight="1">
      <c r="A6255" s="8">
        <v>46031.559260613431</v>
      </c>
      <c r="B6255" s="9" t="s">
        <v>14</v>
      </c>
      <c r="C6255" s="9" t="s">
        <v>15</v>
      </c>
      <c r="D6255" s="10" t="s">
        <v>13598</v>
      </c>
      <c r="E6255" s="9" t="s">
        <v>17</v>
      </c>
      <c r="F6255" s="10">
        <v>34</v>
      </c>
      <c r="G6255" s="11">
        <v>7069392837</v>
      </c>
      <c r="H6255" s="10" t="s">
        <v>13599</v>
      </c>
      <c r="I6255" s="10" t="s">
        <v>202</v>
      </c>
      <c r="J6255" s="10" t="s">
        <v>3904</v>
      </c>
      <c r="K6255" s="12">
        <v>46031</v>
      </c>
      <c r="L6255" s="28" t="s">
        <v>11</v>
      </c>
      <c r="M6255" s="14"/>
      <c r="N6255" s="10" t="s">
        <v>1028</v>
      </c>
    </row>
    <row r="6256" spans="1:14" ht="22.5" customHeight="1">
      <c r="A6256" s="8">
        <v>46031.559760428237</v>
      </c>
      <c r="B6256" s="9" t="s">
        <v>14</v>
      </c>
      <c r="C6256" s="9" t="s">
        <v>15</v>
      </c>
      <c r="D6256" s="10" t="s">
        <v>13600</v>
      </c>
      <c r="E6256" s="9" t="s">
        <v>22</v>
      </c>
      <c r="F6256" s="10">
        <v>31</v>
      </c>
      <c r="G6256" s="11">
        <v>9066961617</v>
      </c>
      <c r="H6256" s="10" t="s">
        <v>13601</v>
      </c>
      <c r="I6256" s="10" t="s">
        <v>145</v>
      </c>
      <c r="J6256" s="10" t="s">
        <v>7158</v>
      </c>
      <c r="K6256" s="12">
        <v>46031</v>
      </c>
      <c r="L6256" s="28" t="s">
        <v>11</v>
      </c>
      <c r="M6256" s="14"/>
      <c r="N6256" s="10" t="s">
        <v>1028</v>
      </c>
    </row>
    <row r="6257" spans="1:14" ht="22.5" customHeight="1">
      <c r="A6257" s="8">
        <v>46031.560796759259</v>
      </c>
      <c r="B6257" s="9" t="s">
        <v>14</v>
      </c>
      <c r="C6257" s="9" t="s">
        <v>15</v>
      </c>
      <c r="D6257" s="10" t="s">
        <v>13602</v>
      </c>
      <c r="E6257" s="9" t="s">
        <v>17</v>
      </c>
      <c r="F6257" s="10">
        <v>26</v>
      </c>
      <c r="G6257" s="11">
        <v>8066444198</v>
      </c>
      <c r="H6257" s="10" t="s">
        <v>13603</v>
      </c>
      <c r="I6257" s="10" t="s">
        <v>27</v>
      </c>
      <c r="J6257" s="10" t="s">
        <v>1559</v>
      </c>
      <c r="K6257" s="12">
        <v>46031</v>
      </c>
      <c r="L6257" s="28" t="s">
        <v>11</v>
      </c>
      <c r="M6257" s="14"/>
      <c r="N6257" s="10" t="s">
        <v>1028</v>
      </c>
    </row>
    <row r="6258" spans="1:14" ht="22.5" customHeight="1">
      <c r="A6258" s="8">
        <v>46031.564725567128</v>
      </c>
      <c r="B6258" s="9" t="s">
        <v>14</v>
      </c>
      <c r="C6258" s="9" t="s">
        <v>15</v>
      </c>
      <c r="D6258" s="10" t="s">
        <v>13604</v>
      </c>
      <c r="E6258" s="9" t="s">
        <v>22</v>
      </c>
      <c r="F6258" s="10">
        <v>22</v>
      </c>
      <c r="G6258" s="11">
        <v>9165589821</v>
      </c>
      <c r="H6258" s="10" t="s">
        <v>13605</v>
      </c>
      <c r="I6258" s="10" t="s">
        <v>27</v>
      </c>
      <c r="J6258" s="10" t="s">
        <v>53</v>
      </c>
      <c r="K6258" s="12">
        <v>46031</v>
      </c>
      <c r="L6258" s="28" t="s">
        <v>11</v>
      </c>
      <c r="M6258" s="14"/>
      <c r="N6258" s="10" t="s">
        <v>1028</v>
      </c>
    </row>
    <row r="6259" spans="1:14" ht="22.5" customHeight="1">
      <c r="A6259" s="8">
        <v>46031.565804780097</v>
      </c>
      <c r="B6259" s="9" t="s">
        <v>14</v>
      </c>
      <c r="C6259" s="9" t="s">
        <v>15</v>
      </c>
      <c r="D6259" s="10" t="s">
        <v>13606</v>
      </c>
      <c r="E6259" s="9" t="s">
        <v>17</v>
      </c>
      <c r="F6259" s="10">
        <v>33</v>
      </c>
      <c r="G6259" s="11">
        <v>8036331185</v>
      </c>
      <c r="H6259" s="10" t="s">
        <v>13607</v>
      </c>
      <c r="I6259" s="10" t="s">
        <v>27</v>
      </c>
      <c r="J6259" s="10" t="s">
        <v>13608</v>
      </c>
      <c r="K6259" s="12">
        <v>46031</v>
      </c>
      <c r="L6259" s="28" t="s">
        <v>11</v>
      </c>
      <c r="M6259" s="14"/>
      <c r="N6259" s="10" t="s">
        <v>1028</v>
      </c>
    </row>
    <row r="6260" spans="1:14" ht="22.5" customHeight="1">
      <c r="A6260" s="8">
        <v>46031.566145879631</v>
      </c>
      <c r="B6260" s="9" t="s">
        <v>14</v>
      </c>
      <c r="C6260" s="9" t="s">
        <v>15</v>
      </c>
      <c r="D6260" s="10" t="s">
        <v>13609</v>
      </c>
      <c r="E6260" s="9" t="s">
        <v>17</v>
      </c>
      <c r="F6260" s="10">
        <v>41</v>
      </c>
      <c r="G6260" s="11">
        <v>8032092434</v>
      </c>
      <c r="H6260" s="10" t="s">
        <v>13610</v>
      </c>
      <c r="I6260" s="10" t="s">
        <v>45</v>
      </c>
      <c r="J6260" s="10" t="s">
        <v>4419</v>
      </c>
      <c r="K6260" s="12">
        <v>46031</v>
      </c>
      <c r="L6260" s="28" t="s">
        <v>11</v>
      </c>
      <c r="M6260" s="14"/>
      <c r="N6260" s="10" t="s">
        <v>1028</v>
      </c>
    </row>
    <row r="6261" spans="1:14" ht="22.5" customHeight="1">
      <c r="A6261" s="8">
        <v>46031.566159328708</v>
      </c>
      <c r="B6261" s="9" t="s">
        <v>14</v>
      </c>
      <c r="C6261" s="9" t="s">
        <v>15</v>
      </c>
      <c r="D6261" s="10" t="s">
        <v>13611</v>
      </c>
      <c r="E6261" s="9" t="s">
        <v>17</v>
      </c>
      <c r="F6261" s="10">
        <v>30</v>
      </c>
      <c r="G6261" s="11">
        <v>8030997520</v>
      </c>
      <c r="H6261" s="10" t="s">
        <v>13612</v>
      </c>
      <c r="I6261" s="10" t="s">
        <v>19</v>
      </c>
      <c r="J6261" s="10" t="s">
        <v>8560</v>
      </c>
      <c r="K6261" s="12">
        <v>46031</v>
      </c>
      <c r="L6261" s="28" t="s">
        <v>11</v>
      </c>
      <c r="M6261" s="14"/>
      <c r="N6261" s="10" t="s">
        <v>1096</v>
      </c>
    </row>
    <row r="6262" spans="1:14" ht="22.5" customHeight="1">
      <c r="A6262" s="8">
        <v>46031.566683240744</v>
      </c>
      <c r="B6262" s="9" t="s">
        <v>14</v>
      </c>
      <c r="C6262" s="9" t="s">
        <v>15</v>
      </c>
      <c r="D6262" s="10" t="s">
        <v>13613</v>
      </c>
      <c r="E6262" s="9" t="s">
        <v>22</v>
      </c>
      <c r="F6262" s="10">
        <v>24</v>
      </c>
      <c r="G6262" s="11">
        <v>8139553807</v>
      </c>
      <c r="H6262" s="10" t="s">
        <v>13614</v>
      </c>
      <c r="I6262" s="10" t="s">
        <v>19</v>
      </c>
      <c r="J6262" s="10" t="s">
        <v>812</v>
      </c>
      <c r="K6262" s="12">
        <v>46031</v>
      </c>
      <c r="L6262" s="28" t="s">
        <v>11</v>
      </c>
      <c r="M6262" s="14"/>
      <c r="N6262" s="10" t="s">
        <v>1028</v>
      </c>
    </row>
    <row r="6263" spans="1:14" ht="22.5" customHeight="1">
      <c r="A6263" s="8">
        <v>46031.567615173612</v>
      </c>
      <c r="B6263" s="9" t="s">
        <v>14</v>
      </c>
      <c r="C6263" s="9" t="s">
        <v>15</v>
      </c>
      <c r="D6263" s="10" t="s">
        <v>13615</v>
      </c>
      <c r="E6263" s="9" t="s">
        <v>22</v>
      </c>
      <c r="F6263" s="10">
        <v>26</v>
      </c>
      <c r="G6263" s="11">
        <v>8035059853</v>
      </c>
      <c r="H6263" s="10" t="s">
        <v>13616</v>
      </c>
      <c r="I6263" s="10" t="s">
        <v>27</v>
      </c>
      <c r="J6263" s="10" t="s">
        <v>1902</v>
      </c>
      <c r="K6263" s="12">
        <v>46031</v>
      </c>
      <c r="L6263" s="28" t="s">
        <v>11</v>
      </c>
      <c r="M6263" s="14"/>
      <c r="N6263" s="10" t="s">
        <v>1028</v>
      </c>
    </row>
    <row r="6264" spans="1:14" ht="22.5" customHeight="1">
      <c r="A6264" s="8">
        <v>46031.569288101848</v>
      </c>
      <c r="B6264" s="9" t="s">
        <v>14</v>
      </c>
      <c r="C6264" s="9" t="s">
        <v>15</v>
      </c>
      <c r="D6264" s="10" t="s">
        <v>13617</v>
      </c>
      <c r="E6264" s="9" t="s">
        <v>22</v>
      </c>
      <c r="F6264" s="10">
        <v>33</v>
      </c>
      <c r="G6264" s="11">
        <v>8132677416</v>
      </c>
      <c r="H6264" s="10" t="s">
        <v>13618</v>
      </c>
      <c r="I6264" s="10" t="s">
        <v>27</v>
      </c>
      <c r="J6264" s="10" t="s">
        <v>1559</v>
      </c>
      <c r="K6264" s="12">
        <v>46031</v>
      </c>
      <c r="L6264" s="28" t="s">
        <v>11</v>
      </c>
      <c r="M6264" s="14"/>
      <c r="N6264" s="10" t="s">
        <v>1096</v>
      </c>
    </row>
    <row r="6265" spans="1:14" ht="22.5" customHeight="1">
      <c r="A6265" s="8">
        <v>46031.570161331023</v>
      </c>
      <c r="B6265" s="9" t="s">
        <v>14</v>
      </c>
      <c r="C6265" s="9" t="s">
        <v>15</v>
      </c>
      <c r="D6265" s="10" t="s">
        <v>13619</v>
      </c>
      <c r="E6265" s="9" t="s">
        <v>22</v>
      </c>
      <c r="F6265" s="10">
        <v>27</v>
      </c>
      <c r="G6265" s="11">
        <v>7030342364</v>
      </c>
      <c r="H6265" s="10" t="s">
        <v>13620</v>
      </c>
      <c r="I6265" s="10" t="s">
        <v>19</v>
      </c>
      <c r="J6265" s="10" t="s">
        <v>5064</v>
      </c>
      <c r="K6265" s="12">
        <v>46031</v>
      </c>
      <c r="L6265" s="28" t="s">
        <v>11</v>
      </c>
      <c r="M6265" s="14"/>
      <c r="N6265" s="10" t="s">
        <v>1028</v>
      </c>
    </row>
    <row r="6266" spans="1:14" ht="22.5" customHeight="1">
      <c r="A6266" s="8">
        <v>46031.571195196761</v>
      </c>
      <c r="B6266" s="9" t="s">
        <v>14</v>
      </c>
      <c r="C6266" s="9" t="s">
        <v>15</v>
      </c>
      <c r="D6266" s="10" t="s">
        <v>13621</v>
      </c>
      <c r="E6266" s="9" t="s">
        <v>17</v>
      </c>
      <c r="F6266" s="10">
        <v>30</v>
      </c>
      <c r="G6266" s="11">
        <v>8103273408</v>
      </c>
      <c r="H6266" s="10" t="s">
        <v>13622</v>
      </c>
      <c r="I6266" s="10" t="s">
        <v>45</v>
      </c>
      <c r="J6266" s="10" t="s">
        <v>13623</v>
      </c>
      <c r="K6266" s="12">
        <v>46031</v>
      </c>
      <c r="L6266" s="28" t="s">
        <v>11</v>
      </c>
      <c r="M6266" s="14"/>
      <c r="N6266" s="10" t="s">
        <v>1028</v>
      </c>
    </row>
    <row r="6267" spans="1:14" ht="22.5" hidden="1" customHeight="1">
      <c r="A6267" s="8">
        <v>46031.572786331017</v>
      </c>
      <c r="B6267" s="9" t="s">
        <v>14</v>
      </c>
      <c r="C6267" s="9" t="s">
        <v>15</v>
      </c>
      <c r="D6267" s="10" t="s">
        <v>13624</v>
      </c>
      <c r="E6267" s="9" t="s">
        <v>17</v>
      </c>
      <c r="F6267" s="10">
        <v>25</v>
      </c>
      <c r="G6267" s="11">
        <v>8107363467</v>
      </c>
      <c r="H6267" s="10" t="s">
        <v>13625</v>
      </c>
      <c r="I6267" s="10" t="s">
        <v>27</v>
      </c>
      <c r="J6267" s="10" t="s">
        <v>1559</v>
      </c>
      <c r="K6267" s="12">
        <v>46031</v>
      </c>
      <c r="L6267" s="10" t="s">
        <v>441</v>
      </c>
      <c r="M6267" s="10" t="s">
        <v>2999</v>
      </c>
      <c r="N6267" s="10" t="s">
        <v>2186</v>
      </c>
    </row>
    <row r="6268" spans="1:14" ht="22.5" customHeight="1">
      <c r="A6268" s="8">
        <v>46031.573330636573</v>
      </c>
      <c r="B6268" s="9" t="s">
        <v>14</v>
      </c>
      <c r="C6268" s="9" t="s">
        <v>15</v>
      </c>
      <c r="D6268" s="10" t="s">
        <v>13626</v>
      </c>
      <c r="E6268" s="9" t="s">
        <v>22</v>
      </c>
      <c r="F6268" s="10">
        <v>33</v>
      </c>
      <c r="G6268" s="11">
        <v>8032631573</v>
      </c>
      <c r="H6268" s="10" t="s">
        <v>13627</v>
      </c>
      <c r="I6268" s="10" t="s">
        <v>27</v>
      </c>
      <c r="J6268" s="10" t="s">
        <v>13628</v>
      </c>
      <c r="K6268" s="12">
        <v>46031</v>
      </c>
      <c r="L6268" s="28" t="s">
        <v>11</v>
      </c>
      <c r="M6268" s="14"/>
      <c r="N6268" s="10" t="s">
        <v>1028</v>
      </c>
    </row>
    <row r="6269" spans="1:14" ht="22.5" customHeight="1">
      <c r="A6269" s="8">
        <v>46031.574284236107</v>
      </c>
      <c r="B6269" s="9" t="s">
        <v>14</v>
      </c>
      <c r="C6269" s="9" t="s">
        <v>15</v>
      </c>
      <c r="D6269" s="10" t="s">
        <v>13629</v>
      </c>
      <c r="E6269" s="9" t="s">
        <v>17</v>
      </c>
      <c r="F6269" s="10">
        <v>27</v>
      </c>
      <c r="G6269" s="11">
        <v>8185877944</v>
      </c>
      <c r="H6269" s="10" t="s">
        <v>13630</v>
      </c>
      <c r="I6269" s="10" t="s">
        <v>19</v>
      </c>
      <c r="J6269" s="10" t="s">
        <v>812</v>
      </c>
      <c r="K6269" s="12">
        <v>46031</v>
      </c>
      <c r="L6269" s="28" t="s">
        <v>11</v>
      </c>
      <c r="M6269" s="14"/>
      <c r="N6269" s="10" t="s">
        <v>1028</v>
      </c>
    </row>
    <row r="6270" spans="1:14" ht="22.5" customHeight="1">
      <c r="A6270" s="8">
        <v>46031.574885856477</v>
      </c>
      <c r="B6270" s="9" t="s">
        <v>14</v>
      </c>
      <c r="C6270" s="9" t="s">
        <v>15</v>
      </c>
      <c r="D6270" s="10" t="s">
        <v>13631</v>
      </c>
      <c r="E6270" s="9" t="s">
        <v>17</v>
      </c>
      <c r="F6270" s="10">
        <v>29</v>
      </c>
      <c r="G6270" s="11">
        <f t="shared" ref="G6270" si="187">2347044307920</f>
        <v>2347044307920</v>
      </c>
      <c r="H6270" s="10" t="s">
        <v>13632</v>
      </c>
      <c r="I6270" s="10" t="s">
        <v>19</v>
      </c>
      <c r="J6270" s="10" t="s">
        <v>3466</v>
      </c>
      <c r="K6270" s="12">
        <v>46031</v>
      </c>
      <c r="L6270" s="28" t="s">
        <v>11</v>
      </c>
      <c r="M6270" s="14"/>
      <c r="N6270" s="10" t="s">
        <v>1096</v>
      </c>
    </row>
    <row r="6271" spans="1:14" ht="22.5" customHeight="1">
      <c r="A6271" s="8">
        <v>46031.57811555556</v>
      </c>
      <c r="B6271" s="9" t="s">
        <v>14</v>
      </c>
      <c r="C6271" s="9" t="s">
        <v>15</v>
      </c>
      <c r="D6271" s="10" t="s">
        <v>13633</v>
      </c>
      <c r="E6271" s="9" t="s">
        <v>17</v>
      </c>
      <c r="F6271" s="10">
        <v>42</v>
      </c>
      <c r="G6271" s="11">
        <v>8067170136</v>
      </c>
      <c r="H6271" s="10" t="s">
        <v>13634</v>
      </c>
      <c r="I6271" s="10" t="s">
        <v>145</v>
      </c>
      <c r="J6271" s="10" t="s">
        <v>13635</v>
      </c>
      <c r="K6271" s="12">
        <v>46031</v>
      </c>
      <c r="L6271" s="28" t="s">
        <v>11</v>
      </c>
      <c r="M6271" s="14"/>
      <c r="N6271" s="10" t="s">
        <v>1140</v>
      </c>
    </row>
    <row r="6272" spans="1:14" ht="22.5" customHeight="1">
      <c r="A6272" s="8">
        <v>46031.578667708338</v>
      </c>
      <c r="B6272" s="9" t="s">
        <v>14</v>
      </c>
      <c r="C6272" s="9" t="s">
        <v>15</v>
      </c>
      <c r="D6272" s="10" t="s">
        <v>13636</v>
      </c>
      <c r="E6272" s="9" t="s">
        <v>17</v>
      </c>
      <c r="F6272" s="10">
        <v>31</v>
      </c>
      <c r="G6272" s="11">
        <v>8086359215</v>
      </c>
      <c r="H6272" s="10" t="s">
        <v>13637</v>
      </c>
      <c r="I6272" s="10" t="s">
        <v>49</v>
      </c>
      <c r="J6272" s="10" t="s">
        <v>106</v>
      </c>
      <c r="K6272" s="12">
        <v>46031</v>
      </c>
      <c r="L6272" s="28" t="s">
        <v>11</v>
      </c>
      <c r="M6272" s="14"/>
      <c r="N6272" s="10" t="s">
        <v>1096</v>
      </c>
    </row>
    <row r="6273" spans="1:14" ht="22.5" customHeight="1">
      <c r="A6273" s="8">
        <v>46031.580035347222</v>
      </c>
      <c r="B6273" s="9" t="s">
        <v>14</v>
      </c>
      <c r="C6273" s="9" t="s">
        <v>15</v>
      </c>
      <c r="D6273" s="10" t="s">
        <v>13638</v>
      </c>
      <c r="E6273" s="9" t="s">
        <v>17</v>
      </c>
      <c r="F6273" s="10">
        <v>24</v>
      </c>
      <c r="G6273" s="11">
        <v>8168554963</v>
      </c>
      <c r="H6273" s="10" t="s">
        <v>13639</v>
      </c>
      <c r="I6273" s="10" t="s">
        <v>27</v>
      </c>
      <c r="J6273" s="10" t="s">
        <v>27</v>
      </c>
      <c r="K6273" s="12">
        <v>46031</v>
      </c>
      <c r="L6273" s="28" t="s">
        <v>11</v>
      </c>
      <c r="M6273" s="14"/>
      <c r="N6273" s="10" t="s">
        <v>1096</v>
      </c>
    </row>
    <row r="6274" spans="1:14" ht="22.5" customHeight="1">
      <c r="A6274" s="8">
        <v>46031.580544201388</v>
      </c>
      <c r="B6274" s="9" t="s">
        <v>14</v>
      </c>
      <c r="C6274" s="9" t="s">
        <v>15</v>
      </c>
      <c r="D6274" s="10" t="s">
        <v>13640</v>
      </c>
      <c r="E6274" s="9" t="s">
        <v>17</v>
      </c>
      <c r="F6274" s="10">
        <v>23</v>
      </c>
      <c r="G6274" s="11">
        <v>9131332391</v>
      </c>
      <c r="H6274" s="10" t="s">
        <v>13641</v>
      </c>
      <c r="I6274" s="10" t="s">
        <v>27</v>
      </c>
      <c r="J6274" s="10" t="s">
        <v>13642</v>
      </c>
      <c r="K6274" s="12">
        <v>46031</v>
      </c>
      <c r="L6274" s="28" t="s">
        <v>11</v>
      </c>
      <c r="M6274" s="10"/>
      <c r="N6274" s="10" t="s">
        <v>1028</v>
      </c>
    </row>
    <row r="6275" spans="1:14" ht="22.5" customHeight="1">
      <c r="A6275" s="8">
        <v>46031.583850092589</v>
      </c>
      <c r="B6275" s="9" t="s">
        <v>14</v>
      </c>
      <c r="C6275" s="9" t="s">
        <v>15</v>
      </c>
      <c r="D6275" s="10" t="s">
        <v>13643</v>
      </c>
      <c r="E6275" s="9" t="s">
        <v>17</v>
      </c>
      <c r="F6275" s="10">
        <v>26</v>
      </c>
      <c r="G6275" s="11">
        <v>9015264357</v>
      </c>
      <c r="H6275" s="10" t="s">
        <v>13644</v>
      </c>
      <c r="I6275" s="10" t="s">
        <v>145</v>
      </c>
      <c r="J6275" s="10" t="s">
        <v>4100</v>
      </c>
      <c r="K6275" s="12">
        <v>46031</v>
      </c>
      <c r="L6275" s="28" t="s">
        <v>11</v>
      </c>
      <c r="M6275" s="14"/>
      <c r="N6275" s="10" t="s">
        <v>1028</v>
      </c>
    </row>
    <row r="6276" spans="1:14" ht="22.5" customHeight="1">
      <c r="A6276" s="8">
        <v>46031.584180590275</v>
      </c>
      <c r="B6276" s="9" t="s">
        <v>14</v>
      </c>
      <c r="C6276" s="9" t="s">
        <v>15</v>
      </c>
      <c r="D6276" s="10" t="s">
        <v>13645</v>
      </c>
      <c r="E6276" s="9" t="s">
        <v>22</v>
      </c>
      <c r="F6276" s="10">
        <v>33</v>
      </c>
      <c r="G6276" s="11">
        <v>7063735669</v>
      </c>
      <c r="H6276" s="10" t="s">
        <v>13646</v>
      </c>
      <c r="I6276" s="10" t="s">
        <v>19</v>
      </c>
      <c r="J6276" s="10" t="s">
        <v>13647</v>
      </c>
      <c r="K6276" s="12">
        <v>46031</v>
      </c>
      <c r="L6276" s="28" t="s">
        <v>11</v>
      </c>
      <c r="M6276" s="14"/>
      <c r="N6276" s="10" t="s">
        <v>1028</v>
      </c>
    </row>
    <row r="6277" spans="1:14" ht="22.5" customHeight="1">
      <c r="A6277" s="8">
        <v>46031.584231990739</v>
      </c>
      <c r="B6277" s="9" t="s">
        <v>14</v>
      </c>
      <c r="C6277" s="9" t="s">
        <v>15</v>
      </c>
      <c r="D6277" s="10" t="s">
        <v>12145</v>
      </c>
      <c r="E6277" s="9" t="s">
        <v>17</v>
      </c>
      <c r="F6277" s="10">
        <v>25</v>
      </c>
      <c r="G6277" s="11">
        <v>8133065946</v>
      </c>
      <c r="H6277" s="10" t="s">
        <v>13648</v>
      </c>
      <c r="I6277" s="10" t="s">
        <v>27</v>
      </c>
      <c r="J6277" s="10" t="s">
        <v>94</v>
      </c>
      <c r="K6277" s="12">
        <v>46031</v>
      </c>
      <c r="L6277" s="28" t="s">
        <v>11</v>
      </c>
      <c r="M6277" s="14"/>
      <c r="N6277" s="10" t="s">
        <v>1028</v>
      </c>
    </row>
    <row r="6278" spans="1:14" ht="22.5" customHeight="1">
      <c r="A6278" s="8">
        <v>46031.584786712963</v>
      </c>
      <c r="B6278" s="9" t="s">
        <v>14</v>
      </c>
      <c r="C6278" s="9" t="s">
        <v>15</v>
      </c>
      <c r="D6278" s="10" t="s">
        <v>13649</v>
      </c>
      <c r="E6278" s="9" t="s">
        <v>17</v>
      </c>
      <c r="F6278" s="10">
        <v>27</v>
      </c>
      <c r="G6278" s="11">
        <v>8103353976</v>
      </c>
      <c r="H6278" s="10" t="s">
        <v>13650</v>
      </c>
      <c r="I6278" s="10" t="s">
        <v>27</v>
      </c>
      <c r="J6278" s="10" t="s">
        <v>372</v>
      </c>
      <c r="K6278" s="12">
        <v>46031</v>
      </c>
      <c r="L6278" s="28" t="s">
        <v>11</v>
      </c>
      <c r="M6278" s="14"/>
      <c r="N6278" s="10" t="s">
        <v>1028</v>
      </c>
    </row>
    <row r="6279" spans="1:14" ht="22.5" customHeight="1">
      <c r="A6279" s="8">
        <v>46031.587003703702</v>
      </c>
      <c r="B6279" s="9" t="s">
        <v>14</v>
      </c>
      <c r="C6279" s="9" t="s">
        <v>15</v>
      </c>
      <c r="D6279" s="10" t="s">
        <v>1136</v>
      </c>
      <c r="E6279" s="9" t="s">
        <v>17</v>
      </c>
      <c r="F6279" s="10">
        <v>27</v>
      </c>
      <c r="G6279" s="11">
        <v>8061520022</v>
      </c>
      <c r="H6279" s="10" t="s">
        <v>13651</v>
      </c>
      <c r="I6279" s="10" t="s">
        <v>27</v>
      </c>
      <c r="J6279" s="10" t="s">
        <v>13652</v>
      </c>
      <c r="K6279" s="12">
        <v>46031</v>
      </c>
      <c r="L6279" s="28" t="s">
        <v>11</v>
      </c>
      <c r="M6279" s="10"/>
      <c r="N6279" s="10" t="s">
        <v>1563</v>
      </c>
    </row>
    <row r="6280" spans="1:14" ht="22.5" customHeight="1">
      <c r="A6280" s="8">
        <v>46031.587511678241</v>
      </c>
      <c r="B6280" s="9" t="s">
        <v>14</v>
      </c>
      <c r="C6280" s="9" t="s">
        <v>15</v>
      </c>
      <c r="D6280" s="10" t="s">
        <v>13653</v>
      </c>
      <c r="E6280" s="9" t="s">
        <v>22</v>
      </c>
      <c r="F6280" s="10">
        <v>32</v>
      </c>
      <c r="G6280" s="11">
        <v>9055263149</v>
      </c>
      <c r="H6280" s="10" t="s">
        <v>13654</v>
      </c>
      <c r="I6280" s="10" t="s">
        <v>202</v>
      </c>
      <c r="J6280" s="10" t="s">
        <v>3437</v>
      </c>
      <c r="K6280" s="12">
        <v>46031</v>
      </c>
      <c r="L6280" s="28" t="s">
        <v>11</v>
      </c>
      <c r="M6280" s="14"/>
      <c r="N6280" s="10" t="s">
        <v>1028</v>
      </c>
    </row>
    <row r="6281" spans="1:14" ht="22.5" customHeight="1">
      <c r="A6281" s="8">
        <v>46031.588083206021</v>
      </c>
      <c r="B6281" s="9" t="s">
        <v>14</v>
      </c>
      <c r="C6281" s="9" t="s">
        <v>15</v>
      </c>
      <c r="D6281" s="10" t="s">
        <v>13655</v>
      </c>
      <c r="E6281" s="9" t="s">
        <v>22</v>
      </c>
      <c r="F6281" s="10">
        <v>30</v>
      </c>
      <c r="G6281" s="11">
        <v>7047136209</v>
      </c>
      <c r="H6281" s="10" t="s">
        <v>13656</v>
      </c>
      <c r="I6281" s="10" t="s">
        <v>145</v>
      </c>
      <c r="J6281" s="10" t="s">
        <v>4100</v>
      </c>
      <c r="K6281" s="12">
        <v>46031</v>
      </c>
      <c r="L6281" s="28" t="s">
        <v>11</v>
      </c>
      <c r="M6281" s="14"/>
      <c r="N6281" s="10" t="s">
        <v>1028</v>
      </c>
    </row>
    <row r="6282" spans="1:14" ht="22.5" customHeight="1">
      <c r="A6282" s="8">
        <v>46031.59116038194</v>
      </c>
      <c r="B6282" s="9" t="s">
        <v>14</v>
      </c>
      <c r="C6282" s="9" t="s">
        <v>15</v>
      </c>
      <c r="D6282" s="10" t="s">
        <v>13657</v>
      </c>
      <c r="E6282" s="9" t="s">
        <v>17</v>
      </c>
      <c r="F6282" s="10">
        <v>29</v>
      </c>
      <c r="G6282" s="11">
        <v>9125058841</v>
      </c>
      <c r="H6282" s="10" t="s">
        <v>13658</v>
      </c>
      <c r="I6282" s="10" t="s">
        <v>27</v>
      </c>
      <c r="J6282" s="10" t="s">
        <v>1559</v>
      </c>
      <c r="K6282" s="12">
        <v>46031</v>
      </c>
      <c r="L6282" s="28" t="s">
        <v>11</v>
      </c>
      <c r="M6282" s="14"/>
      <c r="N6282" s="10" t="s">
        <v>1028</v>
      </c>
    </row>
    <row r="6283" spans="1:14" ht="22.5" customHeight="1">
      <c r="A6283" s="8">
        <v>46031.592467939816</v>
      </c>
      <c r="B6283" s="9" t="s">
        <v>14</v>
      </c>
      <c r="C6283" s="9" t="s">
        <v>15</v>
      </c>
      <c r="D6283" s="10" t="s">
        <v>13659</v>
      </c>
      <c r="E6283" s="9" t="s">
        <v>17</v>
      </c>
      <c r="F6283" s="10">
        <v>35</v>
      </c>
      <c r="G6283" s="11">
        <v>8064229055</v>
      </c>
      <c r="H6283" s="10" t="s">
        <v>13660</v>
      </c>
      <c r="I6283" s="10" t="s">
        <v>27</v>
      </c>
      <c r="J6283" s="10" t="s">
        <v>13050</v>
      </c>
      <c r="K6283" s="12">
        <v>46031</v>
      </c>
      <c r="L6283" s="28" t="s">
        <v>11</v>
      </c>
      <c r="M6283" s="14"/>
      <c r="N6283" s="10" t="s">
        <v>1028</v>
      </c>
    </row>
    <row r="6284" spans="1:14" ht="22.5" customHeight="1">
      <c r="A6284" s="8">
        <v>46031.594754687496</v>
      </c>
      <c r="B6284" s="9" t="s">
        <v>14</v>
      </c>
      <c r="C6284" s="9" t="s">
        <v>15</v>
      </c>
      <c r="D6284" s="10" t="s">
        <v>13661</v>
      </c>
      <c r="E6284" s="9" t="s">
        <v>17</v>
      </c>
      <c r="F6284" s="10">
        <v>40</v>
      </c>
      <c r="G6284" s="11">
        <v>7068177540</v>
      </c>
      <c r="H6284" s="10" t="s">
        <v>13662</v>
      </c>
      <c r="I6284" s="10" t="s">
        <v>27</v>
      </c>
      <c r="J6284" s="10" t="s">
        <v>13663</v>
      </c>
      <c r="K6284" s="12">
        <v>46031</v>
      </c>
      <c r="L6284" s="28" t="s">
        <v>11</v>
      </c>
      <c r="M6284" s="14"/>
      <c r="N6284" s="10" t="s">
        <v>1028</v>
      </c>
    </row>
    <row r="6285" spans="1:14" ht="22.5" customHeight="1">
      <c r="A6285" s="8">
        <v>46031.596241979161</v>
      </c>
      <c r="B6285" s="9" t="s">
        <v>14</v>
      </c>
      <c r="C6285" s="9" t="s">
        <v>15</v>
      </c>
      <c r="D6285" s="10" t="s">
        <v>13664</v>
      </c>
      <c r="E6285" s="9" t="s">
        <v>22</v>
      </c>
      <c r="F6285" s="10">
        <v>30</v>
      </c>
      <c r="G6285" s="11">
        <v>8162004510</v>
      </c>
      <c r="H6285" s="10" t="s">
        <v>13665</v>
      </c>
      <c r="I6285" s="10" t="s">
        <v>27</v>
      </c>
      <c r="J6285" s="10" t="s">
        <v>42</v>
      </c>
      <c r="K6285" s="12">
        <v>46031</v>
      </c>
      <c r="L6285" s="28" t="s">
        <v>11</v>
      </c>
      <c r="M6285" s="14"/>
      <c r="N6285" s="10" t="s">
        <v>1096</v>
      </c>
    </row>
    <row r="6286" spans="1:14" ht="22.5" customHeight="1">
      <c r="A6286" s="8">
        <v>46031.598433194449</v>
      </c>
      <c r="B6286" s="9" t="s">
        <v>14</v>
      </c>
      <c r="C6286" s="9" t="s">
        <v>15</v>
      </c>
      <c r="D6286" s="10" t="s">
        <v>13666</v>
      </c>
      <c r="E6286" s="9" t="s">
        <v>17</v>
      </c>
      <c r="F6286" s="18">
        <v>40</v>
      </c>
      <c r="G6286" s="11">
        <v>7033755952</v>
      </c>
      <c r="H6286" s="10" t="s">
        <v>13667</v>
      </c>
      <c r="I6286" s="10" t="s">
        <v>27</v>
      </c>
      <c r="J6286" s="10" t="s">
        <v>8923</v>
      </c>
      <c r="K6286" s="12">
        <v>46031</v>
      </c>
      <c r="L6286" s="28" t="s">
        <v>11</v>
      </c>
      <c r="M6286" s="14"/>
      <c r="N6286" s="10" t="s">
        <v>1028</v>
      </c>
    </row>
    <row r="6287" spans="1:14" ht="22.5" customHeight="1">
      <c r="A6287" s="8">
        <v>46031.598683020835</v>
      </c>
      <c r="B6287" s="9" t="s">
        <v>14</v>
      </c>
      <c r="C6287" s="9" t="s">
        <v>15</v>
      </c>
      <c r="D6287" s="10" t="s">
        <v>13668</v>
      </c>
      <c r="E6287" s="9" t="s">
        <v>17</v>
      </c>
      <c r="F6287" s="10">
        <v>32</v>
      </c>
      <c r="G6287" s="11">
        <v>9014159253</v>
      </c>
      <c r="H6287" s="10" t="s">
        <v>13669</v>
      </c>
      <c r="I6287" s="10" t="s">
        <v>27</v>
      </c>
      <c r="J6287" s="10" t="s">
        <v>70</v>
      </c>
      <c r="K6287" s="12">
        <v>46031</v>
      </c>
      <c r="L6287" s="28" t="s">
        <v>11</v>
      </c>
      <c r="M6287" s="14"/>
      <c r="N6287" s="10" t="s">
        <v>1096</v>
      </c>
    </row>
    <row r="6288" spans="1:14" ht="22.5" customHeight="1">
      <c r="A6288" s="8">
        <v>46031.599157928242</v>
      </c>
      <c r="B6288" s="9" t="s">
        <v>14</v>
      </c>
      <c r="C6288" s="9" t="s">
        <v>15</v>
      </c>
      <c r="D6288" s="10" t="s">
        <v>13670</v>
      </c>
      <c r="E6288" s="9" t="s">
        <v>17</v>
      </c>
      <c r="F6288" s="10">
        <v>33</v>
      </c>
      <c r="G6288" s="11">
        <v>7031168595</v>
      </c>
      <c r="H6288" s="10" t="s">
        <v>13671</v>
      </c>
      <c r="I6288" s="10" t="s">
        <v>27</v>
      </c>
      <c r="J6288" s="10" t="s">
        <v>172</v>
      </c>
      <c r="K6288" s="12">
        <v>46031</v>
      </c>
      <c r="L6288" s="28" t="s">
        <v>11</v>
      </c>
      <c r="M6288" s="14"/>
      <c r="N6288" s="10" t="s">
        <v>1096</v>
      </c>
    </row>
    <row r="6289" spans="1:14" ht="22.5" customHeight="1">
      <c r="A6289" s="8">
        <v>46031.599801863427</v>
      </c>
      <c r="B6289" s="9" t="s">
        <v>14</v>
      </c>
      <c r="C6289" s="9" t="s">
        <v>15</v>
      </c>
      <c r="D6289" s="10" t="s">
        <v>13672</v>
      </c>
      <c r="E6289" s="9" t="s">
        <v>17</v>
      </c>
      <c r="F6289" s="10">
        <v>31</v>
      </c>
      <c r="G6289" s="11">
        <v>8068283909</v>
      </c>
      <c r="H6289" s="10" t="s">
        <v>13673</v>
      </c>
      <c r="I6289" s="10" t="s">
        <v>27</v>
      </c>
      <c r="J6289" s="10" t="s">
        <v>13674</v>
      </c>
      <c r="K6289" s="12">
        <v>46031</v>
      </c>
      <c r="L6289" s="28" t="s">
        <v>11</v>
      </c>
      <c r="M6289" s="14"/>
      <c r="N6289" s="10" t="s">
        <v>1028</v>
      </c>
    </row>
    <row r="6290" spans="1:14" ht="22.5" customHeight="1">
      <c r="A6290" s="8">
        <v>46031.602442708332</v>
      </c>
      <c r="B6290" s="9" t="s">
        <v>14</v>
      </c>
      <c r="C6290" s="9" t="s">
        <v>15</v>
      </c>
      <c r="D6290" s="10" t="s">
        <v>13675</v>
      </c>
      <c r="E6290" s="9" t="s">
        <v>17</v>
      </c>
      <c r="F6290" s="10">
        <v>34</v>
      </c>
      <c r="G6290" s="11">
        <v>8137297425</v>
      </c>
      <c r="H6290" s="10" t="s">
        <v>13676</v>
      </c>
      <c r="I6290" s="10" t="s">
        <v>45</v>
      </c>
      <c r="J6290" s="10" t="s">
        <v>6776</v>
      </c>
      <c r="K6290" s="12">
        <v>46031</v>
      </c>
      <c r="L6290" s="28" t="s">
        <v>11</v>
      </c>
      <c r="M6290" s="14"/>
      <c r="N6290" s="10" t="s">
        <v>1028</v>
      </c>
    </row>
    <row r="6291" spans="1:14" ht="22.5" customHeight="1">
      <c r="A6291" s="8">
        <v>46031.60322336806</v>
      </c>
      <c r="B6291" s="9" t="s">
        <v>14</v>
      </c>
      <c r="C6291" s="9" t="s">
        <v>15</v>
      </c>
      <c r="D6291" s="10" t="s">
        <v>13677</v>
      </c>
      <c r="E6291" s="9" t="s">
        <v>17</v>
      </c>
      <c r="F6291" s="10">
        <v>29</v>
      </c>
      <c r="G6291" s="11">
        <v>7034694374</v>
      </c>
      <c r="H6291" s="10" t="s">
        <v>6584</v>
      </c>
      <c r="I6291" s="10" t="s">
        <v>27</v>
      </c>
      <c r="J6291" s="10" t="s">
        <v>1895</v>
      </c>
      <c r="K6291" s="12">
        <v>46031</v>
      </c>
      <c r="L6291" s="28" t="s">
        <v>11</v>
      </c>
      <c r="M6291" s="14"/>
      <c r="N6291" s="10" t="s">
        <v>1028</v>
      </c>
    </row>
    <row r="6292" spans="1:14" ht="22.5" customHeight="1">
      <c r="A6292" s="8">
        <v>46031.609006805556</v>
      </c>
      <c r="B6292" s="9" t="s">
        <v>14</v>
      </c>
      <c r="C6292" s="9" t="s">
        <v>15</v>
      </c>
      <c r="D6292" s="10" t="s">
        <v>13678</v>
      </c>
      <c r="E6292" s="9" t="s">
        <v>22</v>
      </c>
      <c r="F6292" s="10">
        <v>29</v>
      </c>
      <c r="G6292" s="11">
        <v>8067817893</v>
      </c>
      <c r="H6292" s="10" t="s">
        <v>13679</v>
      </c>
      <c r="I6292" s="10" t="s">
        <v>27</v>
      </c>
      <c r="J6292" s="10" t="s">
        <v>70</v>
      </c>
      <c r="K6292" s="12">
        <v>46031</v>
      </c>
      <c r="L6292" s="28" t="s">
        <v>11</v>
      </c>
      <c r="M6292" s="14"/>
      <c r="N6292" s="10" t="s">
        <v>1096</v>
      </c>
    </row>
    <row r="6293" spans="1:14" ht="22.5" customHeight="1">
      <c r="A6293" s="8">
        <v>46031.611032337962</v>
      </c>
      <c r="B6293" s="9" t="s">
        <v>14</v>
      </c>
      <c r="C6293" s="9" t="s">
        <v>15</v>
      </c>
      <c r="D6293" s="10" t="s">
        <v>13680</v>
      </c>
      <c r="E6293" s="9" t="s">
        <v>17</v>
      </c>
      <c r="F6293" s="10">
        <v>37</v>
      </c>
      <c r="G6293" s="11">
        <v>8151520143</v>
      </c>
      <c r="H6293" s="10" t="s">
        <v>13681</v>
      </c>
      <c r="I6293" s="10" t="s">
        <v>27</v>
      </c>
      <c r="J6293" s="10" t="s">
        <v>1907</v>
      </c>
      <c r="K6293" s="12">
        <v>46031</v>
      </c>
      <c r="L6293" s="28" t="s">
        <v>11</v>
      </c>
      <c r="M6293" s="14"/>
      <c r="N6293" s="10" t="s">
        <v>1096</v>
      </c>
    </row>
    <row r="6294" spans="1:14" ht="22.5" customHeight="1">
      <c r="A6294" s="8">
        <v>46031.612398518519</v>
      </c>
      <c r="B6294" s="9" t="s">
        <v>14</v>
      </c>
      <c r="C6294" s="9" t="s">
        <v>15</v>
      </c>
      <c r="D6294" s="10" t="s">
        <v>13682</v>
      </c>
      <c r="E6294" s="9" t="s">
        <v>17</v>
      </c>
      <c r="F6294" s="10">
        <v>37</v>
      </c>
      <c r="G6294" s="11">
        <f t="shared" ref="G6294" si="188">2348035250457</f>
        <v>2348035250457</v>
      </c>
      <c r="H6294" s="10" t="s">
        <v>8311</v>
      </c>
      <c r="I6294" s="10" t="s">
        <v>27</v>
      </c>
      <c r="J6294" s="10" t="s">
        <v>67</v>
      </c>
      <c r="K6294" s="12">
        <v>46266</v>
      </c>
      <c r="L6294" s="28" t="s">
        <v>11</v>
      </c>
      <c r="M6294" s="14"/>
      <c r="N6294" s="10" t="s">
        <v>1096</v>
      </c>
    </row>
    <row r="6295" spans="1:14" ht="22.5" customHeight="1">
      <c r="A6295" s="8">
        <v>46031.617326342588</v>
      </c>
      <c r="B6295" s="9" t="s">
        <v>14</v>
      </c>
      <c r="C6295" s="9" t="s">
        <v>15</v>
      </c>
      <c r="D6295" s="10" t="s">
        <v>13683</v>
      </c>
      <c r="E6295" s="9" t="s">
        <v>17</v>
      </c>
      <c r="F6295" s="10">
        <v>28</v>
      </c>
      <c r="G6295" s="11">
        <v>8164115292</v>
      </c>
      <c r="H6295" s="10" t="s">
        <v>13684</v>
      </c>
      <c r="I6295" s="10" t="s">
        <v>27</v>
      </c>
      <c r="J6295" s="10" t="s">
        <v>3797</v>
      </c>
      <c r="K6295" s="12">
        <v>46031</v>
      </c>
      <c r="L6295" s="28" t="s">
        <v>11</v>
      </c>
      <c r="M6295" s="14"/>
      <c r="N6295" s="10" t="s">
        <v>1028</v>
      </c>
    </row>
    <row r="6296" spans="1:14" ht="22.5" customHeight="1">
      <c r="A6296" s="8">
        <v>46031.619233877311</v>
      </c>
      <c r="B6296" s="9" t="s">
        <v>14</v>
      </c>
      <c r="C6296" s="9" t="s">
        <v>15</v>
      </c>
      <c r="D6296" s="10" t="s">
        <v>13685</v>
      </c>
      <c r="E6296" s="9" t="s">
        <v>17</v>
      </c>
      <c r="F6296" s="10">
        <v>27</v>
      </c>
      <c r="G6296" s="11">
        <v>9135132152</v>
      </c>
      <c r="H6296" s="10" t="s">
        <v>13686</v>
      </c>
      <c r="I6296" s="10" t="s">
        <v>27</v>
      </c>
      <c r="J6296" s="10" t="s">
        <v>70</v>
      </c>
      <c r="K6296" s="12">
        <v>46031</v>
      </c>
      <c r="L6296" s="28" t="s">
        <v>11</v>
      </c>
      <c r="M6296" s="14"/>
      <c r="N6296" s="10" t="s">
        <v>1028</v>
      </c>
    </row>
    <row r="6297" spans="1:14" ht="22.5" customHeight="1">
      <c r="A6297" s="8">
        <v>46031.620709780094</v>
      </c>
      <c r="B6297" s="9" t="s">
        <v>14</v>
      </c>
      <c r="C6297" s="9" t="s">
        <v>15</v>
      </c>
      <c r="D6297" s="10" t="s">
        <v>13309</v>
      </c>
      <c r="E6297" s="9" t="s">
        <v>17</v>
      </c>
      <c r="F6297" s="10">
        <v>25</v>
      </c>
      <c r="G6297" s="11">
        <v>8128345388</v>
      </c>
      <c r="H6297" s="10" t="s">
        <v>13687</v>
      </c>
      <c r="I6297" s="10" t="s">
        <v>27</v>
      </c>
      <c r="J6297" s="10" t="s">
        <v>13688</v>
      </c>
      <c r="K6297" s="12">
        <v>46031</v>
      </c>
      <c r="L6297" s="28" t="s">
        <v>11</v>
      </c>
      <c r="M6297" s="14"/>
      <c r="N6297" s="10" t="s">
        <v>1028</v>
      </c>
    </row>
    <row r="6298" spans="1:14" ht="22.5" customHeight="1">
      <c r="A6298" s="8">
        <v>46031.622426134258</v>
      </c>
      <c r="B6298" s="9" t="s">
        <v>14</v>
      </c>
      <c r="C6298" s="9" t="s">
        <v>15</v>
      </c>
      <c r="D6298" s="10" t="s">
        <v>13689</v>
      </c>
      <c r="E6298" s="9" t="s">
        <v>17</v>
      </c>
      <c r="F6298" s="10">
        <v>33</v>
      </c>
      <c r="G6298" s="11">
        <v>8135536576</v>
      </c>
      <c r="H6298" s="10" t="s">
        <v>13690</v>
      </c>
      <c r="I6298" s="10" t="s">
        <v>45</v>
      </c>
      <c r="J6298" s="10" t="s">
        <v>10248</v>
      </c>
      <c r="K6298" s="12">
        <v>46031</v>
      </c>
      <c r="L6298" s="28" t="s">
        <v>11</v>
      </c>
      <c r="M6298" s="14"/>
      <c r="N6298" s="10" t="s">
        <v>1028</v>
      </c>
    </row>
    <row r="6299" spans="1:14" ht="22.5" customHeight="1">
      <c r="A6299" s="8">
        <v>46031.624297222224</v>
      </c>
      <c r="B6299" s="9" t="s">
        <v>14</v>
      </c>
      <c r="C6299" s="9" t="s">
        <v>15</v>
      </c>
      <c r="D6299" s="10" t="s">
        <v>13691</v>
      </c>
      <c r="E6299" s="9" t="s">
        <v>17</v>
      </c>
      <c r="F6299" s="10">
        <v>34</v>
      </c>
      <c r="G6299" s="11">
        <v>8066642909</v>
      </c>
      <c r="H6299" s="10" t="s">
        <v>13692</v>
      </c>
      <c r="I6299" s="10" t="s">
        <v>27</v>
      </c>
      <c r="J6299" s="10" t="s">
        <v>67</v>
      </c>
      <c r="K6299" s="12">
        <v>46031</v>
      </c>
      <c r="L6299" s="28" t="s">
        <v>11</v>
      </c>
      <c r="M6299" s="10"/>
      <c r="N6299" s="10" t="s">
        <v>1028</v>
      </c>
    </row>
    <row r="6300" spans="1:14" ht="22.5" customHeight="1">
      <c r="A6300" s="8">
        <v>46031.624748587958</v>
      </c>
      <c r="B6300" s="9" t="s">
        <v>14</v>
      </c>
      <c r="C6300" s="9" t="s">
        <v>15</v>
      </c>
      <c r="D6300" s="10" t="s">
        <v>13693</v>
      </c>
      <c r="E6300" s="9" t="s">
        <v>17</v>
      </c>
      <c r="F6300" s="10">
        <v>35</v>
      </c>
      <c r="G6300" s="11">
        <v>8111555811</v>
      </c>
      <c r="H6300" s="10" t="s">
        <v>13694</v>
      </c>
      <c r="I6300" s="10" t="s">
        <v>45</v>
      </c>
      <c r="J6300" s="10" t="s">
        <v>6439</v>
      </c>
      <c r="K6300" s="12">
        <v>46031</v>
      </c>
      <c r="L6300" s="28" t="s">
        <v>11</v>
      </c>
      <c r="M6300" s="14"/>
      <c r="N6300" s="10" t="s">
        <v>1028</v>
      </c>
    </row>
    <row r="6301" spans="1:14" ht="22.5" customHeight="1">
      <c r="A6301" s="8">
        <v>46031.626116354164</v>
      </c>
      <c r="B6301" s="9" t="s">
        <v>14</v>
      </c>
      <c r="C6301" s="9" t="s">
        <v>15</v>
      </c>
      <c r="D6301" s="10" t="s">
        <v>13695</v>
      </c>
      <c r="E6301" s="9" t="s">
        <v>17</v>
      </c>
      <c r="F6301" s="10">
        <v>31</v>
      </c>
      <c r="G6301" s="11">
        <v>8167980525</v>
      </c>
      <c r="H6301" s="10" t="s">
        <v>13696</v>
      </c>
      <c r="I6301" s="10" t="s">
        <v>49</v>
      </c>
      <c r="J6301" s="10" t="s">
        <v>50</v>
      </c>
      <c r="K6301" s="12">
        <v>46031</v>
      </c>
      <c r="L6301" s="28" t="s">
        <v>11</v>
      </c>
      <c r="M6301" s="14"/>
      <c r="N6301" s="10" t="s">
        <v>1028</v>
      </c>
    </row>
    <row r="6302" spans="1:14" ht="22.5" customHeight="1">
      <c r="A6302" s="8">
        <v>46031.627332824079</v>
      </c>
      <c r="B6302" s="9" t="s">
        <v>14</v>
      </c>
      <c r="C6302" s="9" t="s">
        <v>15</v>
      </c>
      <c r="D6302" s="10" t="s">
        <v>13697</v>
      </c>
      <c r="E6302" s="9" t="s">
        <v>22</v>
      </c>
      <c r="F6302" s="10">
        <v>23</v>
      </c>
      <c r="G6302" s="11">
        <v>9128867356</v>
      </c>
      <c r="H6302" s="10" t="s">
        <v>13698</v>
      </c>
      <c r="I6302" s="10" t="s">
        <v>145</v>
      </c>
      <c r="J6302" s="10" t="s">
        <v>12832</v>
      </c>
      <c r="K6302" s="12">
        <v>46031</v>
      </c>
      <c r="L6302" s="28" t="s">
        <v>11</v>
      </c>
      <c r="M6302" s="14"/>
      <c r="N6302" s="10" t="s">
        <v>1028</v>
      </c>
    </row>
    <row r="6303" spans="1:14" ht="22.5" customHeight="1">
      <c r="A6303" s="8">
        <v>46031.628806909721</v>
      </c>
      <c r="B6303" s="9" t="s">
        <v>14</v>
      </c>
      <c r="C6303" s="9" t="s">
        <v>15</v>
      </c>
      <c r="D6303" s="10" t="s">
        <v>13699</v>
      </c>
      <c r="E6303" s="9" t="s">
        <v>17</v>
      </c>
      <c r="F6303" s="10">
        <v>27</v>
      </c>
      <c r="G6303" s="11">
        <f t="shared" ref="G6303" si="189">2520907886070</f>
        <v>2520907886070</v>
      </c>
      <c r="H6303" s="10" t="s">
        <v>13700</v>
      </c>
      <c r="I6303" s="10" t="s">
        <v>49</v>
      </c>
      <c r="J6303" s="10" t="s">
        <v>13701</v>
      </c>
      <c r="K6303" s="12">
        <v>46031</v>
      </c>
      <c r="L6303" s="28" t="s">
        <v>11</v>
      </c>
      <c r="M6303" s="14"/>
      <c r="N6303" s="10" t="s">
        <v>1028</v>
      </c>
    </row>
    <row r="6304" spans="1:14" ht="22.5" customHeight="1">
      <c r="A6304" s="8">
        <v>46031.628962986113</v>
      </c>
      <c r="B6304" s="9" t="s">
        <v>14</v>
      </c>
      <c r="C6304" s="9" t="s">
        <v>15</v>
      </c>
      <c r="D6304" s="10" t="s">
        <v>13702</v>
      </c>
      <c r="E6304" s="9" t="s">
        <v>22</v>
      </c>
      <c r="F6304" s="10">
        <v>35</v>
      </c>
      <c r="G6304" s="11">
        <v>8034752943</v>
      </c>
      <c r="H6304" s="10" t="s">
        <v>13703</v>
      </c>
      <c r="I6304" s="10" t="s">
        <v>145</v>
      </c>
      <c r="J6304" s="10" t="s">
        <v>530</v>
      </c>
      <c r="K6304" s="12">
        <v>33267</v>
      </c>
      <c r="L6304" s="28" t="s">
        <v>11</v>
      </c>
      <c r="M6304" s="14"/>
      <c r="N6304" s="10" t="s">
        <v>1028</v>
      </c>
    </row>
    <row r="6305" spans="1:14" ht="22.5" customHeight="1">
      <c r="A6305" s="8">
        <v>46031.630451921301</v>
      </c>
      <c r="B6305" s="9" t="s">
        <v>14</v>
      </c>
      <c r="C6305" s="9" t="s">
        <v>15</v>
      </c>
      <c r="D6305" s="10" t="s">
        <v>13704</v>
      </c>
      <c r="E6305" s="9" t="s">
        <v>17</v>
      </c>
      <c r="F6305" s="10">
        <v>32</v>
      </c>
      <c r="G6305" s="11">
        <v>7037978180</v>
      </c>
      <c r="H6305" s="10" t="s">
        <v>13705</v>
      </c>
      <c r="I6305" s="10" t="s">
        <v>45</v>
      </c>
      <c r="J6305" s="10" t="s">
        <v>3376</v>
      </c>
      <c r="K6305" s="12">
        <v>46031</v>
      </c>
      <c r="L6305" s="28" t="s">
        <v>11</v>
      </c>
      <c r="M6305" s="14"/>
      <c r="N6305" s="10" t="s">
        <v>1028</v>
      </c>
    </row>
    <row r="6306" spans="1:14" ht="22.5" customHeight="1">
      <c r="A6306" s="8">
        <v>46031.630595543982</v>
      </c>
      <c r="B6306" s="9" t="s">
        <v>14</v>
      </c>
      <c r="C6306" s="9" t="s">
        <v>15</v>
      </c>
      <c r="D6306" s="10" t="s">
        <v>13706</v>
      </c>
      <c r="E6306" s="9" t="s">
        <v>22</v>
      </c>
      <c r="F6306" s="10">
        <v>23</v>
      </c>
      <c r="G6306" s="11">
        <v>9030310908</v>
      </c>
      <c r="H6306" s="10" t="s">
        <v>13707</v>
      </c>
      <c r="I6306" s="10" t="s">
        <v>45</v>
      </c>
      <c r="J6306" s="10" t="s">
        <v>13708</v>
      </c>
      <c r="K6306" s="12">
        <v>46031</v>
      </c>
      <c r="L6306" s="28" t="s">
        <v>11</v>
      </c>
      <c r="M6306" s="14"/>
      <c r="N6306" s="10" t="s">
        <v>1028</v>
      </c>
    </row>
    <row r="6307" spans="1:14" ht="22.5" customHeight="1">
      <c r="A6307" s="8">
        <v>46031.632802106484</v>
      </c>
      <c r="B6307" s="9" t="s">
        <v>14</v>
      </c>
      <c r="C6307" s="9" t="s">
        <v>15</v>
      </c>
      <c r="D6307" s="10" t="s">
        <v>13709</v>
      </c>
      <c r="E6307" s="9" t="s">
        <v>17</v>
      </c>
      <c r="F6307" s="10">
        <v>27</v>
      </c>
      <c r="G6307" s="11">
        <v>8145412716</v>
      </c>
      <c r="H6307" s="10" t="s">
        <v>13710</v>
      </c>
      <c r="I6307" s="10" t="s">
        <v>27</v>
      </c>
      <c r="J6307" s="10" t="s">
        <v>13711</v>
      </c>
      <c r="K6307" s="12">
        <v>46031</v>
      </c>
      <c r="L6307" s="28" t="s">
        <v>11</v>
      </c>
      <c r="M6307" s="10"/>
      <c r="N6307" s="10" t="s">
        <v>1096</v>
      </c>
    </row>
    <row r="6308" spans="1:14" ht="22.5" customHeight="1">
      <c r="A6308" s="8">
        <v>46031.635786446757</v>
      </c>
      <c r="B6308" s="9" t="s">
        <v>14</v>
      </c>
      <c r="C6308" s="9" t="s">
        <v>15</v>
      </c>
      <c r="D6308" s="10" t="s">
        <v>13712</v>
      </c>
      <c r="E6308" s="9" t="s">
        <v>17</v>
      </c>
      <c r="F6308" s="10">
        <v>30</v>
      </c>
      <c r="G6308" s="11">
        <v>8137582007</v>
      </c>
      <c r="H6308" s="10" t="s">
        <v>13713</v>
      </c>
      <c r="I6308" s="10" t="s">
        <v>27</v>
      </c>
      <c r="J6308" s="10" t="s">
        <v>372</v>
      </c>
      <c r="K6308" s="12">
        <v>46031</v>
      </c>
      <c r="L6308" s="28" t="s">
        <v>11</v>
      </c>
      <c r="M6308" s="14"/>
      <c r="N6308" s="10" t="s">
        <v>1028</v>
      </c>
    </row>
    <row r="6309" spans="1:14" ht="22.5" customHeight="1">
      <c r="A6309" s="8">
        <v>46031.636180902773</v>
      </c>
      <c r="B6309" s="9" t="s">
        <v>14</v>
      </c>
      <c r="C6309" s="9" t="s">
        <v>15</v>
      </c>
      <c r="D6309" s="10" t="s">
        <v>13714</v>
      </c>
      <c r="E6309" s="9" t="s">
        <v>22</v>
      </c>
      <c r="F6309" s="10">
        <v>25</v>
      </c>
      <c r="G6309" s="11">
        <v>8113919015</v>
      </c>
      <c r="H6309" s="10" t="s">
        <v>13715</v>
      </c>
      <c r="I6309" s="10" t="s">
        <v>45</v>
      </c>
      <c r="J6309" s="10" t="s">
        <v>13716</v>
      </c>
      <c r="K6309" s="12">
        <v>46031</v>
      </c>
      <c r="L6309" s="28" t="s">
        <v>11</v>
      </c>
      <c r="M6309" s="14"/>
      <c r="N6309" s="10" t="s">
        <v>1028</v>
      </c>
    </row>
    <row r="6310" spans="1:14" ht="22.5" customHeight="1">
      <c r="A6310" s="8">
        <v>46031.638128090279</v>
      </c>
      <c r="B6310" s="9" t="s">
        <v>14</v>
      </c>
      <c r="C6310" s="9" t="s">
        <v>15</v>
      </c>
      <c r="D6310" s="10" t="s">
        <v>13717</v>
      </c>
      <c r="E6310" s="9" t="s">
        <v>17</v>
      </c>
      <c r="F6310" s="10">
        <v>26</v>
      </c>
      <c r="G6310" s="11">
        <v>8104655536</v>
      </c>
      <c r="H6310" s="10" t="s">
        <v>13718</v>
      </c>
      <c r="I6310" s="10" t="s">
        <v>27</v>
      </c>
      <c r="J6310" s="10" t="s">
        <v>70</v>
      </c>
      <c r="K6310" s="12">
        <v>46031</v>
      </c>
      <c r="L6310" s="28" t="s">
        <v>11</v>
      </c>
      <c r="M6310" s="14"/>
      <c r="N6310" s="10" t="s">
        <v>1028</v>
      </c>
    </row>
    <row r="6311" spans="1:14" ht="22.5" customHeight="1">
      <c r="A6311" s="8">
        <v>46031.638952048612</v>
      </c>
      <c r="B6311" s="9" t="s">
        <v>14</v>
      </c>
      <c r="C6311" s="9" t="s">
        <v>15</v>
      </c>
      <c r="D6311" s="10" t="s">
        <v>13719</v>
      </c>
      <c r="E6311" s="9" t="s">
        <v>17</v>
      </c>
      <c r="F6311" s="10">
        <v>31</v>
      </c>
      <c r="G6311" s="11">
        <v>8146776025</v>
      </c>
      <c r="H6311" s="10" t="s">
        <v>13720</v>
      </c>
      <c r="I6311" s="10" t="s">
        <v>19</v>
      </c>
      <c r="J6311" s="10" t="s">
        <v>1664</v>
      </c>
      <c r="K6311" s="12">
        <v>46031</v>
      </c>
      <c r="L6311" s="28" t="s">
        <v>11</v>
      </c>
      <c r="M6311" s="14"/>
      <c r="N6311" s="10" t="s">
        <v>1028</v>
      </c>
    </row>
    <row r="6312" spans="1:14" ht="22.5" customHeight="1">
      <c r="A6312" s="8">
        <v>46031.63968148148</v>
      </c>
      <c r="B6312" s="9" t="s">
        <v>14</v>
      </c>
      <c r="C6312" s="9" t="s">
        <v>15</v>
      </c>
      <c r="D6312" s="10" t="s">
        <v>13721</v>
      </c>
      <c r="E6312" s="9" t="s">
        <v>17</v>
      </c>
      <c r="F6312" s="10">
        <v>40</v>
      </c>
      <c r="G6312" s="11">
        <v>8030967166</v>
      </c>
      <c r="H6312" s="10" t="s">
        <v>13722</v>
      </c>
      <c r="I6312" s="10" t="s">
        <v>27</v>
      </c>
      <c r="J6312" s="10" t="s">
        <v>28</v>
      </c>
      <c r="K6312" s="12">
        <v>46031</v>
      </c>
      <c r="L6312" s="28" t="s">
        <v>11</v>
      </c>
      <c r="M6312" s="14"/>
      <c r="N6312" s="10" t="s">
        <v>1028</v>
      </c>
    </row>
    <row r="6313" spans="1:14" ht="22.5" customHeight="1">
      <c r="A6313" s="8">
        <v>46031.639916828703</v>
      </c>
      <c r="B6313" s="9" t="s">
        <v>14</v>
      </c>
      <c r="C6313" s="9" t="s">
        <v>15</v>
      </c>
      <c r="D6313" s="10" t="s">
        <v>13723</v>
      </c>
      <c r="E6313" s="9" t="s">
        <v>17</v>
      </c>
      <c r="F6313" s="10">
        <v>31</v>
      </c>
      <c r="G6313" s="11">
        <f>2348038857865</f>
        <v>2348038857865</v>
      </c>
      <c r="H6313" s="10" t="s">
        <v>318</v>
      </c>
      <c r="I6313" s="10" t="s">
        <v>49</v>
      </c>
      <c r="J6313" s="10" t="s">
        <v>13724</v>
      </c>
      <c r="K6313" s="12">
        <v>46031</v>
      </c>
      <c r="L6313" s="28" t="s">
        <v>11</v>
      </c>
      <c r="M6313" s="14"/>
      <c r="N6313" s="10" t="s">
        <v>1028</v>
      </c>
    </row>
    <row r="6314" spans="1:14" ht="22.5" customHeight="1">
      <c r="A6314" s="8">
        <v>46031.641760138889</v>
      </c>
      <c r="B6314" s="9" t="s">
        <v>14</v>
      </c>
      <c r="C6314" s="9" t="s">
        <v>15</v>
      </c>
      <c r="D6314" s="10" t="s">
        <v>13725</v>
      </c>
      <c r="E6314" s="9" t="s">
        <v>17</v>
      </c>
      <c r="F6314" s="10">
        <v>28</v>
      </c>
      <c r="G6314" s="11">
        <v>8063593610</v>
      </c>
      <c r="H6314" s="10" t="s">
        <v>13726</v>
      </c>
      <c r="I6314" s="10" t="s">
        <v>202</v>
      </c>
      <c r="J6314" s="10" t="s">
        <v>3437</v>
      </c>
      <c r="K6314" s="12">
        <v>46031</v>
      </c>
      <c r="L6314" s="28" t="s">
        <v>11</v>
      </c>
      <c r="M6314" s="14"/>
      <c r="N6314" s="10" t="s">
        <v>1028</v>
      </c>
    </row>
    <row r="6315" spans="1:14" ht="22.5" customHeight="1">
      <c r="A6315" s="8">
        <v>46031.643005081016</v>
      </c>
      <c r="B6315" s="9" t="s">
        <v>14</v>
      </c>
      <c r="C6315" s="9" t="s">
        <v>15</v>
      </c>
      <c r="D6315" s="10" t="s">
        <v>13727</v>
      </c>
      <c r="E6315" s="9" t="s">
        <v>17</v>
      </c>
      <c r="F6315" s="10">
        <v>38</v>
      </c>
      <c r="G6315" s="11">
        <v>7061864898</v>
      </c>
      <c r="H6315" s="10" t="s">
        <v>13728</v>
      </c>
      <c r="I6315" s="10" t="s">
        <v>27</v>
      </c>
      <c r="J6315" s="10" t="s">
        <v>1514</v>
      </c>
      <c r="K6315" s="12">
        <v>46031</v>
      </c>
      <c r="L6315" s="28" t="s">
        <v>11</v>
      </c>
      <c r="M6315" s="14"/>
      <c r="N6315" s="10" t="s">
        <v>1096</v>
      </c>
    </row>
    <row r="6316" spans="1:14" ht="22.5" customHeight="1">
      <c r="A6316" s="8">
        <v>46031.643659085647</v>
      </c>
      <c r="B6316" s="9" t="s">
        <v>14</v>
      </c>
      <c r="C6316" s="9" t="s">
        <v>15</v>
      </c>
      <c r="D6316" s="10" t="s">
        <v>13729</v>
      </c>
      <c r="E6316" s="9" t="s">
        <v>17</v>
      </c>
      <c r="F6316" s="10">
        <v>30</v>
      </c>
      <c r="G6316" s="11">
        <v>7082418598</v>
      </c>
      <c r="H6316" s="10" t="s">
        <v>13730</v>
      </c>
      <c r="I6316" s="10" t="s">
        <v>45</v>
      </c>
      <c r="J6316" s="10" t="s">
        <v>932</v>
      </c>
      <c r="K6316" s="12">
        <v>46031</v>
      </c>
      <c r="L6316" s="28" t="s">
        <v>11</v>
      </c>
      <c r="M6316" s="14"/>
      <c r="N6316" s="10" t="s">
        <v>1028</v>
      </c>
    </row>
    <row r="6317" spans="1:14" ht="22.5" customHeight="1">
      <c r="A6317" s="8">
        <v>46031.643712557867</v>
      </c>
      <c r="B6317" s="9" t="s">
        <v>14</v>
      </c>
      <c r="C6317" s="9" t="s">
        <v>15</v>
      </c>
      <c r="D6317" s="10" t="s">
        <v>13731</v>
      </c>
      <c r="E6317" s="9" t="s">
        <v>17</v>
      </c>
      <c r="F6317" s="10">
        <v>31</v>
      </c>
      <c r="G6317" s="11">
        <v>9033817474</v>
      </c>
      <c r="H6317" s="10" t="s">
        <v>13732</v>
      </c>
      <c r="I6317" s="10" t="s">
        <v>27</v>
      </c>
      <c r="J6317" s="10" t="s">
        <v>6081</v>
      </c>
      <c r="K6317" s="12">
        <v>46031</v>
      </c>
      <c r="L6317" s="28" t="s">
        <v>11</v>
      </c>
      <c r="M6317" s="14"/>
      <c r="N6317" s="10" t="s">
        <v>1028</v>
      </c>
    </row>
    <row r="6318" spans="1:14" ht="22.5" customHeight="1">
      <c r="A6318" s="8">
        <v>46031.644020486114</v>
      </c>
      <c r="B6318" s="9" t="s">
        <v>14</v>
      </c>
      <c r="C6318" s="9" t="s">
        <v>15</v>
      </c>
      <c r="D6318" s="10" t="s">
        <v>13733</v>
      </c>
      <c r="E6318" s="9" t="s">
        <v>17</v>
      </c>
      <c r="F6318" s="10">
        <v>45</v>
      </c>
      <c r="G6318" s="11">
        <v>8033118985</v>
      </c>
      <c r="H6318" s="10" t="s">
        <v>13734</v>
      </c>
      <c r="I6318" s="10" t="s">
        <v>27</v>
      </c>
      <c r="J6318" s="10" t="s">
        <v>70</v>
      </c>
      <c r="K6318" s="12">
        <v>46031</v>
      </c>
      <c r="L6318" s="28" t="s">
        <v>11</v>
      </c>
      <c r="M6318" s="14"/>
      <c r="N6318" s="10" t="s">
        <v>1028</v>
      </c>
    </row>
    <row r="6319" spans="1:14" ht="22.5" customHeight="1">
      <c r="A6319" s="8">
        <v>46031.64433333333</v>
      </c>
      <c r="B6319" s="9" t="s">
        <v>14</v>
      </c>
      <c r="C6319" s="9" t="s">
        <v>15</v>
      </c>
      <c r="D6319" s="10" t="s">
        <v>13735</v>
      </c>
      <c r="E6319" s="9" t="s">
        <v>22</v>
      </c>
      <c r="F6319" s="10">
        <v>25</v>
      </c>
      <c r="G6319" s="11">
        <v>8169680468</v>
      </c>
      <c r="H6319" s="10" t="s">
        <v>13736</v>
      </c>
      <c r="I6319" s="10" t="s">
        <v>202</v>
      </c>
      <c r="J6319" s="10" t="s">
        <v>4651</v>
      </c>
      <c r="K6319" s="12">
        <v>46031</v>
      </c>
      <c r="L6319" s="28" t="s">
        <v>11</v>
      </c>
      <c r="M6319" s="14"/>
      <c r="N6319" s="10" t="s">
        <v>1028</v>
      </c>
    </row>
    <row r="6320" spans="1:14" ht="22.5" customHeight="1">
      <c r="A6320" s="8">
        <v>46031.647127824079</v>
      </c>
      <c r="B6320" s="9" t="s">
        <v>14</v>
      </c>
      <c r="C6320" s="9" t="s">
        <v>15</v>
      </c>
      <c r="D6320" s="10" t="s">
        <v>13737</v>
      </c>
      <c r="E6320" s="9" t="s">
        <v>17</v>
      </c>
      <c r="F6320" s="10">
        <v>37</v>
      </c>
      <c r="G6320" s="11">
        <v>8036586618</v>
      </c>
      <c r="H6320" s="10" t="s">
        <v>13738</v>
      </c>
      <c r="I6320" s="10" t="s">
        <v>45</v>
      </c>
      <c r="J6320" s="10" t="s">
        <v>287</v>
      </c>
      <c r="K6320" s="12">
        <v>46031</v>
      </c>
      <c r="L6320" s="28" t="s">
        <v>11</v>
      </c>
      <c r="M6320" s="14"/>
      <c r="N6320" s="10" t="s">
        <v>1028</v>
      </c>
    </row>
    <row r="6321" spans="1:14" ht="22.5" customHeight="1">
      <c r="A6321" s="8">
        <v>46031.647682939816</v>
      </c>
      <c r="B6321" s="9" t="s">
        <v>14</v>
      </c>
      <c r="C6321" s="9" t="s">
        <v>15</v>
      </c>
      <c r="D6321" s="10" t="s">
        <v>13739</v>
      </c>
      <c r="E6321" s="9" t="s">
        <v>17</v>
      </c>
      <c r="F6321" s="10">
        <v>27</v>
      </c>
      <c r="G6321" s="11">
        <v>8142129105</v>
      </c>
      <c r="H6321" s="10" t="s">
        <v>13740</v>
      </c>
      <c r="I6321" s="10" t="s">
        <v>27</v>
      </c>
      <c r="J6321" s="10" t="s">
        <v>94</v>
      </c>
      <c r="K6321" s="12">
        <v>46031</v>
      </c>
      <c r="L6321" s="28" t="s">
        <v>11</v>
      </c>
      <c r="M6321" s="14"/>
      <c r="N6321" s="10" t="s">
        <v>1096</v>
      </c>
    </row>
    <row r="6322" spans="1:14" ht="22.5" customHeight="1">
      <c r="A6322" s="8">
        <v>46031.651555520832</v>
      </c>
      <c r="B6322" s="9" t="s">
        <v>14</v>
      </c>
      <c r="C6322" s="9" t="s">
        <v>15</v>
      </c>
      <c r="D6322" s="10" t="s">
        <v>13741</v>
      </c>
      <c r="E6322" s="9" t="s">
        <v>22</v>
      </c>
      <c r="F6322" s="10">
        <v>29</v>
      </c>
      <c r="G6322" s="11">
        <v>9061564210</v>
      </c>
      <c r="H6322" s="10" t="s">
        <v>13742</v>
      </c>
      <c r="I6322" s="10" t="s">
        <v>27</v>
      </c>
      <c r="J6322" s="10" t="s">
        <v>13414</v>
      </c>
      <c r="K6322" s="12">
        <v>46031</v>
      </c>
      <c r="L6322" s="28" t="s">
        <v>11</v>
      </c>
      <c r="M6322" s="14"/>
      <c r="N6322" s="10" t="s">
        <v>1028</v>
      </c>
    </row>
    <row r="6323" spans="1:14" ht="22.5" customHeight="1">
      <c r="A6323" s="8">
        <v>46031.6518803125</v>
      </c>
      <c r="B6323" s="9" t="s">
        <v>14</v>
      </c>
      <c r="C6323" s="9" t="s">
        <v>15</v>
      </c>
      <c r="D6323" s="10" t="s">
        <v>13743</v>
      </c>
      <c r="E6323" s="9" t="s">
        <v>17</v>
      </c>
      <c r="F6323" s="10">
        <v>27</v>
      </c>
      <c r="G6323" s="11">
        <v>8149308690</v>
      </c>
      <c r="H6323" s="10" t="s">
        <v>13744</v>
      </c>
      <c r="I6323" s="10" t="s">
        <v>27</v>
      </c>
      <c r="J6323" s="10" t="s">
        <v>8295</v>
      </c>
      <c r="K6323" s="12">
        <v>46031</v>
      </c>
      <c r="L6323" s="28" t="s">
        <v>11</v>
      </c>
      <c r="M6323" s="14"/>
      <c r="N6323" s="10" t="s">
        <v>1096</v>
      </c>
    </row>
    <row r="6324" spans="1:14" ht="22.5" customHeight="1">
      <c r="A6324" s="8">
        <v>46031.651884999999</v>
      </c>
      <c r="B6324" s="9" t="s">
        <v>14</v>
      </c>
      <c r="C6324" s="9" t="s">
        <v>15</v>
      </c>
      <c r="D6324" s="10" t="s">
        <v>13745</v>
      </c>
      <c r="E6324" s="9" t="s">
        <v>17</v>
      </c>
      <c r="F6324" s="10">
        <v>24</v>
      </c>
      <c r="G6324" s="11">
        <v>8164575835</v>
      </c>
      <c r="H6324" s="10" t="s">
        <v>13746</v>
      </c>
      <c r="I6324" s="10" t="s">
        <v>27</v>
      </c>
      <c r="J6324" s="10" t="s">
        <v>70</v>
      </c>
      <c r="K6324" s="12">
        <v>46031</v>
      </c>
      <c r="L6324" s="28" t="s">
        <v>11</v>
      </c>
      <c r="M6324" s="14"/>
      <c r="N6324" s="10" t="s">
        <v>1028</v>
      </c>
    </row>
    <row r="6325" spans="1:14" ht="22.5" customHeight="1">
      <c r="A6325" s="8">
        <v>46031.652048113421</v>
      </c>
      <c r="B6325" s="9" t="s">
        <v>14</v>
      </c>
      <c r="C6325" s="9" t="s">
        <v>15</v>
      </c>
      <c r="D6325" s="10" t="s">
        <v>13747</v>
      </c>
      <c r="E6325" s="9" t="s">
        <v>22</v>
      </c>
      <c r="F6325" s="10">
        <v>24</v>
      </c>
      <c r="G6325" s="11">
        <v>7042735811</v>
      </c>
      <c r="H6325" s="10" t="s">
        <v>13748</v>
      </c>
      <c r="I6325" s="10" t="s">
        <v>27</v>
      </c>
      <c r="J6325" s="10" t="s">
        <v>27</v>
      </c>
      <c r="K6325" s="12">
        <v>46031</v>
      </c>
      <c r="L6325" s="28" t="s">
        <v>11</v>
      </c>
      <c r="M6325" s="14"/>
      <c r="N6325" s="10" t="s">
        <v>1028</v>
      </c>
    </row>
    <row r="6326" spans="1:14" ht="22.5" customHeight="1">
      <c r="A6326" s="8">
        <v>46031.652846805555</v>
      </c>
      <c r="B6326" s="9" t="s">
        <v>14</v>
      </c>
      <c r="C6326" s="9" t="s">
        <v>15</v>
      </c>
      <c r="D6326" s="10" t="s">
        <v>13749</v>
      </c>
      <c r="E6326" s="9" t="s">
        <v>22</v>
      </c>
      <c r="F6326" s="10">
        <v>27</v>
      </c>
      <c r="G6326" s="11">
        <v>7063084278</v>
      </c>
      <c r="H6326" s="10" t="s">
        <v>13750</v>
      </c>
      <c r="I6326" s="10" t="s">
        <v>27</v>
      </c>
      <c r="J6326" s="10" t="s">
        <v>1890</v>
      </c>
      <c r="K6326" s="12">
        <v>46031</v>
      </c>
      <c r="L6326" s="28" t="s">
        <v>11</v>
      </c>
      <c r="M6326" s="10"/>
      <c r="N6326" s="10" t="s">
        <v>1028</v>
      </c>
    </row>
    <row r="6327" spans="1:14" ht="22.5" customHeight="1">
      <c r="A6327" s="8">
        <v>46031.65348857639</v>
      </c>
      <c r="B6327" s="9" t="s">
        <v>14</v>
      </c>
      <c r="C6327" s="9" t="s">
        <v>15</v>
      </c>
      <c r="D6327" s="10" t="s">
        <v>13751</v>
      </c>
      <c r="E6327" s="9" t="s">
        <v>17</v>
      </c>
      <c r="F6327" s="10">
        <v>26</v>
      </c>
      <c r="G6327" s="11">
        <v>7080242242</v>
      </c>
      <c r="H6327" s="10" t="s">
        <v>13752</v>
      </c>
      <c r="I6327" s="10" t="s">
        <v>27</v>
      </c>
      <c r="J6327" s="10" t="s">
        <v>6081</v>
      </c>
      <c r="K6327" s="12">
        <v>46031</v>
      </c>
      <c r="L6327" s="28" t="s">
        <v>11</v>
      </c>
      <c r="M6327" s="10"/>
      <c r="N6327" s="10" t="s">
        <v>1096</v>
      </c>
    </row>
    <row r="6328" spans="1:14" ht="22.5" customHeight="1">
      <c r="A6328" s="8">
        <v>46031.654338252316</v>
      </c>
      <c r="B6328" s="9" t="s">
        <v>14</v>
      </c>
      <c r="C6328" s="9" t="s">
        <v>15</v>
      </c>
      <c r="D6328" s="10" t="s">
        <v>13753</v>
      </c>
      <c r="E6328" s="9" t="s">
        <v>17</v>
      </c>
      <c r="F6328" s="10">
        <v>29</v>
      </c>
      <c r="G6328" s="11">
        <v>8149332615</v>
      </c>
      <c r="H6328" s="10" t="s">
        <v>13754</v>
      </c>
      <c r="I6328" s="10" t="s">
        <v>27</v>
      </c>
      <c r="J6328" s="10" t="s">
        <v>172</v>
      </c>
      <c r="K6328" s="12">
        <v>46031</v>
      </c>
      <c r="L6328" s="28" t="s">
        <v>11</v>
      </c>
      <c r="M6328" s="14"/>
      <c r="N6328" s="10" t="s">
        <v>1028</v>
      </c>
    </row>
    <row r="6329" spans="1:14" ht="22.5" customHeight="1">
      <c r="A6329" s="8">
        <v>46031.656907094904</v>
      </c>
      <c r="B6329" s="9" t="s">
        <v>14</v>
      </c>
      <c r="C6329" s="9" t="s">
        <v>15</v>
      </c>
      <c r="D6329" s="10" t="s">
        <v>13755</v>
      </c>
      <c r="E6329" s="9" t="s">
        <v>17</v>
      </c>
      <c r="F6329" s="10">
        <v>26</v>
      </c>
      <c r="G6329" s="11">
        <v>9150645887</v>
      </c>
      <c r="H6329" s="10" t="s">
        <v>13756</v>
      </c>
      <c r="I6329" s="10" t="s">
        <v>27</v>
      </c>
      <c r="J6329" s="10" t="s">
        <v>13757</v>
      </c>
      <c r="K6329" s="12">
        <v>46031</v>
      </c>
      <c r="L6329" s="28" t="s">
        <v>11</v>
      </c>
      <c r="M6329" s="14"/>
      <c r="N6329" s="10" t="s">
        <v>1028</v>
      </c>
    </row>
    <row r="6330" spans="1:14" ht="22.5" customHeight="1">
      <c r="A6330" s="8">
        <v>46031.657052743059</v>
      </c>
      <c r="B6330" s="9" t="s">
        <v>14</v>
      </c>
      <c r="C6330" s="9" t="s">
        <v>15</v>
      </c>
      <c r="D6330" s="10" t="s">
        <v>13758</v>
      </c>
      <c r="E6330" s="9" t="s">
        <v>17</v>
      </c>
      <c r="F6330" s="10">
        <v>24</v>
      </c>
      <c r="G6330" s="11">
        <v>9011661092</v>
      </c>
      <c r="H6330" s="10" t="s">
        <v>13759</v>
      </c>
      <c r="I6330" s="10" t="s">
        <v>27</v>
      </c>
      <c r="J6330" s="10" t="s">
        <v>703</v>
      </c>
      <c r="K6330" s="12">
        <v>46031</v>
      </c>
      <c r="L6330" s="28" t="s">
        <v>11</v>
      </c>
      <c r="M6330" s="14"/>
      <c r="N6330" s="10" t="s">
        <v>1028</v>
      </c>
    </row>
    <row r="6331" spans="1:14" ht="22.5" customHeight="1">
      <c r="A6331" s="8">
        <v>46031.658618321759</v>
      </c>
      <c r="B6331" s="9" t="s">
        <v>14</v>
      </c>
      <c r="C6331" s="9" t="s">
        <v>15</v>
      </c>
      <c r="D6331" s="10" t="s">
        <v>13760</v>
      </c>
      <c r="E6331" s="9" t="s">
        <v>17</v>
      </c>
      <c r="F6331" s="10">
        <v>34</v>
      </c>
      <c r="G6331" s="11">
        <v>8036304338</v>
      </c>
      <c r="H6331" s="10" t="s">
        <v>13761</v>
      </c>
      <c r="I6331" s="10" t="s">
        <v>202</v>
      </c>
      <c r="J6331" s="10" t="s">
        <v>4174</v>
      </c>
      <c r="K6331" s="12">
        <v>46031</v>
      </c>
      <c r="L6331" s="28" t="s">
        <v>11</v>
      </c>
      <c r="M6331" s="14"/>
      <c r="N6331" s="10" t="s">
        <v>1028</v>
      </c>
    </row>
    <row r="6332" spans="1:14" ht="22.5" customHeight="1">
      <c r="A6332" s="8">
        <v>46031.658654108796</v>
      </c>
      <c r="B6332" s="9" t="s">
        <v>14</v>
      </c>
      <c r="C6332" s="9" t="s">
        <v>15</v>
      </c>
      <c r="D6332" s="10" t="s">
        <v>13762</v>
      </c>
      <c r="E6332" s="9" t="s">
        <v>17</v>
      </c>
      <c r="F6332" s="10">
        <v>26</v>
      </c>
      <c r="G6332" s="11">
        <v>9129687381</v>
      </c>
      <c r="H6332" s="10" t="s">
        <v>13763</v>
      </c>
      <c r="I6332" s="10" t="s">
        <v>45</v>
      </c>
      <c r="J6332" s="10" t="s">
        <v>84</v>
      </c>
      <c r="K6332" s="12">
        <v>46031</v>
      </c>
      <c r="L6332" s="28" t="s">
        <v>11</v>
      </c>
      <c r="M6332" s="14"/>
      <c r="N6332" s="10" t="s">
        <v>1028</v>
      </c>
    </row>
    <row r="6333" spans="1:14" ht="22.5" customHeight="1">
      <c r="A6333" s="8">
        <v>46031.660254756949</v>
      </c>
      <c r="B6333" s="9" t="s">
        <v>14</v>
      </c>
      <c r="C6333" s="9" t="s">
        <v>15</v>
      </c>
      <c r="D6333" s="10" t="s">
        <v>13764</v>
      </c>
      <c r="E6333" s="9" t="s">
        <v>17</v>
      </c>
      <c r="F6333" s="10">
        <v>39</v>
      </c>
      <c r="G6333" s="11">
        <v>8037468557</v>
      </c>
      <c r="H6333" s="10" t="s">
        <v>13765</v>
      </c>
      <c r="I6333" s="10" t="s">
        <v>202</v>
      </c>
      <c r="J6333" s="10" t="s">
        <v>4780</v>
      </c>
      <c r="K6333" s="12">
        <v>46031</v>
      </c>
      <c r="L6333" s="28" t="s">
        <v>11</v>
      </c>
      <c r="M6333" s="14"/>
      <c r="N6333" s="10" t="s">
        <v>1140</v>
      </c>
    </row>
    <row r="6334" spans="1:14" ht="22.5" customHeight="1">
      <c r="A6334" s="8">
        <v>46031.660706574075</v>
      </c>
      <c r="B6334" s="9" t="s">
        <v>14</v>
      </c>
      <c r="C6334" s="9" t="s">
        <v>15</v>
      </c>
      <c r="D6334" s="10" t="s">
        <v>13766</v>
      </c>
      <c r="E6334" s="9" t="s">
        <v>17</v>
      </c>
      <c r="F6334" s="10">
        <v>21</v>
      </c>
      <c r="G6334" s="11">
        <v>8168215438</v>
      </c>
      <c r="H6334" s="10" t="s">
        <v>13767</v>
      </c>
      <c r="I6334" s="10" t="s">
        <v>27</v>
      </c>
      <c r="J6334" s="10" t="s">
        <v>1514</v>
      </c>
      <c r="K6334" s="12">
        <v>46031</v>
      </c>
      <c r="L6334" s="28" t="s">
        <v>11</v>
      </c>
      <c r="M6334" s="14"/>
      <c r="N6334" s="10" t="s">
        <v>1028</v>
      </c>
    </row>
    <row r="6335" spans="1:14" ht="22.5" customHeight="1">
      <c r="A6335" s="8">
        <v>46031.661379756944</v>
      </c>
      <c r="B6335" s="9" t="s">
        <v>14</v>
      </c>
      <c r="C6335" s="9" t="s">
        <v>15</v>
      </c>
      <c r="D6335" s="10" t="s">
        <v>13768</v>
      </c>
      <c r="E6335" s="9" t="s">
        <v>17</v>
      </c>
      <c r="F6335" s="10">
        <v>37</v>
      </c>
      <c r="G6335" s="11">
        <v>8135666576</v>
      </c>
      <c r="H6335" s="10" t="s">
        <v>13769</v>
      </c>
      <c r="I6335" s="10" t="s">
        <v>19</v>
      </c>
      <c r="J6335" s="10" t="s">
        <v>13770</v>
      </c>
      <c r="K6335" s="12">
        <v>46031</v>
      </c>
      <c r="L6335" s="28" t="s">
        <v>11</v>
      </c>
      <c r="M6335" s="14"/>
      <c r="N6335" s="10" t="s">
        <v>1096</v>
      </c>
    </row>
    <row r="6336" spans="1:14" ht="22.5" customHeight="1">
      <c r="A6336" s="8">
        <v>46031.66217599537</v>
      </c>
      <c r="B6336" s="9" t="s">
        <v>14</v>
      </c>
      <c r="C6336" s="9" t="s">
        <v>15</v>
      </c>
      <c r="D6336" s="10" t="s">
        <v>13771</v>
      </c>
      <c r="E6336" s="9" t="s">
        <v>17</v>
      </c>
      <c r="F6336" s="10">
        <v>30</v>
      </c>
      <c r="G6336" s="11">
        <v>8142325269</v>
      </c>
      <c r="H6336" s="10" t="s">
        <v>13772</v>
      </c>
      <c r="I6336" s="10" t="s">
        <v>27</v>
      </c>
      <c r="J6336" s="10" t="s">
        <v>70</v>
      </c>
      <c r="K6336" s="12">
        <v>46031</v>
      </c>
      <c r="L6336" s="28" t="s">
        <v>11</v>
      </c>
      <c r="M6336" s="14"/>
      <c r="N6336" s="10" t="s">
        <v>1028</v>
      </c>
    </row>
    <row r="6337" spans="1:14" ht="22.5" customHeight="1">
      <c r="A6337" s="8">
        <v>46031.66309037037</v>
      </c>
      <c r="B6337" s="9" t="s">
        <v>14</v>
      </c>
      <c r="C6337" s="9" t="s">
        <v>15</v>
      </c>
      <c r="D6337" s="10" t="s">
        <v>13773</v>
      </c>
      <c r="E6337" s="9" t="s">
        <v>22</v>
      </c>
      <c r="F6337" s="10">
        <v>43</v>
      </c>
      <c r="G6337" s="11">
        <v>7033359212</v>
      </c>
      <c r="H6337" s="10" t="s">
        <v>13774</v>
      </c>
      <c r="I6337" s="10" t="s">
        <v>27</v>
      </c>
      <c r="J6337" s="10" t="s">
        <v>703</v>
      </c>
      <c r="K6337" s="12">
        <v>46031</v>
      </c>
      <c r="L6337" s="28" t="s">
        <v>11</v>
      </c>
      <c r="M6337" s="14"/>
      <c r="N6337" s="10" t="s">
        <v>1028</v>
      </c>
    </row>
    <row r="6338" spans="1:14" ht="22.5" customHeight="1">
      <c r="A6338" s="8">
        <v>46031.663171412038</v>
      </c>
      <c r="B6338" s="9" t="s">
        <v>14</v>
      </c>
      <c r="C6338" s="9" t="s">
        <v>15</v>
      </c>
      <c r="D6338" s="10" t="s">
        <v>13775</v>
      </c>
      <c r="E6338" s="9" t="s">
        <v>22</v>
      </c>
      <c r="F6338" s="10">
        <v>28</v>
      </c>
      <c r="G6338" s="11">
        <v>8180500113</v>
      </c>
      <c r="H6338" s="10" t="s">
        <v>13776</v>
      </c>
      <c r="I6338" s="10" t="s">
        <v>145</v>
      </c>
      <c r="J6338" s="10" t="s">
        <v>530</v>
      </c>
      <c r="K6338" s="12">
        <v>46031</v>
      </c>
      <c r="L6338" s="28" t="s">
        <v>11</v>
      </c>
      <c r="M6338" s="14"/>
      <c r="N6338" s="10" t="s">
        <v>1028</v>
      </c>
    </row>
    <row r="6339" spans="1:14" ht="22.5" hidden="1" customHeight="1">
      <c r="A6339" s="8">
        <v>46031.664206168978</v>
      </c>
      <c r="B6339" s="9" t="s">
        <v>14</v>
      </c>
      <c r="C6339" s="9" t="s">
        <v>15</v>
      </c>
      <c r="D6339" s="10" t="s">
        <v>13777</v>
      </c>
      <c r="E6339" s="9" t="s">
        <v>17</v>
      </c>
      <c r="F6339" s="10">
        <v>26</v>
      </c>
      <c r="G6339" s="11">
        <v>7066837847</v>
      </c>
      <c r="H6339" s="10" t="s">
        <v>13778</v>
      </c>
      <c r="I6339" s="10" t="s">
        <v>27</v>
      </c>
      <c r="J6339" s="10" t="s">
        <v>1559</v>
      </c>
      <c r="K6339" s="12">
        <v>46031</v>
      </c>
      <c r="L6339" s="10" t="s">
        <v>441</v>
      </c>
      <c r="M6339" s="10" t="s">
        <v>13779</v>
      </c>
      <c r="N6339" s="10" t="s">
        <v>2186</v>
      </c>
    </row>
    <row r="6340" spans="1:14" ht="22.5" customHeight="1">
      <c r="A6340" s="8">
        <v>46031.668789398143</v>
      </c>
      <c r="B6340" s="9" t="s">
        <v>14</v>
      </c>
      <c r="C6340" s="9" t="s">
        <v>15</v>
      </c>
      <c r="D6340" s="10" t="s">
        <v>13780</v>
      </c>
      <c r="E6340" s="9" t="s">
        <v>22</v>
      </c>
      <c r="F6340" s="10">
        <v>30</v>
      </c>
      <c r="G6340" s="11">
        <v>9066246617</v>
      </c>
      <c r="H6340" s="10" t="s">
        <v>13781</v>
      </c>
      <c r="I6340" s="10" t="s">
        <v>27</v>
      </c>
      <c r="J6340" s="10" t="s">
        <v>2069</v>
      </c>
      <c r="K6340" s="12">
        <v>46031</v>
      </c>
      <c r="L6340" s="28" t="s">
        <v>11</v>
      </c>
      <c r="M6340" s="14"/>
      <c r="N6340" s="10" t="s">
        <v>1028</v>
      </c>
    </row>
    <row r="6341" spans="1:14" ht="22.5" customHeight="1">
      <c r="A6341" s="8">
        <v>46031.669580914357</v>
      </c>
      <c r="B6341" s="9" t="s">
        <v>14</v>
      </c>
      <c r="C6341" s="9" t="s">
        <v>15</v>
      </c>
      <c r="D6341" s="10" t="s">
        <v>13782</v>
      </c>
      <c r="E6341" s="9" t="s">
        <v>22</v>
      </c>
      <c r="F6341" s="10">
        <v>27</v>
      </c>
      <c r="G6341" s="11">
        <v>9065750681</v>
      </c>
      <c r="H6341" s="10" t="s">
        <v>13783</v>
      </c>
      <c r="I6341" s="10" t="s">
        <v>27</v>
      </c>
      <c r="J6341" s="10" t="s">
        <v>1475</v>
      </c>
      <c r="K6341" s="12">
        <v>46031</v>
      </c>
      <c r="L6341" s="28" t="s">
        <v>11</v>
      </c>
      <c r="M6341" s="14"/>
      <c r="N6341" s="10" t="s">
        <v>1028</v>
      </c>
    </row>
    <row r="6342" spans="1:14" ht="22.5" customHeight="1">
      <c r="A6342" s="8">
        <v>46031.670064594902</v>
      </c>
      <c r="B6342" s="9" t="s">
        <v>14</v>
      </c>
      <c r="C6342" s="9" t="s">
        <v>15</v>
      </c>
      <c r="D6342" s="10" t="s">
        <v>13784</v>
      </c>
      <c r="E6342" s="9" t="s">
        <v>22</v>
      </c>
      <c r="F6342" s="10">
        <v>26</v>
      </c>
      <c r="G6342" s="11">
        <v>9029179019</v>
      </c>
      <c r="H6342" s="10" t="s">
        <v>13785</v>
      </c>
      <c r="I6342" s="10" t="s">
        <v>27</v>
      </c>
      <c r="J6342" s="10" t="s">
        <v>1559</v>
      </c>
      <c r="K6342" s="12">
        <v>46031</v>
      </c>
      <c r="L6342" s="28" t="s">
        <v>11</v>
      </c>
      <c r="M6342" s="14"/>
      <c r="N6342" s="10" t="s">
        <v>1028</v>
      </c>
    </row>
    <row r="6343" spans="1:14" ht="22.5" customHeight="1">
      <c r="A6343" s="8">
        <v>46031.670344027778</v>
      </c>
      <c r="B6343" s="9" t="s">
        <v>14</v>
      </c>
      <c r="C6343" s="9" t="s">
        <v>15</v>
      </c>
      <c r="D6343" s="10" t="s">
        <v>13786</v>
      </c>
      <c r="E6343" s="9" t="s">
        <v>17</v>
      </c>
      <c r="F6343" s="10">
        <v>32</v>
      </c>
      <c r="G6343" s="11">
        <v>8139455470</v>
      </c>
      <c r="H6343" s="10" t="s">
        <v>13787</v>
      </c>
      <c r="I6343" s="10" t="s">
        <v>27</v>
      </c>
      <c r="J6343" s="10" t="s">
        <v>1443</v>
      </c>
      <c r="K6343" s="12">
        <v>46031</v>
      </c>
      <c r="L6343" s="28" t="s">
        <v>11</v>
      </c>
      <c r="M6343" s="14"/>
      <c r="N6343" s="10" t="s">
        <v>1028</v>
      </c>
    </row>
    <row r="6344" spans="1:14" ht="22.5" hidden="1" customHeight="1">
      <c r="A6344" s="8">
        <v>46031.670848090274</v>
      </c>
      <c r="B6344" s="9" t="s">
        <v>14</v>
      </c>
      <c r="C6344" s="9" t="s">
        <v>15</v>
      </c>
      <c r="D6344" s="10" t="s">
        <v>13788</v>
      </c>
      <c r="E6344" s="9" t="s">
        <v>22</v>
      </c>
      <c r="F6344" s="10">
        <v>20</v>
      </c>
      <c r="G6344" s="11">
        <v>8135735241</v>
      </c>
      <c r="H6344" s="10" t="s">
        <v>13789</v>
      </c>
      <c r="I6344" s="10" t="s">
        <v>27</v>
      </c>
      <c r="J6344" s="10" t="s">
        <v>67</v>
      </c>
      <c r="K6344" s="12">
        <v>46031</v>
      </c>
      <c r="L6344" s="10" t="s">
        <v>441</v>
      </c>
      <c r="M6344" s="10" t="s">
        <v>1161</v>
      </c>
      <c r="N6344" s="10" t="s">
        <v>1028</v>
      </c>
    </row>
    <row r="6345" spans="1:14" ht="22.5" customHeight="1">
      <c r="A6345" s="8">
        <v>46031.672194918981</v>
      </c>
      <c r="B6345" s="9" t="s">
        <v>14</v>
      </c>
      <c r="C6345" s="9" t="s">
        <v>15</v>
      </c>
      <c r="D6345" s="10" t="s">
        <v>13790</v>
      </c>
      <c r="E6345" s="9" t="s">
        <v>17</v>
      </c>
      <c r="F6345" s="10">
        <v>21</v>
      </c>
      <c r="G6345" s="11">
        <v>9065861197</v>
      </c>
      <c r="H6345" s="10" t="s">
        <v>13791</v>
      </c>
      <c r="I6345" s="10" t="s">
        <v>27</v>
      </c>
      <c r="J6345" s="10" t="s">
        <v>94</v>
      </c>
      <c r="K6345" s="12">
        <v>46031</v>
      </c>
      <c r="L6345" s="28" t="s">
        <v>11</v>
      </c>
      <c r="M6345" s="14"/>
      <c r="N6345" s="10" t="s">
        <v>1028</v>
      </c>
    </row>
    <row r="6346" spans="1:14" ht="22.5" customHeight="1">
      <c r="A6346" s="8">
        <v>46031.672490671292</v>
      </c>
      <c r="B6346" s="9" t="s">
        <v>14</v>
      </c>
      <c r="C6346" s="9" t="s">
        <v>15</v>
      </c>
      <c r="D6346" s="10" t="s">
        <v>13792</v>
      </c>
      <c r="E6346" s="9" t="s">
        <v>22</v>
      </c>
      <c r="F6346" s="10">
        <v>26</v>
      </c>
      <c r="G6346" s="11">
        <v>8133470316</v>
      </c>
      <c r="H6346" s="10" t="s">
        <v>13793</v>
      </c>
      <c r="I6346" s="10" t="s">
        <v>45</v>
      </c>
      <c r="J6346" s="10" t="s">
        <v>1919</v>
      </c>
      <c r="K6346" s="12">
        <v>46031</v>
      </c>
      <c r="L6346" s="28" t="s">
        <v>11</v>
      </c>
      <c r="M6346" s="14"/>
      <c r="N6346" s="10" t="s">
        <v>1028</v>
      </c>
    </row>
    <row r="6347" spans="1:14" ht="22.5" customHeight="1">
      <c r="A6347" s="8">
        <v>46031.673672511577</v>
      </c>
      <c r="B6347" s="9" t="s">
        <v>14</v>
      </c>
      <c r="C6347" s="9" t="s">
        <v>15</v>
      </c>
      <c r="D6347" s="10" t="s">
        <v>13794</v>
      </c>
      <c r="E6347" s="9" t="s">
        <v>17</v>
      </c>
      <c r="F6347" s="10">
        <v>33</v>
      </c>
      <c r="G6347" s="11">
        <v>8130179259</v>
      </c>
      <c r="H6347" s="10" t="s">
        <v>13795</v>
      </c>
      <c r="I6347" s="10" t="s">
        <v>45</v>
      </c>
      <c r="J6347" s="10" t="s">
        <v>13796</v>
      </c>
      <c r="K6347" s="12">
        <v>46031</v>
      </c>
      <c r="L6347" s="28" t="s">
        <v>11</v>
      </c>
      <c r="M6347" s="14"/>
      <c r="N6347" s="10" t="s">
        <v>1028</v>
      </c>
    </row>
    <row r="6348" spans="1:14" ht="22.5" customHeight="1">
      <c r="A6348" s="8">
        <v>46031.673790763889</v>
      </c>
      <c r="B6348" s="9" t="s">
        <v>14</v>
      </c>
      <c r="C6348" s="9" t="s">
        <v>15</v>
      </c>
      <c r="D6348" s="10" t="s">
        <v>13797</v>
      </c>
      <c r="E6348" s="9" t="s">
        <v>17</v>
      </c>
      <c r="F6348" s="10">
        <v>27</v>
      </c>
      <c r="G6348" s="11">
        <v>8167468815</v>
      </c>
      <c r="H6348" s="10" t="s">
        <v>13798</v>
      </c>
      <c r="I6348" s="10" t="s">
        <v>19</v>
      </c>
      <c r="J6348" s="10" t="s">
        <v>4139</v>
      </c>
      <c r="K6348" s="12">
        <v>36171</v>
      </c>
      <c r="L6348" s="28" t="s">
        <v>11</v>
      </c>
      <c r="M6348" s="14"/>
      <c r="N6348" s="10" t="s">
        <v>1028</v>
      </c>
    </row>
    <row r="6349" spans="1:14" ht="22.5" customHeight="1">
      <c r="A6349" s="8">
        <v>46031.674761516202</v>
      </c>
      <c r="B6349" s="9" t="s">
        <v>14</v>
      </c>
      <c r="C6349" s="9" t="s">
        <v>15</v>
      </c>
      <c r="D6349" s="10" t="s">
        <v>13799</v>
      </c>
      <c r="E6349" s="9" t="s">
        <v>17</v>
      </c>
      <c r="F6349" s="10">
        <v>25</v>
      </c>
      <c r="G6349" s="11">
        <v>9060961201</v>
      </c>
      <c r="H6349" s="10" t="s">
        <v>13800</v>
      </c>
      <c r="I6349" s="10" t="s">
        <v>27</v>
      </c>
      <c r="J6349" s="10" t="s">
        <v>13801</v>
      </c>
      <c r="K6349" s="12">
        <v>46031</v>
      </c>
      <c r="L6349" s="28" t="s">
        <v>11</v>
      </c>
      <c r="M6349" s="10"/>
      <c r="N6349" s="10" t="s">
        <v>1096</v>
      </c>
    </row>
    <row r="6350" spans="1:14" ht="22.5" hidden="1" customHeight="1">
      <c r="A6350" s="8">
        <v>46031.677957627311</v>
      </c>
      <c r="B6350" s="9" t="s">
        <v>14</v>
      </c>
      <c r="C6350" s="9" t="s">
        <v>15</v>
      </c>
      <c r="D6350" s="10" t="s">
        <v>13802</v>
      </c>
      <c r="E6350" s="9" t="s">
        <v>17</v>
      </c>
      <c r="F6350" s="10">
        <v>24</v>
      </c>
      <c r="G6350" s="11">
        <v>8038624730</v>
      </c>
      <c r="H6350" s="10" t="s">
        <v>13803</v>
      </c>
      <c r="I6350" s="10" t="s">
        <v>27</v>
      </c>
      <c r="J6350" s="10" t="s">
        <v>94</v>
      </c>
      <c r="K6350" s="12">
        <v>46031</v>
      </c>
      <c r="L6350" s="10" t="s">
        <v>441</v>
      </c>
      <c r="M6350" s="10" t="s">
        <v>1361</v>
      </c>
      <c r="N6350" s="10" t="s">
        <v>1028</v>
      </c>
    </row>
    <row r="6351" spans="1:14" ht="22.5" customHeight="1">
      <c r="A6351" s="8">
        <v>46031.678786041666</v>
      </c>
      <c r="B6351" s="9" t="s">
        <v>14</v>
      </c>
      <c r="C6351" s="9" t="s">
        <v>15</v>
      </c>
      <c r="D6351" s="10" t="s">
        <v>13804</v>
      </c>
      <c r="E6351" s="9" t="s">
        <v>22</v>
      </c>
      <c r="F6351" s="10">
        <v>34</v>
      </c>
      <c r="G6351" s="11">
        <v>7064528436</v>
      </c>
      <c r="H6351" s="10" t="s">
        <v>13805</v>
      </c>
      <c r="I6351" s="10" t="s">
        <v>19</v>
      </c>
      <c r="J6351" s="10" t="s">
        <v>11789</v>
      </c>
      <c r="K6351" s="12">
        <v>46031</v>
      </c>
      <c r="L6351" s="28" t="s">
        <v>11</v>
      </c>
      <c r="M6351" s="14"/>
      <c r="N6351" s="10" t="s">
        <v>1028</v>
      </c>
    </row>
    <row r="6352" spans="1:14" ht="22.5" customHeight="1">
      <c r="A6352" s="8">
        <v>46031.678945196763</v>
      </c>
      <c r="B6352" s="9" t="s">
        <v>14</v>
      </c>
      <c r="C6352" s="9" t="s">
        <v>15</v>
      </c>
      <c r="D6352" s="10" t="s">
        <v>13806</v>
      </c>
      <c r="E6352" s="9" t="s">
        <v>22</v>
      </c>
      <c r="F6352" s="10">
        <v>28</v>
      </c>
      <c r="G6352" s="11">
        <v>8117186499</v>
      </c>
      <c r="H6352" s="10" t="s">
        <v>13807</v>
      </c>
      <c r="I6352" s="10" t="s">
        <v>31</v>
      </c>
      <c r="J6352" s="10" t="s">
        <v>2410</v>
      </c>
      <c r="K6352" s="12">
        <v>46031</v>
      </c>
      <c r="L6352" s="28" t="s">
        <v>11</v>
      </c>
      <c r="M6352" s="14"/>
      <c r="N6352" s="10" t="s">
        <v>1096</v>
      </c>
    </row>
    <row r="6353" spans="1:14" ht="22.5" customHeight="1">
      <c r="A6353" s="8">
        <v>46031.68216222222</v>
      </c>
      <c r="B6353" s="9" t="s">
        <v>14</v>
      </c>
      <c r="C6353" s="9" t="s">
        <v>15</v>
      </c>
      <c r="D6353" s="10" t="s">
        <v>13808</v>
      </c>
      <c r="E6353" s="9" t="s">
        <v>17</v>
      </c>
      <c r="F6353" s="10">
        <v>36</v>
      </c>
      <c r="G6353" s="11">
        <v>8034156224</v>
      </c>
      <c r="H6353" s="10" t="s">
        <v>13809</v>
      </c>
      <c r="I6353" s="10" t="s">
        <v>45</v>
      </c>
      <c r="J6353" s="10" t="s">
        <v>932</v>
      </c>
      <c r="K6353" s="12">
        <v>46031</v>
      </c>
      <c r="L6353" s="28" t="s">
        <v>11</v>
      </c>
      <c r="M6353" s="14"/>
      <c r="N6353" s="10" t="s">
        <v>1028</v>
      </c>
    </row>
    <row r="6354" spans="1:14" ht="22.5" customHeight="1">
      <c r="A6354" s="8">
        <v>46031.683928402781</v>
      </c>
      <c r="B6354" s="9" t="s">
        <v>14</v>
      </c>
      <c r="C6354" s="9" t="s">
        <v>15</v>
      </c>
      <c r="D6354" s="10" t="s">
        <v>13810</v>
      </c>
      <c r="E6354" s="9" t="s">
        <v>17</v>
      </c>
      <c r="F6354" s="10">
        <v>28</v>
      </c>
      <c r="G6354" s="11">
        <v>7010203078</v>
      </c>
      <c r="H6354" s="10" t="s">
        <v>13811</v>
      </c>
      <c r="I6354" s="10" t="s">
        <v>27</v>
      </c>
      <c r="J6354" s="10" t="s">
        <v>3687</v>
      </c>
      <c r="K6354" s="12">
        <v>46031</v>
      </c>
      <c r="L6354" s="28" t="s">
        <v>11</v>
      </c>
      <c r="M6354" s="14"/>
      <c r="N6354" s="10" t="s">
        <v>1096</v>
      </c>
    </row>
    <row r="6355" spans="1:14" ht="22.5" customHeight="1">
      <c r="A6355" s="8">
        <v>46031.68548511574</v>
      </c>
      <c r="B6355" s="9" t="s">
        <v>14</v>
      </c>
      <c r="C6355" s="9" t="s">
        <v>15</v>
      </c>
      <c r="D6355" s="10" t="s">
        <v>13812</v>
      </c>
      <c r="E6355" s="9" t="s">
        <v>22</v>
      </c>
      <c r="F6355" s="10">
        <v>26</v>
      </c>
      <c r="G6355" s="11">
        <v>80619762220</v>
      </c>
      <c r="H6355" s="10" t="s">
        <v>13813</v>
      </c>
      <c r="I6355" s="10" t="s">
        <v>27</v>
      </c>
      <c r="J6355" s="10" t="s">
        <v>28</v>
      </c>
      <c r="K6355" s="12">
        <v>46031</v>
      </c>
      <c r="L6355" s="28" t="s">
        <v>11</v>
      </c>
      <c r="M6355" s="14"/>
      <c r="N6355" s="10" t="s">
        <v>1028</v>
      </c>
    </row>
    <row r="6356" spans="1:14" ht="22.5" customHeight="1">
      <c r="A6356" s="8">
        <v>46031.687081180557</v>
      </c>
      <c r="B6356" s="9" t="s">
        <v>14</v>
      </c>
      <c r="C6356" s="9" t="s">
        <v>15</v>
      </c>
      <c r="D6356" s="10" t="s">
        <v>3629</v>
      </c>
      <c r="E6356" s="9" t="s">
        <v>22</v>
      </c>
      <c r="F6356" s="10">
        <v>28</v>
      </c>
      <c r="G6356" s="11">
        <v>7072787706</v>
      </c>
      <c r="H6356" s="10" t="s">
        <v>3630</v>
      </c>
      <c r="I6356" s="10" t="s">
        <v>27</v>
      </c>
      <c r="J6356" s="10" t="s">
        <v>1456</v>
      </c>
      <c r="K6356" s="12">
        <v>46031</v>
      </c>
      <c r="L6356" s="28" t="s">
        <v>11</v>
      </c>
      <c r="M6356" s="14"/>
      <c r="N6356" s="10" t="s">
        <v>1028</v>
      </c>
    </row>
    <row r="6357" spans="1:14" ht="22.5" customHeight="1">
      <c r="A6357" s="8">
        <v>46031.693181712966</v>
      </c>
      <c r="B6357" s="9" t="s">
        <v>14</v>
      </c>
      <c r="C6357" s="9" t="s">
        <v>15</v>
      </c>
      <c r="D6357" s="10" t="s">
        <v>13814</v>
      </c>
      <c r="E6357" s="9" t="s">
        <v>17</v>
      </c>
      <c r="F6357" s="10">
        <v>34</v>
      </c>
      <c r="G6357" s="11">
        <v>7034314490</v>
      </c>
      <c r="H6357" s="10" t="s">
        <v>13815</v>
      </c>
      <c r="I6357" s="10" t="s">
        <v>19</v>
      </c>
      <c r="J6357" s="10" t="s">
        <v>166</v>
      </c>
      <c r="K6357" s="12">
        <v>46031</v>
      </c>
      <c r="L6357" s="28" t="s">
        <v>11</v>
      </c>
      <c r="M6357" s="14"/>
      <c r="N6357" s="10" t="s">
        <v>1028</v>
      </c>
    </row>
    <row r="6358" spans="1:14" ht="22.5" customHeight="1">
      <c r="A6358" s="8">
        <v>46031.694560752316</v>
      </c>
      <c r="B6358" s="9" t="s">
        <v>14</v>
      </c>
      <c r="C6358" s="9" t="s">
        <v>15</v>
      </c>
      <c r="D6358" s="10" t="s">
        <v>13816</v>
      </c>
      <c r="E6358" s="9" t="s">
        <v>17</v>
      </c>
      <c r="F6358" s="10">
        <v>31</v>
      </c>
      <c r="G6358" s="11">
        <v>8142631990</v>
      </c>
      <c r="H6358" s="10" t="s">
        <v>13817</v>
      </c>
      <c r="I6358" s="10" t="s">
        <v>27</v>
      </c>
      <c r="J6358" s="10" t="s">
        <v>27</v>
      </c>
      <c r="K6358" s="12">
        <v>46031</v>
      </c>
      <c r="L6358" s="28" t="s">
        <v>11</v>
      </c>
      <c r="M6358" s="14"/>
      <c r="N6358" s="10" t="s">
        <v>1096</v>
      </c>
    </row>
    <row r="6359" spans="1:14" ht="22.5" customHeight="1">
      <c r="A6359" s="8">
        <v>46031.695583796296</v>
      </c>
      <c r="B6359" s="9" t="s">
        <v>14</v>
      </c>
      <c r="C6359" s="9" t="s">
        <v>15</v>
      </c>
      <c r="D6359" s="10" t="s">
        <v>13818</v>
      </c>
      <c r="E6359" s="9" t="s">
        <v>17</v>
      </c>
      <c r="F6359" s="10">
        <v>27</v>
      </c>
      <c r="G6359" s="11">
        <v>7066015050</v>
      </c>
      <c r="H6359" s="10" t="s">
        <v>13819</v>
      </c>
      <c r="I6359" s="10" t="s">
        <v>27</v>
      </c>
      <c r="J6359" s="10" t="s">
        <v>9623</v>
      </c>
      <c r="K6359" s="12">
        <v>46031</v>
      </c>
      <c r="L6359" s="28" t="s">
        <v>11</v>
      </c>
      <c r="M6359" s="14"/>
      <c r="N6359" s="10" t="s">
        <v>1096</v>
      </c>
    </row>
    <row r="6360" spans="1:14" ht="22.5" customHeight="1">
      <c r="A6360" s="8">
        <v>46031.695870416668</v>
      </c>
      <c r="B6360" s="9" t="s">
        <v>14</v>
      </c>
      <c r="C6360" s="9" t="s">
        <v>15</v>
      </c>
      <c r="D6360" s="10" t="s">
        <v>13820</v>
      </c>
      <c r="E6360" s="9" t="s">
        <v>17</v>
      </c>
      <c r="F6360" s="10">
        <v>32</v>
      </c>
      <c r="G6360" s="11">
        <v>8102603760</v>
      </c>
      <c r="H6360" s="10" t="s">
        <v>13821</v>
      </c>
      <c r="I6360" s="10" t="s">
        <v>49</v>
      </c>
      <c r="J6360" s="10" t="s">
        <v>246</v>
      </c>
      <c r="K6360" s="12">
        <v>46031</v>
      </c>
      <c r="L6360" s="28" t="s">
        <v>11</v>
      </c>
      <c r="M6360" s="10"/>
      <c r="N6360" s="10" t="s">
        <v>1028</v>
      </c>
    </row>
    <row r="6361" spans="1:14" ht="22.5" customHeight="1">
      <c r="A6361" s="8">
        <v>46031.697057835649</v>
      </c>
      <c r="B6361" s="9" t="s">
        <v>14</v>
      </c>
      <c r="C6361" s="9" t="s">
        <v>15</v>
      </c>
      <c r="D6361" s="10" t="s">
        <v>13822</v>
      </c>
      <c r="E6361" s="9" t="s">
        <v>17</v>
      </c>
      <c r="F6361" s="10">
        <v>29</v>
      </c>
      <c r="G6361" s="11">
        <v>8161754049</v>
      </c>
      <c r="H6361" s="10" t="s">
        <v>13823</v>
      </c>
      <c r="I6361" s="10" t="s">
        <v>27</v>
      </c>
      <c r="J6361" s="10" t="s">
        <v>4560</v>
      </c>
      <c r="K6361" s="12">
        <v>35172</v>
      </c>
      <c r="L6361" s="28" t="s">
        <v>11</v>
      </c>
      <c r="M6361" s="14"/>
      <c r="N6361" s="10" t="s">
        <v>1028</v>
      </c>
    </row>
    <row r="6362" spans="1:14" ht="22.5" customHeight="1">
      <c r="A6362" s="8">
        <v>46031.697393680559</v>
      </c>
      <c r="B6362" s="9" t="s">
        <v>14</v>
      </c>
      <c r="C6362" s="9" t="s">
        <v>15</v>
      </c>
      <c r="D6362" s="10" t="s">
        <v>13824</v>
      </c>
      <c r="E6362" s="9" t="s">
        <v>22</v>
      </c>
      <c r="F6362" s="10">
        <v>27</v>
      </c>
      <c r="G6362" s="11">
        <v>7047695357</v>
      </c>
      <c r="H6362" s="10" t="s">
        <v>13825</v>
      </c>
      <c r="I6362" s="10" t="s">
        <v>45</v>
      </c>
      <c r="J6362" s="10" t="s">
        <v>1191</v>
      </c>
      <c r="K6362" s="12">
        <v>46031</v>
      </c>
      <c r="L6362" s="28" t="s">
        <v>11</v>
      </c>
      <c r="M6362" s="14"/>
      <c r="N6362" s="10" t="s">
        <v>1140</v>
      </c>
    </row>
    <row r="6363" spans="1:14" ht="22.5" customHeight="1">
      <c r="A6363" s="8">
        <v>46031.698903842596</v>
      </c>
      <c r="B6363" s="9" t="s">
        <v>14</v>
      </c>
      <c r="C6363" s="9" t="s">
        <v>15</v>
      </c>
      <c r="D6363" s="10" t="s">
        <v>13826</v>
      </c>
      <c r="E6363" s="9" t="s">
        <v>17</v>
      </c>
      <c r="F6363" s="10">
        <v>29</v>
      </c>
      <c r="G6363" s="11">
        <v>8142793572</v>
      </c>
      <c r="H6363" s="10" t="s">
        <v>13827</v>
      </c>
      <c r="I6363" s="10" t="s">
        <v>27</v>
      </c>
      <c r="J6363" s="10" t="s">
        <v>70</v>
      </c>
      <c r="K6363" s="12">
        <v>46031</v>
      </c>
      <c r="L6363" s="28" t="s">
        <v>11</v>
      </c>
      <c r="M6363" s="14"/>
      <c r="N6363" s="10" t="s">
        <v>1028</v>
      </c>
    </row>
    <row r="6364" spans="1:14" ht="22.5" customHeight="1">
      <c r="A6364" s="8">
        <v>46031.701074687502</v>
      </c>
      <c r="B6364" s="9" t="s">
        <v>14</v>
      </c>
      <c r="C6364" s="9" t="s">
        <v>15</v>
      </c>
      <c r="D6364" s="10" t="s">
        <v>13828</v>
      </c>
      <c r="E6364" s="9" t="s">
        <v>17</v>
      </c>
      <c r="F6364" s="10">
        <v>30</v>
      </c>
      <c r="G6364" s="11">
        <v>9153165679</v>
      </c>
      <c r="H6364" s="10" t="s">
        <v>13829</v>
      </c>
      <c r="I6364" s="10" t="s">
        <v>31</v>
      </c>
      <c r="J6364" s="10" t="s">
        <v>1582</v>
      </c>
      <c r="K6364" s="12">
        <v>46031</v>
      </c>
      <c r="L6364" s="28" t="s">
        <v>11</v>
      </c>
      <c r="M6364" s="14"/>
      <c r="N6364" s="10" t="s">
        <v>1028</v>
      </c>
    </row>
    <row r="6365" spans="1:14" ht="22.5" customHeight="1">
      <c r="A6365" s="8">
        <v>46031.702040717588</v>
      </c>
      <c r="B6365" s="9" t="s">
        <v>14</v>
      </c>
      <c r="C6365" s="9" t="s">
        <v>15</v>
      </c>
      <c r="D6365" s="10" t="s">
        <v>13830</v>
      </c>
      <c r="E6365" s="9" t="s">
        <v>17</v>
      </c>
      <c r="F6365" s="10">
        <v>33</v>
      </c>
      <c r="G6365" s="11">
        <v>8164094376</v>
      </c>
      <c r="H6365" s="10" t="s">
        <v>13831</v>
      </c>
      <c r="I6365" s="10" t="s">
        <v>19</v>
      </c>
      <c r="J6365" s="10" t="s">
        <v>3369</v>
      </c>
      <c r="K6365" s="12">
        <v>46031</v>
      </c>
      <c r="L6365" s="28" t="s">
        <v>11</v>
      </c>
      <c r="M6365" s="14"/>
      <c r="N6365" s="10" t="s">
        <v>1028</v>
      </c>
    </row>
    <row r="6366" spans="1:14" ht="22.5" customHeight="1">
      <c r="A6366" s="8">
        <v>46031.702470486111</v>
      </c>
      <c r="B6366" s="9" t="s">
        <v>14</v>
      </c>
      <c r="C6366" s="9" t="s">
        <v>15</v>
      </c>
      <c r="D6366" s="10" t="s">
        <v>13832</v>
      </c>
      <c r="E6366" s="9" t="s">
        <v>17</v>
      </c>
      <c r="F6366" s="10">
        <v>32</v>
      </c>
      <c r="G6366" s="11">
        <v>8069447391</v>
      </c>
      <c r="H6366" s="10" t="s">
        <v>13833</v>
      </c>
      <c r="I6366" s="10" t="s">
        <v>27</v>
      </c>
      <c r="J6366" s="10" t="s">
        <v>1514</v>
      </c>
      <c r="K6366" s="12">
        <v>46031</v>
      </c>
      <c r="L6366" s="28" t="s">
        <v>11</v>
      </c>
      <c r="M6366" s="14"/>
      <c r="N6366" s="10" t="s">
        <v>1028</v>
      </c>
    </row>
    <row r="6367" spans="1:14" ht="22.5" customHeight="1">
      <c r="A6367" s="8">
        <v>46031.704980729162</v>
      </c>
      <c r="B6367" s="9" t="s">
        <v>14</v>
      </c>
      <c r="C6367" s="9" t="s">
        <v>15</v>
      </c>
      <c r="D6367" s="10" t="s">
        <v>13834</v>
      </c>
      <c r="E6367" s="9" t="s">
        <v>17</v>
      </c>
      <c r="F6367" s="10">
        <v>34</v>
      </c>
      <c r="G6367" s="11">
        <v>7065412152</v>
      </c>
      <c r="H6367" s="10" t="s">
        <v>13835</v>
      </c>
      <c r="I6367" s="10" t="s">
        <v>19</v>
      </c>
      <c r="J6367" s="10" t="s">
        <v>4349</v>
      </c>
      <c r="K6367" s="12">
        <v>46031</v>
      </c>
      <c r="L6367" s="28" t="s">
        <v>11</v>
      </c>
      <c r="M6367" s="14"/>
      <c r="N6367" s="10" t="s">
        <v>1028</v>
      </c>
    </row>
    <row r="6368" spans="1:14" ht="22.5" customHeight="1">
      <c r="A6368" s="8">
        <v>46031.705897962966</v>
      </c>
      <c r="B6368" s="9" t="s">
        <v>14</v>
      </c>
      <c r="C6368" s="9" t="s">
        <v>15</v>
      </c>
      <c r="D6368" s="10" t="s">
        <v>13836</v>
      </c>
      <c r="E6368" s="9" t="s">
        <v>17</v>
      </c>
      <c r="F6368" s="10">
        <v>20</v>
      </c>
      <c r="G6368" s="11">
        <v>7042508312</v>
      </c>
      <c r="H6368" s="10" t="s">
        <v>13837</v>
      </c>
      <c r="I6368" s="10" t="s">
        <v>27</v>
      </c>
      <c r="J6368" s="10" t="s">
        <v>703</v>
      </c>
      <c r="K6368" s="12">
        <v>46031</v>
      </c>
      <c r="L6368" s="28" t="s">
        <v>11</v>
      </c>
      <c r="M6368" s="14"/>
      <c r="N6368" s="10" t="s">
        <v>1028</v>
      </c>
    </row>
    <row r="6369" spans="1:14" ht="22.5" customHeight="1">
      <c r="A6369" s="8">
        <v>46031.706005972221</v>
      </c>
      <c r="B6369" s="9" t="s">
        <v>14</v>
      </c>
      <c r="C6369" s="9" t="s">
        <v>15</v>
      </c>
      <c r="D6369" s="10" t="s">
        <v>13838</v>
      </c>
      <c r="E6369" s="9" t="s">
        <v>17</v>
      </c>
      <c r="F6369" s="10">
        <v>38</v>
      </c>
      <c r="G6369" s="11">
        <f>2348035072480</f>
        <v>2348035072480</v>
      </c>
      <c r="H6369" s="10" t="s">
        <v>13839</v>
      </c>
      <c r="I6369" s="10" t="s">
        <v>27</v>
      </c>
      <c r="J6369" s="10" t="s">
        <v>2639</v>
      </c>
      <c r="K6369" s="12">
        <v>46031</v>
      </c>
      <c r="L6369" s="28" t="s">
        <v>11</v>
      </c>
      <c r="M6369" s="14"/>
      <c r="N6369" s="10" t="s">
        <v>1028</v>
      </c>
    </row>
    <row r="6370" spans="1:14" ht="22.5" customHeight="1">
      <c r="A6370" s="8">
        <v>46031.707764143517</v>
      </c>
      <c r="B6370" s="9" t="s">
        <v>14</v>
      </c>
      <c r="C6370" s="9" t="s">
        <v>15</v>
      </c>
      <c r="D6370" s="10" t="s">
        <v>13840</v>
      </c>
      <c r="E6370" s="9" t="s">
        <v>17</v>
      </c>
      <c r="F6370" s="10">
        <v>35</v>
      </c>
      <c r="G6370" s="11">
        <v>9135148152</v>
      </c>
      <c r="H6370" s="10" t="s">
        <v>13841</v>
      </c>
      <c r="I6370" s="10" t="s">
        <v>19</v>
      </c>
      <c r="J6370" s="10" t="s">
        <v>13842</v>
      </c>
      <c r="K6370" s="12">
        <v>46031</v>
      </c>
      <c r="L6370" s="28" t="s">
        <v>11</v>
      </c>
      <c r="M6370" s="14"/>
      <c r="N6370" s="10" t="s">
        <v>1096</v>
      </c>
    </row>
    <row r="6371" spans="1:14" ht="22.5" customHeight="1">
      <c r="A6371" s="8">
        <v>46031.707856342589</v>
      </c>
      <c r="B6371" s="9" t="s">
        <v>14</v>
      </c>
      <c r="C6371" s="9" t="s">
        <v>15</v>
      </c>
      <c r="D6371" s="10" t="s">
        <v>13843</v>
      </c>
      <c r="E6371" s="9" t="s">
        <v>17</v>
      </c>
      <c r="F6371" s="10">
        <v>28</v>
      </c>
      <c r="G6371" s="11">
        <v>8163036406</v>
      </c>
      <c r="H6371" s="10" t="s">
        <v>13844</v>
      </c>
      <c r="I6371" s="10" t="s">
        <v>45</v>
      </c>
      <c r="J6371" s="10" t="s">
        <v>1191</v>
      </c>
      <c r="K6371" s="12">
        <v>46031</v>
      </c>
      <c r="L6371" s="28" t="s">
        <v>11</v>
      </c>
      <c r="M6371" s="14"/>
      <c r="N6371" s="10" t="s">
        <v>1096</v>
      </c>
    </row>
    <row r="6372" spans="1:14" ht="22.5" customHeight="1">
      <c r="A6372" s="8">
        <v>46031.711336215274</v>
      </c>
      <c r="B6372" s="9" t="s">
        <v>14</v>
      </c>
      <c r="C6372" s="9" t="s">
        <v>15</v>
      </c>
      <c r="D6372" s="10" t="s">
        <v>13845</v>
      </c>
      <c r="E6372" s="9" t="s">
        <v>17</v>
      </c>
      <c r="F6372" s="10">
        <v>34</v>
      </c>
      <c r="G6372" s="11">
        <v>7030088153</v>
      </c>
      <c r="H6372" s="10" t="s">
        <v>13846</v>
      </c>
      <c r="I6372" s="10" t="s">
        <v>27</v>
      </c>
      <c r="J6372" s="10" t="s">
        <v>1735</v>
      </c>
      <c r="K6372" s="12">
        <v>46031</v>
      </c>
      <c r="L6372" s="28" t="s">
        <v>11</v>
      </c>
      <c r="M6372" s="14"/>
      <c r="N6372" s="10" t="s">
        <v>1028</v>
      </c>
    </row>
    <row r="6373" spans="1:14" ht="22.5" customHeight="1">
      <c r="A6373" s="8">
        <v>46031.713399699074</v>
      </c>
      <c r="B6373" s="9" t="s">
        <v>14</v>
      </c>
      <c r="C6373" s="9" t="s">
        <v>15</v>
      </c>
      <c r="D6373" s="10" t="s">
        <v>13847</v>
      </c>
      <c r="E6373" s="9" t="s">
        <v>17</v>
      </c>
      <c r="F6373" s="10">
        <v>39</v>
      </c>
      <c r="G6373" s="11">
        <v>8142337844</v>
      </c>
      <c r="H6373" s="10" t="s">
        <v>13848</v>
      </c>
      <c r="I6373" s="10" t="s">
        <v>19</v>
      </c>
      <c r="J6373" s="10" t="s">
        <v>4603</v>
      </c>
      <c r="K6373" s="12">
        <v>46031</v>
      </c>
      <c r="L6373" s="28" t="s">
        <v>11</v>
      </c>
      <c r="M6373" s="14"/>
      <c r="N6373" s="10" t="s">
        <v>1028</v>
      </c>
    </row>
    <row r="6374" spans="1:14" ht="22.5" customHeight="1">
      <c r="A6374" s="8">
        <v>46031.71497508102</v>
      </c>
      <c r="B6374" s="9" t="s">
        <v>14</v>
      </c>
      <c r="C6374" s="9" t="s">
        <v>15</v>
      </c>
      <c r="D6374" s="10" t="s">
        <v>13849</v>
      </c>
      <c r="E6374" s="9" t="s">
        <v>17</v>
      </c>
      <c r="F6374" s="10">
        <v>34</v>
      </c>
      <c r="G6374" s="11">
        <v>8054860486</v>
      </c>
      <c r="H6374" s="10" t="s">
        <v>13850</v>
      </c>
      <c r="I6374" s="10" t="s">
        <v>27</v>
      </c>
      <c r="J6374" s="10" t="s">
        <v>13851</v>
      </c>
      <c r="K6374" s="12">
        <v>46031</v>
      </c>
      <c r="L6374" s="28" t="s">
        <v>11</v>
      </c>
      <c r="M6374" s="14"/>
      <c r="N6374" s="10" t="s">
        <v>1028</v>
      </c>
    </row>
    <row r="6375" spans="1:14" ht="22.5" customHeight="1">
      <c r="A6375" s="8">
        <v>46031.717065902776</v>
      </c>
      <c r="B6375" s="9" t="s">
        <v>14</v>
      </c>
      <c r="C6375" s="9" t="s">
        <v>15</v>
      </c>
      <c r="D6375" s="10" t="s">
        <v>13852</v>
      </c>
      <c r="E6375" s="9" t="s">
        <v>17</v>
      </c>
      <c r="F6375" s="10">
        <v>23</v>
      </c>
      <c r="G6375" s="11">
        <v>9065450834</v>
      </c>
      <c r="H6375" s="10" t="s">
        <v>13853</v>
      </c>
      <c r="I6375" s="10" t="s">
        <v>27</v>
      </c>
      <c r="J6375" s="10" t="s">
        <v>1475</v>
      </c>
      <c r="K6375" s="12">
        <v>46031</v>
      </c>
      <c r="L6375" s="28" t="s">
        <v>11</v>
      </c>
      <c r="M6375" s="14"/>
      <c r="N6375" s="10" t="s">
        <v>1028</v>
      </c>
    </row>
    <row r="6376" spans="1:14" ht="22.5" customHeight="1">
      <c r="A6376" s="8">
        <v>46031.717954641208</v>
      </c>
      <c r="B6376" s="9" t="s">
        <v>14</v>
      </c>
      <c r="C6376" s="9" t="s">
        <v>15</v>
      </c>
      <c r="D6376" s="10" t="s">
        <v>13854</v>
      </c>
      <c r="E6376" s="9" t="s">
        <v>17</v>
      </c>
      <c r="F6376" s="10">
        <v>34</v>
      </c>
      <c r="G6376" s="11">
        <v>8062986641</v>
      </c>
      <c r="H6376" s="10" t="s">
        <v>13855</v>
      </c>
      <c r="I6376" s="10" t="s">
        <v>27</v>
      </c>
      <c r="J6376" s="10" t="s">
        <v>8923</v>
      </c>
      <c r="K6376" s="12">
        <v>46031</v>
      </c>
      <c r="L6376" s="28" t="s">
        <v>11</v>
      </c>
      <c r="M6376" s="14"/>
      <c r="N6376" s="10" t="s">
        <v>1028</v>
      </c>
    </row>
    <row r="6377" spans="1:14" ht="22.5" customHeight="1">
      <c r="A6377" s="8">
        <v>46031.718222013893</v>
      </c>
      <c r="B6377" s="9" t="s">
        <v>14</v>
      </c>
      <c r="C6377" s="9" t="s">
        <v>15</v>
      </c>
      <c r="D6377" s="10" t="s">
        <v>13856</v>
      </c>
      <c r="E6377" s="9" t="s">
        <v>17</v>
      </c>
      <c r="F6377" s="10">
        <v>34</v>
      </c>
      <c r="G6377" s="11">
        <v>7062873799</v>
      </c>
      <c r="H6377" s="10" t="s">
        <v>13857</v>
      </c>
      <c r="I6377" s="10" t="s">
        <v>19</v>
      </c>
      <c r="J6377" s="10" t="s">
        <v>3369</v>
      </c>
      <c r="K6377" s="12">
        <v>46031</v>
      </c>
      <c r="L6377" s="28" t="s">
        <v>11</v>
      </c>
      <c r="M6377" s="14"/>
      <c r="N6377" s="10" t="s">
        <v>1028</v>
      </c>
    </row>
    <row r="6378" spans="1:14" ht="22.5" customHeight="1">
      <c r="A6378" s="8">
        <v>46031.718374131946</v>
      </c>
      <c r="B6378" s="9" t="s">
        <v>14</v>
      </c>
      <c r="C6378" s="9" t="s">
        <v>15</v>
      </c>
      <c r="D6378" s="10" t="s">
        <v>13858</v>
      </c>
      <c r="E6378" s="9" t="s">
        <v>22</v>
      </c>
      <c r="F6378" s="10">
        <v>35</v>
      </c>
      <c r="G6378" s="11">
        <v>7030063664</v>
      </c>
      <c r="H6378" s="10" t="s">
        <v>13859</v>
      </c>
      <c r="I6378" s="10" t="s">
        <v>49</v>
      </c>
      <c r="J6378" s="10" t="s">
        <v>13860</v>
      </c>
      <c r="K6378" s="12">
        <v>46031</v>
      </c>
      <c r="L6378" s="28" t="s">
        <v>11</v>
      </c>
      <c r="M6378" s="14"/>
      <c r="N6378" s="10" t="s">
        <v>1028</v>
      </c>
    </row>
    <row r="6379" spans="1:14" ht="22.5" customHeight="1">
      <c r="A6379" s="8">
        <v>46031.72068140046</v>
      </c>
      <c r="B6379" s="9" t="s">
        <v>14</v>
      </c>
      <c r="C6379" s="9" t="s">
        <v>15</v>
      </c>
      <c r="D6379" s="10" t="s">
        <v>13861</v>
      </c>
      <c r="E6379" s="9" t="s">
        <v>17</v>
      </c>
      <c r="F6379" s="10">
        <v>31</v>
      </c>
      <c r="G6379" s="11">
        <v>8100466746</v>
      </c>
      <c r="H6379" s="10" t="s">
        <v>13862</v>
      </c>
      <c r="I6379" s="10" t="s">
        <v>45</v>
      </c>
      <c r="J6379" s="10" t="s">
        <v>122</v>
      </c>
      <c r="K6379" s="12">
        <v>46031</v>
      </c>
      <c r="L6379" s="28" t="s">
        <v>11</v>
      </c>
      <c r="M6379" s="14"/>
      <c r="N6379" s="10" t="s">
        <v>1028</v>
      </c>
    </row>
    <row r="6380" spans="1:14" ht="22.5" customHeight="1">
      <c r="A6380" s="8">
        <v>46031.721882592596</v>
      </c>
      <c r="B6380" s="9" t="s">
        <v>14</v>
      </c>
      <c r="C6380" s="9" t="s">
        <v>15</v>
      </c>
      <c r="D6380" s="10" t="s">
        <v>13863</v>
      </c>
      <c r="E6380" s="9" t="s">
        <v>22</v>
      </c>
      <c r="F6380" s="10">
        <v>30</v>
      </c>
      <c r="G6380" s="11">
        <v>8147752169</v>
      </c>
      <c r="H6380" s="10" t="s">
        <v>13864</v>
      </c>
      <c r="I6380" s="10" t="s">
        <v>45</v>
      </c>
      <c r="J6380" s="10" t="s">
        <v>13865</v>
      </c>
      <c r="K6380" s="12">
        <v>46031</v>
      </c>
      <c r="L6380" s="28" t="s">
        <v>11</v>
      </c>
      <c r="M6380" s="14"/>
      <c r="N6380" s="10" t="s">
        <v>1096</v>
      </c>
    </row>
    <row r="6381" spans="1:14" ht="22.5" customHeight="1">
      <c r="A6381" s="8">
        <v>46031.722916273153</v>
      </c>
      <c r="B6381" s="9" t="s">
        <v>14</v>
      </c>
      <c r="C6381" s="9" t="s">
        <v>15</v>
      </c>
      <c r="D6381" s="10" t="s">
        <v>13866</v>
      </c>
      <c r="E6381" s="9" t="s">
        <v>22</v>
      </c>
      <c r="F6381" s="10">
        <v>28</v>
      </c>
      <c r="G6381" s="11">
        <v>9039633056</v>
      </c>
      <c r="H6381" s="10" t="s">
        <v>13867</v>
      </c>
      <c r="I6381" s="10" t="s">
        <v>45</v>
      </c>
      <c r="J6381" s="10" t="s">
        <v>13868</v>
      </c>
      <c r="K6381" s="12">
        <v>46031</v>
      </c>
      <c r="L6381" s="28" t="s">
        <v>11</v>
      </c>
      <c r="M6381" s="14"/>
      <c r="N6381" s="10" t="s">
        <v>1096</v>
      </c>
    </row>
    <row r="6382" spans="1:14" ht="22.5" customHeight="1">
      <c r="A6382" s="8">
        <v>46031.723979178241</v>
      </c>
      <c r="B6382" s="9" t="s">
        <v>14</v>
      </c>
      <c r="C6382" s="9" t="s">
        <v>15</v>
      </c>
      <c r="D6382" s="10" t="s">
        <v>13869</v>
      </c>
      <c r="E6382" s="9" t="s">
        <v>17</v>
      </c>
      <c r="F6382" s="10">
        <v>33</v>
      </c>
      <c r="G6382" s="11">
        <f t="shared" ref="G6382" si="190">2347032594909</f>
        <v>2347032594909</v>
      </c>
      <c r="H6382" s="10" t="s">
        <v>13870</v>
      </c>
      <c r="I6382" s="10" t="s">
        <v>19</v>
      </c>
      <c r="J6382" s="10" t="s">
        <v>166</v>
      </c>
      <c r="K6382" s="12">
        <v>46031</v>
      </c>
      <c r="L6382" s="28" t="s">
        <v>11</v>
      </c>
      <c r="M6382" s="14"/>
      <c r="N6382" s="10" t="s">
        <v>1028</v>
      </c>
    </row>
    <row r="6383" spans="1:14" ht="22.5" customHeight="1">
      <c r="A6383" s="8">
        <v>46031.726325416668</v>
      </c>
      <c r="B6383" s="9" t="s">
        <v>14</v>
      </c>
      <c r="C6383" s="9" t="s">
        <v>15</v>
      </c>
      <c r="D6383" s="10" t="s">
        <v>13871</v>
      </c>
      <c r="E6383" s="9" t="s">
        <v>17</v>
      </c>
      <c r="F6383" s="10">
        <v>34</v>
      </c>
      <c r="G6383" s="11">
        <v>7085122595</v>
      </c>
      <c r="H6383" s="10" t="s">
        <v>13872</v>
      </c>
      <c r="I6383" s="10" t="s">
        <v>45</v>
      </c>
      <c r="J6383" s="10" t="s">
        <v>688</v>
      </c>
      <c r="K6383" s="12">
        <v>46031</v>
      </c>
      <c r="L6383" s="28" t="s">
        <v>11</v>
      </c>
      <c r="M6383" s="14"/>
      <c r="N6383" s="10" t="s">
        <v>1096</v>
      </c>
    </row>
    <row r="6384" spans="1:14" ht="22.5" customHeight="1">
      <c r="A6384" s="8">
        <v>46031.72832091435</v>
      </c>
      <c r="B6384" s="9" t="s">
        <v>14</v>
      </c>
      <c r="C6384" s="9" t="s">
        <v>15</v>
      </c>
      <c r="D6384" s="10" t="s">
        <v>13873</v>
      </c>
      <c r="E6384" s="9" t="s">
        <v>17</v>
      </c>
      <c r="F6384" s="10">
        <v>25</v>
      </c>
      <c r="G6384" s="11">
        <v>8137353195</v>
      </c>
      <c r="H6384" s="10" t="s">
        <v>13874</v>
      </c>
      <c r="I6384" s="10" t="s">
        <v>27</v>
      </c>
      <c r="J6384" s="10" t="s">
        <v>28</v>
      </c>
      <c r="K6384" s="12">
        <v>46031</v>
      </c>
      <c r="L6384" s="28" t="s">
        <v>11</v>
      </c>
      <c r="M6384" s="10"/>
      <c r="N6384" s="10" t="s">
        <v>2308</v>
      </c>
    </row>
    <row r="6385" spans="1:14" ht="22.5" customHeight="1">
      <c r="A6385" s="8">
        <v>46031.730748506947</v>
      </c>
      <c r="B6385" s="9" t="s">
        <v>14</v>
      </c>
      <c r="C6385" s="9" t="s">
        <v>15</v>
      </c>
      <c r="D6385" s="10" t="s">
        <v>13875</v>
      </c>
      <c r="E6385" s="9" t="s">
        <v>17</v>
      </c>
      <c r="F6385" s="10">
        <v>38</v>
      </c>
      <c r="G6385" s="11">
        <v>9138859109</v>
      </c>
      <c r="H6385" s="10" t="s">
        <v>13876</v>
      </c>
      <c r="I6385" s="10" t="s">
        <v>19</v>
      </c>
      <c r="J6385" s="10" t="s">
        <v>10582</v>
      </c>
      <c r="K6385" s="12">
        <v>46031</v>
      </c>
      <c r="L6385" s="28" t="s">
        <v>11</v>
      </c>
      <c r="M6385" s="14"/>
      <c r="N6385" s="10" t="s">
        <v>1028</v>
      </c>
    </row>
    <row r="6386" spans="1:14" ht="22.5" customHeight="1">
      <c r="A6386" s="8">
        <v>46031.732142002315</v>
      </c>
      <c r="B6386" s="9" t="s">
        <v>14</v>
      </c>
      <c r="C6386" s="9" t="s">
        <v>15</v>
      </c>
      <c r="D6386" s="10" t="s">
        <v>13877</v>
      </c>
      <c r="E6386" s="9" t="s">
        <v>17</v>
      </c>
      <c r="F6386" s="10">
        <v>37</v>
      </c>
      <c r="G6386" s="11">
        <v>7038852859</v>
      </c>
      <c r="H6386" s="10" t="s">
        <v>13878</v>
      </c>
      <c r="I6386" s="10" t="s">
        <v>27</v>
      </c>
      <c r="J6386" s="10" t="s">
        <v>172</v>
      </c>
      <c r="K6386" s="12">
        <v>46031</v>
      </c>
      <c r="L6386" s="28" t="s">
        <v>11</v>
      </c>
      <c r="M6386" s="14"/>
      <c r="N6386" s="10" t="s">
        <v>1096</v>
      </c>
    </row>
    <row r="6387" spans="1:14" ht="22.5" customHeight="1">
      <c r="A6387" s="8">
        <v>46031.732223437502</v>
      </c>
      <c r="B6387" s="9" t="s">
        <v>14</v>
      </c>
      <c r="C6387" s="9" t="s">
        <v>15</v>
      </c>
      <c r="D6387" s="10" t="s">
        <v>13879</v>
      </c>
      <c r="E6387" s="9" t="s">
        <v>22</v>
      </c>
      <c r="F6387" s="10">
        <v>29</v>
      </c>
      <c r="G6387" s="11">
        <v>9030797664</v>
      </c>
      <c r="H6387" s="10" t="s">
        <v>13880</v>
      </c>
      <c r="I6387" s="10" t="s">
        <v>45</v>
      </c>
      <c r="J6387" s="10" t="s">
        <v>84</v>
      </c>
      <c r="K6387" s="12">
        <v>46031</v>
      </c>
      <c r="L6387" s="28" t="s">
        <v>11</v>
      </c>
      <c r="M6387" s="14"/>
      <c r="N6387" s="10" t="s">
        <v>1096</v>
      </c>
    </row>
    <row r="6388" spans="1:14" ht="22.5" customHeight="1">
      <c r="A6388" s="8">
        <v>46031.734721932866</v>
      </c>
      <c r="B6388" s="9" t="s">
        <v>14</v>
      </c>
      <c r="C6388" s="9" t="s">
        <v>15</v>
      </c>
      <c r="D6388" s="10" t="s">
        <v>13881</v>
      </c>
      <c r="E6388" s="9" t="s">
        <v>22</v>
      </c>
      <c r="F6388" s="10">
        <v>30</v>
      </c>
      <c r="G6388" s="11">
        <v>9075491860</v>
      </c>
      <c r="H6388" s="10" t="s">
        <v>13882</v>
      </c>
      <c r="I6388" s="10" t="s">
        <v>27</v>
      </c>
      <c r="J6388" s="10" t="s">
        <v>27</v>
      </c>
      <c r="K6388" s="12">
        <v>46031</v>
      </c>
      <c r="L6388" s="28" t="s">
        <v>11</v>
      </c>
      <c r="M6388" s="14"/>
      <c r="N6388" s="10" t="s">
        <v>1028</v>
      </c>
    </row>
    <row r="6389" spans="1:14" ht="22.5" customHeight="1">
      <c r="A6389" s="8">
        <v>46031.734999490742</v>
      </c>
      <c r="B6389" s="9" t="s">
        <v>14</v>
      </c>
      <c r="C6389" s="9" t="s">
        <v>15</v>
      </c>
      <c r="D6389" s="10" t="s">
        <v>4908</v>
      </c>
      <c r="E6389" s="9" t="s">
        <v>22</v>
      </c>
      <c r="F6389" s="19">
        <v>29</v>
      </c>
      <c r="G6389" s="11">
        <v>8160866291</v>
      </c>
      <c r="H6389" s="10" t="s">
        <v>4909</v>
      </c>
      <c r="I6389" s="10" t="s">
        <v>27</v>
      </c>
      <c r="J6389" s="10" t="s">
        <v>3143</v>
      </c>
      <c r="K6389" s="12">
        <v>46031</v>
      </c>
      <c r="L6389" s="28" t="s">
        <v>11</v>
      </c>
      <c r="M6389" s="14"/>
      <c r="N6389" s="10" t="s">
        <v>1028</v>
      </c>
    </row>
    <row r="6390" spans="1:14" ht="22.5" customHeight="1">
      <c r="A6390" s="8">
        <v>46031.737054201389</v>
      </c>
      <c r="B6390" s="9" t="s">
        <v>14</v>
      </c>
      <c r="C6390" s="9" t="s">
        <v>15</v>
      </c>
      <c r="D6390" s="10" t="s">
        <v>13883</v>
      </c>
      <c r="E6390" s="9" t="s">
        <v>22</v>
      </c>
      <c r="F6390" s="10">
        <v>23</v>
      </c>
      <c r="G6390" s="11">
        <v>7048385571</v>
      </c>
      <c r="H6390" s="10" t="s">
        <v>13884</v>
      </c>
      <c r="I6390" s="10" t="s">
        <v>27</v>
      </c>
      <c r="J6390" s="10" t="s">
        <v>1514</v>
      </c>
      <c r="K6390" s="12">
        <v>46031</v>
      </c>
      <c r="L6390" s="28" t="s">
        <v>11</v>
      </c>
      <c r="M6390" s="14"/>
      <c r="N6390" s="10" t="s">
        <v>1028</v>
      </c>
    </row>
    <row r="6391" spans="1:14" ht="22.5" customHeight="1">
      <c r="A6391" s="8">
        <v>46031.737823101852</v>
      </c>
      <c r="B6391" s="9" t="s">
        <v>14</v>
      </c>
      <c r="C6391" s="9" t="s">
        <v>15</v>
      </c>
      <c r="D6391" s="10" t="s">
        <v>13885</v>
      </c>
      <c r="E6391" s="9" t="s">
        <v>22</v>
      </c>
      <c r="F6391" s="18">
        <v>29</v>
      </c>
      <c r="G6391" s="11">
        <v>9023333053</v>
      </c>
      <c r="H6391" s="10" t="s">
        <v>13886</v>
      </c>
      <c r="I6391" s="10" t="s">
        <v>27</v>
      </c>
      <c r="J6391" s="10" t="s">
        <v>2861</v>
      </c>
      <c r="K6391" s="12">
        <v>46031</v>
      </c>
      <c r="L6391" s="28" t="s">
        <v>11</v>
      </c>
      <c r="M6391" s="14"/>
      <c r="N6391" s="10" t="s">
        <v>1028</v>
      </c>
    </row>
    <row r="6392" spans="1:14" ht="22.5" customHeight="1">
      <c r="A6392" s="8">
        <v>46031.738533356482</v>
      </c>
      <c r="B6392" s="9" t="s">
        <v>14</v>
      </c>
      <c r="C6392" s="9" t="s">
        <v>15</v>
      </c>
      <c r="D6392" s="10" t="s">
        <v>13887</v>
      </c>
      <c r="E6392" s="9" t="s">
        <v>17</v>
      </c>
      <c r="F6392" s="10">
        <v>26</v>
      </c>
      <c r="G6392" s="11">
        <v>8135777608</v>
      </c>
      <c r="H6392" s="10" t="s">
        <v>13888</v>
      </c>
      <c r="I6392" s="10" t="s">
        <v>49</v>
      </c>
      <c r="J6392" s="10" t="s">
        <v>953</v>
      </c>
      <c r="K6392" s="12">
        <v>46031</v>
      </c>
      <c r="L6392" s="28" t="s">
        <v>11</v>
      </c>
      <c r="M6392" s="14"/>
      <c r="N6392" s="10" t="s">
        <v>1028</v>
      </c>
    </row>
    <row r="6393" spans="1:14" ht="22.5" customHeight="1">
      <c r="A6393" s="8">
        <v>46031.739265405093</v>
      </c>
      <c r="B6393" s="9" t="s">
        <v>14</v>
      </c>
      <c r="C6393" s="9" t="s">
        <v>15</v>
      </c>
      <c r="D6393" s="10" t="s">
        <v>3875</v>
      </c>
      <c r="E6393" s="9" t="s">
        <v>17</v>
      </c>
      <c r="F6393" s="10">
        <v>23</v>
      </c>
      <c r="G6393" s="11">
        <v>9017478780</v>
      </c>
      <c r="H6393" s="10" t="s">
        <v>13889</v>
      </c>
      <c r="I6393" s="10" t="s">
        <v>27</v>
      </c>
      <c r="J6393" s="10" t="s">
        <v>94</v>
      </c>
      <c r="K6393" s="12">
        <v>46031</v>
      </c>
      <c r="L6393" s="28" t="s">
        <v>11</v>
      </c>
      <c r="M6393" s="14"/>
      <c r="N6393" s="10" t="s">
        <v>1028</v>
      </c>
    </row>
    <row r="6394" spans="1:14" ht="22.5" customHeight="1">
      <c r="A6394" s="8">
        <v>46031.741331053243</v>
      </c>
      <c r="B6394" s="9" t="s">
        <v>14</v>
      </c>
      <c r="C6394" s="9" t="s">
        <v>15</v>
      </c>
      <c r="D6394" s="10" t="s">
        <v>13890</v>
      </c>
      <c r="E6394" s="9" t="s">
        <v>17</v>
      </c>
      <c r="F6394" s="10">
        <v>30</v>
      </c>
      <c r="G6394" s="11">
        <v>7033293563</v>
      </c>
      <c r="H6394" s="10" t="s">
        <v>13891</v>
      </c>
      <c r="I6394" s="10" t="s">
        <v>45</v>
      </c>
      <c r="J6394" s="10" t="s">
        <v>12289</v>
      </c>
      <c r="K6394" s="12">
        <v>46031</v>
      </c>
      <c r="L6394" s="28" t="s">
        <v>11</v>
      </c>
      <c r="M6394" s="14"/>
      <c r="N6394" s="10" t="s">
        <v>1028</v>
      </c>
    </row>
    <row r="6395" spans="1:14" ht="22.5" customHeight="1">
      <c r="A6395" s="8">
        <v>46031.743855081018</v>
      </c>
      <c r="B6395" s="9" t="s">
        <v>14</v>
      </c>
      <c r="C6395" s="9" t="s">
        <v>15</v>
      </c>
      <c r="D6395" s="10" t="s">
        <v>11952</v>
      </c>
      <c r="E6395" s="9" t="s">
        <v>17</v>
      </c>
      <c r="F6395" s="10">
        <v>27</v>
      </c>
      <c r="G6395" s="11">
        <v>8032762939</v>
      </c>
      <c r="H6395" s="10" t="s">
        <v>13892</v>
      </c>
      <c r="I6395" s="10" t="s">
        <v>27</v>
      </c>
      <c r="J6395" s="10" t="s">
        <v>27</v>
      </c>
      <c r="K6395" s="12">
        <v>46031</v>
      </c>
      <c r="L6395" s="28" t="s">
        <v>11</v>
      </c>
      <c r="M6395" s="14"/>
      <c r="N6395" s="10" t="s">
        <v>1028</v>
      </c>
    </row>
    <row r="6396" spans="1:14" ht="22.5" customHeight="1">
      <c r="A6396" s="8">
        <v>46031.746320578706</v>
      </c>
      <c r="B6396" s="9" t="s">
        <v>14</v>
      </c>
      <c r="C6396" s="9" t="s">
        <v>15</v>
      </c>
      <c r="D6396" s="10" t="s">
        <v>13893</v>
      </c>
      <c r="E6396" s="9" t="s">
        <v>22</v>
      </c>
      <c r="F6396" s="10">
        <v>27</v>
      </c>
      <c r="G6396" s="11">
        <v>8084708581</v>
      </c>
      <c r="H6396" s="10" t="s">
        <v>13894</v>
      </c>
      <c r="I6396" s="10" t="s">
        <v>145</v>
      </c>
      <c r="J6396" s="10" t="s">
        <v>13895</v>
      </c>
      <c r="K6396" s="12">
        <v>46031</v>
      </c>
      <c r="L6396" s="28" t="s">
        <v>11</v>
      </c>
      <c r="M6396" s="14"/>
      <c r="N6396" s="10" t="s">
        <v>1028</v>
      </c>
    </row>
    <row r="6397" spans="1:14" ht="22.5" customHeight="1">
      <c r="A6397" s="8">
        <v>46031.747614027779</v>
      </c>
      <c r="B6397" s="9" t="s">
        <v>14</v>
      </c>
      <c r="C6397" s="9" t="s">
        <v>15</v>
      </c>
      <c r="D6397" s="10" t="s">
        <v>13896</v>
      </c>
      <c r="E6397" s="9" t="s">
        <v>17</v>
      </c>
      <c r="F6397" s="10">
        <v>28</v>
      </c>
      <c r="G6397" s="11">
        <v>7066175159</v>
      </c>
      <c r="H6397" s="10" t="s">
        <v>13897</v>
      </c>
      <c r="I6397" s="10" t="s">
        <v>49</v>
      </c>
      <c r="J6397" s="10" t="s">
        <v>303</v>
      </c>
      <c r="K6397" s="12">
        <v>46031</v>
      </c>
      <c r="L6397" s="28" t="s">
        <v>11</v>
      </c>
      <c r="M6397" s="14"/>
      <c r="N6397" s="10" t="s">
        <v>1028</v>
      </c>
    </row>
    <row r="6398" spans="1:14" ht="22.5" customHeight="1">
      <c r="A6398" s="8">
        <v>46031.74783143519</v>
      </c>
      <c r="B6398" s="9" t="s">
        <v>14</v>
      </c>
      <c r="C6398" s="9" t="s">
        <v>15</v>
      </c>
      <c r="D6398" s="10" t="s">
        <v>13898</v>
      </c>
      <c r="E6398" s="9" t="s">
        <v>22</v>
      </c>
      <c r="F6398" s="10">
        <v>26</v>
      </c>
      <c r="G6398" s="11">
        <v>9018521555</v>
      </c>
      <c r="H6398" s="10" t="s">
        <v>13899</v>
      </c>
      <c r="I6398" s="10" t="s">
        <v>19</v>
      </c>
      <c r="J6398" s="10" t="s">
        <v>3802</v>
      </c>
      <c r="K6398" s="12">
        <v>46031</v>
      </c>
      <c r="L6398" s="28" t="s">
        <v>11</v>
      </c>
      <c r="M6398" s="14"/>
      <c r="N6398" s="10" t="s">
        <v>1028</v>
      </c>
    </row>
    <row r="6399" spans="1:14" ht="22.5" customHeight="1">
      <c r="A6399" s="8">
        <v>46031.754256145832</v>
      </c>
      <c r="B6399" s="9" t="s">
        <v>14</v>
      </c>
      <c r="C6399" s="9" t="s">
        <v>15</v>
      </c>
      <c r="D6399" s="10" t="s">
        <v>13900</v>
      </c>
      <c r="E6399" s="9" t="s">
        <v>22</v>
      </c>
      <c r="F6399" s="10">
        <v>22</v>
      </c>
      <c r="G6399" s="11">
        <v>9058959867</v>
      </c>
      <c r="H6399" s="10" t="s">
        <v>13901</v>
      </c>
      <c r="I6399" s="10" t="s">
        <v>27</v>
      </c>
      <c r="J6399" s="10" t="s">
        <v>70</v>
      </c>
      <c r="K6399" s="12">
        <v>46031</v>
      </c>
      <c r="L6399" s="28" t="s">
        <v>11</v>
      </c>
      <c r="M6399" s="14"/>
      <c r="N6399" s="10" t="s">
        <v>1028</v>
      </c>
    </row>
    <row r="6400" spans="1:14" ht="22.5" customHeight="1">
      <c r="A6400" s="8">
        <v>46031.75551959491</v>
      </c>
      <c r="B6400" s="9" t="s">
        <v>14</v>
      </c>
      <c r="C6400" s="9" t="s">
        <v>15</v>
      </c>
      <c r="D6400" s="10" t="s">
        <v>13902</v>
      </c>
      <c r="E6400" s="9" t="s">
        <v>17</v>
      </c>
      <c r="F6400" s="10">
        <v>33</v>
      </c>
      <c r="G6400" s="11">
        <v>8067749615</v>
      </c>
      <c r="H6400" s="10" t="s">
        <v>13903</v>
      </c>
      <c r="I6400" s="10" t="s">
        <v>49</v>
      </c>
      <c r="J6400" s="10" t="s">
        <v>7089</v>
      </c>
      <c r="K6400" s="12">
        <v>46031</v>
      </c>
      <c r="L6400" s="28" t="s">
        <v>11</v>
      </c>
      <c r="M6400" s="14"/>
      <c r="N6400" s="10" t="s">
        <v>1096</v>
      </c>
    </row>
    <row r="6401" spans="1:14" ht="22.5" customHeight="1">
      <c r="A6401" s="8">
        <v>46031.758551238425</v>
      </c>
      <c r="B6401" s="9" t="s">
        <v>14</v>
      </c>
      <c r="C6401" s="9" t="s">
        <v>15</v>
      </c>
      <c r="D6401" s="10" t="s">
        <v>13904</v>
      </c>
      <c r="E6401" s="9" t="s">
        <v>17</v>
      </c>
      <c r="F6401" s="10">
        <v>30</v>
      </c>
      <c r="G6401" s="11">
        <v>8165875820</v>
      </c>
      <c r="H6401" s="10" t="s">
        <v>13905</v>
      </c>
      <c r="I6401" s="10" t="s">
        <v>27</v>
      </c>
      <c r="J6401" s="10" t="s">
        <v>172</v>
      </c>
      <c r="K6401" s="12">
        <v>46031</v>
      </c>
      <c r="L6401" s="28" t="s">
        <v>11</v>
      </c>
      <c r="M6401" s="14"/>
      <c r="N6401" s="10" t="s">
        <v>1028</v>
      </c>
    </row>
    <row r="6402" spans="1:14" ht="22.5" customHeight="1">
      <c r="A6402" s="8">
        <v>46031.758700266204</v>
      </c>
      <c r="B6402" s="9" t="s">
        <v>14</v>
      </c>
      <c r="C6402" s="9" t="s">
        <v>15</v>
      </c>
      <c r="D6402" s="10" t="s">
        <v>13906</v>
      </c>
      <c r="E6402" s="9" t="s">
        <v>17</v>
      </c>
      <c r="F6402" s="10">
        <v>26</v>
      </c>
      <c r="G6402" s="11">
        <v>8136844938</v>
      </c>
      <c r="H6402" s="10" t="s">
        <v>13907</v>
      </c>
      <c r="I6402" s="10" t="s">
        <v>45</v>
      </c>
      <c r="J6402" s="10" t="s">
        <v>688</v>
      </c>
      <c r="K6402" s="12">
        <v>46031</v>
      </c>
      <c r="L6402" s="28" t="s">
        <v>11</v>
      </c>
      <c r="M6402" s="14"/>
      <c r="N6402" s="10" t="s">
        <v>1028</v>
      </c>
    </row>
    <row r="6403" spans="1:14" ht="22.5" customHeight="1">
      <c r="A6403" s="8">
        <v>46031.760971678239</v>
      </c>
      <c r="B6403" s="9" t="s">
        <v>14</v>
      </c>
      <c r="C6403" s="9" t="s">
        <v>15</v>
      </c>
      <c r="D6403" s="10" t="s">
        <v>13908</v>
      </c>
      <c r="E6403" s="9" t="s">
        <v>17</v>
      </c>
      <c r="F6403" s="10">
        <v>32</v>
      </c>
      <c r="G6403" s="11">
        <v>8069921497</v>
      </c>
      <c r="H6403" s="10" t="s">
        <v>13909</v>
      </c>
      <c r="I6403" s="10" t="s">
        <v>49</v>
      </c>
      <c r="J6403" s="10" t="s">
        <v>599</v>
      </c>
      <c r="K6403" s="12">
        <v>46031</v>
      </c>
      <c r="L6403" s="28" t="s">
        <v>11</v>
      </c>
      <c r="M6403" s="14"/>
      <c r="N6403" s="10" t="s">
        <v>1028</v>
      </c>
    </row>
    <row r="6404" spans="1:14" ht="22.5" customHeight="1">
      <c r="A6404" s="8">
        <v>46031.761226770832</v>
      </c>
      <c r="B6404" s="9" t="s">
        <v>14</v>
      </c>
      <c r="C6404" s="9" t="s">
        <v>15</v>
      </c>
      <c r="D6404" s="10" t="s">
        <v>13910</v>
      </c>
      <c r="E6404" s="9" t="s">
        <v>17</v>
      </c>
      <c r="F6404" s="10">
        <v>35</v>
      </c>
      <c r="G6404" s="11">
        <v>8070574902</v>
      </c>
      <c r="H6404" s="10" t="s">
        <v>13911</v>
      </c>
      <c r="I6404" s="10" t="s">
        <v>202</v>
      </c>
      <c r="J6404" s="10" t="s">
        <v>4020</v>
      </c>
      <c r="K6404" s="12">
        <v>46031</v>
      </c>
      <c r="L6404" s="28" t="s">
        <v>11</v>
      </c>
      <c r="M6404" s="14"/>
      <c r="N6404" s="10" t="s">
        <v>1028</v>
      </c>
    </row>
    <row r="6405" spans="1:14" ht="22.5" customHeight="1">
      <c r="A6405" s="8">
        <v>46031.764799004624</v>
      </c>
      <c r="B6405" s="9" t="s">
        <v>14</v>
      </c>
      <c r="C6405" s="9" t="s">
        <v>15</v>
      </c>
      <c r="D6405" s="10" t="s">
        <v>13912</v>
      </c>
      <c r="E6405" s="9" t="s">
        <v>17</v>
      </c>
      <c r="F6405" s="10">
        <v>29</v>
      </c>
      <c r="G6405" s="11">
        <v>8061555941</v>
      </c>
      <c r="H6405" s="10" t="s">
        <v>13913</v>
      </c>
      <c r="I6405" s="10" t="s">
        <v>27</v>
      </c>
      <c r="J6405" s="10" t="s">
        <v>172</v>
      </c>
      <c r="K6405" s="12">
        <v>46031</v>
      </c>
      <c r="L6405" s="28" t="s">
        <v>11</v>
      </c>
      <c r="M6405" s="14"/>
      <c r="N6405" s="10" t="s">
        <v>1096</v>
      </c>
    </row>
    <row r="6406" spans="1:14" ht="22.5" customHeight="1">
      <c r="A6406" s="8">
        <v>46031.765420185184</v>
      </c>
      <c r="B6406" s="9" t="s">
        <v>14</v>
      </c>
      <c r="C6406" s="9" t="s">
        <v>15</v>
      </c>
      <c r="D6406" s="10" t="s">
        <v>13914</v>
      </c>
      <c r="E6406" s="9" t="s">
        <v>22</v>
      </c>
      <c r="F6406" s="10">
        <v>28</v>
      </c>
      <c r="G6406" s="11">
        <v>9030980602</v>
      </c>
      <c r="H6406" s="10" t="s">
        <v>13915</v>
      </c>
      <c r="I6406" s="10" t="s">
        <v>27</v>
      </c>
      <c r="J6406" s="10" t="s">
        <v>94</v>
      </c>
      <c r="K6406" s="12">
        <v>46031</v>
      </c>
      <c r="L6406" s="28" t="s">
        <v>11</v>
      </c>
      <c r="M6406" s="14"/>
      <c r="N6406" s="10" t="s">
        <v>1028</v>
      </c>
    </row>
    <row r="6407" spans="1:14" ht="22.5" hidden="1" customHeight="1">
      <c r="A6407" s="8">
        <v>46031.766260092598</v>
      </c>
      <c r="B6407" s="9" t="s">
        <v>14</v>
      </c>
      <c r="C6407" s="9" t="s">
        <v>15</v>
      </c>
      <c r="D6407" s="10" t="s">
        <v>13916</v>
      </c>
      <c r="E6407" s="9" t="s">
        <v>22</v>
      </c>
      <c r="F6407" s="10">
        <v>25</v>
      </c>
      <c r="G6407" s="11">
        <v>9035365521</v>
      </c>
      <c r="H6407" s="10" t="s">
        <v>13917</v>
      </c>
      <c r="I6407" s="10" t="s">
        <v>27</v>
      </c>
      <c r="J6407" s="10" t="s">
        <v>28</v>
      </c>
      <c r="K6407" s="12">
        <v>46031</v>
      </c>
      <c r="L6407" s="10" t="s">
        <v>441</v>
      </c>
      <c r="M6407" s="10" t="s">
        <v>1361</v>
      </c>
      <c r="N6407" s="10" t="s">
        <v>1028</v>
      </c>
    </row>
    <row r="6408" spans="1:14" ht="22.5" customHeight="1">
      <c r="A6408" s="8">
        <v>46031.766596435184</v>
      </c>
      <c r="B6408" s="9" t="s">
        <v>14</v>
      </c>
      <c r="C6408" s="9" t="s">
        <v>15</v>
      </c>
      <c r="D6408" s="10" t="s">
        <v>13918</v>
      </c>
      <c r="E6408" s="9" t="s">
        <v>17</v>
      </c>
      <c r="F6408" s="10">
        <v>28</v>
      </c>
      <c r="G6408" s="11">
        <v>8144479777</v>
      </c>
      <c r="H6408" s="10" t="s">
        <v>13919</v>
      </c>
      <c r="I6408" s="10" t="s">
        <v>27</v>
      </c>
      <c r="J6408" s="10" t="s">
        <v>28</v>
      </c>
      <c r="K6408" s="12">
        <v>46031</v>
      </c>
      <c r="L6408" s="28" t="s">
        <v>11</v>
      </c>
      <c r="M6408" s="14"/>
      <c r="N6408" s="10" t="s">
        <v>1028</v>
      </c>
    </row>
    <row r="6409" spans="1:14" ht="22.5" customHeight="1">
      <c r="A6409" s="8">
        <v>46031.767110706016</v>
      </c>
      <c r="B6409" s="9" t="s">
        <v>14</v>
      </c>
      <c r="C6409" s="9" t="s">
        <v>15</v>
      </c>
      <c r="D6409" s="10" t="s">
        <v>13920</v>
      </c>
      <c r="E6409" s="9" t="s">
        <v>17</v>
      </c>
      <c r="F6409" s="19">
        <v>35</v>
      </c>
      <c r="G6409" s="11">
        <v>7063153491</v>
      </c>
      <c r="H6409" s="10" t="s">
        <v>13921</v>
      </c>
      <c r="I6409" s="10" t="s">
        <v>49</v>
      </c>
      <c r="J6409" s="10" t="s">
        <v>362</v>
      </c>
      <c r="K6409" s="12">
        <v>46031</v>
      </c>
      <c r="L6409" s="28" t="s">
        <v>11</v>
      </c>
      <c r="M6409" s="14"/>
      <c r="N6409" s="10" t="s">
        <v>1096</v>
      </c>
    </row>
    <row r="6410" spans="1:14" ht="22.5" customHeight="1">
      <c r="A6410" s="8">
        <v>46031.772409444442</v>
      </c>
      <c r="B6410" s="9" t="s">
        <v>14</v>
      </c>
      <c r="C6410" s="9" t="s">
        <v>15</v>
      </c>
      <c r="D6410" s="10" t="s">
        <v>13922</v>
      </c>
      <c r="E6410" s="9" t="s">
        <v>17</v>
      </c>
      <c r="F6410" s="10">
        <v>28</v>
      </c>
      <c r="G6410" s="11">
        <v>9060546088</v>
      </c>
      <c r="H6410" s="10" t="s">
        <v>13923</v>
      </c>
      <c r="I6410" s="10" t="s">
        <v>49</v>
      </c>
      <c r="J6410" s="10" t="s">
        <v>253</v>
      </c>
      <c r="K6410" s="12">
        <v>46031</v>
      </c>
      <c r="L6410" s="28" t="s">
        <v>11</v>
      </c>
      <c r="M6410" s="14"/>
      <c r="N6410" s="10" t="s">
        <v>1028</v>
      </c>
    </row>
    <row r="6411" spans="1:14" ht="22.5" customHeight="1">
      <c r="A6411" s="8">
        <v>46031.776594687501</v>
      </c>
      <c r="B6411" s="9" t="s">
        <v>14</v>
      </c>
      <c r="C6411" s="9" t="s">
        <v>15</v>
      </c>
      <c r="D6411" s="10" t="s">
        <v>13924</v>
      </c>
      <c r="E6411" s="9" t="s">
        <v>17</v>
      </c>
      <c r="F6411" s="10">
        <v>26</v>
      </c>
      <c r="G6411" s="11">
        <v>8143141867</v>
      </c>
      <c r="H6411" s="10" t="s">
        <v>13925</v>
      </c>
      <c r="I6411" s="10" t="s">
        <v>45</v>
      </c>
      <c r="J6411" s="10" t="s">
        <v>1919</v>
      </c>
      <c r="K6411" s="12">
        <v>46031</v>
      </c>
      <c r="L6411" s="28" t="s">
        <v>11</v>
      </c>
      <c r="M6411" s="14"/>
      <c r="N6411" s="10" t="s">
        <v>1028</v>
      </c>
    </row>
    <row r="6412" spans="1:14" ht="22.5" customHeight="1">
      <c r="A6412" s="8">
        <v>46031.776892291666</v>
      </c>
      <c r="B6412" s="9" t="s">
        <v>14</v>
      </c>
      <c r="C6412" s="9" t="s">
        <v>15</v>
      </c>
      <c r="D6412" s="10" t="s">
        <v>13926</v>
      </c>
      <c r="E6412" s="9" t="s">
        <v>17</v>
      </c>
      <c r="F6412" s="10">
        <v>30</v>
      </c>
      <c r="G6412" s="11">
        <v>8140446152</v>
      </c>
      <c r="H6412" s="10" t="s">
        <v>13927</v>
      </c>
      <c r="I6412" s="10" t="s">
        <v>45</v>
      </c>
      <c r="J6412" s="10" t="s">
        <v>3654</v>
      </c>
      <c r="K6412" s="12">
        <v>46031</v>
      </c>
      <c r="L6412" s="28" t="s">
        <v>11</v>
      </c>
      <c r="M6412" s="14"/>
      <c r="N6412" s="10" t="s">
        <v>1096</v>
      </c>
    </row>
    <row r="6413" spans="1:14" ht="22.5" customHeight="1">
      <c r="A6413" s="8">
        <v>46031.777959398147</v>
      </c>
      <c r="B6413" s="9" t="s">
        <v>14</v>
      </c>
      <c r="C6413" s="9" t="s">
        <v>15</v>
      </c>
      <c r="D6413" s="10" t="s">
        <v>13928</v>
      </c>
      <c r="E6413" s="9" t="s">
        <v>17</v>
      </c>
      <c r="F6413" s="10">
        <v>27</v>
      </c>
      <c r="G6413" s="11">
        <f>2348135014712</f>
        <v>2348135014712</v>
      </c>
      <c r="H6413" s="10" t="s">
        <v>13929</v>
      </c>
      <c r="I6413" s="10" t="s">
        <v>45</v>
      </c>
      <c r="J6413" s="10" t="s">
        <v>279</v>
      </c>
      <c r="K6413" s="12">
        <v>46031</v>
      </c>
      <c r="L6413" s="28" t="s">
        <v>11</v>
      </c>
      <c r="M6413" s="14"/>
      <c r="N6413" s="10" t="s">
        <v>1028</v>
      </c>
    </row>
    <row r="6414" spans="1:14" ht="22.5" customHeight="1">
      <c r="A6414" s="8">
        <v>46031.782011226853</v>
      </c>
      <c r="B6414" s="9" t="s">
        <v>14</v>
      </c>
      <c r="C6414" s="9" t="s">
        <v>15</v>
      </c>
      <c r="D6414" s="10" t="s">
        <v>13930</v>
      </c>
      <c r="E6414" s="9" t="s">
        <v>17</v>
      </c>
      <c r="F6414" s="10">
        <v>29</v>
      </c>
      <c r="G6414" s="11">
        <v>7057707373</v>
      </c>
      <c r="H6414" s="10" t="s">
        <v>13931</v>
      </c>
      <c r="I6414" s="10" t="s">
        <v>49</v>
      </c>
      <c r="J6414" s="10" t="s">
        <v>362</v>
      </c>
      <c r="K6414" s="12">
        <v>46031</v>
      </c>
      <c r="L6414" s="28" t="s">
        <v>11</v>
      </c>
      <c r="M6414" s="14"/>
      <c r="N6414" s="10" t="s">
        <v>1028</v>
      </c>
    </row>
    <row r="6415" spans="1:14" ht="22.5" customHeight="1">
      <c r="A6415" s="8">
        <v>46031.786594837962</v>
      </c>
      <c r="B6415" s="9" t="s">
        <v>14</v>
      </c>
      <c r="C6415" s="9" t="s">
        <v>15</v>
      </c>
      <c r="D6415" s="10" t="s">
        <v>13932</v>
      </c>
      <c r="E6415" s="9" t="s">
        <v>17</v>
      </c>
      <c r="F6415" s="10">
        <v>32</v>
      </c>
      <c r="G6415" s="11">
        <v>8160785577</v>
      </c>
      <c r="H6415" s="10" t="s">
        <v>13933</v>
      </c>
      <c r="I6415" s="10" t="s">
        <v>19</v>
      </c>
      <c r="J6415" s="10" t="s">
        <v>166</v>
      </c>
      <c r="K6415" s="12">
        <v>33663</v>
      </c>
      <c r="L6415" s="28" t="s">
        <v>11</v>
      </c>
      <c r="M6415" s="14"/>
      <c r="N6415" s="10" t="s">
        <v>1096</v>
      </c>
    </row>
    <row r="6416" spans="1:14" ht="22.5" customHeight="1">
      <c r="A6416" s="8">
        <v>46031.793681458337</v>
      </c>
      <c r="B6416" s="9" t="s">
        <v>14</v>
      </c>
      <c r="C6416" s="9" t="s">
        <v>15</v>
      </c>
      <c r="D6416" s="10" t="s">
        <v>13934</v>
      </c>
      <c r="E6416" s="9" t="s">
        <v>22</v>
      </c>
      <c r="F6416" s="10">
        <v>23</v>
      </c>
      <c r="G6416" s="11">
        <v>8108550236</v>
      </c>
      <c r="H6416" s="10" t="s">
        <v>13935</v>
      </c>
      <c r="I6416" s="10" t="s">
        <v>145</v>
      </c>
      <c r="J6416" s="10" t="s">
        <v>13936</v>
      </c>
      <c r="K6416" s="12">
        <v>46031</v>
      </c>
      <c r="L6416" s="28" t="s">
        <v>11</v>
      </c>
      <c r="M6416" s="14"/>
      <c r="N6416" s="10" t="s">
        <v>1028</v>
      </c>
    </row>
    <row r="6417" spans="1:14" ht="22.5" customHeight="1">
      <c r="A6417" s="8">
        <v>46031.795460069443</v>
      </c>
      <c r="B6417" s="9" t="s">
        <v>14</v>
      </c>
      <c r="C6417" s="9" t="s">
        <v>15</v>
      </c>
      <c r="D6417" s="10" t="s">
        <v>13937</v>
      </c>
      <c r="E6417" s="9" t="s">
        <v>22</v>
      </c>
      <c r="F6417" s="10">
        <v>35</v>
      </c>
      <c r="G6417" s="11">
        <v>8094275082</v>
      </c>
      <c r="H6417" s="10" t="s">
        <v>13938</v>
      </c>
      <c r="I6417" s="10" t="s">
        <v>19</v>
      </c>
      <c r="J6417" s="10" t="s">
        <v>4349</v>
      </c>
      <c r="K6417" s="12">
        <v>46031</v>
      </c>
      <c r="L6417" s="28" t="s">
        <v>11</v>
      </c>
      <c r="M6417" s="14"/>
      <c r="N6417" s="10" t="s">
        <v>1028</v>
      </c>
    </row>
    <row r="6418" spans="1:14" ht="22.5" customHeight="1">
      <c r="A6418" s="8">
        <v>46031.796689178242</v>
      </c>
      <c r="B6418" s="9" t="s">
        <v>14</v>
      </c>
      <c r="C6418" s="9" t="s">
        <v>15</v>
      </c>
      <c r="D6418" s="10" t="s">
        <v>4322</v>
      </c>
      <c r="E6418" s="9" t="s">
        <v>17</v>
      </c>
      <c r="F6418" s="10">
        <v>23</v>
      </c>
      <c r="G6418" s="11">
        <v>7035937895</v>
      </c>
      <c r="H6418" s="10" t="s">
        <v>13939</v>
      </c>
      <c r="I6418" s="10" t="s">
        <v>27</v>
      </c>
      <c r="J6418" s="10" t="s">
        <v>27</v>
      </c>
      <c r="K6418" s="12">
        <v>46031</v>
      </c>
      <c r="L6418" s="28" t="s">
        <v>11</v>
      </c>
      <c r="M6418" s="14"/>
      <c r="N6418" s="10" t="s">
        <v>1028</v>
      </c>
    </row>
    <row r="6419" spans="1:14" ht="22.5" customHeight="1">
      <c r="A6419" s="8">
        <v>46031.799056469907</v>
      </c>
      <c r="B6419" s="9" t="s">
        <v>14</v>
      </c>
      <c r="C6419" s="9" t="s">
        <v>15</v>
      </c>
      <c r="D6419" s="10" t="s">
        <v>13940</v>
      </c>
      <c r="E6419" s="9" t="s">
        <v>17</v>
      </c>
      <c r="F6419" s="10">
        <v>30</v>
      </c>
      <c r="G6419" s="11">
        <v>8075230321</v>
      </c>
      <c r="H6419" s="10" t="s">
        <v>13941</v>
      </c>
      <c r="I6419" s="10" t="s">
        <v>145</v>
      </c>
      <c r="J6419" s="10" t="s">
        <v>1607</v>
      </c>
      <c r="K6419" s="12">
        <v>46031</v>
      </c>
      <c r="L6419" s="28" t="s">
        <v>11</v>
      </c>
      <c r="M6419" s="14"/>
      <c r="N6419" s="10" t="s">
        <v>1028</v>
      </c>
    </row>
    <row r="6420" spans="1:14" ht="22.5" customHeight="1">
      <c r="A6420" s="8">
        <v>46031.801292835647</v>
      </c>
      <c r="B6420" s="9" t="s">
        <v>14</v>
      </c>
      <c r="C6420" s="9" t="s">
        <v>15</v>
      </c>
      <c r="D6420" s="10" t="s">
        <v>13942</v>
      </c>
      <c r="E6420" s="9" t="s">
        <v>17</v>
      </c>
      <c r="F6420" s="10">
        <v>35</v>
      </c>
      <c r="G6420" s="11">
        <v>8061302761</v>
      </c>
      <c r="H6420" s="10" t="s">
        <v>13943</v>
      </c>
      <c r="I6420" s="10" t="s">
        <v>27</v>
      </c>
      <c r="J6420" s="10" t="s">
        <v>5892</v>
      </c>
      <c r="K6420" s="12">
        <v>33254</v>
      </c>
      <c r="L6420" s="28" t="s">
        <v>11</v>
      </c>
      <c r="M6420" s="14"/>
      <c r="N6420" s="10" t="s">
        <v>13944</v>
      </c>
    </row>
    <row r="6421" spans="1:14" ht="22.5" customHeight="1">
      <c r="A6421" s="8">
        <v>46031.801949305554</v>
      </c>
      <c r="B6421" s="9" t="s">
        <v>14</v>
      </c>
      <c r="C6421" s="9" t="s">
        <v>15</v>
      </c>
      <c r="D6421" s="10" t="s">
        <v>13945</v>
      </c>
      <c r="E6421" s="9" t="s">
        <v>17</v>
      </c>
      <c r="F6421" s="10">
        <v>25</v>
      </c>
      <c r="G6421" s="11">
        <v>8147525198</v>
      </c>
      <c r="H6421" s="10" t="s">
        <v>13946</v>
      </c>
      <c r="I6421" s="10" t="s">
        <v>45</v>
      </c>
      <c r="J6421" s="10" t="s">
        <v>13947</v>
      </c>
      <c r="K6421" s="12">
        <v>46031</v>
      </c>
      <c r="L6421" s="28" t="s">
        <v>11</v>
      </c>
      <c r="M6421" s="14"/>
      <c r="N6421" s="10" t="s">
        <v>1028</v>
      </c>
    </row>
    <row r="6422" spans="1:14" ht="22.5" customHeight="1">
      <c r="A6422" s="8">
        <v>46031.806186747686</v>
      </c>
      <c r="B6422" s="9" t="s">
        <v>14</v>
      </c>
      <c r="C6422" s="9" t="s">
        <v>15</v>
      </c>
      <c r="D6422" s="10" t="s">
        <v>13948</v>
      </c>
      <c r="E6422" s="9" t="s">
        <v>17</v>
      </c>
      <c r="F6422" s="10">
        <v>40</v>
      </c>
      <c r="G6422" s="11">
        <v>8064914659</v>
      </c>
      <c r="H6422" s="10" t="s">
        <v>13949</v>
      </c>
      <c r="I6422" s="10" t="s">
        <v>45</v>
      </c>
      <c r="J6422" s="10" t="s">
        <v>509</v>
      </c>
      <c r="K6422" s="12">
        <v>46031</v>
      </c>
      <c r="L6422" s="28" t="s">
        <v>11</v>
      </c>
      <c r="M6422" s="14"/>
      <c r="N6422" s="10" t="s">
        <v>1028</v>
      </c>
    </row>
    <row r="6423" spans="1:14" ht="22.5" customHeight="1">
      <c r="A6423" s="8">
        <v>46031.806407083335</v>
      </c>
      <c r="B6423" s="9" t="s">
        <v>14</v>
      </c>
      <c r="C6423" s="9" t="s">
        <v>15</v>
      </c>
      <c r="D6423" s="10" t="s">
        <v>13950</v>
      </c>
      <c r="E6423" s="9" t="s">
        <v>17</v>
      </c>
      <c r="F6423" s="10">
        <v>28</v>
      </c>
      <c r="G6423" s="11">
        <v>8138999292</v>
      </c>
      <c r="H6423" s="10" t="s">
        <v>13951</v>
      </c>
      <c r="I6423" s="10" t="s">
        <v>45</v>
      </c>
      <c r="J6423" s="10" t="s">
        <v>13952</v>
      </c>
      <c r="K6423" s="12">
        <v>46031</v>
      </c>
      <c r="L6423" s="28" t="s">
        <v>11</v>
      </c>
      <c r="M6423" s="14"/>
      <c r="N6423" s="10" t="s">
        <v>1028</v>
      </c>
    </row>
    <row r="6424" spans="1:14" ht="22.5" customHeight="1">
      <c r="A6424" s="8">
        <v>46031.810181944442</v>
      </c>
      <c r="B6424" s="9" t="s">
        <v>14</v>
      </c>
      <c r="C6424" s="9" t="s">
        <v>15</v>
      </c>
      <c r="D6424" s="10" t="s">
        <v>13953</v>
      </c>
      <c r="E6424" s="9" t="s">
        <v>17</v>
      </c>
      <c r="F6424" s="10">
        <v>24</v>
      </c>
      <c r="G6424" s="11">
        <v>8067800029</v>
      </c>
      <c r="H6424" s="10" t="s">
        <v>13954</v>
      </c>
      <c r="I6424" s="10" t="s">
        <v>27</v>
      </c>
      <c r="J6424" s="10" t="s">
        <v>1559</v>
      </c>
      <c r="K6424" s="12">
        <v>46031</v>
      </c>
      <c r="L6424" s="28" t="s">
        <v>11</v>
      </c>
      <c r="M6424" s="14"/>
      <c r="N6424" s="10" t="s">
        <v>1096</v>
      </c>
    </row>
    <row r="6425" spans="1:14" ht="22.5" customHeight="1">
      <c r="A6425" s="8">
        <v>46031.814685277779</v>
      </c>
      <c r="B6425" s="9" t="s">
        <v>14</v>
      </c>
      <c r="C6425" s="9" t="s">
        <v>15</v>
      </c>
      <c r="D6425" s="10" t="s">
        <v>13955</v>
      </c>
      <c r="E6425" s="9" t="s">
        <v>17</v>
      </c>
      <c r="F6425" s="10">
        <v>29</v>
      </c>
      <c r="G6425" s="11">
        <v>7030173300</v>
      </c>
      <c r="H6425" s="10" t="s">
        <v>13956</v>
      </c>
      <c r="I6425" s="10" t="s">
        <v>27</v>
      </c>
      <c r="J6425" s="10" t="s">
        <v>1907</v>
      </c>
      <c r="K6425" s="12">
        <v>46031</v>
      </c>
      <c r="L6425" s="28" t="s">
        <v>11</v>
      </c>
      <c r="M6425" s="14"/>
      <c r="N6425" s="10" t="s">
        <v>1028</v>
      </c>
    </row>
    <row r="6426" spans="1:14" ht="22.5" customHeight="1">
      <c r="A6426" s="8">
        <v>46031.819555254631</v>
      </c>
      <c r="B6426" s="9" t="s">
        <v>14</v>
      </c>
      <c r="C6426" s="9" t="s">
        <v>15</v>
      </c>
      <c r="D6426" s="10" t="s">
        <v>13957</v>
      </c>
      <c r="E6426" s="9" t="s">
        <v>17</v>
      </c>
      <c r="F6426" s="10">
        <v>31</v>
      </c>
      <c r="G6426" s="11">
        <v>9020295660</v>
      </c>
      <c r="H6426" s="10" t="s">
        <v>13958</v>
      </c>
      <c r="I6426" s="10" t="s">
        <v>27</v>
      </c>
      <c r="J6426" s="10" t="s">
        <v>13959</v>
      </c>
      <c r="K6426" s="12">
        <v>34730</v>
      </c>
      <c r="L6426" s="28" t="s">
        <v>11</v>
      </c>
      <c r="M6426" s="14"/>
      <c r="N6426" s="10" t="s">
        <v>1028</v>
      </c>
    </row>
    <row r="6427" spans="1:14" ht="22.5" customHeight="1">
      <c r="A6427" s="8">
        <v>46031.820699918986</v>
      </c>
      <c r="B6427" s="9" t="s">
        <v>14</v>
      </c>
      <c r="C6427" s="9" t="s">
        <v>15</v>
      </c>
      <c r="D6427" s="10" t="s">
        <v>13960</v>
      </c>
      <c r="E6427" s="9" t="s">
        <v>22</v>
      </c>
      <c r="F6427" s="18">
        <v>37</v>
      </c>
      <c r="G6427" s="11">
        <f t="shared" ref="G6427" si="191">2347039518860</f>
        <v>2347039518860</v>
      </c>
      <c r="H6427" s="10" t="s">
        <v>13961</v>
      </c>
      <c r="I6427" s="10" t="s">
        <v>19</v>
      </c>
      <c r="J6427" s="10" t="s">
        <v>3369</v>
      </c>
      <c r="K6427" s="12">
        <v>46031</v>
      </c>
      <c r="L6427" s="28" t="s">
        <v>11</v>
      </c>
      <c r="M6427" s="14"/>
      <c r="N6427" s="10" t="s">
        <v>1028</v>
      </c>
    </row>
    <row r="6428" spans="1:14" ht="22.5" customHeight="1">
      <c r="A6428" s="8">
        <v>46031.820727847225</v>
      </c>
      <c r="B6428" s="9" t="s">
        <v>14</v>
      </c>
      <c r="C6428" s="9" t="s">
        <v>15</v>
      </c>
      <c r="D6428" s="10" t="s">
        <v>13962</v>
      </c>
      <c r="E6428" s="9" t="s">
        <v>22</v>
      </c>
      <c r="F6428" s="10">
        <v>30</v>
      </c>
      <c r="G6428" s="11">
        <v>9023170343</v>
      </c>
      <c r="H6428" s="10" t="s">
        <v>13963</v>
      </c>
      <c r="I6428" s="10" t="s">
        <v>19</v>
      </c>
      <c r="J6428" s="10" t="s">
        <v>13964</v>
      </c>
      <c r="K6428" s="12">
        <v>46031</v>
      </c>
      <c r="L6428" s="28" t="s">
        <v>11</v>
      </c>
      <c r="M6428" s="14"/>
      <c r="N6428" s="10" t="s">
        <v>1028</v>
      </c>
    </row>
    <row r="6429" spans="1:14" ht="22.5" customHeight="1">
      <c r="A6429" s="8">
        <v>46031.820811597223</v>
      </c>
      <c r="B6429" s="9" t="s">
        <v>14</v>
      </c>
      <c r="C6429" s="9" t="s">
        <v>15</v>
      </c>
      <c r="D6429" s="10" t="s">
        <v>13965</v>
      </c>
      <c r="E6429" s="9" t="s">
        <v>17</v>
      </c>
      <c r="F6429" s="10">
        <v>30</v>
      </c>
      <c r="G6429" s="11">
        <v>9037874306</v>
      </c>
      <c r="H6429" s="10" t="s">
        <v>13966</v>
      </c>
      <c r="I6429" s="10" t="s">
        <v>27</v>
      </c>
      <c r="J6429" s="10" t="s">
        <v>42</v>
      </c>
      <c r="K6429" s="12">
        <v>46031</v>
      </c>
      <c r="L6429" s="28" t="s">
        <v>11</v>
      </c>
      <c r="M6429" s="14"/>
      <c r="N6429" s="10" t="s">
        <v>1028</v>
      </c>
    </row>
    <row r="6430" spans="1:14" ht="22.5" customHeight="1">
      <c r="A6430" s="8">
        <v>46031.82551253472</v>
      </c>
      <c r="B6430" s="9" t="s">
        <v>14</v>
      </c>
      <c r="C6430" s="9" t="s">
        <v>15</v>
      </c>
      <c r="D6430" s="10" t="s">
        <v>13967</v>
      </c>
      <c r="E6430" s="9" t="s">
        <v>17</v>
      </c>
      <c r="F6430" s="10">
        <v>33</v>
      </c>
      <c r="G6430" s="11">
        <v>9138225163</v>
      </c>
      <c r="H6430" s="10" t="s">
        <v>13968</v>
      </c>
      <c r="I6430" s="10" t="s">
        <v>19</v>
      </c>
      <c r="J6430" s="10" t="s">
        <v>13969</v>
      </c>
      <c r="K6430" s="12">
        <v>46031</v>
      </c>
      <c r="L6430" s="28" t="s">
        <v>11</v>
      </c>
      <c r="M6430" s="14"/>
      <c r="N6430" s="10" t="s">
        <v>1028</v>
      </c>
    </row>
    <row r="6431" spans="1:14" ht="22.5" customHeight="1">
      <c r="A6431" s="8">
        <v>46031.826997025462</v>
      </c>
      <c r="B6431" s="9" t="s">
        <v>14</v>
      </c>
      <c r="C6431" s="9" t="s">
        <v>15</v>
      </c>
      <c r="D6431" s="10" t="s">
        <v>13970</v>
      </c>
      <c r="E6431" s="9" t="s">
        <v>17</v>
      </c>
      <c r="F6431" s="10">
        <v>36</v>
      </c>
      <c r="G6431" s="11">
        <v>8160841513</v>
      </c>
      <c r="H6431" s="10" t="s">
        <v>13971</v>
      </c>
      <c r="I6431" s="10" t="s">
        <v>45</v>
      </c>
      <c r="J6431" s="10" t="s">
        <v>5955</v>
      </c>
      <c r="K6431" s="12">
        <v>46031</v>
      </c>
      <c r="L6431" s="28" t="s">
        <v>11</v>
      </c>
      <c r="M6431" s="14"/>
      <c r="N6431" s="10" t="s">
        <v>1028</v>
      </c>
    </row>
    <row r="6432" spans="1:14" ht="22.5" customHeight="1">
      <c r="A6432" s="8">
        <v>46031.829992476851</v>
      </c>
      <c r="B6432" s="9" t="s">
        <v>14</v>
      </c>
      <c r="C6432" s="9" t="s">
        <v>15</v>
      </c>
      <c r="D6432" s="10" t="s">
        <v>5435</v>
      </c>
      <c r="E6432" s="9" t="s">
        <v>17</v>
      </c>
      <c r="F6432" s="10">
        <v>28</v>
      </c>
      <c r="G6432" s="11">
        <v>7065555698</v>
      </c>
      <c r="H6432" s="10" t="s">
        <v>5436</v>
      </c>
      <c r="I6432" s="10" t="s">
        <v>27</v>
      </c>
      <c r="J6432" s="10" t="s">
        <v>172</v>
      </c>
      <c r="K6432" s="12">
        <v>46031</v>
      </c>
      <c r="L6432" s="28" t="s">
        <v>11</v>
      </c>
      <c r="M6432" s="14"/>
      <c r="N6432" s="10" t="s">
        <v>1028</v>
      </c>
    </row>
    <row r="6433" spans="1:14" ht="22.5" customHeight="1">
      <c r="A6433" s="8">
        <v>46031.829997476852</v>
      </c>
      <c r="B6433" s="9" t="s">
        <v>14</v>
      </c>
      <c r="C6433" s="9" t="s">
        <v>15</v>
      </c>
      <c r="D6433" s="10" t="s">
        <v>13972</v>
      </c>
      <c r="E6433" s="9" t="s">
        <v>17</v>
      </c>
      <c r="F6433" s="10">
        <v>32</v>
      </c>
      <c r="G6433" s="11">
        <v>7065712472</v>
      </c>
      <c r="H6433" s="10" t="s">
        <v>13973</v>
      </c>
      <c r="I6433" s="10" t="s">
        <v>27</v>
      </c>
      <c r="J6433" s="10" t="s">
        <v>67</v>
      </c>
      <c r="K6433" s="12">
        <v>46031</v>
      </c>
      <c r="L6433" s="28" t="s">
        <v>11</v>
      </c>
      <c r="M6433" s="14"/>
      <c r="N6433" s="10" t="s">
        <v>1096</v>
      </c>
    </row>
    <row r="6434" spans="1:14" ht="22.5" customHeight="1">
      <c r="A6434" s="8">
        <v>46031.830035439816</v>
      </c>
      <c r="B6434" s="9" t="s">
        <v>14</v>
      </c>
      <c r="C6434" s="9" t="s">
        <v>15</v>
      </c>
      <c r="D6434" s="10" t="s">
        <v>13974</v>
      </c>
      <c r="E6434" s="9" t="s">
        <v>17</v>
      </c>
      <c r="F6434" s="10">
        <v>29</v>
      </c>
      <c r="G6434" s="11">
        <v>9030610976</v>
      </c>
      <c r="H6434" s="10" t="s">
        <v>13975</v>
      </c>
      <c r="I6434" s="10" t="s">
        <v>27</v>
      </c>
      <c r="J6434" s="10" t="s">
        <v>1559</v>
      </c>
      <c r="K6434" s="12">
        <v>46031</v>
      </c>
      <c r="L6434" s="28" t="s">
        <v>11</v>
      </c>
      <c r="M6434" s="14"/>
      <c r="N6434" s="10" t="s">
        <v>1028</v>
      </c>
    </row>
    <row r="6435" spans="1:14" ht="22.5" customHeight="1">
      <c r="A6435" s="8">
        <v>46031.830228680556</v>
      </c>
      <c r="B6435" s="9" t="s">
        <v>14</v>
      </c>
      <c r="C6435" s="9" t="s">
        <v>15</v>
      </c>
      <c r="D6435" s="10" t="s">
        <v>13976</v>
      </c>
      <c r="E6435" s="9" t="s">
        <v>17</v>
      </c>
      <c r="F6435" s="10">
        <v>20</v>
      </c>
      <c r="G6435" s="11">
        <v>8085559559</v>
      </c>
      <c r="H6435" s="10" t="s">
        <v>13977</v>
      </c>
      <c r="I6435" s="10" t="s">
        <v>27</v>
      </c>
      <c r="J6435" s="10" t="s">
        <v>94</v>
      </c>
      <c r="K6435" s="12">
        <v>46031</v>
      </c>
      <c r="L6435" s="28" t="s">
        <v>11</v>
      </c>
      <c r="M6435" s="14"/>
      <c r="N6435" s="10" t="s">
        <v>1028</v>
      </c>
    </row>
    <row r="6436" spans="1:14" ht="22.5" customHeight="1">
      <c r="A6436" s="8">
        <v>46031.834438148144</v>
      </c>
      <c r="B6436" s="9" t="s">
        <v>14</v>
      </c>
      <c r="C6436" s="9" t="s">
        <v>15</v>
      </c>
      <c r="D6436" s="10" t="s">
        <v>13978</v>
      </c>
      <c r="E6436" s="9" t="s">
        <v>22</v>
      </c>
      <c r="F6436" s="10">
        <v>33</v>
      </c>
      <c r="G6436" s="11">
        <f>2349065017979</f>
        <v>2349065017979</v>
      </c>
      <c r="H6436" s="10" t="s">
        <v>13979</v>
      </c>
      <c r="I6436" s="10" t="s">
        <v>145</v>
      </c>
      <c r="J6436" s="10" t="s">
        <v>13980</v>
      </c>
      <c r="K6436" s="12">
        <v>46031</v>
      </c>
      <c r="L6436" s="28" t="s">
        <v>11</v>
      </c>
      <c r="M6436" s="10"/>
      <c r="N6436" s="10" t="s">
        <v>1035</v>
      </c>
    </row>
    <row r="6437" spans="1:14" ht="22.5" customHeight="1">
      <c r="A6437" s="8">
        <v>46031.837065694446</v>
      </c>
      <c r="B6437" s="9" t="s">
        <v>14</v>
      </c>
      <c r="C6437" s="9" t="s">
        <v>15</v>
      </c>
      <c r="D6437" s="10" t="s">
        <v>13981</v>
      </c>
      <c r="E6437" s="9" t="s">
        <v>22</v>
      </c>
      <c r="F6437" s="10">
        <v>28</v>
      </c>
      <c r="G6437" s="11">
        <v>8105935663</v>
      </c>
      <c r="H6437" s="10" t="s">
        <v>13982</v>
      </c>
      <c r="I6437" s="10" t="s">
        <v>19</v>
      </c>
      <c r="J6437" s="10" t="s">
        <v>3369</v>
      </c>
      <c r="K6437" s="12">
        <v>46031</v>
      </c>
      <c r="L6437" s="28" t="s">
        <v>11</v>
      </c>
      <c r="M6437" s="14"/>
      <c r="N6437" s="10" t="s">
        <v>1028</v>
      </c>
    </row>
    <row r="6438" spans="1:14" ht="22.5" customHeight="1">
      <c r="A6438" s="8">
        <v>46031.83932431713</v>
      </c>
      <c r="B6438" s="9" t="s">
        <v>14</v>
      </c>
      <c r="C6438" s="9" t="s">
        <v>15</v>
      </c>
      <c r="D6438" s="10" t="s">
        <v>13983</v>
      </c>
      <c r="E6438" s="9" t="s">
        <v>22</v>
      </c>
      <c r="F6438" s="10">
        <v>26</v>
      </c>
      <c r="G6438" s="11">
        <v>9016866624</v>
      </c>
      <c r="H6438" s="10" t="s">
        <v>13984</v>
      </c>
      <c r="I6438" s="10" t="s">
        <v>27</v>
      </c>
      <c r="J6438" s="10" t="s">
        <v>28</v>
      </c>
      <c r="K6438" s="12">
        <v>46031</v>
      </c>
      <c r="L6438" s="28" t="s">
        <v>11</v>
      </c>
      <c r="M6438" s="14"/>
      <c r="N6438" s="10" t="s">
        <v>1028</v>
      </c>
    </row>
    <row r="6439" spans="1:14" ht="22.5" customHeight="1">
      <c r="A6439" s="8">
        <v>46031.839449432868</v>
      </c>
      <c r="B6439" s="9" t="s">
        <v>14</v>
      </c>
      <c r="C6439" s="9" t="s">
        <v>15</v>
      </c>
      <c r="D6439" s="10" t="s">
        <v>13985</v>
      </c>
      <c r="E6439" s="9" t="s">
        <v>17</v>
      </c>
      <c r="F6439" s="10">
        <v>28</v>
      </c>
      <c r="G6439" s="11">
        <v>7063925992</v>
      </c>
      <c r="H6439" s="10" t="s">
        <v>13986</v>
      </c>
      <c r="I6439" s="10" t="s">
        <v>49</v>
      </c>
      <c r="J6439" s="10" t="s">
        <v>73</v>
      </c>
      <c r="K6439" s="12">
        <v>46031</v>
      </c>
      <c r="L6439" s="28" t="s">
        <v>11</v>
      </c>
      <c r="M6439" s="14"/>
      <c r="N6439" s="10" t="s">
        <v>1489</v>
      </c>
    </row>
    <row r="6440" spans="1:14" ht="22.5" customHeight="1">
      <c r="A6440" s="8">
        <v>46031.841306828705</v>
      </c>
      <c r="B6440" s="9" t="s">
        <v>14</v>
      </c>
      <c r="C6440" s="9" t="s">
        <v>15</v>
      </c>
      <c r="D6440" s="10" t="s">
        <v>13987</v>
      </c>
      <c r="E6440" s="9" t="s">
        <v>22</v>
      </c>
      <c r="F6440" s="10">
        <v>42</v>
      </c>
      <c r="G6440" s="11">
        <v>7038818922</v>
      </c>
      <c r="H6440" s="10" t="s">
        <v>13988</v>
      </c>
      <c r="I6440" s="10" t="s">
        <v>27</v>
      </c>
      <c r="J6440" s="10" t="s">
        <v>172</v>
      </c>
      <c r="K6440" s="12">
        <v>46031</v>
      </c>
      <c r="L6440" s="28" t="s">
        <v>11</v>
      </c>
      <c r="M6440" s="14"/>
      <c r="N6440" s="10" t="s">
        <v>1028</v>
      </c>
    </row>
    <row r="6441" spans="1:14" ht="22.5" customHeight="1">
      <c r="A6441" s="8">
        <v>46031.842116851854</v>
      </c>
      <c r="B6441" s="9" t="s">
        <v>14</v>
      </c>
      <c r="C6441" s="9" t="s">
        <v>15</v>
      </c>
      <c r="D6441" s="10" t="s">
        <v>13989</v>
      </c>
      <c r="E6441" s="9" t="s">
        <v>22</v>
      </c>
      <c r="F6441" s="10">
        <v>22</v>
      </c>
      <c r="G6441" s="11">
        <v>8168023405</v>
      </c>
      <c r="H6441" s="10" t="s">
        <v>13990</v>
      </c>
      <c r="I6441" s="10" t="s">
        <v>45</v>
      </c>
      <c r="J6441" s="10" t="s">
        <v>13991</v>
      </c>
      <c r="K6441" s="12">
        <v>46031</v>
      </c>
      <c r="L6441" s="28" t="s">
        <v>11</v>
      </c>
      <c r="M6441" s="14"/>
      <c r="N6441" s="10" t="s">
        <v>2482</v>
      </c>
    </row>
    <row r="6442" spans="1:14" ht="22.5" customHeight="1">
      <c r="A6442" s="8">
        <v>46031.84974607639</v>
      </c>
      <c r="B6442" s="9" t="s">
        <v>14</v>
      </c>
      <c r="C6442" s="9" t="s">
        <v>15</v>
      </c>
      <c r="D6442" s="10" t="s">
        <v>13992</v>
      </c>
      <c r="E6442" s="9" t="s">
        <v>17</v>
      </c>
      <c r="F6442" s="10">
        <v>41</v>
      </c>
      <c r="G6442" s="11">
        <v>8069482822</v>
      </c>
      <c r="H6442" s="10" t="s">
        <v>13993</v>
      </c>
      <c r="I6442" s="10" t="s">
        <v>45</v>
      </c>
      <c r="J6442" s="10" t="s">
        <v>901</v>
      </c>
      <c r="K6442" s="12">
        <v>46031</v>
      </c>
      <c r="L6442" s="28" t="s">
        <v>11</v>
      </c>
      <c r="M6442" s="14"/>
      <c r="N6442" s="10" t="s">
        <v>1028</v>
      </c>
    </row>
    <row r="6443" spans="1:14" ht="22.5" customHeight="1">
      <c r="A6443" s="8">
        <v>46031.85615576389</v>
      </c>
      <c r="B6443" s="9" t="s">
        <v>14</v>
      </c>
      <c r="C6443" s="9" t="s">
        <v>15</v>
      </c>
      <c r="D6443" s="10" t="s">
        <v>13994</v>
      </c>
      <c r="E6443" s="9" t="s">
        <v>22</v>
      </c>
      <c r="F6443" s="10">
        <v>30</v>
      </c>
      <c r="G6443" s="11">
        <v>8169338760</v>
      </c>
      <c r="H6443" s="10" t="s">
        <v>13995</v>
      </c>
      <c r="I6443" s="10" t="s">
        <v>27</v>
      </c>
      <c r="J6443" s="10" t="s">
        <v>94</v>
      </c>
      <c r="K6443" s="12">
        <v>46031</v>
      </c>
      <c r="L6443" s="28" t="s">
        <v>11</v>
      </c>
      <c r="M6443" s="14"/>
      <c r="N6443" s="10" t="s">
        <v>1028</v>
      </c>
    </row>
    <row r="6444" spans="1:14" ht="22.5" customHeight="1">
      <c r="A6444" s="8">
        <v>46031.856440266201</v>
      </c>
      <c r="B6444" s="9" t="s">
        <v>14</v>
      </c>
      <c r="C6444" s="9" t="s">
        <v>15</v>
      </c>
      <c r="D6444" s="10" t="s">
        <v>13996</v>
      </c>
      <c r="E6444" s="9" t="s">
        <v>17</v>
      </c>
      <c r="F6444" s="10">
        <v>20</v>
      </c>
      <c r="G6444" s="11">
        <v>9011333321</v>
      </c>
      <c r="H6444" s="10" t="s">
        <v>13997</v>
      </c>
      <c r="I6444" s="10" t="s">
        <v>27</v>
      </c>
      <c r="J6444" s="10" t="s">
        <v>94</v>
      </c>
      <c r="K6444" s="12">
        <v>46031</v>
      </c>
      <c r="L6444" s="28" t="s">
        <v>11</v>
      </c>
      <c r="M6444" s="14"/>
      <c r="N6444" s="10" t="s">
        <v>1028</v>
      </c>
    </row>
    <row r="6445" spans="1:14" ht="22.5" customHeight="1">
      <c r="A6445" s="8">
        <v>46031.858528923607</v>
      </c>
      <c r="B6445" s="9" t="s">
        <v>14</v>
      </c>
      <c r="C6445" s="9" t="s">
        <v>15</v>
      </c>
      <c r="D6445" s="10" t="s">
        <v>13998</v>
      </c>
      <c r="E6445" s="9" t="s">
        <v>17</v>
      </c>
      <c r="F6445" s="10">
        <v>26</v>
      </c>
      <c r="G6445" s="11">
        <v>8149452798</v>
      </c>
      <c r="H6445" s="10" t="s">
        <v>13999</v>
      </c>
      <c r="I6445" s="10" t="s">
        <v>27</v>
      </c>
      <c r="J6445" s="10" t="s">
        <v>8687</v>
      </c>
      <c r="K6445" s="12">
        <v>46031</v>
      </c>
      <c r="L6445" s="28" t="s">
        <v>11</v>
      </c>
      <c r="M6445" s="14"/>
      <c r="N6445" s="10" t="s">
        <v>1096</v>
      </c>
    </row>
    <row r="6446" spans="1:14" ht="22.5" customHeight="1">
      <c r="A6446" s="8">
        <v>46031.858586504633</v>
      </c>
      <c r="B6446" s="9" t="s">
        <v>14</v>
      </c>
      <c r="C6446" s="9" t="s">
        <v>15</v>
      </c>
      <c r="D6446" s="10" t="s">
        <v>14000</v>
      </c>
      <c r="E6446" s="9" t="s">
        <v>17</v>
      </c>
      <c r="F6446" s="10">
        <v>32</v>
      </c>
      <c r="G6446" s="11">
        <v>7039613563</v>
      </c>
      <c r="H6446" s="10" t="s">
        <v>14001</v>
      </c>
      <c r="I6446" s="10" t="s">
        <v>27</v>
      </c>
      <c r="J6446" s="10" t="s">
        <v>67</v>
      </c>
      <c r="K6446" s="12">
        <v>46031</v>
      </c>
      <c r="L6446" s="28" t="s">
        <v>11</v>
      </c>
      <c r="M6446" s="14"/>
      <c r="N6446" s="10" t="s">
        <v>1028</v>
      </c>
    </row>
    <row r="6447" spans="1:14" ht="22.5" customHeight="1">
      <c r="A6447" s="8">
        <v>46031.859164513888</v>
      </c>
      <c r="B6447" s="9" t="s">
        <v>14</v>
      </c>
      <c r="C6447" s="9" t="s">
        <v>15</v>
      </c>
      <c r="D6447" s="10" t="s">
        <v>14002</v>
      </c>
      <c r="E6447" s="9" t="s">
        <v>17</v>
      </c>
      <c r="F6447" s="10">
        <v>26</v>
      </c>
      <c r="G6447" s="11">
        <v>7076724595</v>
      </c>
      <c r="H6447" s="10" t="s">
        <v>14003</v>
      </c>
      <c r="I6447" s="10" t="s">
        <v>45</v>
      </c>
      <c r="J6447" s="10" t="s">
        <v>339</v>
      </c>
      <c r="K6447" s="12">
        <v>46031</v>
      </c>
      <c r="L6447" s="28" t="s">
        <v>11</v>
      </c>
      <c r="M6447" s="14"/>
      <c r="N6447" s="10" t="s">
        <v>1096</v>
      </c>
    </row>
    <row r="6448" spans="1:14" ht="22.5" customHeight="1">
      <c r="A6448" s="8">
        <v>46031.860096215278</v>
      </c>
      <c r="B6448" s="9" t="s">
        <v>14</v>
      </c>
      <c r="C6448" s="9" t="s">
        <v>15</v>
      </c>
      <c r="D6448" s="10" t="s">
        <v>14004</v>
      </c>
      <c r="E6448" s="9" t="s">
        <v>17</v>
      </c>
      <c r="F6448" s="10">
        <v>30</v>
      </c>
      <c r="G6448" s="11">
        <v>7067555486</v>
      </c>
      <c r="H6448" s="10" t="s">
        <v>14005</v>
      </c>
      <c r="I6448" s="10" t="s">
        <v>27</v>
      </c>
      <c r="J6448" s="10" t="s">
        <v>14006</v>
      </c>
      <c r="K6448" s="12">
        <v>46031</v>
      </c>
      <c r="L6448" s="28" t="s">
        <v>11</v>
      </c>
      <c r="M6448" s="14"/>
      <c r="N6448" s="10" t="s">
        <v>1028</v>
      </c>
    </row>
    <row r="6449" spans="1:14" ht="22.5" customHeight="1">
      <c r="A6449" s="8">
        <v>46031.863148668985</v>
      </c>
      <c r="B6449" s="9" t="s">
        <v>14</v>
      </c>
      <c r="C6449" s="9" t="s">
        <v>15</v>
      </c>
      <c r="D6449" s="10" t="s">
        <v>14007</v>
      </c>
      <c r="E6449" s="9" t="s">
        <v>17</v>
      </c>
      <c r="F6449" s="10">
        <v>31</v>
      </c>
      <c r="G6449" s="11">
        <v>8081701794</v>
      </c>
      <c r="H6449" s="10" t="s">
        <v>14008</v>
      </c>
      <c r="I6449" s="10" t="s">
        <v>45</v>
      </c>
      <c r="J6449" s="10" t="s">
        <v>688</v>
      </c>
      <c r="K6449" s="12">
        <v>46031</v>
      </c>
      <c r="L6449" s="28" t="s">
        <v>11</v>
      </c>
      <c r="M6449" s="14"/>
      <c r="N6449" s="10" t="s">
        <v>1028</v>
      </c>
    </row>
    <row r="6450" spans="1:14" ht="22.5" customHeight="1">
      <c r="A6450" s="8">
        <v>46031.869288807866</v>
      </c>
      <c r="B6450" s="9" t="s">
        <v>14</v>
      </c>
      <c r="C6450" s="9" t="s">
        <v>15</v>
      </c>
      <c r="D6450" s="10" t="s">
        <v>14009</v>
      </c>
      <c r="E6450" s="9" t="s">
        <v>17</v>
      </c>
      <c r="F6450" s="10">
        <v>26</v>
      </c>
      <c r="G6450" s="11">
        <v>8083506271</v>
      </c>
      <c r="H6450" s="10" t="s">
        <v>14010</v>
      </c>
      <c r="I6450" s="10" t="s">
        <v>27</v>
      </c>
      <c r="J6450" s="10" t="s">
        <v>14011</v>
      </c>
      <c r="K6450" s="12">
        <v>46031</v>
      </c>
      <c r="L6450" s="28" t="s">
        <v>11</v>
      </c>
      <c r="M6450" s="14"/>
      <c r="N6450" s="10" t="s">
        <v>1028</v>
      </c>
    </row>
    <row r="6451" spans="1:14" ht="22.5" customHeight="1">
      <c r="A6451" s="8">
        <v>46031.870379421292</v>
      </c>
      <c r="B6451" s="9" t="s">
        <v>14</v>
      </c>
      <c r="C6451" s="9" t="s">
        <v>15</v>
      </c>
      <c r="D6451" s="10" t="s">
        <v>14012</v>
      </c>
      <c r="E6451" s="9" t="s">
        <v>22</v>
      </c>
      <c r="F6451" s="10">
        <v>32</v>
      </c>
      <c r="G6451" s="11">
        <v>9076967345</v>
      </c>
      <c r="H6451" s="10" t="s">
        <v>14013</v>
      </c>
      <c r="I6451" s="10" t="s">
        <v>19</v>
      </c>
      <c r="J6451" s="10" t="s">
        <v>3466</v>
      </c>
      <c r="K6451" s="12">
        <v>46031</v>
      </c>
      <c r="L6451" s="28" t="s">
        <v>11</v>
      </c>
      <c r="M6451" s="14"/>
      <c r="N6451" s="10" t="s">
        <v>1028</v>
      </c>
    </row>
    <row r="6452" spans="1:14" ht="22.5" hidden="1" customHeight="1">
      <c r="A6452" s="8">
        <v>46031.872958993059</v>
      </c>
      <c r="B6452" s="9" t="s">
        <v>14</v>
      </c>
      <c r="C6452" s="9" t="s">
        <v>15</v>
      </c>
      <c r="D6452" s="10" t="s">
        <v>14014</v>
      </c>
      <c r="E6452" s="9" t="s">
        <v>17</v>
      </c>
      <c r="F6452" s="10">
        <v>29</v>
      </c>
      <c r="G6452" s="11">
        <v>8183203128</v>
      </c>
      <c r="H6452" s="10" t="s">
        <v>14015</v>
      </c>
      <c r="I6452" s="10" t="s">
        <v>27</v>
      </c>
      <c r="J6452" s="10" t="s">
        <v>703</v>
      </c>
      <c r="K6452" s="12">
        <v>46031</v>
      </c>
      <c r="L6452" s="10" t="s">
        <v>441</v>
      </c>
      <c r="M6452" s="10" t="s">
        <v>1827</v>
      </c>
      <c r="N6452" s="10" t="s">
        <v>1028</v>
      </c>
    </row>
    <row r="6453" spans="1:14" ht="22.5" customHeight="1">
      <c r="A6453" s="8">
        <v>46031.877502962961</v>
      </c>
      <c r="B6453" s="9" t="s">
        <v>14</v>
      </c>
      <c r="C6453" s="9" t="s">
        <v>15</v>
      </c>
      <c r="D6453" s="10" t="s">
        <v>5602</v>
      </c>
      <c r="E6453" s="9" t="s">
        <v>17</v>
      </c>
      <c r="F6453" s="10">
        <v>25</v>
      </c>
      <c r="G6453" s="11">
        <v>9130739695</v>
      </c>
      <c r="H6453" s="10" t="s">
        <v>14016</v>
      </c>
      <c r="I6453" s="10" t="s">
        <v>27</v>
      </c>
      <c r="J6453" s="10" t="s">
        <v>1902</v>
      </c>
      <c r="K6453" s="12">
        <v>46031</v>
      </c>
      <c r="L6453" s="28" t="s">
        <v>11</v>
      </c>
      <c r="M6453" s="14"/>
      <c r="N6453" s="10" t="s">
        <v>1028</v>
      </c>
    </row>
    <row r="6454" spans="1:14" ht="22.5" customHeight="1">
      <c r="A6454" s="8">
        <v>46031.877592407407</v>
      </c>
      <c r="B6454" s="9" t="s">
        <v>14</v>
      </c>
      <c r="C6454" s="9" t="s">
        <v>15</v>
      </c>
      <c r="D6454" s="10" t="s">
        <v>14017</v>
      </c>
      <c r="E6454" s="9" t="s">
        <v>17</v>
      </c>
      <c r="F6454" s="10">
        <v>35</v>
      </c>
      <c r="G6454" s="11">
        <v>8060698417</v>
      </c>
      <c r="H6454" s="10" t="s">
        <v>14018</v>
      </c>
      <c r="I6454" s="10" t="s">
        <v>19</v>
      </c>
      <c r="J6454" s="10" t="s">
        <v>14019</v>
      </c>
      <c r="K6454" s="12">
        <v>46031</v>
      </c>
      <c r="L6454" s="28" t="s">
        <v>11</v>
      </c>
      <c r="M6454" s="14"/>
      <c r="N6454" s="10" t="s">
        <v>1028</v>
      </c>
    </row>
    <row r="6455" spans="1:14" ht="22.5" customHeight="1">
      <c r="A6455" s="8">
        <v>46031.878182789354</v>
      </c>
      <c r="B6455" s="9" t="s">
        <v>14</v>
      </c>
      <c r="C6455" s="9" t="s">
        <v>15</v>
      </c>
      <c r="D6455" s="10" t="s">
        <v>14020</v>
      </c>
      <c r="E6455" s="9" t="s">
        <v>17</v>
      </c>
      <c r="F6455" s="10">
        <v>35</v>
      </c>
      <c r="G6455" s="11">
        <v>9061339663</v>
      </c>
      <c r="H6455" s="10" t="s">
        <v>14021</v>
      </c>
      <c r="I6455" s="10" t="s">
        <v>49</v>
      </c>
      <c r="J6455" s="10" t="s">
        <v>181</v>
      </c>
      <c r="K6455" s="12">
        <v>33504</v>
      </c>
      <c r="L6455" s="28" t="s">
        <v>11</v>
      </c>
      <c r="M6455" s="14"/>
      <c r="N6455" s="10" t="s">
        <v>1096</v>
      </c>
    </row>
    <row r="6456" spans="1:14" ht="22.5" customHeight="1">
      <c r="A6456" s="8">
        <v>46031.88272603009</v>
      </c>
      <c r="B6456" s="9" t="s">
        <v>14</v>
      </c>
      <c r="C6456" s="9" t="s">
        <v>15</v>
      </c>
      <c r="D6456" s="10" t="s">
        <v>12145</v>
      </c>
      <c r="E6456" s="9" t="s">
        <v>17</v>
      </c>
      <c r="F6456" s="10">
        <v>31</v>
      </c>
      <c r="G6456" s="11">
        <v>9125491737</v>
      </c>
      <c r="H6456" s="10" t="s">
        <v>14022</v>
      </c>
      <c r="I6456" s="10" t="s">
        <v>27</v>
      </c>
      <c r="J6456" s="10" t="s">
        <v>14023</v>
      </c>
      <c r="K6456" s="12">
        <v>46031</v>
      </c>
      <c r="L6456" s="28" t="s">
        <v>11</v>
      </c>
      <c r="M6456" s="14"/>
      <c r="N6456" s="10" t="s">
        <v>1028</v>
      </c>
    </row>
    <row r="6457" spans="1:14" ht="22.5" customHeight="1">
      <c r="A6457" s="8">
        <v>46031.88944230324</v>
      </c>
      <c r="B6457" s="9" t="s">
        <v>14</v>
      </c>
      <c r="C6457" s="9" t="s">
        <v>15</v>
      </c>
      <c r="D6457" s="10" t="s">
        <v>14024</v>
      </c>
      <c r="E6457" s="9" t="s">
        <v>22</v>
      </c>
      <c r="F6457" s="10">
        <v>40</v>
      </c>
      <c r="G6457" s="11">
        <v>7030105533</v>
      </c>
      <c r="H6457" s="10" t="s">
        <v>14025</v>
      </c>
      <c r="I6457" s="10" t="s">
        <v>19</v>
      </c>
      <c r="J6457" s="10" t="s">
        <v>3369</v>
      </c>
      <c r="K6457" s="12">
        <v>46031</v>
      </c>
      <c r="L6457" s="28" t="s">
        <v>11</v>
      </c>
      <c r="M6457" s="14"/>
      <c r="N6457" s="10" t="s">
        <v>1028</v>
      </c>
    </row>
    <row r="6458" spans="1:14" ht="22.5" customHeight="1">
      <c r="A6458" s="8">
        <v>46031.89304383102</v>
      </c>
      <c r="B6458" s="9" t="s">
        <v>14</v>
      </c>
      <c r="C6458" s="9" t="s">
        <v>15</v>
      </c>
      <c r="D6458" s="10" t="s">
        <v>14026</v>
      </c>
      <c r="E6458" s="9" t="s">
        <v>22</v>
      </c>
      <c r="F6458" s="10">
        <v>28</v>
      </c>
      <c r="G6458" s="11">
        <v>8114289232</v>
      </c>
      <c r="H6458" s="10" t="s">
        <v>14027</v>
      </c>
      <c r="I6458" s="10" t="s">
        <v>49</v>
      </c>
      <c r="J6458" s="10" t="s">
        <v>73</v>
      </c>
      <c r="K6458" s="12">
        <v>46031</v>
      </c>
      <c r="L6458" s="28" t="s">
        <v>11</v>
      </c>
      <c r="M6458" s="14"/>
      <c r="N6458" s="10" t="s">
        <v>1028</v>
      </c>
    </row>
    <row r="6459" spans="1:14" ht="22.5" customHeight="1">
      <c r="A6459" s="8">
        <v>46031.906814363421</v>
      </c>
      <c r="B6459" s="9" t="s">
        <v>14</v>
      </c>
      <c r="C6459" s="9" t="s">
        <v>15</v>
      </c>
      <c r="D6459" s="10" t="s">
        <v>14028</v>
      </c>
      <c r="E6459" s="9" t="s">
        <v>17</v>
      </c>
      <c r="F6459" s="10">
        <v>35</v>
      </c>
      <c r="G6459" s="11">
        <v>8030602952</v>
      </c>
      <c r="H6459" s="10" t="s">
        <v>14029</v>
      </c>
      <c r="I6459" s="10" t="s">
        <v>27</v>
      </c>
      <c r="J6459" s="10" t="s">
        <v>42</v>
      </c>
      <c r="K6459" s="12">
        <v>46266</v>
      </c>
      <c r="L6459" s="28" t="s">
        <v>11</v>
      </c>
      <c r="M6459" s="14"/>
      <c r="N6459" s="10" t="s">
        <v>1096</v>
      </c>
    </row>
    <row r="6460" spans="1:14" ht="22.5" customHeight="1">
      <c r="A6460" s="8">
        <v>46031.910172303236</v>
      </c>
      <c r="B6460" s="9" t="s">
        <v>14</v>
      </c>
      <c r="C6460" s="9" t="s">
        <v>15</v>
      </c>
      <c r="D6460" s="10" t="s">
        <v>14030</v>
      </c>
      <c r="E6460" s="9" t="s">
        <v>17</v>
      </c>
      <c r="F6460" s="10">
        <v>30</v>
      </c>
      <c r="G6460" s="11">
        <v>8068189880</v>
      </c>
      <c r="H6460" s="10" t="s">
        <v>14031</v>
      </c>
      <c r="I6460" s="10" t="s">
        <v>27</v>
      </c>
      <c r="J6460" s="10" t="s">
        <v>70</v>
      </c>
      <c r="K6460" s="12">
        <v>46031</v>
      </c>
      <c r="L6460" s="28" t="s">
        <v>11</v>
      </c>
      <c r="M6460" s="14"/>
      <c r="N6460" s="10" t="s">
        <v>1096</v>
      </c>
    </row>
    <row r="6461" spans="1:14" ht="22.5" customHeight="1">
      <c r="A6461" s="8">
        <v>46031.911623611115</v>
      </c>
      <c r="B6461" s="9" t="s">
        <v>14</v>
      </c>
      <c r="C6461" s="9" t="s">
        <v>15</v>
      </c>
      <c r="D6461" s="10" t="s">
        <v>14032</v>
      </c>
      <c r="E6461" s="9" t="s">
        <v>22</v>
      </c>
      <c r="F6461" s="10">
        <v>23</v>
      </c>
      <c r="G6461" s="11">
        <v>8184751636</v>
      </c>
      <c r="H6461" s="10" t="s">
        <v>14033</v>
      </c>
      <c r="I6461" s="10" t="s">
        <v>45</v>
      </c>
      <c r="J6461" s="10" t="s">
        <v>14034</v>
      </c>
      <c r="K6461" s="12">
        <v>46031</v>
      </c>
      <c r="L6461" s="28" t="s">
        <v>11</v>
      </c>
      <c r="M6461" s="14"/>
      <c r="N6461" s="10" t="s">
        <v>1028</v>
      </c>
    </row>
    <row r="6462" spans="1:14" ht="22.5" customHeight="1">
      <c r="A6462" s="8">
        <v>46031.918018263888</v>
      </c>
      <c r="B6462" s="9" t="s">
        <v>14</v>
      </c>
      <c r="C6462" s="9" t="s">
        <v>15</v>
      </c>
      <c r="D6462" s="10" t="s">
        <v>14035</v>
      </c>
      <c r="E6462" s="9" t="s">
        <v>17</v>
      </c>
      <c r="F6462" s="10">
        <v>26</v>
      </c>
      <c r="G6462" s="11">
        <v>9138096552</v>
      </c>
      <c r="H6462" s="10" t="s">
        <v>14036</v>
      </c>
      <c r="I6462" s="10" t="s">
        <v>27</v>
      </c>
      <c r="J6462" s="10" t="s">
        <v>703</v>
      </c>
      <c r="K6462" s="12">
        <v>46031</v>
      </c>
      <c r="L6462" s="28" t="s">
        <v>11</v>
      </c>
      <c r="M6462" s="14"/>
      <c r="N6462" s="10" t="s">
        <v>4132</v>
      </c>
    </row>
    <row r="6463" spans="1:14" ht="22.5" customHeight="1">
      <c r="A6463" s="8">
        <v>46031.918177754633</v>
      </c>
      <c r="B6463" s="9" t="s">
        <v>14</v>
      </c>
      <c r="C6463" s="9" t="s">
        <v>15</v>
      </c>
      <c r="D6463" s="10" t="s">
        <v>14037</v>
      </c>
      <c r="E6463" s="9" t="s">
        <v>22</v>
      </c>
      <c r="F6463" s="10">
        <v>27</v>
      </c>
      <c r="G6463" s="11">
        <v>9063922258</v>
      </c>
      <c r="H6463" s="10" t="s">
        <v>14038</v>
      </c>
      <c r="I6463" s="10" t="s">
        <v>27</v>
      </c>
      <c r="J6463" s="10" t="s">
        <v>70</v>
      </c>
      <c r="K6463" s="12">
        <v>46031</v>
      </c>
      <c r="L6463" s="28" t="s">
        <v>11</v>
      </c>
      <c r="M6463" s="14"/>
      <c r="N6463" s="10" t="s">
        <v>1028</v>
      </c>
    </row>
    <row r="6464" spans="1:14" ht="22.5" customHeight="1">
      <c r="A6464" s="8">
        <v>46031.921078553241</v>
      </c>
      <c r="B6464" s="9" t="s">
        <v>14</v>
      </c>
      <c r="C6464" s="9" t="s">
        <v>15</v>
      </c>
      <c r="D6464" s="10" t="s">
        <v>9143</v>
      </c>
      <c r="E6464" s="9" t="s">
        <v>17</v>
      </c>
      <c r="F6464" s="10">
        <v>34</v>
      </c>
      <c r="G6464" s="11">
        <v>7069155876</v>
      </c>
      <c r="H6464" s="10" t="s">
        <v>14039</v>
      </c>
      <c r="I6464" s="10" t="s">
        <v>27</v>
      </c>
      <c r="J6464" s="10" t="s">
        <v>14040</v>
      </c>
      <c r="K6464" s="12">
        <v>33880</v>
      </c>
      <c r="L6464" s="28" t="s">
        <v>11</v>
      </c>
      <c r="M6464" s="14"/>
      <c r="N6464" s="10" t="s">
        <v>1028</v>
      </c>
    </row>
    <row r="6465" spans="1:14" ht="22.5" customHeight="1">
      <c r="A6465" s="8">
        <v>46031.922011608796</v>
      </c>
      <c r="B6465" s="9" t="s">
        <v>14</v>
      </c>
      <c r="C6465" s="9" t="s">
        <v>15</v>
      </c>
      <c r="D6465" s="10" t="s">
        <v>14041</v>
      </c>
      <c r="E6465" s="9" t="s">
        <v>17</v>
      </c>
      <c r="F6465" s="10">
        <v>27</v>
      </c>
      <c r="G6465" s="11">
        <v>9115166065</v>
      </c>
      <c r="H6465" s="10" t="s">
        <v>14042</v>
      </c>
      <c r="I6465" s="10" t="s">
        <v>19</v>
      </c>
      <c r="J6465" s="10" t="s">
        <v>12423</v>
      </c>
      <c r="K6465" s="12">
        <v>46031</v>
      </c>
      <c r="L6465" s="28" t="s">
        <v>11</v>
      </c>
      <c r="M6465" s="14"/>
      <c r="N6465" s="10" t="s">
        <v>1028</v>
      </c>
    </row>
    <row r="6466" spans="1:14" ht="22.5" customHeight="1">
      <c r="A6466" s="8">
        <v>46031.927959247681</v>
      </c>
      <c r="B6466" s="9" t="s">
        <v>14</v>
      </c>
      <c r="C6466" s="9" t="s">
        <v>15</v>
      </c>
      <c r="D6466" s="10" t="s">
        <v>14043</v>
      </c>
      <c r="E6466" s="9" t="s">
        <v>17</v>
      </c>
      <c r="F6466" s="10">
        <v>37</v>
      </c>
      <c r="G6466" s="11">
        <v>9026735257</v>
      </c>
      <c r="H6466" s="10" t="s">
        <v>14044</v>
      </c>
      <c r="I6466" s="10" t="s">
        <v>19</v>
      </c>
      <c r="J6466" s="10" t="s">
        <v>5434</v>
      </c>
      <c r="K6466" s="12">
        <v>46031</v>
      </c>
      <c r="L6466" s="28" t="s">
        <v>11</v>
      </c>
      <c r="M6466" s="14"/>
      <c r="N6466" s="10" t="s">
        <v>1028</v>
      </c>
    </row>
    <row r="6467" spans="1:14" ht="22.5" customHeight="1">
      <c r="A6467" s="8">
        <v>46031.930652557872</v>
      </c>
      <c r="B6467" s="9" t="s">
        <v>14</v>
      </c>
      <c r="C6467" s="9" t="s">
        <v>15</v>
      </c>
      <c r="D6467" s="10" t="s">
        <v>14045</v>
      </c>
      <c r="E6467" s="9" t="s">
        <v>22</v>
      </c>
      <c r="F6467" s="10">
        <v>50</v>
      </c>
      <c r="G6467" s="11">
        <v>8132874787</v>
      </c>
      <c r="H6467" s="10" t="s">
        <v>14046</v>
      </c>
      <c r="I6467" s="10" t="s">
        <v>27</v>
      </c>
      <c r="J6467" s="10" t="s">
        <v>372</v>
      </c>
      <c r="K6467" s="12">
        <v>46031</v>
      </c>
      <c r="L6467" s="28" t="s">
        <v>11</v>
      </c>
      <c r="M6467" s="14"/>
      <c r="N6467" s="10" t="s">
        <v>1028</v>
      </c>
    </row>
    <row r="6468" spans="1:14" ht="22.5" customHeight="1">
      <c r="A6468" s="8">
        <v>46031.930949027781</v>
      </c>
      <c r="B6468" s="9" t="s">
        <v>14</v>
      </c>
      <c r="C6468" s="9" t="s">
        <v>15</v>
      </c>
      <c r="D6468" s="10" t="s">
        <v>14047</v>
      </c>
      <c r="E6468" s="9" t="s">
        <v>17</v>
      </c>
      <c r="F6468" s="10">
        <v>29</v>
      </c>
      <c r="G6468" s="11">
        <f t="shared" ref="G6468" si="192">2347067328532</f>
        <v>2347067328532</v>
      </c>
      <c r="H6468" s="10" t="s">
        <v>14048</v>
      </c>
      <c r="I6468" s="10" t="s">
        <v>45</v>
      </c>
      <c r="J6468" s="10" t="s">
        <v>6836</v>
      </c>
      <c r="K6468" s="12">
        <v>46031</v>
      </c>
      <c r="L6468" s="28" t="s">
        <v>11</v>
      </c>
      <c r="M6468" s="14"/>
      <c r="N6468" s="10" t="s">
        <v>1096</v>
      </c>
    </row>
    <row r="6469" spans="1:14" ht="22.5" customHeight="1">
      <c r="A6469" s="8">
        <v>46031.931672592589</v>
      </c>
      <c r="B6469" s="9" t="s">
        <v>14</v>
      </c>
      <c r="C6469" s="9" t="s">
        <v>15</v>
      </c>
      <c r="D6469" s="10" t="s">
        <v>14049</v>
      </c>
      <c r="E6469" s="9" t="s">
        <v>17</v>
      </c>
      <c r="F6469" s="10">
        <v>24</v>
      </c>
      <c r="G6469" s="11">
        <v>9033237483</v>
      </c>
      <c r="H6469" s="10" t="s">
        <v>14050</v>
      </c>
      <c r="I6469" s="10" t="s">
        <v>145</v>
      </c>
      <c r="J6469" s="10" t="s">
        <v>530</v>
      </c>
      <c r="K6469" s="12">
        <v>46031</v>
      </c>
      <c r="L6469" s="28" t="s">
        <v>11</v>
      </c>
      <c r="M6469" s="14"/>
      <c r="N6469" s="10" t="s">
        <v>1028</v>
      </c>
    </row>
    <row r="6470" spans="1:14" ht="22.5" customHeight="1">
      <c r="A6470" s="8">
        <v>46031.932865011579</v>
      </c>
      <c r="B6470" s="9" t="s">
        <v>14</v>
      </c>
      <c r="C6470" s="9" t="s">
        <v>15</v>
      </c>
      <c r="D6470" s="10" t="s">
        <v>14051</v>
      </c>
      <c r="E6470" s="9" t="s">
        <v>17</v>
      </c>
      <c r="F6470" s="10">
        <v>18</v>
      </c>
      <c r="G6470" s="11">
        <v>7071075237</v>
      </c>
      <c r="H6470" s="10" t="s">
        <v>14052</v>
      </c>
      <c r="I6470" s="10" t="s">
        <v>27</v>
      </c>
      <c r="J6470" s="10" t="s">
        <v>14053</v>
      </c>
      <c r="K6470" s="12">
        <v>46031</v>
      </c>
      <c r="L6470" s="28" t="s">
        <v>11</v>
      </c>
      <c r="M6470" s="10"/>
      <c r="N6470" s="10" t="s">
        <v>1028</v>
      </c>
    </row>
    <row r="6471" spans="1:14" ht="22.5" customHeight="1">
      <c r="A6471" s="8">
        <v>46031.93303148148</v>
      </c>
      <c r="B6471" s="9" t="s">
        <v>14</v>
      </c>
      <c r="C6471" s="9" t="s">
        <v>15</v>
      </c>
      <c r="D6471" s="10" t="s">
        <v>14054</v>
      </c>
      <c r="E6471" s="9" t="s">
        <v>17</v>
      </c>
      <c r="F6471" s="10">
        <v>31</v>
      </c>
      <c r="G6471" s="11">
        <v>8027223382</v>
      </c>
      <c r="H6471" s="10" t="s">
        <v>14055</v>
      </c>
      <c r="I6471" s="10" t="s">
        <v>45</v>
      </c>
      <c r="J6471" s="10" t="s">
        <v>14056</v>
      </c>
      <c r="K6471" s="12">
        <v>46031</v>
      </c>
      <c r="L6471" s="28" t="s">
        <v>11</v>
      </c>
      <c r="M6471" s="14"/>
      <c r="N6471" s="10" t="s">
        <v>1096</v>
      </c>
    </row>
    <row r="6472" spans="1:14" ht="22.5" customHeight="1">
      <c r="A6472" s="8">
        <v>46031.93395387732</v>
      </c>
      <c r="B6472" s="9" t="s">
        <v>14</v>
      </c>
      <c r="C6472" s="9" t="s">
        <v>15</v>
      </c>
      <c r="D6472" s="10" t="s">
        <v>14057</v>
      </c>
      <c r="E6472" s="9" t="s">
        <v>17</v>
      </c>
      <c r="F6472" s="10">
        <v>32</v>
      </c>
      <c r="G6472" s="11">
        <v>7066161119</v>
      </c>
      <c r="H6472" s="10" t="s">
        <v>14058</v>
      </c>
      <c r="I6472" s="10" t="s">
        <v>45</v>
      </c>
      <c r="J6472" s="10" t="s">
        <v>932</v>
      </c>
      <c r="K6472" s="12">
        <v>46031</v>
      </c>
      <c r="L6472" s="28" t="s">
        <v>11</v>
      </c>
      <c r="M6472" s="14"/>
      <c r="N6472" s="10" t="s">
        <v>1028</v>
      </c>
    </row>
    <row r="6473" spans="1:14" ht="22.5" customHeight="1">
      <c r="A6473" s="8">
        <v>46031.938972546297</v>
      </c>
      <c r="B6473" s="9" t="s">
        <v>14</v>
      </c>
      <c r="C6473" s="9" t="s">
        <v>15</v>
      </c>
      <c r="D6473" s="10" t="s">
        <v>14059</v>
      </c>
      <c r="E6473" s="9" t="s">
        <v>22</v>
      </c>
      <c r="F6473" s="10">
        <v>23</v>
      </c>
      <c r="G6473" s="11">
        <v>9134172204</v>
      </c>
      <c r="H6473" s="10" t="s">
        <v>14060</v>
      </c>
      <c r="I6473" s="10" t="s">
        <v>145</v>
      </c>
      <c r="J6473" s="10" t="s">
        <v>530</v>
      </c>
      <c r="K6473" s="12">
        <v>46031</v>
      </c>
      <c r="L6473" s="28" t="s">
        <v>11</v>
      </c>
      <c r="M6473" s="14"/>
      <c r="N6473" s="10" t="s">
        <v>1028</v>
      </c>
    </row>
    <row r="6474" spans="1:14" ht="22.5" customHeight="1">
      <c r="A6474" s="8">
        <v>46031.93898486111</v>
      </c>
      <c r="B6474" s="9" t="s">
        <v>14</v>
      </c>
      <c r="C6474" s="9" t="s">
        <v>15</v>
      </c>
      <c r="D6474" s="10" t="s">
        <v>14061</v>
      </c>
      <c r="E6474" s="9" t="s">
        <v>17</v>
      </c>
      <c r="F6474" s="10">
        <v>28</v>
      </c>
      <c r="G6474" s="11">
        <v>7030919395</v>
      </c>
      <c r="H6474" s="10" t="s">
        <v>14062</v>
      </c>
      <c r="I6474" s="10" t="s">
        <v>19</v>
      </c>
      <c r="J6474" s="10" t="s">
        <v>14063</v>
      </c>
      <c r="K6474" s="12">
        <v>46031</v>
      </c>
      <c r="L6474" s="28" t="s">
        <v>11</v>
      </c>
      <c r="M6474" s="14"/>
      <c r="N6474" s="10" t="s">
        <v>1028</v>
      </c>
    </row>
    <row r="6475" spans="1:14" ht="22.5" customHeight="1">
      <c r="A6475" s="8">
        <v>46031.947430879634</v>
      </c>
      <c r="B6475" s="9" t="s">
        <v>14</v>
      </c>
      <c r="C6475" s="9" t="s">
        <v>15</v>
      </c>
      <c r="D6475" s="10" t="s">
        <v>14064</v>
      </c>
      <c r="E6475" s="9" t="s">
        <v>17</v>
      </c>
      <c r="F6475" s="10">
        <v>26</v>
      </c>
      <c r="G6475" s="11">
        <v>9038146827</v>
      </c>
      <c r="H6475" s="10" t="s">
        <v>14065</v>
      </c>
      <c r="I6475" s="10" t="s">
        <v>19</v>
      </c>
      <c r="J6475" s="10" t="s">
        <v>8663</v>
      </c>
      <c r="K6475" s="12">
        <v>46031</v>
      </c>
      <c r="L6475" s="28" t="s">
        <v>11</v>
      </c>
      <c r="M6475" s="14"/>
      <c r="N6475" s="10" t="s">
        <v>1028</v>
      </c>
    </row>
    <row r="6476" spans="1:14" ht="22.5" customHeight="1">
      <c r="A6476" s="8">
        <v>46031.95084701389</v>
      </c>
      <c r="B6476" s="9" t="s">
        <v>14</v>
      </c>
      <c r="C6476" s="9" t="s">
        <v>15</v>
      </c>
      <c r="D6476" s="10" t="s">
        <v>11157</v>
      </c>
      <c r="E6476" s="9" t="s">
        <v>17</v>
      </c>
      <c r="F6476" s="10">
        <v>28</v>
      </c>
      <c r="G6476" s="11">
        <v>8065902797</v>
      </c>
      <c r="H6476" s="10" t="s">
        <v>14066</v>
      </c>
      <c r="I6476" s="10" t="s">
        <v>49</v>
      </c>
      <c r="J6476" s="10" t="s">
        <v>106</v>
      </c>
      <c r="K6476" s="12">
        <v>46031</v>
      </c>
      <c r="L6476" s="28" t="s">
        <v>11</v>
      </c>
      <c r="M6476" s="14"/>
      <c r="N6476" s="10" t="s">
        <v>1028</v>
      </c>
    </row>
    <row r="6477" spans="1:14" ht="22.5" customHeight="1">
      <c r="A6477" s="8">
        <v>46031.952385046301</v>
      </c>
      <c r="B6477" s="9" t="s">
        <v>14</v>
      </c>
      <c r="C6477" s="9" t="s">
        <v>15</v>
      </c>
      <c r="D6477" s="10" t="s">
        <v>14067</v>
      </c>
      <c r="E6477" s="9" t="s">
        <v>17</v>
      </c>
      <c r="F6477" s="10">
        <v>29</v>
      </c>
      <c r="G6477" s="11">
        <v>8032425578</v>
      </c>
      <c r="H6477" s="10" t="s">
        <v>14068</v>
      </c>
      <c r="I6477" s="10" t="s">
        <v>27</v>
      </c>
      <c r="J6477" s="10" t="s">
        <v>1559</v>
      </c>
      <c r="K6477" s="12">
        <v>46031</v>
      </c>
      <c r="L6477" s="28" t="s">
        <v>11</v>
      </c>
      <c r="M6477" s="14"/>
      <c r="N6477" s="10" t="s">
        <v>1140</v>
      </c>
    </row>
    <row r="6478" spans="1:14" ht="22.5" customHeight="1">
      <c r="A6478" s="8">
        <v>46031.953039050924</v>
      </c>
      <c r="B6478" s="9" t="s">
        <v>14</v>
      </c>
      <c r="C6478" s="9" t="s">
        <v>15</v>
      </c>
      <c r="D6478" s="10" t="s">
        <v>14069</v>
      </c>
      <c r="E6478" s="9" t="s">
        <v>17</v>
      </c>
      <c r="F6478" s="10">
        <v>34</v>
      </c>
      <c r="G6478" s="11">
        <v>8095409443</v>
      </c>
      <c r="H6478" s="10" t="s">
        <v>14070</v>
      </c>
      <c r="I6478" s="10" t="s">
        <v>27</v>
      </c>
      <c r="J6478" s="10" t="s">
        <v>1514</v>
      </c>
      <c r="K6478" s="12">
        <v>45666</v>
      </c>
      <c r="L6478" s="28" t="s">
        <v>11</v>
      </c>
      <c r="M6478" s="14"/>
      <c r="N6478" s="10" t="s">
        <v>1028</v>
      </c>
    </row>
    <row r="6479" spans="1:14" ht="22.5" customHeight="1">
      <c r="A6479" s="8">
        <v>46031.955292604165</v>
      </c>
      <c r="B6479" s="9" t="s">
        <v>14</v>
      </c>
      <c r="C6479" s="9" t="s">
        <v>15</v>
      </c>
      <c r="D6479" s="10" t="s">
        <v>14071</v>
      </c>
      <c r="E6479" s="9" t="s">
        <v>17</v>
      </c>
      <c r="F6479" s="10">
        <v>29</v>
      </c>
      <c r="G6479" s="11">
        <v>9035096252</v>
      </c>
      <c r="H6479" s="10" t="s">
        <v>14072</v>
      </c>
      <c r="I6479" s="10" t="s">
        <v>45</v>
      </c>
      <c r="J6479" s="10" t="s">
        <v>131</v>
      </c>
      <c r="K6479" s="12">
        <v>46266</v>
      </c>
      <c r="L6479" s="28" t="s">
        <v>11</v>
      </c>
      <c r="M6479" s="14"/>
      <c r="N6479" s="10" t="s">
        <v>1209</v>
      </c>
    </row>
    <row r="6480" spans="1:14" ht="22.5" customHeight="1">
      <c r="A6480" s="8">
        <v>46031.958217361112</v>
      </c>
      <c r="B6480" s="9" t="s">
        <v>14</v>
      </c>
      <c r="C6480" s="9" t="s">
        <v>15</v>
      </c>
      <c r="D6480" s="10" t="s">
        <v>14073</v>
      </c>
      <c r="E6480" s="9" t="s">
        <v>17</v>
      </c>
      <c r="F6480" s="19">
        <v>28</v>
      </c>
      <c r="G6480" s="11">
        <v>8069607495</v>
      </c>
      <c r="H6480" s="10" t="s">
        <v>14074</v>
      </c>
      <c r="I6480" s="10" t="s">
        <v>27</v>
      </c>
      <c r="J6480" s="10" t="s">
        <v>1317</v>
      </c>
      <c r="K6480" s="12">
        <v>46031</v>
      </c>
      <c r="L6480" s="28" t="s">
        <v>11</v>
      </c>
      <c r="M6480" s="14"/>
      <c r="N6480" s="10" t="s">
        <v>1096</v>
      </c>
    </row>
    <row r="6481" spans="1:14" ht="22.5" customHeight="1">
      <c r="A6481" s="8">
        <v>46031.958570613424</v>
      </c>
      <c r="B6481" s="9" t="s">
        <v>14</v>
      </c>
      <c r="C6481" s="9" t="s">
        <v>15</v>
      </c>
      <c r="D6481" s="10" t="s">
        <v>14075</v>
      </c>
      <c r="E6481" s="9" t="s">
        <v>22</v>
      </c>
      <c r="F6481" s="10">
        <v>24</v>
      </c>
      <c r="G6481" s="11">
        <v>7015794389</v>
      </c>
      <c r="H6481" s="10" t="s">
        <v>1801</v>
      </c>
      <c r="I6481" s="10" t="s">
        <v>45</v>
      </c>
      <c r="J6481" s="10" t="s">
        <v>932</v>
      </c>
      <c r="K6481" s="12">
        <v>46031</v>
      </c>
      <c r="L6481" s="28" t="s">
        <v>11</v>
      </c>
      <c r="M6481" s="10"/>
      <c r="N6481" s="10" t="s">
        <v>1028</v>
      </c>
    </row>
    <row r="6482" spans="1:14" ht="22.5" customHeight="1">
      <c r="A6482" s="8">
        <v>46031.959420219908</v>
      </c>
      <c r="B6482" s="9" t="s">
        <v>14</v>
      </c>
      <c r="C6482" s="9" t="s">
        <v>15</v>
      </c>
      <c r="D6482" s="10" t="s">
        <v>2917</v>
      </c>
      <c r="E6482" s="9" t="s">
        <v>22</v>
      </c>
      <c r="F6482" s="10">
        <v>33</v>
      </c>
      <c r="G6482" s="11">
        <v>7046527203</v>
      </c>
      <c r="H6482" s="10" t="s">
        <v>2918</v>
      </c>
      <c r="I6482" s="10" t="s">
        <v>27</v>
      </c>
      <c r="J6482" s="10" t="s">
        <v>172</v>
      </c>
      <c r="K6482" s="12">
        <v>46031</v>
      </c>
      <c r="L6482" s="28" t="s">
        <v>11</v>
      </c>
      <c r="M6482" s="14"/>
      <c r="N6482" s="10" t="s">
        <v>1028</v>
      </c>
    </row>
    <row r="6483" spans="1:14" ht="22.5" customHeight="1">
      <c r="A6483" s="8">
        <v>46031.962620324077</v>
      </c>
      <c r="B6483" s="9" t="s">
        <v>14</v>
      </c>
      <c r="C6483" s="9" t="s">
        <v>15</v>
      </c>
      <c r="D6483" s="10" t="s">
        <v>14076</v>
      </c>
      <c r="E6483" s="9" t="s">
        <v>17</v>
      </c>
      <c r="F6483" s="10">
        <v>30</v>
      </c>
      <c r="G6483" s="11">
        <v>7063994868</v>
      </c>
      <c r="H6483" s="10" t="s">
        <v>2952</v>
      </c>
      <c r="I6483" s="10" t="s">
        <v>27</v>
      </c>
      <c r="J6483" s="10" t="s">
        <v>70</v>
      </c>
      <c r="K6483" s="12">
        <v>46031</v>
      </c>
      <c r="L6483" s="28" t="s">
        <v>11</v>
      </c>
      <c r="M6483" s="14"/>
      <c r="N6483" s="10" t="s">
        <v>1028</v>
      </c>
    </row>
    <row r="6484" spans="1:14" ht="22.5" customHeight="1">
      <c r="A6484" s="8">
        <v>46031.96582243056</v>
      </c>
      <c r="B6484" s="9" t="s">
        <v>14</v>
      </c>
      <c r="C6484" s="9" t="s">
        <v>15</v>
      </c>
      <c r="D6484" s="10" t="s">
        <v>14077</v>
      </c>
      <c r="E6484" s="9" t="s">
        <v>17</v>
      </c>
      <c r="F6484" s="10">
        <v>22</v>
      </c>
      <c r="G6484" s="11">
        <v>8169117691</v>
      </c>
      <c r="H6484" s="10" t="s">
        <v>14078</v>
      </c>
      <c r="I6484" s="10" t="s">
        <v>27</v>
      </c>
      <c r="J6484" s="10" t="s">
        <v>2031</v>
      </c>
      <c r="K6484" s="12">
        <v>46031</v>
      </c>
      <c r="L6484" s="28" t="s">
        <v>11</v>
      </c>
      <c r="M6484" s="14"/>
      <c r="N6484" s="10" t="s">
        <v>1028</v>
      </c>
    </row>
    <row r="6485" spans="1:14" ht="22.5" customHeight="1">
      <c r="A6485" s="8">
        <v>46031.966104317129</v>
      </c>
      <c r="B6485" s="9" t="s">
        <v>14</v>
      </c>
      <c r="C6485" s="9" t="s">
        <v>15</v>
      </c>
      <c r="D6485" s="10" t="s">
        <v>14079</v>
      </c>
      <c r="E6485" s="9" t="s">
        <v>22</v>
      </c>
      <c r="F6485" s="10">
        <v>26</v>
      </c>
      <c r="G6485" s="11">
        <v>7038485447</v>
      </c>
      <c r="H6485" s="10" t="s">
        <v>14080</v>
      </c>
      <c r="I6485" s="10" t="s">
        <v>45</v>
      </c>
      <c r="J6485" s="10" t="s">
        <v>10054</v>
      </c>
      <c r="K6485" s="12">
        <v>46031</v>
      </c>
      <c r="L6485" s="28" t="s">
        <v>11</v>
      </c>
      <c r="M6485" s="14"/>
      <c r="N6485" s="10" t="s">
        <v>1028</v>
      </c>
    </row>
    <row r="6486" spans="1:14" ht="22.5" customHeight="1">
      <c r="A6486" s="8">
        <v>46031.967017499999</v>
      </c>
      <c r="B6486" s="9" t="s">
        <v>14</v>
      </c>
      <c r="C6486" s="9" t="s">
        <v>15</v>
      </c>
      <c r="D6486" s="10" t="s">
        <v>14081</v>
      </c>
      <c r="E6486" s="9" t="s">
        <v>22</v>
      </c>
      <c r="F6486" s="10">
        <v>26</v>
      </c>
      <c r="G6486" s="11">
        <v>8147952864</v>
      </c>
      <c r="H6486" s="10" t="s">
        <v>14082</v>
      </c>
      <c r="I6486" s="10" t="s">
        <v>202</v>
      </c>
      <c r="J6486" s="10" t="s">
        <v>14083</v>
      </c>
      <c r="K6486" s="12">
        <v>46031</v>
      </c>
      <c r="L6486" s="28" t="s">
        <v>11</v>
      </c>
      <c r="M6486" s="10"/>
      <c r="N6486" s="10" t="s">
        <v>1028</v>
      </c>
    </row>
    <row r="6487" spans="1:14" ht="22.5" customHeight="1">
      <c r="A6487" s="8">
        <v>46031.969591851856</v>
      </c>
      <c r="B6487" s="9" t="s">
        <v>14</v>
      </c>
      <c r="C6487" s="9" t="s">
        <v>15</v>
      </c>
      <c r="D6487" s="10" t="s">
        <v>14084</v>
      </c>
      <c r="E6487" s="9" t="s">
        <v>22</v>
      </c>
      <c r="F6487" s="10">
        <v>32</v>
      </c>
      <c r="G6487" s="11">
        <v>8032731901</v>
      </c>
      <c r="H6487" s="10" t="s">
        <v>14085</v>
      </c>
      <c r="I6487" s="10" t="s">
        <v>19</v>
      </c>
      <c r="J6487" s="10" t="s">
        <v>1664</v>
      </c>
      <c r="K6487" s="12">
        <v>46031</v>
      </c>
      <c r="L6487" s="28" t="s">
        <v>11</v>
      </c>
      <c r="M6487" s="14"/>
      <c r="N6487" s="10" t="s">
        <v>1028</v>
      </c>
    </row>
    <row r="6488" spans="1:14" ht="22.5" customHeight="1">
      <c r="A6488" s="8">
        <v>46031.973219768523</v>
      </c>
      <c r="B6488" s="9" t="s">
        <v>14</v>
      </c>
      <c r="C6488" s="9" t="s">
        <v>15</v>
      </c>
      <c r="D6488" s="10" t="s">
        <v>14086</v>
      </c>
      <c r="E6488" s="9" t="s">
        <v>17</v>
      </c>
      <c r="F6488" s="10">
        <v>27</v>
      </c>
      <c r="G6488" s="11">
        <v>8067036080</v>
      </c>
      <c r="H6488" s="10" t="s">
        <v>14087</v>
      </c>
      <c r="I6488" s="10" t="s">
        <v>27</v>
      </c>
      <c r="J6488" s="10" t="s">
        <v>14088</v>
      </c>
      <c r="K6488" s="12">
        <v>35796</v>
      </c>
      <c r="L6488" s="28" t="s">
        <v>11</v>
      </c>
      <c r="M6488" s="14"/>
      <c r="N6488" s="10" t="s">
        <v>1096</v>
      </c>
    </row>
    <row r="6489" spans="1:14" ht="22.5" customHeight="1">
      <c r="A6489" s="8">
        <v>46031.976602152776</v>
      </c>
      <c r="B6489" s="9" t="s">
        <v>14</v>
      </c>
      <c r="C6489" s="9" t="s">
        <v>15</v>
      </c>
      <c r="D6489" s="10" t="s">
        <v>14089</v>
      </c>
      <c r="E6489" s="9" t="s">
        <v>17</v>
      </c>
      <c r="F6489" s="10">
        <v>29</v>
      </c>
      <c r="G6489" s="11">
        <v>9011605339</v>
      </c>
      <c r="H6489" s="10" t="s">
        <v>14090</v>
      </c>
      <c r="I6489" s="10" t="s">
        <v>27</v>
      </c>
      <c r="J6489" s="10" t="s">
        <v>28</v>
      </c>
      <c r="K6489" s="12">
        <v>46031</v>
      </c>
      <c r="L6489" s="28" t="s">
        <v>11</v>
      </c>
      <c r="M6489" s="14"/>
      <c r="N6489" s="10" t="s">
        <v>1028</v>
      </c>
    </row>
    <row r="6490" spans="1:14" ht="22.5" customHeight="1">
      <c r="A6490" s="8">
        <v>46031.978012604166</v>
      </c>
      <c r="B6490" s="9" t="s">
        <v>14</v>
      </c>
      <c r="C6490" s="9" t="s">
        <v>15</v>
      </c>
      <c r="D6490" s="10" t="s">
        <v>14091</v>
      </c>
      <c r="E6490" s="9" t="s">
        <v>17</v>
      </c>
      <c r="F6490" s="10">
        <v>28</v>
      </c>
      <c r="G6490" s="11">
        <v>8101016242</v>
      </c>
      <c r="H6490" s="10" t="s">
        <v>14092</v>
      </c>
      <c r="I6490" s="10" t="s">
        <v>27</v>
      </c>
      <c r="J6490" s="10" t="s">
        <v>1902</v>
      </c>
      <c r="K6490" s="12">
        <v>35738</v>
      </c>
      <c r="L6490" s="28" t="s">
        <v>11</v>
      </c>
      <c r="M6490" s="14"/>
      <c r="N6490" s="10" t="s">
        <v>1028</v>
      </c>
    </row>
    <row r="6491" spans="1:14" ht="22.5" customHeight="1">
      <c r="A6491" s="8">
        <v>46031.978454768519</v>
      </c>
      <c r="B6491" s="9" t="s">
        <v>14</v>
      </c>
      <c r="C6491" s="9" t="s">
        <v>15</v>
      </c>
      <c r="D6491" s="10" t="s">
        <v>14093</v>
      </c>
      <c r="E6491" s="9" t="s">
        <v>17</v>
      </c>
      <c r="F6491" s="10">
        <v>28</v>
      </c>
      <c r="G6491" s="11">
        <v>8168318188</v>
      </c>
      <c r="H6491" s="10" t="s">
        <v>14094</v>
      </c>
      <c r="I6491" s="10" t="s">
        <v>27</v>
      </c>
      <c r="J6491" s="10" t="s">
        <v>1907</v>
      </c>
      <c r="K6491" s="12">
        <v>46031</v>
      </c>
      <c r="L6491" s="28" t="s">
        <v>11</v>
      </c>
      <c r="M6491" s="14"/>
      <c r="N6491" s="10" t="s">
        <v>1028</v>
      </c>
    </row>
    <row r="6492" spans="1:14" ht="22.5" customHeight="1">
      <c r="A6492" s="8">
        <v>46031.978599583337</v>
      </c>
      <c r="B6492" s="9" t="s">
        <v>14</v>
      </c>
      <c r="C6492" s="9" t="s">
        <v>15</v>
      </c>
      <c r="D6492" s="10" t="s">
        <v>14095</v>
      </c>
      <c r="E6492" s="9" t="s">
        <v>17</v>
      </c>
      <c r="F6492" s="10">
        <v>23</v>
      </c>
      <c r="G6492" s="11">
        <v>9153166069</v>
      </c>
      <c r="H6492" s="10" t="s">
        <v>14096</v>
      </c>
      <c r="I6492" s="10" t="s">
        <v>31</v>
      </c>
      <c r="J6492" s="10" t="s">
        <v>36</v>
      </c>
      <c r="K6492" s="12">
        <v>46031</v>
      </c>
      <c r="L6492" s="28" t="s">
        <v>11</v>
      </c>
      <c r="M6492" s="14"/>
      <c r="N6492" s="10" t="s">
        <v>1028</v>
      </c>
    </row>
    <row r="6493" spans="1:14" ht="22.5" customHeight="1">
      <c r="A6493" s="8">
        <v>46031.982862673613</v>
      </c>
      <c r="B6493" s="9" t="s">
        <v>14</v>
      </c>
      <c r="C6493" s="9" t="s">
        <v>15</v>
      </c>
      <c r="D6493" s="10" t="s">
        <v>14097</v>
      </c>
      <c r="E6493" s="9" t="s">
        <v>17</v>
      </c>
      <c r="F6493" s="10">
        <v>28</v>
      </c>
      <c r="G6493" s="11">
        <v>8101016242</v>
      </c>
      <c r="H6493" s="10" t="s">
        <v>14092</v>
      </c>
      <c r="I6493" s="10" t="s">
        <v>27</v>
      </c>
      <c r="J6493" s="10" t="s">
        <v>1902</v>
      </c>
      <c r="K6493" s="12">
        <v>46031</v>
      </c>
      <c r="L6493" s="28" t="s">
        <v>11</v>
      </c>
      <c r="M6493" s="14"/>
      <c r="N6493" s="10" t="s">
        <v>1028</v>
      </c>
    </row>
    <row r="6494" spans="1:14" ht="22.5" customHeight="1">
      <c r="A6494" s="8">
        <v>46031.984594884256</v>
      </c>
      <c r="B6494" s="9" t="s">
        <v>14</v>
      </c>
      <c r="C6494" s="9" t="s">
        <v>15</v>
      </c>
      <c r="D6494" s="10" t="s">
        <v>7777</v>
      </c>
      <c r="E6494" s="9" t="s">
        <v>17</v>
      </c>
      <c r="F6494" s="10">
        <v>23</v>
      </c>
      <c r="G6494" s="11">
        <f t="shared" ref="G6494" si="193">2347061116217</f>
        <v>2347061116217</v>
      </c>
      <c r="H6494" s="10" t="s">
        <v>7778</v>
      </c>
      <c r="I6494" s="10" t="s">
        <v>45</v>
      </c>
      <c r="J6494" s="10" t="s">
        <v>7779</v>
      </c>
      <c r="K6494" s="12">
        <v>37537</v>
      </c>
      <c r="L6494" s="28" t="s">
        <v>11</v>
      </c>
      <c r="M6494" s="14"/>
      <c r="N6494" s="10" t="s">
        <v>1028</v>
      </c>
    </row>
    <row r="6495" spans="1:14" ht="22.5" customHeight="1">
      <c r="A6495" s="8">
        <v>46031.985651666662</v>
      </c>
      <c r="B6495" s="9" t="s">
        <v>14</v>
      </c>
      <c r="C6495" s="9" t="s">
        <v>15</v>
      </c>
      <c r="D6495" s="10" t="s">
        <v>14098</v>
      </c>
      <c r="E6495" s="9" t="s">
        <v>17</v>
      </c>
      <c r="F6495" s="10">
        <v>30</v>
      </c>
      <c r="G6495" s="11">
        <v>8149100789</v>
      </c>
      <c r="H6495" s="10" t="s">
        <v>4192</v>
      </c>
      <c r="I6495" s="10" t="s">
        <v>27</v>
      </c>
      <c r="J6495" s="10" t="s">
        <v>70</v>
      </c>
      <c r="K6495" s="12">
        <v>46031</v>
      </c>
      <c r="L6495" s="28" t="s">
        <v>11</v>
      </c>
      <c r="M6495" s="14"/>
      <c r="N6495" s="10" t="s">
        <v>1028</v>
      </c>
    </row>
    <row r="6496" spans="1:14" ht="22.5" customHeight="1">
      <c r="A6496" s="8">
        <v>46031.990491331017</v>
      </c>
      <c r="B6496" s="9" t="s">
        <v>14</v>
      </c>
      <c r="C6496" s="9" t="s">
        <v>15</v>
      </c>
      <c r="D6496" s="10" t="s">
        <v>14099</v>
      </c>
      <c r="E6496" s="9" t="s">
        <v>17</v>
      </c>
      <c r="F6496" s="10">
        <v>33</v>
      </c>
      <c r="G6496" s="11">
        <v>7069037750</v>
      </c>
      <c r="H6496" s="10" t="s">
        <v>14100</v>
      </c>
      <c r="I6496" s="10" t="s">
        <v>31</v>
      </c>
      <c r="J6496" s="10" t="s">
        <v>14101</v>
      </c>
      <c r="K6496" s="12">
        <v>46031</v>
      </c>
      <c r="L6496" s="28" t="s">
        <v>11</v>
      </c>
      <c r="M6496" s="14"/>
      <c r="N6496" s="10" t="s">
        <v>1028</v>
      </c>
    </row>
    <row r="6497" spans="1:14" ht="22.5" customHeight="1">
      <c r="A6497" s="8">
        <v>46031.993935833336</v>
      </c>
      <c r="B6497" s="9" t="s">
        <v>14</v>
      </c>
      <c r="C6497" s="9" t="s">
        <v>15</v>
      </c>
      <c r="D6497" s="10" t="s">
        <v>14102</v>
      </c>
      <c r="E6497" s="9" t="s">
        <v>17</v>
      </c>
      <c r="F6497" s="10">
        <v>27</v>
      </c>
      <c r="G6497" s="11">
        <v>7088791601</v>
      </c>
      <c r="H6497" s="10" t="s">
        <v>14103</v>
      </c>
      <c r="I6497" s="10" t="s">
        <v>31</v>
      </c>
      <c r="J6497" s="10" t="s">
        <v>1952</v>
      </c>
      <c r="K6497" s="12">
        <v>46031</v>
      </c>
      <c r="L6497" s="28" t="s">
        <v>11</v>
      </c>
      <c r="M6497" s="14"/>
      <c r="N6497" s="10" t="s">
        <v>1028</v>
      </c>
    </row>
    <row r="6498" spans="1:14" ht="22.5" hidden="1" customHeight="1">
      <c r="A6498" s="8">
        <v>46032.003479953702</v>
      </c>
      <c r="B6498" s="9" t="s">
        <v>14</v>
      </c>
      <c r="C6498" s="9" t="s">
        <v>15</v>
      </c>
      <c r="D6498" s="10" t="s">
        <v>14104</v>
      </c>
      <c r="E6498" s="9" t="s">
        <v>17</v>
      </c>
      <c r="F6498" s="10">
        <v>33</v>
      </c>
      <c r="G6498" s="11">
        <v>8037663449</v>
      </c>
      <c r="H6498" s="10" t="s">
        <v>14105</v>
      </c>
      <c r="I6498" s="10" t="s">
        <v>27</v>
      </c>
      <c r="J6498" s="10" t="s">
        <v>94</v>
      </c>
      <c r="K6498" s="12">
        <v>46032</v>
      </c>
      <c r="L6498" s="10" t="s">
        <v>441</v>
      </c>
      <c r="M6498" s="10" t="s">
        <v>1361</v>
      </c>
      <c r="N6498" s="10" t="s">
        <v>1096</v>
      </c>
    </row>
    <row r="6499" spans="1:14" ht="22.5" customHeight="1">
      <c r="A6499" s="8">
        <v>46032.003594988426</v>
      </c>
      <c r="B6499" s="9" t="s">
        <v>14</v>
      </c>
      <c r="C6499" s="9" t="s">
        <v>15</v>
      </c>
      <c r="D6499" s="10" t="s">
        <v>14106</v>
      </c>
      <c r="E6499" s="9" t="s">
        <v>17</v>
      </c>
      <c r="F6499" s="18">
        <v>26</v>
      </c>
      <c r="G6499" s="11">
        <v>8105874394</v>
      </c>
      <c r="H6499" s="10" t="s">
        <v>14107</v>
      </c>
      <c r="I6499" s="10" t="s">
        <v>145</v>
      </c>
      <c r="J6499" s="10" t="s">
        <v>3584</v>
      </c>
      <c r="K6499" s="12">
        <v>46032</v>
      </c>
      <c r="L6499" s="28" t="s">
        <v>11</v>
      </c>
      <c r="M6499" s="14"/>
      <c r="N6499" s="10" t="s">
        <v>1028</v>
      </c>
    </row>
    <row r="6500" spans="1:14" ht="22.5" customHeight="1">
      <c r="A6500" s="8">
        <v>46032.004821134258</v>
      </c>
      <c r="B6500" s="9" t="s">
        <v>14</v>
      </c>
      <c r="C6500" s="9" t="s">
        <v>15</v>
      </c>
      <c r="D6500" s="10" t="s">
        <v>14108</v>
      </c>
      <c r="E6500" s="9" t="s">
        <v>17</v>
      </c>
      <c r="F6500" s="10">
        <v>27</v>
      </c>
      <c r="G6500" s="11">
        <v>8147310945</v>
      </c>
      <c r="H6500" s="10" t="s">
        <v>14109</v>
      </c>
      <c r="I6500" s="10" t="s">
        <v>45</v>
      </c>
      <c r="J6500" s="10" t="s">
        <v>1919</v>
      </c>
      <c r="K6500" s="12">
        <v>46032</v>
      </c>
      <c r="L6500" s="28" t="s">
        <v>11</v>
      </c>
      <c r="M6500" s="14"/>
      <c r="N6500" s="10" t="s">
        <v>1028</v>
      </c>
    </row>
    <row r="6501" spans="1:14" ht="22.5" customHeight="1">
      <c r="A6501" s="8">
        <v>46032.006759560187</v>
      </c>
      <c r="B6501" s="9" t="s">
        <v>14</v>
      </c>
      <c r="C6501" s="9" t="s">
        <v>15</v>
      </c>
      <c r="D6501" s="10" t="s">
        <v>14110</v>
      </c>
      <c r="E6501" s="9" t="s">
        <v>22</v>
      </c>
      <c r="F6501" s="10">
        <v>37</v>
      </c>
      <c r="G6501" s="11">
        <v>7036340018</v>
      </c>
      <c r="H6501" s="10" t="s">
        <v>9449</v>
      </c>
      <c r="I6501" s="10" t="s">
        <v>45</v>
      </c>
      <c r="J6501" s="10" t="s">
        <v>932</v>
      </c>
      <c r="K6501" s="12">
        <v>46032</v>
      </c>
      <c r="L6501" s="28" t="s">
        <v>11</v>
      </c>
      <c r="M6501" s="14"/>
      <c r="N6501" s="10" t="s">
        <v>1028</v>
      </c>
    </row>
    <row r="6502" spans="1:14" ht="22.5" customHeight="1">
      <c r="A6502" s="8">
        <v>46032.009142476847</v>
      </c>
      <c r="B6502" s="9" t="s">
        <v>14</v>
      </c>
      <c r="C6502" s="9" t="s">
        <v>15</v>
      </c>
      <c r="D6502" s="10" t="s">
        <v>14111</v>
      </c>
      <c r="E6502" s="9" t="s">
        <v>17</v>
      </c>
      <c r="F6502" s="10">
        <v>25</v>
      </c>
      <c r="G6502" s="11">
        <v>7066470009</v>
      </c>
      <c r="H6502" s="10" t="s">
        <v>14112</v>
      </c>
      <c r="I6502" s="10" t="s">
        <v>27</v>
      </c>
      <c r="J6502" s="10" t="s">
        <v>1559</v>
      </c>
      <c r="K6502" s="12">
        <v>46032</v>
      </c>
      <c r="L6502" s="28" t="s">
        <v>11</v>
      </c>
      <c r="M6502" s="14"/>
      <c r="N6502" s="10" t="s">
        <v>1028</v>
      </c>
    </row>
    <row r="6503" spans="1:14" ht="22.5" customHeight="1">
      <c r="A6503" s="8">
        <v>46032.01334701389</v>
      </c>
      <c r="B6503" s="9" t="s">
        <v>14</v>
      </c>
      <c r="C6503" s="9" t="s">
        <v>15</v>
      </c>
      <c r="D6503" s="10" t="s">
        <v>14113</v>
      </c>
      <c r="E6503" s="9" t="s">
        <v>17</v>
      </c>
      <c r="F6503" s="10">
        <v>30</v>
      </c>
      <c r="G6503" s="11">
        <v>9120703792</v>
      </c>
      <c r="H6503" s="10" t="s">
        <v>14114</v>
      </c>
      <c r="I6503" s="10" t="s">
        <v>145</v>
      </c>
      <c r="J6503" s="10" t="s">
        <v>14115</v>
      </c>
      <c r="K6503" s="12">
        <v>46031</v>
      </c>
      <c r="L6503" s="28" t="s">
        <v>11</v>
      </c>
      <c r="M6503" s="14"/>
      <c r="N6503" s="10" t="s">
        <v>1096</v>
      </c>
    </row>
    <row r="6504" spans="1:14" ht="22.5" customHeight="1">
      <c r="A6504" s="8">
        <v>46032.015969467597</v>
      </c>
      <c r="B6504" s="9" t="s">
        <v>14</v>
      </c>
      <c r="C6504" s="9" t="s">
        <v>15</v>
      </c>
      <c r="D6504" s="10" t="s">
        <v>14116</v>
      </c>
      <c r="E6504" s="9" t="s">
        <v>17</v>
      </c>
      <c r="F6504" s="10">
        <v>42</v>
      </c>
      <c r="G6504" s="11">
        <v>8063954413</v>
      </c>
      <c r="H6504" s="10" t="s">
        <v>14117</v>
      </c>
      <c r="I6504" s="10" t="s">
        <v>19</v>
      </c>
      <c r="J6504" s="10" t="s">
        <v>24</v>
      </c>
      <c r="K6504" s="12">
        <v>46032</v>
      </c>
      <c r="L6504" s="28" t="s">
        <v>11</v>
      </c>
      <c r="M6504" s="14"/>
      <c r="N6504" s="10" t="s">
        <v>1028</v>
      </c>
    </row>
    <row r="6505" spans="1:14" ht="22.5" customHeight="1">
      <c r="A6505" s="8">
        <v>46032.035850810185</v>
      </c>
      <c r="B6505" s="9" t="s">
        <v>14</v>
      </c>
      <c r="C6505" s="9" t="s">
        <v>15</v>
      </c>
      <c r="D6505" s="10" t="s">
        <v>14118</v>
      </c>
      <c r="E6505" s="9" t="s">
        <v>17</v>
      </c>
      <c r="F6505" s="10">
        <v>27</v>
      </c>
      <c r="G6505" s="11">
        <f>2349119067923</f>
        <v>2349119067923</v>
      </c>
      <c r="H6505" s="10" t="s">
        <v>14119</v>
      </c>
      <c r="I6505" s="10" t="s">
        <v>45</v>
      </c>
      <c r="J6505" s="10" t="s">
        <v>2072</v>
      </c>
      <c r="K6505" s="12">
        <v>46032</v>
      </c>
      <c r="L6505" s="28" t="s">
        <v>11</v>
      </c>
      <c r="M6505" s="14"/>
      <c r="N6505" s="10" t="s">
        <v>1096</v>
      </c>
    </row>
    <row r="6506" spans="1:14" ht="22.5" customHeight="1">
      <c r="A6506" s="8">
        <v>46032.036573738427</v>
      </c>
      <c r="B6506" s="9" t="s">
        <v>14</v>
      </c>
      <c r="C6506" s="9" t="s">
        <v>15</v>
      </c>
      <c r="D6506" s="10" t="s">
        <v>14120</v>
      </c>
      <c r="E6506" s="9" t="s">
        <v>17</v>
      </c>
      <c r="F6506" s="10">
        <v>32</v>
      </c>
      <c r="G6506" s="11">
        <f>251905421100</f>
        <v>251905421100</v>
      </c>
      <c r="H6506" s="10" t="s">
        <v>14121</v>
      </c>
      <c r="I6506" s="10" t="s">
        <v>19</v>
      </c>
      <c r="J6506" s="10" t="s">
        <v>2809</v>
      </c>
      <c r="K6506" s="12">
        <v>46032</v>
      </c>
      <c r="L6506" s="28" t="s">
        <v>11</v>
      </c>
      <c r="M6506" s="14"/>
      <c r="N6506" s="10" t="s">
        <v>1028</v>
      </c>
    </row>
    <row r="6507" spans="1:14" ht="22.5" customHeight="1">
      <c r="A6507" s="8">
        <v>46032.04426174768</v>
      </c>
      <c r="B6507" s="9" t="s">
        <v>14</v>
      </c>
      <c r="C6507" s="9" t="s">
        <v>15</v>
      </c>
      <c r="D6507" s="10" t="s">
        <v>14122</v>
      </c>
      <c r="E6507" s="9" t="s">
        <v>22</v>
      </c>
      <c r="F6507" s="10">
        <v>28</v>
      </c>
      <c r="G6507" s="11">
        <v>9135671098</v>
      </c>
      <c r="H6507" s="10" t="s">
        <v>14123</v>
      </c>
      <c r="I6507" s="10" t="s">
        <v>19</v>
      </c>
      <c r="J6507" s="10" t="s">
        <v>14124</v>
      </c>
      <c r="K6507" s="12">
        <v>46032</v>
      </c>
      <c r="L6507" s="28" t="s">
        <v>11</v>
      </c>
      <c r="M6507" s="14"/>
      <c r="N6507" s="10" t="s">
        <v>1096</v>
      </c>
    </row>
    <row r="6508" spans="1:14" ht="22.5" customHeight="1">
      <c r="A6508" s="8">
        <v>46032.084882442126</v>
      </c>
      <c r="B6508" s="9" t="s">
        <v>14</v>
      </c>
      <c r="C6508" s="9" t="s">
        <v>15</v>
      </c>
      <c r="D6508" s="10" t="s">
        <v>14125</v>
      </c>
      <c r="E6508" s="9" t="s">
        <v>17</v>
      </c>
      <c r="F6508" s="10">
        <v>32</v>
      </c>
      <c r="G6508" s="11">
        <v>7065619752</v>
      </c>
      <c r="H6508" s="10" t="s">
        <v>14126</v>
      </c>
      <c r="I6508" s="10" t="s">
        <v>45</v>
      </c>
      <c r="J6508" s="10" t="s">
        <v>287</v>
      </c>
      <c r="K6508" s="12">
        <v>46032</v>
      </c>
      <c r="L6508" s="28" t="s">
        <v>11</v>
      </c>
      <c r="M6508" s="14"/>
      <c r="N6508" s="10" t="s">
        <v>1028</v>
      </c>
    </row>
    <row r="6509" spans="1:14" ht="22.5" customHeight="1">
      <c r="A6509" s="8">
        <v>46032.086609120372</v>
      </c>
      <c r="B6509" s="9" t="s">
        <v>14</v>
      </c>
      <c r="C6509" s="9" t="s">
        <v>15</v>
      </c>
      <c r="D6509" s="10" t="s">
        <v>14127</v>
      </c>
      <c r="E6509" s="9" t="s">
        <v>17</v>
      </c>
      <c r="F6509" s="10">
        <v>28</v>
      </c>
      <c r="G6509" s="11">
        <v>8061216015</v>
      </c>
      <c r="H6509" s="10" t="s">
        <v>14128</v>
      </c>
      <c r="I6509" s="10" t="s">
        <v>27</v>
      </c>
      <c r="J6509" s="10" t="s">
        <v>94</v>
      </c>
      <c r="K6509" s="12">
        <v>46032</v>
      </c>
      <c r="L6509" s="28" t="s">
        <v>11</v>
      </c>
      <c r="M6509" s="14"/>
      <c r="N6509" s="10" t="s">
        <v>1028</v>
      </c>
    </row>
    <row r="6510" spans="1:14" ht="22.5" customHeight="1">
      <c r="A6510" s="8">
        <v>46032.12984548611</v>
      </c>
      <c r="B6510" s="9" t="s">
        <v>14</v>
      </c>
      <c r="C6510" s="9" t="s">
        <v>15</v>
      </c>
      <c r="D6510" s="10" t="s">
        <v>14129</v>
      </c>
      <c r="E6510" s="9" t="s">
        <v>17</v>
      </c>
      <c r="F6510" s="10">
        <v>24</v>
      </c>
      <c r="G6510" s="11">
        <v>7011676865</v>
      </c>
      <c r="H6510" s="10" t="s">
        <v>14130</v>
      </c>
      <c r="I6510" s="10" t="s">
        <v>45</v>
      </c>
      <c r="J6510" s="10" t="s">
        <v>125</v>
      </c>
      <c r="K6510" s="12">
        <v>46032</v>
      </c>
      <c r="L6510" s="28" t="s">
        <v>11</v>
      </c>
      <c r="M6510" s="14"/>
      <c r="N6510" s="10" t="s">
        <v>1028</v>
      </c>
    </row>
    <row r="6511" spans="1:14" ht="22.5" customHeight="1">
      <c r="A6511" s="8">
        <v>46032.143302731478</v>
      </c>
      <c r="B6511" s="9" t="s">
        <v>14</v>
      </c>
      <c r="C6511" s="9" t="s">
        <v>15</v>
      </c>
      <c r="D6511" s="10" t="s">
        <v>14131</v>
      </c>
      <c r="E6511" s="9" t="s">
        <v>17</v>
      </c>
      <c r="F6511" s="10">
        <v>35</v>
      </c>
      <c r="G6511" s="11">
        <v>7063605774</v>
      </c>
      <c r="H6511" s="10" t="s">
        <v>14132</v>
      </c>
      <c r="I6511" s="10" t="s">
        <v>27</v>
      </c>
      <c r="J6511" s="10" t="s">
        <v>42</v>
      </c>
      <c r="K6511" s="12">
        <v>46032</v>
      </c>
      <c r="L6511" s="28" t="s">
        <v>11</v>
      </c>
      <c r="M6511" s="14"/>
      <c r="N6511" s="10" t="s">
        <v>1096</v>
      </c>
    </row>
    <row r="6512" spans="1:14" ht="22.5" customHeight="1">
      <c r="A6512" s="8">
        <v>46032.154269293984</v>
      </c>
      <c r="B6512" s="9" t="s">
        <v>14</v>
      </c>
      <c r="C6512" s="9" t="s">
        <v>15</v>
      </c>
      <c r="D6512" s="10" t="s">
        <v>14133</v>
      </c>
      <c r="E6512" s="9" t="s">
        <v>17</v>
      </c>
      <c r="F6512" s="10">
        <v>35</v>
      </c>
      <c r="G6512" s="11">
        <v>7033411857</v>
      </c>
      <c r="H6512" s="10" t="s">
        <v>14134</v>
      </c>
      <c r="I6512" s="10" t="s">
        <v>45</v>
      </c>
      <c r="J6512" s="10" t="s">
        <v>13716</v>
      </c>
      <c r="K6512" s="12">
        <v>46032</v>
      </c>
      <c r="L6512" s="28" t="s">
        <v>11</v>
      </c>
      <c r="M6512" s="14"/>
      <c r="N6512" s="10" t="s">
        <v>1096</v>
      </c>
    </row>
    <row r="6513" spans="1:14" ht="22.5" customHeight="1">
      <c r="A6513" s="8">
        <v>46032.172089791668</v>
      </c>
      <c r="B6513" s="9" t="s">
        <v>14</v>
      </c>
      <c r="C6513" s="9" t="s">
        <v>15</v>
      </c>
      <c r="D6513" s="10" t="s">
        <v>14135</v>
      </c>
      <c r="E6513" s="9" t="s">
        <v>17</v>
      </c>
      <c r="F6513" s="10">
        <v>35</v>
      </c>
      <c r="G6513" s="11">
        <v>8164564914</v>
      </c>
      <c r="H6513" s="10" t="s">
        <v>14136</v>
      </c>
      <c r="I6513" s="10" t="s">
        <v>31</v>
      </c>
      <c r="J6513" s="10" t="s">
        <v>2410</v>
      </c>
      <c r="K6513" s="12">
        <v>46032</v>
      </c>
      <c r="L6513" s="28" t="s">
        <v>11</v>
      </c>
      <c r="M6513" s="14"/>
      <c r="N6513" s="10" t="s">
        <v>1028</v>
      </c>
    </row>
    <row r="6514" spans="1:14" ht="22.5" customHeight="1">
      <c r="A6514" s="8">
        <v>46032.193329837959</v>
      </c>
      <c r="B6514" s="9" t="s">
        <v>14</v>
      </c>
      <c r="C6514" s="9" t="s">
        <v>15</v>
      </c>
      <c r="D6514" s="10" t="s">
        <v>14137</v>
      </c>
      <c r="E6514" s="9" t="s">
        <v>17</v>
      </c>
      <c r="F6514" s="10">
        <v>31</v>
      </c>
      <c r="G6514" s="11">
        <v>9039392935</v>
      </c>
      <c r="H6514" s="10" t="s">
        <v>14138</v>
      </c>
      <c r="I6514" s="10" t="s">
        <v>19</v>
      </c>
      <c r="J6514" s="10" t="s">
        <v>14139</v>
      </c>
      <c r="K6514" s="12">
        <v>46032</v>
      </c>
      <c r="L6514" s="28" t="s">
        <v>11</v>
      </c>
      <c r="M6514" s="14"/>
      <c r="N6514" s="10" t="s">
        <v>1028</v>
      </c>
    </row>
    <row r="6515" spans="1:14" ht="22.5" customHeight="1">
      <c r="A6515" s="8">
        <v>46032.212953587965</v>
      </c>
      <c r="B6515" s="9" t="s">
        <v>14</v>
      </c>
      <c r="C6515" s="9" t="s">
        <v>15</v>
      </c>
      <c r="D6515" s="10" t="s">
        <v>14140</v>
      </c>
      <c r="E6515" s="9" t="s">
        <v>17</v>
      </c>
      <c r="F6515" s="10">
        <v>27</v>
      </c>
      <c r="G6515" s="11">
        <v>8067136074</v>
      </c>
      <c r="H6515" s="10" t="s">
        <v>14141</v>
      </c>
      <c r="I6515" s="10" t="s">
        <v>49</v>
      </c>
      <c r="J6515" s="10" t="s">
        <v>14142</v>
      </c>
      <c r="K6515" s="12">
        <v>46032</v>
      </c>
      <c r="L6515" s="28" t="s">
        <v>11</v>
      </c>
      <c r="M6515" s="14"/>
      <c r="N6515" s="10" t="s">
        <v>845</v>
      </c>
    </row>
    <row r="6516" spans="1:14" ht="22.5" customHeight="1">
      <c r="A6516" s="8">
        <v>46032.250524745366</v>
      </c>
      <c r="B6516" s="9" t="s">
        <v>14</v>
      </c>
      <c r="C6516" s="9" t="s">
        <v>15</v>
      </c>
      <c r="D6516" s="10" t="s">
        <v>14143</v>
      </c>
      <c r="E6516" s="9" t="s">
        <v>17</v>
      </c>
      <c r="F6516" s="10">
        <v>30</v>
      </c>
      <c r="G6516" s="11">
        <v>8080274108</v>
      </c>
      <c r="H6516" s="10" t="s">
        <v>14144</v>
      </c>
      <c r="I6516" s="10" t="s">
        <v>27</v>
      </c>
      <c r="J6516" s="10" t="s">
        <v>2836</v>
      </c>
      <c r="K6516" s="12">
        <v>46032</v>
      </c>
      <c r="L6516" s="28" t="s">
        <v>11</v>
      </c>
      <c r="M6516" s="14"/>
      <c r="N6516" s="10" t="s">
        <v>1028</v>
      </c>
    </row>
    <row r="6517" spans="1:14" ht="22.5" customHeight="1">
      <c r="A6517" s="8">
        <v>46032.261708692131</v>
      </c>
      <c r="B6517" s="9" t="s">
        <v>14</v>
      </c>
      <c r="C6517" s="9" t="s">
        <v>15</v>
      </c>
      <c r="D6517" s="10" t="s">
        <v>14145</v>
      </c>
      <c r="E6517" s="9" t="s">
        <v>17</v>
      </c>
      <c r="F6517" s="10">
        <v>31</v>
      </c>
      <c r="G6517" s="11">
        <v>7068131345</v>
      </c>
      <c r="H6517" s="10" t="s">
        <v>14146</v>
      </c>
      <c r="I6517" s="10" t="s">
        <v>19</v>
      </c>
      <c r="J6517" s="10" t="s">
        <v>5434</v>
      </c>
      <c r="K6517" s="12">
        <v>46032</v>
      </c>
      <c r="L6517" s="28" t="s">
        <v>11</v>
      </c>
      <c r="M6517" s="14"/>
      <c r="N6517" s="10" t="s">
        <v>1028</v>
      </c>
    </row>
    <row r="6518" spans="1:14" ht="22.5" customHeight="1">
      <c r="A6518" s="8">
        <v>46032.262257060182</v>
      </c>
      <c r="B6518" s="9" t="s">
        <v>14</v>
      </c>
      <c r="C6518" s="9" t="s">
        <v>15</v>
      </c>
      <c r="D6518" s="10" t="s">
        <v>14147</v>
      </c>
      <c r="E6518" s="9" t="s">
        <v>17</v>
      </c>
      <c r="F6518" s="10">
        <v>33</v>
      </c>
      <c r="G6518" s="11">
        <f t="shared" ref="G6518" si="194">2348135355056</f>
        <v>2348135355056</v>
      </c>
      <c r="H6518" s="10" t="s">
        <v>14148</v>
      </c>
      <c r="I6518" s="10" t="s">
        <v>45</v>
      </c>
      <c r="J6518" s="10" t="s">
        <v>14149</v>
      </c>
      <c r="K6518" s="12">
        <v>46032</v>
      </c>
      <c r="L6518" s="28" t="s">
        <v>11</v>
      </c>
      <c r="M6518" s="14"/>
      <c r="N6518" s="10" t="s">
        <v>1096</v>
      </c>
    </row>
    <row r="6519" spans="1:14" ht="22.5" customHeight="1">
      <c r="A6519" s="8">
        <v>46032.262279895833</v>
      </c>
      <c r="B6519" s="9" t="s">
        <v>14</v>
      </c>
      <c r="C6519" s="9" t="s">
        <v>15</v>
      </c>
      <c r="D6519" s="10" t="s">
        <v>14150</v>
      </c>
      <c r="E6519" s="9" t="s">
        <v>17</v>
      </c>
      <c r="F6519" s="10">
        <v>32</v>
      </c>
      <c r="G6519" s="11">
        <v>7035001685</v>
      </c>
      <c r="H6519" s="10" t="s">
        <v>14151</v>
      </c>
      <c r="I6519" s="10" t="s">
        <v>19</v>
      </c>
      <c r="J6519" s="10" t="s">
        <v>24</v>
      </c>
      <c r="K6519" s="12">
        <v>46032</v>
      </c>
      <c r="L6519" s="28" t="s">
        <v>11</v>
      </c>
      <c r="M6519" s="14"/>
      <c r="N6519" s="10" t="s">
        <v>1028</v>
      </c>
    </row>
    <row r="6520" spans="1:14" ht="22.5" customHeight="1">
      <c r="A6520" s="8">
        <v>46032.262895034721</v>
      </c>
      <c r="B6520" s="9" t="s">
        <v>14</v>
      </c>
      <c r="C6520" s="9" t="s">
        <v>15</v>
      </c>
      <c r="D6520" s="10" t="s">
        <v>14152</v>
      </c>
      <c r="E6520" s="9" t="s">
        <v>17</v>
      </c>
      <c r="F6520" s="10">
        <v>35</v>
      </c>
      <c r="G6520" s="11">
        <v>7045246291</v>
      </c>
      <c r="H6520" s="10" t="s">
        <v>14153</v>
      </c>
      <c r="I6520" s="10" t="s">
        <v>31</v>
      </c>
      <c r="J6520" s="10" t="s">
        <v>32</v>
      </c>
      <c r="K6520" s="12">
        <v>46032</v>
      </c>
      <c r="L6520" s="28" t="s">
        <v>11</v>
      </c>
      <c r="M6520" s="14"/>
      <c r="N6520" s="10" t="s">
        <v>1028</v>
      </c>
    </row>
    <row r="6521" spans="1:14" ht="22.5" customHeight="1">
      <c r="A6521" s="8">
        <v>46032.267437060189</v>
      </c>
      <c r="B6521" s="9" t="s">
        <v>14</v>
      </c>
      <c r="C6521" s="9" t="s">
        <v>15</v>
      </c>
      <c r="D6521" s="10" t="s">
        <v>14154</v>
      </c>
      <c r="E6521" s="9" t="s">
        <v>17</v>
      </c>
      <c r="F6521" s="10">
        <v>33</v>
      </c>
      <c r="G6521" s="11">
        <f>265993333802</f>
        <v>265993333802</v>
      </c>
      <c r="H6521" s="10" t="s">
        <v>14155</v>
      </c>
      <c r="I6521" s="10" t="s">
        <v>202</v>
      </c>
      <c r="J6521" s="10" t="s">
        <v>14156</v>
      </c>
      <c r="K6521" s="12">
        <v>46032</v>
      </c>
      <c r="L6521" s="28" t="s">
        <v>11</v>
      </c>
      <c r="M6521" s="14"/>
      <c r="N6521" s="10" t="s">
        <v>1028</v>
      </c>
    </row>
    <row r="6522" spans="1:14" ht="22.5" customHeight="1">
      <c r="A6522" s="8">
        <v>46032.268178020837</v>
      </c>
      <c r="B6522" s="9" t="s">
        <v>14</v>
      </c>
      <c r="C6522" s="9" t="s">
        <v>15</v>
      </c>
      <c r="D6522" s="10" t="s">
        <v>14157</v>
      </c>
      <c r="E6522" s="9" t="s">
        <v>17</v>
      </c>
      <c r="F6522" s="10">
        <v>28</v>
      </c>
      <c r="G6522" s="11">
        <v>8077928814</v>
      </c>
      <c r="H6522" s="10" t="s">
        <v>14158</v>
      </c>
      <c r="I6522" s="10" t="s">
        <v>27</v>
      </c>
      <c r="J6522" s="10" t="s">
        <v>3066</v>
      </c>
      <c r="K6522" s="12">
        <v>46032</v>
      </c>
      <c r="L6522" s="28" t="s">
        <v>11</v>
      </c>
      <c r="M6522" s="14"/>
      <c r="N6522" s="10" t="s">
        <v>1028</v>
      </c>
    </row>
    <row r="6523" spans="1:14" ht="22.5" customHeight="1">
      <c r="A6523" s="8">
        <v>46032.272975173611</v>
      </c>
      <c r="B6523" s="9" t="s">
        <v>14</v>
      </c>
      <c r="C6523" s="9" t="s">
        <v>15</v>
      </c>
      <c r="D6523" s="10" t="s">
        <v>14159</v>
      </c>
      <c r="E6523" s="9" t="s">
        <v>22</v>
      </c>
      <c r="F6523" s="10">
        <v>23</v>
      </c>
      <c r="G6523" s="11">
        <v>8128237654</v>
      </c>
      <c r="H6523" s="10" t="s">
        <v>14160</v>
      </c>
      <c r="I6523" s="10" t="s">
        <v>202</v>
      </c>
      <c r="J6523" s="10" t="s">
        <v>4005</v>
      </c>
      <c r="K6523" s="12">
        <v>46032</v>
      </c>
      <c r="L6523" s="28" t="s">
        <v>11</v>
      </c>
      <c r="M6523" s="14"/>
      <c r="N6523" s="10" t="s">
        <v>1028</v>
      </c>
    </row>
    <row r="6524" spans="1:14" ht="22.5" customHeight="1">
      <c r="A6524" s="8">
        <v>46032.273171238427</v>
      </c>
      <c r="B6524" s="9" t="s">
        <v>14</v>
      </c>
      <c r="C6524" s="9" t="s">
        <v>15</v>
      </c>
      <c r="D6524" s="10" t="s">
        <v>14161</v>
      </c>
      <c r="E6524" s="9" t="s">
        <v>22</v>
      </c>
      <c r="F6524" s="10">
        <v>28</v>
      </c>
      <c r="G6524" s="11">
        <v>7032444277</v>
      </c>
      <c r="H6524" s="10" t="s">
        <v>14162</v>
      </c>
      <c r="I6524" s="10" t="s">
        <v>19</v>
      </c>
      <c r="J6524" s="10" t="s">
        <v>3369</v>
      </c>
      <c r="K6524" s="12">
        <v>46032</v>
      </c>
      <c r="L6524" s="28" t="s">
        <v>11</v>
      </c>
      <c r="M6524" s="14"/>
      <c r="N6524" s="10" t="s">
        <v>1028</v>
      </c>
    </row>
    <row r="6525" spans="1:14" ht="22.5" customHeight="1">
      <c r="A6525" s="8">
        <v>46032.274059386575</v>
      </c>
      <c r="B6525" s="9" t="s">
        <v>14</v>
      </c>
      <c r="C6525" s="9" t="s">
        <v>15</v>
      </c>
      <c r="D6525" s="10" t="s">
        <v>14163</v>
      </c>
      <c r="E6525" s="9" t="s">
        <v>17</v>
      </c>
      <c r="F6525" s="10">
        <v>26</v>
      </c>
      <c r="G6525" s="11">
        <v>8138277044</v>
      </c>
      <c r="H6525" s="10" t="s">
        <v>14164</v>
      </c>
      <c r="I6525" s="10" t="s">
        <v>27</v>
      </c>
      <c r="J6525" s="10" t="s">
        <v>14165</v>
      </c>
      <c r="K6525" s="12">
        <v>46032</v>
      </c>
      <c r="L6525" s="28" t="s">
        <v>11</v>
      </c>
      <c r="M6525" s="14"/>
      <c r="N6525" s="10" t="s">
        <v>1096</v>
      </c>
    </row>
    <row r="6526" spans="1:14" ht="22.5" customHeight="1">
      <c r="A6526" s="8">
        <v>46032.276977083333</v>
      </c>
      <c r="B6526" s="9" t="s">
        <v>14</v>
      </c>
      <c r="C6526" s="9" t="s">
        <v>15</v>
      </c>
      <c r="D6526" s="10" t="s">
        <v>14166</v>
      </c>
      <c r="E6526" s="9" t="s">
        <v>22</v>
      </c>
      <c r="F6526" s="10">
        <v>35</v>
      </c>
      <c r="G6526" s="11">
        <v>8135348338</v>
      </c>
      <c r="H6526" s="10" t="s">
        <v>14167</v>
      </c>
      <c r="I6526" s="10" t="s">
        <v>27</v>
      </c>
      <c r="J6526" s="10" t="s">
        <v>4769</v>
      </c>
      <c r="K6526" s="12">
        <v>46032</v>
      </c>
      <c r="L6526" s="28" t="s">
        <v>11</v>
      </c>
      <c r="M6526" s="14"/>
      <c r="N6526" s="10" t="s">
        <v>1028</v>
      </c>
    </row>
    <row r="6527" spans="1:14" ht="22.5" customHeight="1">
      <c r="A6527" s="8">
        <v>46032.278338252319</v>
      </c>
      <c r="B6527" s="9" t="s">
        <v>14</v>
      </c>
      <c r="C6527" s="9" t="s">
        <v>15</v>
      </c>
      <c r="D6527" s="10" t="s">
        <v>14168</v>
      </c>
      <c r="E6527" s="9" t="s">
        <v>17</v>
      </c>
      <c r="F6527" s="10">
        <v>34</v>
      </c>
      <c r="G6527" s="11">
        <v>7063538520</v>
      </c>
      <c r="H6527" s="10" t="s">
        <v>14169</v>
      </c>
      <c r="I6527" s="10" t="s">
        <v>27</v>
      </c>
      <c r="J6527" s="10" t="s">
        <v>70</v>
      </c>
      <c r="K6527" s="12">
        <v>46032</v>
      </c>
      <c r="L6527" s="28" t="s">
        <v>11</v>
      </c>
      <c r="M6527" s="14"/>
      <c r="N6527" s="10" t="s">
        <v>1028</v>
      </c>
    </row>
    <row r="6528" spans="1:14" ht="22.5" customHeight="1">
      <c r="A6528" s="8">
        <v>46032.280731597217</v>
      </c>
      <c r="B6528" s="9" t="s">
        <v>14</v>
      </c>
      <c r="C6528" s="9" t="s">
        <v>15</v>
      </c>
      <c r="D6528" s="10" t="s">
        <v>14170</v>
      </c>
      <c r="E6528" s="9" t="s">
        <v>17</v>
      </c>
      <c r="F6528" s="10">
        <v>24</v>
      </c>
      <c r="G6528" s="11">
        <v>7069033031</v>
      </c>
      <c r="H6528" s="10" t="s">
        <v>14171</v>
      </c>
      <c r="I6528" s="10" t="s">
        <v>27</v>
      </c>
      <c r="J6528" s="10" t="s">
        <v>1559</v>
      </c>
      <c r="K6528" s="12">
        <v>46032</v>
      </c>
      <c r="L6528" s="28" t="s">
        <v>11</v>
      </c>
      <c r="M6528" s="14"/>
      <c r="N6528" s="10" t="s">
        <v>1028</v>
      </c>
    </row>
    <row r="6529" spans="1:14" ht="22.5" customHeight="1">
      <c r="A6529" s="8">
        <v>46032.282626284723</v>
      </c>
      <c r="B6529" s="9" t="s">
        <v>14</v>
      </c>
      <c r="C6529" s="9" t="s">
        <v>15</v>
      </c>
      <c r="D6529" s="10" t="s">
        <v>3766</v>
      </c>
      <c r="E6529" s="9" t="s">
        <v>22</v>
      </c>
      <c r="F6529" s="10">
        <v>30</v>
      </c>
      <c r="G6529" s="11">
        <v>8160915960</v>
      </c>
      <c r="H6529" s="10" t="s">
        <v>14172</v>
      </c>
      <c r="I6529" s="10" t="s">
        <v>31</v>
      </c>
      <c r="J6529" s="10" t="s">
        <v>32</v>
      </c>
      <c r="K6529" s="12">
        <v>46266</v>
      </c>
      <c r="L6529" s="28" t="s">
        <v>11</v>
      </c>
      <c r="M6529" s="14"/>
      <c r="N6529" s="10" t="s">
        <v>1096</v>
      </c>
    </row>
    <row r="6530" spans="1:14" ht="22.5" customHeight="1">
      <c r="A6530" s="8">
        <v>46032.293454456019</v>
      </c>
      <c r="B6530" s="9" t="s">
        <v>14</v>
      </c>
      <c r="C6530" s="9" t="s">
        <v>15</v>
      </c>
      <c r="D6530" s="10" t="s">
        <v>14173</v>
      </c>
      <c r="E6530" s="9" t="s">
        <v>22</v>
      </c>
      <c r="F6530" s="10">
        <v>26</v>
      </c>
      <c r="G6530" s="11">
        <v>7062666203</v>
      </c>
      <c r="H6530" s="10" t="s">
        <v>14174</v>
      </c>
      <c r="I6530" s="10" t="s">
        <v>27</v>
      </c>
      <c r="J6530" s="10" t="s">
        <v>9381</v>
      </c>
      <c r="K6530" s="12">
        <v>46032</v>
      </c>
      <c r="L6530" s="28" t="s">
        <v>11</v>
      </c>
      <c r="M6530" s="14"/>
      <c r="N6530" s="10" t="s">
        <v>1028</v>
      </c>
    </row>
    <row r="6531" spans="1:14" ht="22.5" customHeight="1">
      <c r="A6531" s="8">
        <v>46032.293868043984</v>
      </c>
      <c r="B6531" s="9" t="s">
        <v>14</v>
      </c>
      <c r="C6531" s="9" t="s">
        <v>15</v>
      </c>
      <c r="D6531" s="10" t="s">
        <v>14175</v>
      </c>
      <c r="E6531" s="9" t="s">
        <v>17</v>
      </c>
      <c r="F6531" s="10">
        <v>30</v>
      </c>
      <c r="G6531" s="11">
        <v>8166830893</v>
      </c>
      <c r="H6531" s="10" t="s">
        <v>14176</v>
      </c>
      <c r="I6531" s="10" t="s">
        <v>19</v>
      </c>
      <c r="J6531" s="10" t="s">
        <v>3369</v>
      </c>
      <c r="K6531" s="12">
        <v>46032</v>
      </c>
      <c r="L6531" s="28" t="s">
        <v>11</v>
      </c>
      <c r="M6531" s="14"/>
      <c r="N6531" s="10" t="s">
        <v>1028</v>
      </c>
    </row>
    <row r="6532" spans="1:14" ht="22.5" customHeight="1">
      <c r="A6532" s="8">
        <v>46032.294680347222</v>
      </c>
      <c r="B6532" s="9" t="s">
        <v>14</v>
      </c>
      <c r="C6532" s="9" t="s">
        <v>15</v>
      </c>
      <c r="D6532" s="10" t="s">
        <v>14177</v>
      </c>
      <c r="E6532" s="9" t="s">
        <v>17</v>
      </c>
      <c r="F6532" s="10">
        <v>35</v>
      </c>
      <c r="G6532" s="11">
        <v>8035841441</v>
      </c>
      <c r="H6532" s="10" t="s">
        <v>14178</v>
      </c>
      <c r="I6532" s="10" t="s">
        <v>49</v>
      </c>
      <c r="J6532" s="10" t="s">
        <v>362</v>
      </c>
      <c r="K6532" s="12">
        <v>46032</v>
      </c>
      <c r="L6532" s="28" t="s">
        <v>11</v>
      </c>
      <c r="M6532" s="14"/>
      <c r="N6532" s="10" t="s">
        <v>1096</v>
      </c>
    </row>
    <row r="6533" spans="1:14" ht="22.5" customHeight="1">
      <c r="A6533" s="8">
        <v>46032.297281504631</v>
      </c>
      <c r="B6533" s="9" t="s">
        <v>14</v>
      </c>
      <c r="C6533" s="9" t="s">
        <v>15</v>
      </c>
      <c r="D6533" s="10" t="s">
        <v>14179</v>
      </c>
      <c r="E6533" s="9" t="s">
        <v>17</v>
      </c>
      <c r="F6533" s="10">
        <v>28</v>
      </c>
      <c r="G6533" s="11">
        <f>2349043673420</f>
        <v>2349043673420</v>
      </c>
      <c r="H6533" s="10" t="s">
        <v>14180</v>
      </c>
      <c r="I6533" s="10" t="s">
        <v>27</v>
      </c>
      <c r="J6533" s="10" t="s">
        <v>67</v>
      </c>
      <c r="K6533" s="12">
        <v>46032</v>
      </c>
      <c r="L6533" s="28" t="s">
        <v>11</v>
      </c>
      <c r="M6533" s="14"/>
      <c r="N6533" s="10" t="s">
        <v>1096</v>
      </c>
    </row>
    <row r="6534" spans="1:14" ht="22.5" customHeight="1">
      <c r="A6534" s="8">
        <v>46032.301138703704</v>
      </c>
      <c r="B6534" s="9" t="s">
        <v>14</v>
      </c>
      <c r="C6534" s="9" t="s">
        <v>15</v>
      </c>
      <c r="D6534" s="10" t="s">
        <v>14181</v>
      </c>
      <c r="E6534" s="9" t="s">
        <v>22</v>
      </c>
      <c r="F6534" s="10">
        <v>27</v>
      </c>
      <c r="G6534" s="11">
        <v>7034697710</v>
      </c>
      <c r="H6534" s="10" t="s">
        <v>14182</v>
      </c>
      <c r="I6534" s="10" t="s">
        <v>49</v>
      </c>
      <c r="J6534" s="10" t="s">
        <v>109</v>
      </c>
      <c r="K6534" s="12">
        <v>46032</v>
      </c>
      <c r="L6534" s="28" t="s">
        <v>11</v>
      </c>
      <c r="M6534" s="14"/>
      <c r="N6534" s="10" t="s">
        <v>1028</v>
      </c>
    </row>
    <row r="6535" spans="1:14" ht="22.5" hidden="1" customHeight="1">
      <c r="A6535" s="8">
        <v>46032.30238079861</v>
      </c>
      <c r="B6535" s="9" t="s">
        <v>14</v>
      </c>
      <c r="C6535" s="9" t="s">
        <v>15</v>
      </c>
      <c r="D6535" s="10" t="s">
        <v>14183</v>
      </c>
      <c r="E6535" s="9" t="s">
        <v>22</v>
      </c>
      <c r="F6535" s="10">
        <v>26</v>
      </c>
      <c r="G6535" s="11">
        <f t="shared" ref="G6535" si="195">2348069317560</f>
        <v>2348069317560</v>
      </c>
      <c r="H6535" s="10" t="s">
        <v>14184</v>
      </c>
      <c r="I6535" s="10" t="s">
        <v>27</v>
      </c>
      <c r="J6535" s="10" t="s">
        <v>2639</v>
      </c>
      <c r="K6535" s="12">
        <v>46032</v>
      </c>
      <c r="L6535" s="10" t="s">
        <v>441</v>
      </c>
      <c r="M6535" s="10" t="s">
        <v>12854</v>
      </c>
      <c r="N6535" s="10" t="s">
        <v>1096</v>
      </c>
    </row>
    <row r="6536" spans="1:14" ht="22.5" customHeight="1">
      <c r="A6536" s="8">
        <v>46032.305403148144</v>
      </c>
      <c r="B6536" s="9" t="s">
        <v>14</v>
      </c>
      <c r="C6536" s="9" t="s">
        <v>15</v>
      </c>
      <c r="D6536" s="10" t="s">
        <v>13790</v>
      </c>
      <c r="E6536" s="9" t="s">
        <v>22</v>
      </c>
      <c r="F6536" s="10">
        <v>26</v>
      </c>
      <c r="G6536" s="11">
        <v>8037961408</v>
      </c>
      <c r="H6536" s="10" t="s">
        <v>14185</v>
      </c>
      <c r="I6536" s="10" t="s">
        <v>27</v>
      </c>
      <c r="J6536" s="10" t="s">
        <v>94</v>
      </c>
      <c r="K6536" s="12">
        <v>46032</v>
      </c>
      <c r="L6536" s="28" t="s">
        <v>11</v>
      </c>
      <c r="M6536" s="14"/>
      <c r="N6536" s="10" t="s">
        <v>1028</v>
      </c>
    </row>
    <row r="6537" spans="1:14" ht="22.5" customHeight="1">
      <c r="A6537" s="8">
        <v>46032.309922696761</v>
      </c>
      <c r="B6537" s="9" t="s">
        <v>14</v>
      </c>
      <c r="C6537" s="9" t="s">
        <v>15</v>
      </c>
      <c r="D6537" s="10" t="s">
        <v>14186</v>
      </c>
      <c r="E6537" s="9" t="s">
        <v>17</v>
      </c>
      <c r="F6537" s="10">
        <v>26</v>
      </c>
      <c r="G6537" s="11">
        <v>7082837354</v>
      </c>
      <c r="H6537" s="10" t="s">
        <v>14187</v>
      </c>
      <c r="I6537" s="10" t="s">
        <v>19</v>
      </c>
      <c r="J6537" s="10" t="s">
        <v>3369</v>
      </c>
      <c r="K6537" s="12">
        <v>46032</v>
      </c>
      <c r="L6537" s="28" t="s">
        <v>11</v>
      </c>
      <c r="M6537" s="14"/>
      <c r="N6537" s="10" t="s">
        <v>1028</v>
      </c>
    </row>
    <row r="6538" spans="1:14" ht="22.5" customHeight="1">
      <c r="A6538" s="8">
        <v>46032.31052003472</v>
      </c>
      <c r="B6538" s="9" t="s">
        <v>14</v>
      </c>
      <c r="C6538" s="9" t="s">
        <v>15</v>
      </c>
      <c r="D6538" s="10" t="s">
        <v>14188</v>
      </c>
      <c r="E6538" s="9" t="s">
        <v>17</v>
      </c>
      <c r="F6538" s="10">
        <v>41</v>
      </c>
      <c r="G6538" s="11">
        <v>8066446400</v>
      </c>
      <c r="H6538" s="10" t="s">
        <v>14189</v>
      </c>
      <c r="I6538" s="10" t="s">
        <v>19</v>
      </c>
      <c r="J6538" s="10" t="s">
        <v>12740</v>
      </c>
      <c r="K6538" s="12">
        <v>46032</v>
      </c>
      <c r="L6538" s="28" t="s">
        <v>11</v>
      </c>
      <c r="M6538" s="14"/>
      <c r="N6538" s="10" t="s">
        <v>1028</v>
      </c>
    </row>
    <row r="6539" spans="1:14" ht="22.5" customHeight="1">
      <c r="A6539" s="8">
        <v>46032.319260925928</v>
      </c>
      <c r="B6539" s="9" t="s">
        <v>14</v>
      </c>
      <c r="C6539" s="9" t="s">
        <v>15</v>
      </c>
      <c r="D6539" s="10" t="s">
        <v>14190</v>
      </c>
      <c r="E6539" s="9" t="s">
        <v>17</v>
      </c>
      <c r="F6539" s="10">
        <v>27</v>
      </c>
      <c r="G6539" s="11">
        <v>9033396097</v>
      </c>
      <c r="H6539" s="10" t="s">
        <v>14191</v>
      </c>
      <c r="I6539" s="10" t="s">
        <v>27</v>
      </c>
      <c r="J6539" s="10" t="s">
        <v>14192</v>
      </c>
      <c r="K6539" s="12">
        <v>46032</v>
      </c>
      <c r="L6539" s="28" t="s">
        <v>11</v>
      </c>
      <c r="M6539" s="14"/>
      <c r="N6539" s="10" t="s">
        <v>1140</v>
      </c>
    </row>
    <row r="6540" spans="1:14" ht="22.5" customHeight="1">
      <c r="A6540" s="8">
        <v>46032.325469467592</v>
      </c>
      <c r="B6540" s="9" t="s">
        <v>14</v>
      </c>
      <c r="C6540" s="9" t="s">
        <v>15</v>
      </c>
      <c r="D6540" s="10" t="s">
        <v>14193</v>
      </c>
      <c r="E6540" s="9" t="s">
        <v>22</v>
      </c>
      <c r="F6540" s="10">
        <v>34</v>
      </c>
      <c r="G6540" s="11">
        <v>8034240953</v>
      </c>
      <c r="H6540" s="10" t="s">
        <v>14194</v>
      </c>
      <c r="I6540" s="10" t="s">
        <v>19</v>
      </c>
      <c r="J6540" s="10" t="s">
        <v>14195</v>
      </c>
      <c r="K6540" s="12">
        <v>46032</v>
      </c>
      <c r="L6540" s="28" t="s">
        <v>11</v>
      </c>
      <c r="M6540" s="14"/>
      <c r="N6540" s="10" t="s">
        <v>1028</v>
      </c>
    </row>
    <row r="6541" spans="1:14" ht="22.5" customHeight="1">
      <c r="A6541" s="8">
        <v>46032.32682894676</v>
      </c>
      <c r="B6541" s="9" t="s">
        <v>14</v>
      </c>
      <c r="C6541" s="9" t="s">
        <v>15</v>
      </c>
      <c r="D6541" s="10" t="s">
        <v>14196</v>
      </c>
      <c r="E6541" s="9" t="s">
        <v>17</v>
      </c>
      <c r="F6541" s="10">
        <v>18</v>
      </c>
      <c r="G6541" s="11">
        <v>8065858739</v>
      </c>
      <c r="H6541" s="10" t="s">
        <v>14197</v>
      </c>
      <c r="I6541" s="10" t="s">
        <v>27</v>
      </c>
      <c r="J6541" s="10" t="s">
        <v>1672</v>
      </c>
      <c r="K6541" s="12">
        <v>46032</v>
      </c>
      <c r="L6541" s="28" t="s">
        <v>11</v>
      </c>
      <c r="M6541" s="14"/>
      <c r="N6541" s="10" t="s">
        <v>1028</v>
      </c>
    </row>
    <row r="6542" spans="1:14" ht="22.5" customHeight="1">
      <c r="A6542" s="8">
        <v>46032.328954016208</v>
      </c>
      <c r="B6542" s="9" t="s">
        <v>14</v>
      </c>
      <c r="C6542" s="9" t="s">
        <v>15</v>
      </c>
      <c r="D6542" s="10" t="s">
        <v>14198</v>
      </c>
      <c r="E6542" s="9" t="s">
        <v>22</v>
      </c>
      <c r="F6542" s="10">
        <v>39</v>
      </c>
      <c r="G6542" s="11">
        <v>8146939230</v>
      </c>
      <c r="H6542" s="10" t="s">
        <v>14199</v>
      </c>
      <c r="I6542" s="10" t="s">
        <v>27</v>
      </c>
      <c r="J6542" s="10" t="s">
        <v>94</v>
      </c>
      <c r="K6542" s="12">
        <v>46032</v>
      </c>
      <c r="L6542" s="28" t="s">
        <v>11</v>
      </c>
      <c r="M6542" s="10"/>
      <c r="N6542" s="10" t="s">
        <v>1028</v>
      </c>
    </row>
    <row r="6543" spans="1:14" ht="22.5" customHeight="1">
      <c r="A6543" s="8">
        <v>46032.32945287037</v>
      </c>
      <c r="B6543" s="9" t="s">
        <v>14</v>
      </c>
      <c r="C6543" s="9" t="s">
        <v>15</v>
      </c>
      <c r="D6543" s="10" t="s">
        <v>14200</v>
      </c>
      <c r="E6543" s="9" t="s">
        <v>17</v>
      </c>
      <c r="F6543" s="10">
        <v>30</v>
      </c>
      <c r="G6543" s="11">
        <v>8137093057</v>
      </c>
      <c r="H6543" s="10" t="s">
        <v>14201</v>
      </c>
      <c r="I6543" s="10" t="s">
        <v>27</v>
      </c>
      <c r="J6543" s="10" t="s">
        <v>1570</v>
      </c>
      <c r="K6543" s="12">
        <v>46032</v>
      </c>
      <c r="L6543" s="28" t="s">
        <v>11</v>
      </c>
      <c r="M6543" s="14"/>
      <c r="N6543" s="10" t="s">
        <v>1028</v>
      </c>
    </row>
    <row r="6544" spans="1:14" ht="22.5" customHeight="1">
      <c r="A6544" s="8">
        <v>46032.334075937499</v>
      </c>
      <c r="B6544" s="9" t="s">
        <v>14</v>
      </c>
      <c r="C6544" s="9" t="s">
        <v>15</v>
      </c>
      <c r="D6544" s="10" t="s">
        <v>14202</v>
      </c>
      <c r="E6544" s="9" t="s">
        <v>22</v>
      </c>
      <c r="F6544" s="10">
        <v>27</v>
      </c>
      <c r="G6544" s="11">
        <v>7088264971</v>
      </c>
      <c r="H6544" s="10" t="s">
        <v>14203</v>
      </c>
      <c r="I6544" s="10" t="s">
        <v>45</v>
      </c>
      <c r="J6544" s="10" t="s">
        <v>46</v>
      </c>
      <c r="K6544" s="12">
        <v>46032</v>
      </c>
      <c r="L6544" s="28" t="s">
        <v>11</v>
      </c>
      <c r="M6544" s="14"/>
      <c r="N6544" s="10" t="s">
        <v>1028</v>
      </c>
    </row>
    <row r="6545" spans="1:14" ht="22.5" customHeight="1">
      <c r="A6545" s="8">
        <v>46032.335753402775</v>
      </c>
      <c r="B6545" s="9" t="s">
        <v>14</v>
      </c>
      <c r="C6545" s="9" t="s">
        <v>15</v>
      </c>
      <c r="D6545" s="10" t="s">
        <v>14204</v>
      </c>
      <c r="E6545" s="9" t="s">
        <v>17</v>
      </c>
      <c r="F6545" s="10">
        <v>34</v>
      </c>
      <c r="G6545" s="11">
        <f t="shared" ref="G6545" si="196">2348074755854</f>
        <v>2348074755854</v>
      </c>
      <c r="H6545" s="10" t="s">
        <v>9242</v>
      </c>
      <c r="I6545" s="10" t="s">
        <v>45</v>
      </c>
      <c r="J6545" s="10" t="s">
        <v>2072</v>
      </c>
      <c r="K6545" s="12">
        <v>46031</v>
      </c>
      <c r="L6545" s="28" t="s">
        <v>11</v>
      </c>
      <c r="M6545" s="14"/>
      <c r="N6545" s="10" t="s">
        <v>1028</v>
      </c>
    </row>
    <row r="6546" spans="1:14" ht="22.5" customHeight="1">
      <c r="A6546" s="8">
        <v>46032.339385636573</v>
      </c>
      <c r="B6546" s="9" t="s">
        <v>14</v>
      </c>
      <c r="C6546" s="9" t="s">
        <v>15</v>
      </c>
      <c r="D6546" s="10" t="s">
        <v>14205</v>
      </c>
      <c r="E6546" s="9" t="s">
        <v>17</v>
      </c>
      <c r="F6546" s="10">
        <v>24</v>
      </c>
      <c r="G6546" s="11">
        <v>8132432191</v>
      </c>
      <c r="H6546" s="10" t="s">
        <v>14206</v>
      </c>
      <c r="I6546" s="10" t="s">
        <v>49</v>
      </c>
      <c r="J6546" s="10" t="s">
        <v>157</v>
      </c>
      <c r="K6546" s="12">
        <v>46032</v>
      </c>
      <c r="L6546" s="28" t="s">
        <v>11</v>
      </c>
      <c r="M6546" s="14"/>
      <c r="N6546" s="10" t="s">
        <v>1028</v>
      </c>
    </row>
    <row r="6547" spans="1:14" ht="22.5" customHeight="1">
      <c r="A6547" s="8">
        <v>46032.344696886576</v>
      </c>
      <c r="B6547" s="9" t="s">
        <v>14</v>
      </c>
      <c r="C6547" s="9" t="s">
        <v>15</v>
      </c>
      <c r="D6547" s="10" t="s">
        <v>14207</v>
      </c>
      <c r="E6547" s="9" t="s">
        <v>22</v>
      </c>
      <c r="F6547" s="10">
        <v>32</v>
      </c>
      <c r="G6547" s="11">
        <v>9070710072</v>
      </c>
      <c r="H6547" s="10" t="s">
        <v>14208</v>
      </c>
      <c r="I6547" s="10" t="s">
        <v>19</v>
      </c>
      <c r="J6547" s="10" t="s">
        <v>14209</v>
      </c>
      <c r="K6547" s="12">
        <v>46032</v>
      </c>
      <c r="L6547" s="28" t="s">
        <v>11</v>
      </c>
      <c r="M6547" s="14"/>
      <c r="N6547" s="10" t="s">
        <v>1028</v>
      </c>
    </row>
    <row r="6548" spans="1:14" ht="22.5" customHeight="1">
      <c r="A6548" s="8">
        <v>46032.35010708333</v>
      </c>
      <c r="B6548" s="9" t="s">
        <v>14</v>
      </c>
      <c r="C6548" s="9" t="s">
        <v>15</v>
      </c>
      <c r="D6548" s="10" t="s">
        <v>14210</v>
      </c>
      <c r="E6548" s="9" t="s">
        <v>17</v>
      </c>
      <c r="F6548" s="10">
        <v>31</v>
      </c>
      <c r="G6548" s="11">
        <v>7039697272</v>
      </c>
      <c r="H6548" s="10" t="s">
        <v>12375</v>
      </c>
      <c r="I6548" s="10" t="s">
        <v>27</v>
      </c>
      <c r="J6548" s="10" t="s">
        <v>1456</v>
      </c>
      <c r="K6548" s="12">
        <v>46032</v>
      </c>
      <c r="L6548" s="28" t="s">
        <v>11</v>
      </c>
      <c r="M6548" s="14"/>
      <c r="N6548" s="10" t="s">
        <v>1096</v>
      </c>
    </row>
    <row r="6549" spans="1:14" ht="22.5" customHeight="1">
      <c r="A6549" s="8">
        <v>46032.350644872684</v>
      </c>
      <c r="B6549" s="9" t="s">
        <v>14</v>
      </c>
      <c r="C6549" s="9" t="s">
        <v>15</v>
      </c>
      <c r="D6549" s="10" t="s">
        <v>14211</v>
      </c>
      <c r="E6549" s="9" t="s">
        <v>17</v>
      </c>
      <c r="F6549" s="10">
        <v>33</v>
      </c>
      <c r="G6549" s="11">
        <v>8162190247</v>
      </c>
      <c r="H6549" s="10" t="s">
        <v>14212</v>
      </c>
      <c r="I6549" s="10" t="s">
        <v>19</v>
      </c>
      <c r="J6549" s="10" t="s">
        <v>3881</v>
      </c>
      <c r="K6549" s="12">
        <v>46032</v>
      </c>
      <c r="L6549" s="28" t="s">
        <v>11</v>
      </c>
      <c r="M6549" s="14"/>
      <c r="N6549" s="10" t="s">
        <v>1096</v>
      </c>
    </row>
    <row r="6550" spans="1:14" ht="22.5" customHeight="1">
      <c r="A6550" s="8">
        <v>46032.351199490746</v>
      </c>
      <c r="B6550" s="9" t="s">
        <v>14</v>
      </c>
      <c r="C6550" s="9" t="s">
        <v>15</v>
      </c>
      <c r="D6550" s="10" t="s">
        <v>14213</v>
      </c>
      <c r="E6550" s="9" t="s">
        <v>22</v>
      </c>
      <c r="F6550" s="10">
        <v>28</v>
      </c>
      <c r="G6550" s="11">
        <v>8133744852</v>
      </c>
      <c r="H6550" s="10" t="s">
        <v>14214</v>
      </c>
      <c r="I6550" s="10" t="s">
        <v>19</v>
      </c>
      <c r="J6550" s="10" t="s">
        <v>14215</v>
      </c>
      <c r="K6550" s="12">
        <v>46032</v>
      </c>
      <c r="L6550" s="28" t="s">
        <v>11</v>
      </c>
      <c r="M6550" s="14"/>
      <c r="N6550" s="10" t="s">
        <v>1028</v>
      </c>
    </row>
    <row r="6551" spans="1:14" ht="22.5" customHeight="1">
      <c r="A6551" s="8">
        <v>46032.35195571759</v>
      </c>
      <c r="B6551" s="9" t="s">
        <v>14</v>
      </c>
      <c r="C6551" s="9" t="s">
        <v>15</v>
      </c>
      <c r="D6551" s="10" t="s">
        <v>14216</v>
      </c>
      <c r="E6551" s="9" t="s">
        <v>22</v>
      </c>
      <c r="F6551" s="10">
        <v>35</v>
      </c>
      <c r="G6551" s="11">
        <v>8064612835</v>
      </c>
      <c r="H6551" s="10" t="s">
        <v>14217</v>
      </c>
      <c r="I6551" s="10" t="s">
        <v>19</v>
      </c>
      <c r="J6551" s="10" t="s">
        <v>14218</v>
      </c>
      <c r="K6551" s="12">
        <v>46032</v>
      </c>
      <c r="L6551" s="28" t="s">
        <v>11</v>
      </c>
      <c r="M6551" s="14"/>
      <c r="N6551" s="10" t="s">
        <v>2482</v>
      </c>
    </row>
    <row r="6552" spans="1:14" ht="22.5" customHeight="1">
      <c r="A6552" s="8">
        <v>46032.354860567131</v>
      </c>
      <c r="B6552" s="9" t="s">
        <v>14</v>
      </c>
      <c r="C6552" s="9" t="s">
        <v>15</v>
      </c>
      <c r="D6552" s="10" t="s">
        <v>14219</v>
      </c>
      <c r="E6552" s="9" t="s">
        <v>22</v>
      </c>
      <c r="F6552" s="10">
        <v>43</v>
      </c>
      <c r="G6552" s="11">
        <v>2348034288095</v>
      </c>
      <c r="H6552" s="10" t="s">
        <v>14220</v>
      </c>
      <c r="I6552" s="10" t="s">
        <v>27</v>
      </c>
      <c r="J6552" s="10" t="s">
        <v>703</v>
      </c>
      <c r="K6552" s="12">
        <v>46296</v>
      </c>
      <c r="L6552" s="28" t="s">
        <v>11</v>
      </c>
      <c r="M6552" s="14"/>
      <c r="N6552" s="10" t="s">
        <v>1028</v>
      </c>
    </row>
    <row r="6553" spans="1:14" ht="22.5" customHeight="1">
      <c r="A6553" s="8">
        <v>46032.362657187499</v>
      </c>
      <c r="B6553" s="9" t="s">
        <v>14</v>
      </c>
      <c r="C6553" s="9" t="s">
        <v>15</v>
      </c>
      <c r="D6553" s="10" t="s">
        <v>14221</v>
      </c>
      <c r="E6553" s="9" t="s">
        <v>17</v>
      </c>
      <c r="F6553" s="10">
        <v>54</v>
      </c>
      <c r="G6553" s="11">
        <v>8032678062</v>
      </c>
      <c r="H6553" s="10" t="s">
        <v>14222</v>
      </c>
      <c r="I6553" s="10" t="s">
        <v>19</v>
      </c>
      <c r="J6553" s="10" t="s">
        <v>11815</v>
      </c>
      <c r="K6553" s="12">
        <v>46032</v>
      </c>
      <c r="L6553" s="28" t="s">
        <v>11</v>
      </c>
      <c r="M6553" s="14"/>
      <c r="N6553" s="10" t="s">
        <v>1028</v>
      </c>
    </row>
    <row r="6554" spans="1:14" ht="22.5" hidden="1" customHeight="1">
      <c r="A6554" s="8">
        <v>46032.370493576389</v>
      </c>
      <c r="B6554" s="9" t="s">
        <v>14</v>
      </c>
      <c r="C6554" s="9" t="s">
        <v>15</v>
      </c>
      <c r="D6554" s="10" t="s">
        <v>14223</v>
      </c>
      <c r="E6554" s="9" t="s">
        <v>17</v>
      </c>
      <c r="F6554" s="10">
        <v>50</v>
      </c>
      <c r="G6554" s="11">
        <f t="shared" ref="G6554" si="197">2348034111355</f>
        <v>2348034111355</v>
      </c>
      <c r="H6554" s="10" t="s">
        <v>14224</v>
      </c>
      <c r="I6554" s="10" t="s">
        <v>27</v>
      </c>
      <c r="J6554" s="10" t="s">
        <v>14225</v>
      </c>
      <c r="K6554" s="12">
        <v>46032</v>
      </c>
      <c r="L6554" s="10" t="s">
        <v>441</v>
      </c>
      <c r="M6554" s="10" t="s">
        <v>1361</v>
      </c>
      <c r="N6554" s="10" t="s">
        <v>1028</v>
      </c>
    </row>
    <row r="6555" spans="1:14" ht="22.5" customHeight="1">
      <c r="A6555" s="8">
        <v>46032.372714861107</v>
      </c>
      <c r="B6555" s="9" t="s">
        <v>14</v>
      </c>
      <c r="C6555" s="9" t="s">
        <v>15</v>
      </c>
      <c r="D6555" s="10" t="s">
        <v>14226</v>
      </c>
      <c r="E6555" s="9" t="s">
        <v>17</v>
      </c>
      <c r="F6555" s="10">
        <v>28</v>
      </c>
      <c r="G6555" s="11">
        <v>8035771571</v>
      </c>
      <c r="H6555" s="10" t="s">
        <v>14227</v>
      </c>
      <c r="I6555" s="10" t="s">
        <v>27</v>
      </c>
      <c r="J6555" s="10" t="s">
        <v>172</v>
      </c>
      <c r="K6555" s="12">
        <v>46032</v>
      </c>
      <c r="L6555" s="28" t="s">
        <v>11</v>
      </c>
      <c r="M6555" s="14"/>
      <c r="N6555" s="10" t="s">
        <v>1028</v>
      </c>
    </row>
    <row r="6556" spans="1:14" ht="22.5" hidden="1" customHeight="1">
      <c r="A6556" s="8">
        <v>46032.375028703704</v>
      </c>
      <c r="B6556" s="9" t="s">
        <v>14</v>
      </c>
      <c r="C6556" s="9" t="s">
        <v>15</v>
      </c>
      <c r="D6556" s="10" t="s">
        <v>14228</v>
      </c>
      <c r="E6556" s="9" t="s">
        <v>22</v>
      </c>
      <c r="F6556" s="10">
        <v>27</v>
      </c>
      <c r="G6556" s="11">
        <v>9079558285</v>
      </c>
      <c r="H6556" s="10" t="s">
        <v>14229</v>
      </c>
      <c r="I6556" s="10" t="s">
        <v>19</v>
      </c>
      <c r="J6556" s="10" t="s">
        <v>14230</v>
      </c>
      <c r="K6556" s="12">
        <v>46032</v>
      </c>
      <c r="L6556" s="10" t="s">
        <v>441</v>
      </c>
      <c r="M6556" s="10" t="s">
        <v>1827</v>
      </c>
      <c r="N6556" s="10" t="s">
        <v>1096</v>
      </c>
    </row>
    <row r="6557" spans="1:14" ht="22.5" customHeight="1">
      <c r="A6557" s="8">
        <v>46032.375418055555</v>
      </c>
      <c r="B6557" s="9" t="s">
        <v>14</v>
      </c>
      <c r="C6557" s="9" t="s">
        <v>15</v>
      </c>
      <c r="D6557" s="10" t="s">
        <v>14231</v>
      </c>
      <c r="E6557" s="9" t="s">
        <v>22</v>
      </c>
      <c r="F6557" s="10">
        <v>32</v>
      </c>
      <c r="G6557" s="11">
        <v>7039039079</v>
      </c>
      <c r="H6557" s="10" t="s">
        <v>14232</v>
      </c>
      <c r="I6557" s="10" t="s">
        <v>27</v>
      </c>
      <c r="J6557" s="10" t="s">
        <v>70</v>
      </c>
      <c r="K6557" s="12">
        <v>46032</v>
      </c>
      <c r="L6557" s="28" t="s">
        <v>11</v>
      </c>
      <c r="M6557" s="14"/>
      <c r="N6557" s="10" t="s">
        <v>1096</v>
      </c>
    </row>
    <row r="6558" spans="1:14" ht="22.5" customHeight="1">
      <c r="A6558" s="8">
        <v>46032.377823229166</v>
      </c>
      <c r="B6558" s="9" t="s">
        <v>14</v>
      </c>
      <c r="C6558" s="9" t="s">
        <v>15</v>
      </c>
      <c r="D6558" s="10" t="s">
        <v>14233</v>
      </c>
      <c r="E6558" s="9" t="s">
        <v>17</v>
      </c>
      <c r="F6558" s="10">
        <v>26</v>
      </c>
      <c r="G6558" s="11">
        <v>8027090352</v>
      </c>
      <c r="H6558" s="10" t="s">
        <v>14234</v>
      </c>
      <c r="I6558" s="10" t="s">
        <v>27</v>
      </c>
      <c r="J6558" s="10" t="s">
        <v>2031</v>
      </c>
      <c r="K6558" s="12">
        <v>46032</v>
      </c>
      <c r="L6558" s="28" t="s">
        <v>11</v>
      </c>
      <c r="M6558" s="14"/>
      <c r="N6558" s="10" t="s">
        <v>1028</v>
      </c>
    </row>
    <row r="6559" spans="1:14" ht="22.5" customHeight="1">
      <c r="A6559" s="8">
        <v>46032.381271030092</v>
      </c>
      <c r="B6559" s="9" t="s">
        <v>14</v>
      </c>
      <c r="C6559" s="9" t="s">
        <v>15</v>
      </c>
      <c r="D6559" s="10" t="s">
        <v>14235</v>
      </c>
      <c r="E6559" s="9" t="s">
        <v>17</v>
      </c>
      <c r="F6559" s="10">
        <v>37</v>
      </c>
      <c r="G6559" s="11">
        <v>9071869634</v>
      </c>
      <c r="H6559" s="10" t="s">
        <v>14236</v>
      </c>
      <c r="I6559" s="10" t="s">
        <v>45</v>
      </c>
      <c r="J6559" s="10" t="s">
        <v>932</v>
      </c>
      <c r="K6559" s="12">
        <v>46032</v>
      </c>
      <c r="L6559" s="28" t="s">
        <v>11</v>
      </c>
      <c r="M6559" s="10"/>
      <c r="N6559" s="10" t="s">
        <v>1028</v>
      </c>
    </row>
    <row r="6560" spans="1:14" ht="22.5" customHeight="1">
      <c r="A6560" s="8">
        <v>46032.384620011573</v>
      </c>
      <c r="B6560" s="9" t="s">
        <v>14</v>
      </c>
      <c r="C6560" s="9" t="s">
        <v>15</v>
      </c>
      <c r="D6560" s="10" t="s">
        <v>14237</v>
      </c>
      <c r="E6560" s="9" t="s">
        <v>22</v>
      </c>
      <c r="F6560" s="10">
        <v>25</v>
      </c>
      <c r="G6560" s="11">
        <v>8149140207</v>
      </c>
      <c r="H6560" s="10" t="s">
        <v>14238</v>
      </c>
      <c r="I6560" s="10" t="s">
        <v>27</v>
      </c>
      <c r="J6560" s="10" t="s">
        <v>28</v>
      </c>
      <c r="K6560" s="12">
        <v>46032</v>
      </c>
      <c r="L6560" s="28" t="s">
        <v>11</v>
      </c>
      <c r="M6560" s="14"/>
      <c r="N6560" s="10" t="s">
        <v>1028</v>
      </c>
    </row>
    <row r="6561" spans="1:14" ht="22.5" customHeight="1">
      <c r="A6561" s="8">
        <v>46032.389544085643</v>
      </c>
      <c r="B6561" s="9" t="s">
        <v>14</v>
      </c>
      <c r="C6561" s="9" t="s">
        <v>15</v>
      </c>
      <c r="D6561" s="10" t="s">
        <v>14239</v>
      </c>
      <c r="E6561" s="9" t="s">
        <v>17</v>
      </c>
      <c r="F6561" s="10">
        <v>32</v>
      </c>
      <c r="G6561" s="11">
        <v>8137931363</v>
      </c>
      <c r="H6561" s="10" t="s">
        <v>14240</v>
      </c>
      <c r="I6561" s="10" t="s">
        <v>27</v>
      </c>
      <c r="J6561" s="10" t="s">
        <v>1514</v>
      </c>
      <c r="K6561" s="12">
        <v>46032</v>
      </c>
      <c r="L6561" s="28" t="s">
        <v>11</v>
      </c>
      <c r="M6561" s="14"/>
      <c r="N6561" s="10" t="s">
        <v>1028</v>
      </c>
    </row>
    <row r="6562" spans="1:14" ht="22.5" customHeight="1">
      <c r="A6562" s="8">
        <v>46032.392106909727</v>
      </c>
      <c r="B6562" s="9" t="s">
        <v>14</v>
      </c>
      <c r="C6562" s="9" t="s">
        <v>15</v>
      </c>
      <c r="D6562" s="10" t="s">
        <v>14241</v>
      </c>
      <c r="E6562" s="9" t="s">
        <v>17</v>
      </c>
      <c r="F6562" s="10">
        <v>34</v>
      </c>
      <c r="G6562" s="11">
        <v>8036293560</v>
      </c>
      <c r="H6562" s="10" t="s">
        <v>14242</v>
      </c>
      <c r="I6562" s="10" t="s">
        <v>27</v>
      </c>
      <c r="J6562" s="10" t="s">
        <v>1907</v>
      </c>
      <c r="K6562" s="12">
        <v>46296</v>
      </c>
      <c r="L6562" s="28" t="s">
        <v>11</v>
      </c>
      <c r="M6562" s="14"/>
      <c r="N6562" s="10" t="s">
        <v>1028</v>
      </c>
    </row>
    <row r="6563" spans="1:14" ht="22.5" customHeight="1">
      <c r="A6563" s="8">
        <v>46032.392486643519</v>
      </c>
      <c r="B6563" s="9" t="s">
        <v>14</v>
      </c>
      <c r="C6563" s="9" t="s">
        <v>15</v>
      </c>
      <c r="D6563" s="10" t="s">
        <v>14243</v>
      </c>
      <c r="E6563" s="9" t="s">
        <v>22</v>
      </c>
      <c r="F6563" s="10">
        <v>30</v>
      </c>
      <c r="G6563" s="11">
        <v>7037883800</v>
      </c>
      <c r="H6563" s="10" t="s">
        <v>14244</v>
      </c>
      <c r="I6563" s="10" t="s">
        <v>49</v>
      </c>
      <c r="J6563" s="10" t="s">
        <v>50</v>
      </c>
      <c r="K6563" s="12">
        <v>46032</v>
      </c>
      <c r="L6563" s="28" t="s">
        <v>11</v>
      </c>
      <c r="M6563" s="14"/>
      <c r="N6563" s="10" t="s">
        <v>1028</v>
      </c>
    </row>
    <row r="6564" spans="1:14" ht="22.5" customHeight="1">
      <c r="A6564" s="8">
        <v>46032.393368148143</v>
      </c>
      <c r="B6564" s="9" t="s">
        <v>14</v>
      </c>
      <c r="C6564" s="9" t="s">
        <v>15</v>
      </c>
      <c r="D6564" s="10" t="s">
        <v>14245</v>
      </c>
      <c r="E6564" s="9" t="s">
        <v>17</v>
      </c>
      <c r="F6564" s="10">
        <v>26</v>
      </c>
      <c r="G6564" s="11">
        <v>8168465874</v>
      </c>
      <c r="H6564" s="10" t="s">
        <v>14246</v>
      </c>
      <c r="I6564" s="10" t="s">
        <v>31</v>
      </c>
      <c r="J6564" s="10" t="s">
        <v>1808</v>
      </c>
      <c r="K6564" s="12">
        <v>36783</v>
      </c>
      <c r="L6564" s="28" t="s">
        <v>11</v>
      </c>
      <c r="M6564" s="14"/>
      <c r="N6564" s="10" t="s">
        <v>1028</v>
      </c>
    </row>
    <row r="6565" spans="1:14" ht="22.5" customHeight="1">
      <c r="A6565" s="8">
        <v>46032.393875266207</v>
      </c>
      <c r="B6565" s="9" t="s">
        <v>14</v>
      </c>
      <c r="C6565" s="9" t="s">
        <v>15</v>
      </c>
      <c r="D6565" s="10" t="s">
        <v>14247</v>
      </c>
      <c r="E6565" s="9" t="s">
        <v>17</v>
      </c>
      <c r="F6565" s="10">
        <v>29</v>
      </c>
      <c r="G6565" s="11">
        <v>8080025001</v>
      </c>
      <c r="H6565" s="10" t="s">
        <v>14248</v>
      </c>
      <c r="I6565" s="10" t="s">
        <v>27</v>
      </c>
      <c r="J6565" s="10" t="s">
        <v>67</v>
      </c>
      <c r="K6565" s="12">
        <v>46032</v>
      </c>
      <c r="L6565" s="28" t="s">
        <v>11</v>
      </c>
      <c r="M6565" s="10"/>
      <c r="N6565" s="10" t="s">
        <v>1096</v>
      </c>
    </row>
    <row r="6566" spans="1:14" ht="22.5" customHeight="1">
      <c r="A6566" s="8">
        <v>46032.395391527782</v>
      </c>
      <c r="B6566" s="9" t="s">
        <v>14</v>
      </c>
      <c r="C6566" s="9" t="s">
        <v>15</v>
      </c>
      <c r="D6566" s="10" t="s">
        <v>14249</v>
      </c>
      <c r="E6566" s="9" t="s">
        <v>17</v>
      </c>
      <c r="F6566" s="10">
        <v>29</v>
      </c>
      <c r="G6566" s="11">
        <v>9135085667</v>
      </c>
      <c r="H6566" s="10" t="s">
        <v>14250</v>
      </c>
      <c r="I6566" s="10" t="s">
        <v>31</v>
      </c>
      <c r="J6566" s="10" t="s">
        <v>32</v>
      </c>
      <c r="K6566" s="12">
        <v>46032</v>
      </c>
      <c r="L6566" s="28" t="s">
        <v>11</v>
      </c>
      <c r="M6566" s="14"/>
      <c r="N6566" s="10" t="s">
        <v>1028</v>
      </c>
    </row>
    <row r="6567" spans="1:14" ht="22.5" customHeight="1">
      <c r="A6567" s="8">
        <v>46032.395480949075</v>
      </c>
      <c r="B6567" s="9" t="s">
        <v>14</v>
      </c>
      <c r="C6567" s="9" t="s">
        <v>15</v>
      </c>
      <c r="D6567" s="10" t="s">
        <v>14251</v>
      </c>
      <c r="E6567" s="9" t="s">
        <v>17</v>
      </c>
      <c r="F6567" s="10">
        <v>25</v>
      </c>
      <c r="G6567" s="11">
        <v>7082117160</v>
      </c>
      <c r="H6567" s="10" t="s">
        <v>14252</v>
      </c>
      <c r="I6567" s="10" t="s">
        <v>27</v>
      </c>
      <c r="J6567" s="10" t="s">
        <v>703</v>
      </c>
      <c r="K6567" s="12">
        <v>46032</v>
      </c>
      <c r="L6567" s="28" t="s">
        <v>11</v>
      </c>
      <c r="M6567" s="14"/>
      <c r="N6567" s="10" t="s">
        <v>1028</v>
      </c>
    </row>
    <row r="6568" spans="1:14" ht="22.5" customHeight="1">
      <c r="A6568" s="8">
        <v>46032.39711824074</v>
      </c>
      <c r="B6568" s="9" t="s">
        <v>14</v>
      </c>
      <c r="C6568" s="9" t="s">
        <v>15</v>
      </c>
      <c r="D6568" s="10" t="s">
        <v>14253</v>
      </c>
      <c r="E6568" s="9" t="s">
        <v>22</v>
      </c>
      <c r="F6568" s="10">
        <v>36</v>
      </c>
      <c r="G6568" s="11">
        <v>7063942395</v>
      </c>
      <c r="H6568" s="10" t="s">
        <v>14254</v>
      </c>
      <c r="I6568" s="10" t="s">
        <v>45</v>
      </c>
      <c r="J6568" s="10" t="s">
        <v>2193</v>
      </c>
      <c r="K6568" s="12">
        <v>46032</v>
      </c>
      <c r="L6568" s="28" t="s">
        <v>11</v>
      </c>
      <c r="M6568" s="14"/>
      <c r="N6568" s="10" t="s">
        <v>1028</v>
      </c>
    </row>
    <row r="6569" spans="1:14" ht="22.5" customHeight="1">
      <c r="A6569" s="8">
        <v>46032.401738657412</v>
      </c>
      <c r="B6569" s="9" t="s">
        <v>14</v>
      </c>
      <c r="C6569" s="9" t="s">
        <v>15</v>
      </c>
      <c r="D6569" s="10" t="s">
        <v>14255</v>
      </c>
      <c r="E6569" s="9" t="s">
        <v>17</v>
      </c>
      <c r="F6569" s="10">
        <v>21</v>
      </c>
      <c r="G6569" s="11">
        <v>9045129762</v>
      </c>
      <c r="H6569" s="10" t="s">
        <v>14256</v>
      </c>
      <c r="I6569" s="10" t="s">
        <v>202</v>
      </c>
      <c r="J6569" s="10" t="s">
        <v>4632</v>
      </c>
      <c r="K6569" s="12">
        <v>46032</v>
      </c>
      <c r="L6569" s="28" t="s">
        <v>11</v>
      </c>
      <c r="M6569" s="14"/>
      <c r="N6569" s="10" t="s">
        <v>1096</v>
      </c>
    </row>
    <row r="6570" spans="1:14" ht="22.5" customHeight="1">
      <c r="A6570" s="8">
        <v>46032.401800081017</v>
      </c>
      <c r="B6570" s="9" t="s">
        <v>14</v>
      </c>
      <c r="C6570" s="9" t="s">
        <v>15</v>
      </c>
      <c r="D6570" s="10" t="s">
        <v>14257</v>
      </c>
      <c r="E6570" s="9" t="s">
        <v>17</v>
      </c>
      <c r="F6570" s="10">
        <v>28</v>
      </c>
      <c r="G6570" s="11">
        <v>9030804643</v>
      </c>
      <c r="H6570" s="10" t="s">
        <v>14258</v>
      </c>
      <c r="I6570" s="10" t="s">
        <v>45</v>
      </c>
      <c r="J6570" s="10" t="s">
        <v>5142</v>
      </c>
      <c r="K6570" s="12">
        <v>46032</v>
      </c>
      <c r="L6570" s="28" t="s">
        <v>11</v>
      </c>
      <c r="M6570" s="14"/>
      <c r="N6570" s="10" t="s">
        <v>1028</v>
      </c>
    </row>
    <row r="6571" spans="1:14" ht="22.5" customHeight="1">
      <c r="A6571" s="8">
        <v>46032.405864884262</v>
      </c>
      <c r="B6571" s="9" t="s">
        <v>14</v>
      </c>
      <c r="C6571" s="9" t="s">
        <v>15</v>
      </c>
      <c r="D6571" s="10" t="s">
        <v>14259</v>
      </c>
      <c r="E6571" s="9" t="s">
        <v>22</v>
      </c>
      <c r="F6571" s="10">
        <v>27</v>
      </c>
      <c r="G6571" s="11">
        <v>8060740937</v>
      </c>
      <c r="H6571" s="10" t="s">
        <v>14260</v>
      </c>
      <c r="I6571" s="10" t="s">
        <v>49</v>
      </c>
      <c r="J6571" s="10" t="s">
        <v>73</v>
      </c>
      <c r="K6571" s="12">
        <v>46032</v>
      </c>
      <c r="L6571" s="28" t="s">
        <v>11</v>
      </c>
      <c r="M6571" s="14"/>
      <c r="N6571" s="10" t="s">
        <v>1028</v>
      </c>
    </row>
    <row r="6572" spans="1:14" ht="22.5" customHeight="1">
      <c r="A6572" s="8">
        <v>46032.41292081018</v>
      </c>
      <c r="B6572" s="9" t="s">
        <v>14</v>
      </c>
      <c r="C6572" s="9" t="s">
        <v>15</v>
      </c>
      <c r="D6572" s="10" t="s">
        <v>14261</v>
      </c>
      <c r="E6572" s="9" t="s">
        <v>17</v>
      </c>
      <c r="F6572" s="10">
        <v>23</v>
      </c>
      <c r="G6572" s="11">
        <v>8104591938</v>
      </c>
      <c r="H6572" s="10" t="s">
        <v>14262</v>
      </c>
      <c r="I6572" s="10" t="s">
        <v>31</v>
      </c>
      <c r="J6572" s="10" t="s">
        <v>14263</v>
      </c>
      <c r="K6572" s="12">
        <v>46032</v>
      </c>
      <c r="L6572" s="28" t="s">
        <v>11</v>
      </c>
      <c r="M6572" s="14"/>
      <c r="N6572" s="10" t="s">
        <v>1028</v>
      </c>
    </row>
    <row r="6573" spans="1:14" ht="22.5" customHeight="1">
      <c r="A6573" s="8">
        <v>46032.414699166664</v>
      </c>
      <c r="B6573" s="9" t="s">
        <v>14</v>
      </c>
      <c r="C6573" s="9" t="s">
        <v>15</v>
      </c>
      <c r="D6573" s="10" t="s">
        <v>14264</v>
      </c>
      <c r="E6573" s="9" t="s">
        <v>17</v>
      </c>
      <c r="F6573" s="10">
        <v>25</v>
      </c>
      <c r="G6573" s="11">
        <v>8168521258</v>
      </c>
      <c r="H6573" s="10" t="s">
        <v>14265</v>
      </c>
      <c r="I6573" s="10" t="s">
        <v>27</v>
      </c>
      <c r="J6573" s="10" t="s">
        <v>1907</v>
      </c>
      <c r="K6573" s="12">
        <v>46032</v>
      </c>
      <c r="L6573" s="28" t="s">
        <v>11</v>
      </c>
      <c r="M6573" s="14"/>
      <c r="N6573" s="10" t="s">
        <v>1096</v>
      </c>
    </row>
    <row r="6574" spans="1:14" ht="22.5" customHeight="1">
      <c r="A6574" s="8">
        <v>46032.416743576388</v>
      </c>
      <c r="B6574" s="9" t="s">
        <v>14</v>
      </c>
      <c r="C6574" s="9" t="s">
        <v>15</v>
      </c>
      <c r="D6574" s="10" t="s">
        <v>8678</v>
      </c>
      <c r="E6574" s="9" t="s">
        <v>17</v>
      </c>
      <c r="F6574" s="10">
        <v>27</v>
      </c>
      <c r="G6574" s="11">
        <v>8110363467</v>
      </c>
      <c r="H6574" s="10" t="s">
        <v>8679</v>
      </c>
      <c r="I6574" s="10" t="s">
        <v>31</v>
      </c>
      <c r="J6574" s="10" t="s">
        <v>14266</v>
      </c>
      <c r="K6574" s="12">
        <v>46032</v>
      </c>
      <c r="L6574" s="28" t="s">
        <v>11</v>
      </c>
      <c r="M6574" s="14"/>
      <c r="N6574" s="10" t="s">
        <v>1028</v>
      </c>
    </row>
    <row r="6575" spans="1:14" ht="22.5" customHeight="1">
      <c r="A6575" s="8">
        <v>46032.419594479172</v>
      </c>
      <c r="B6575" s="9" t="s">
        <v>14</v>
      </c>
      <c r="C6575" s="9" t="s">
        <v>15</v>
      </c>
      <c r="D6575" s="10" t="s">
        <v>14267</v>
      </c>
      <c r="E6575" s="9" t="s">
        <v>17</v>
      </c>
      <c r="F6575" s="10">
        <v>25</v>
      </c>
      <c r="G6575" s="11">
        <v>9037698537</v>
      </c>
      <c r="H6575" s="10" t="s">
        <v>14268</v>
      </c>
      <c r="I6575" s="10" t="s">
        <v>202</v>
      </c>
      <c r="J6575" s="10" t="s">
        <v>4651</v>
      </c>
      <c r="K6575" s="12">
        <v>46023</v>
      </c>
      <c r="L6575" s="28" t="s">
        <v>11</v>
      </c>
      <c r="M6575" s="14"/>
      <c r="N6575" s="10" t="s">
        <v>1028</v>
      </c>
    </row>
    <row r="6576" spans="1:14" ht="22.5" customHeight="1">
      <c r="A6576" s="8">
        <v>46032.420509837961</v>
      </c>
      <c r="B6576" s="9" t="s">
        <v>14</v>
      </c>
      <c r="C6576" s="9" t="s">
        <v>15</v>
      </c>
      <c r="D6576" s="10" t="s">
        <v>14269</v>
      </c>
      <c r="E6576" s="9" t="s">
        <v>17</v>
      </c>
      <c r="F6576" s="10">
        <v>28</v>
      </c>
      <c r="G6576" s="11">
        <v>7063502914</v>
      </c>
      <c r="H6576" s="10" t="s">
        <v>14270</v>
      </c>
      <c r="I6576" s="10" t="s">
        <v>45</v>
      </c>
      <c r="J6576" s="10" t="s">
        <v>4998</v>
      </c>
      <c r="K6576" s="12">
        <v>46032</v>
      </c>
      <c r="L6576" s="28" t="s">
        <v>11</v>
      </c>
      <c r="M6576" s="14"/>
      <c r="N6576" s="10" t="s">
        <v>1028</v>
      </c>
    </row>
    <row r="6577" spans="1:14" ht="22.5" customHeight="1">
      <c r="A6577" s="8">
        <v>46032.423212187496</v>
      </c>
      <c r="B6577" s="9" t="s">
        <v>14</v>
      </c>
      <c r="C6577" s="9" t="s">
        <v>15</v>
      </c>
      <c r="D6577" s="10" t="s">
        <v>14271</v>
      </c>
      <c r="E6577" s="9" t="s">
        <v>17</v>
      </c>
      <c r="F6577" s="10">
        <v>32</v>
      </c>
      <c r="G6577" s="11">
        <v>7066612572</v>
      </c>
      <c r="H6577" s="10" t="s">
        <v>14272</v>
      </c>
      <c r="I6577" s="10" t="s">
        <v>49</v>
      </c>
      <c r="J6577" s="10" t="s">
        <v>109</v>
      </c>
      <c r="K6577" s="12">
        <v>46032</v>
      </c>
      <c r="L6577" s="28" t="s">
        <v>11</v>
      </c>
      <c r="M6577" s="14"/>
      <c r="N6577" s="10" t="s">
        <v>1028</v>
      </c>
    </row>
    <row r="6578" spans="1:14" ht="22.5" hidden="1" customHeight="1">
      <c r="A6578" s="8">
        <v>46032.437733263891</v>
      </c>
      <c r="B6578" s="9" t="s">
        <v>14</v>
      </c>
      <c r="C6578" s="9" t="s">
        <v>15</v>
      </c>
      <c r="D6578" s="10" t="s">
        <v>14273</v>
      </c>
      <c r="E6578" s="9" t="s">
        <v>17</v>
      </c>
      <c r="F6578" s="10">
        <v>22</v>
      </c>
      <c r="G6578" s="11">
        <v>8133934241</v>
      </c>
      <c r="H6578" s="10" t="s">
        <v>14274</v>
      </c>
      <c r="I6578" s="10" t="s">
        <v>27</v>
      </c>
      <c r="J6578" s="10" t="s">
        <v>42</v>
      </c>
      <c r="K6578" s="12">
        <v>46032</v>
      </c>
      <c r="L6578" s="10" t="s">
        <v>441</v>
      </c>
      <c r="M6578" s="10" t="s">
        <v>1361</v>
      </c>
      <c r="N6578" s="10" t="s">
        <v>8186</v>
      </c>
    </row>
    <row r="6579" spans="1:14" ht="22.5" customHeight="1">
      <c r="A6579" s="8">
        <v>46032.442190972222</v>
      </c>
      <c r="B6579" s="9" t="s">
        <v>14</v>
      </c>
      <c r="C6579" s="9" t="s">
        <v>15</v>
      </c>
      <c r="D6579" s="10" t="s">
        <v>14275</v>
      </c>
      <c r="E6579" s="9" t="s">
        <v>17</v>
      </c>
      <c r="F6579" s="10">
        <v>18</v>
      </c>
      <c r="G6579" s="11">
        <v>8141543336</v>
      </c>
      <c r="H6579" s="10" t="s">
        <v>14276</v>
      </c>
      <c r="I6579" s="10" t="s">
        <v>27</v>
      </c>
      <c r="J6579" s="10" t="s">
        <v>1324</v>
      </c>
      <c r="K6579" s="12">
        <v>46032</v>
      </c>
      <c r="L6579" s="28" t="s">
        <v>11</v>
      </c>
      <c r="M6579" s="14"/>
      <c r="N6579" s="10" t="s">
        <v>14277</v>
      </c>
    </row>
    <row r="6580" spans="1:14" ht="22.5" customHeight="1">
      <c r="A6580" s="8">
        <v>46032.442667002309</v>
      </c>
      <c r="B6580" s="9" t="s">
        <v>14</v>
      </c>
      <c r="C6580" s="9" t="s">
        <v>15</v>
      </c>
      <c r="D6580" s="10" t="s">
        <v>14278</v>
      </c>
      <c r="E6580" s="9" t="s">
        <v>17</v>
      </c>
      <c r="F6580" s="10">
        <v>21</v>
      </c>
      <c r="G6580" s="11">
        <v>9130271250</v>
      </c>
      <c r="H6580" s="10" t="s">
        <v>3508</v>
      </c>
      <c r="I6580" s="10" t="s">
        <v>31</v>
      </c>
      <c r="J6580" s="10" t="s">
        <v>1582</v>
      </c>
      <c r="K6580" s="12">
        <v>46032</v>
      </c>
      <c r="L6580" s="28" t="s">
        <v>11</v>
      </c>
      <c r="M6580" s="14"/>
      <c r="N6580" s="10" t="s">
        <v>1028</v>
      </c>
    </row>
    <row r="6581" spans="1:14" ht="22.5" customHeight="1">
      <c r="A6581" s="8">
        <v>46032.44303425926</v>
      </c>
      <c r="B6581" s="9" t="s">
        <v>14</v>
      </c>
      <c r="C6581" s="9" t="s">
        <v>15</v>
      </c>
      <c r="D6581" s="10" t="s">
        <v>14279</v>
      </c>
      <c r="E6581" s="9" t="s">
        <v>17</v>
      </c>
      <c r="F6581" s="10">
        <v>20</v>
      </c>
      <c r="G6581" s="11">
        <v>9125159235</v>
      </c>
      <c r="H6581" s="10" t="s">
        <v>14280</v>
      </c>
      <c r="I6581" s="10" t="s">
        <v>27</v>
      </c>
      <c r="J6581" s="10" t="s">
        <v>13432</v>
      </c>
      <c r="K6581" s="12">
        <v>46032</v>
      </c>
      <c r="L6581" s="28" t="s">
        <v>11</v>
      </c>
      <c r="M6581" s="14"/>
      <c r="N6581" s="10" t="s">
        <v>1028</v>
      </c>
    </row>
    <row r="6582" spans="1:14" ht="22.5" customHeight="1">
      <c r="A6582" s="8">
        <v>46032.451961516199</v>
      </c>
      <c r="B6582" s="9" t="s">
        <v>14</v>
      </c>
      <c r="C6582" s="9" t="s">
        <v>15</v>
      </c>
      <c r="D6582" s="10" t="s">
        <v>14281</v>
      </c>
      <c r="E6582" s="9" t="s">
        <v>22</v>
      </c>
      <c r="F6582" s="10">
        <v>34</v>
      </c>
      <c r="G6582" s="11">
        <v>8033493289</v>
      </c>
      <c r="H6582" s="10" t="s">
        <v>14282</v>
      </c>
      <c r="I6582" s="10" t="s">
        <v>45</v>
      </c>
      <c r="J6582" s="10" t="s">
        <v>131</v>
      </c>
      <c r="K6582" s="12">
        <v>46032</v>
      </c>
      <c r="L6582" s="28" t="s">
        <v>11</v>
      </c>
      <c r="M6582" s="14"/>
      <c r="N6582" s="10" t="s">
        <v>1028</v>
      </c>
    </row>
    <row r="6583" spans="1:14" ht="22.5" customHeight="1">
      <c r="A6583" s="8">
        <v>46032.457092650468</v>
      </c>
      <c r="B6583" s="9" t="s">
        <v>14</v>
      </c>
      <c r="C6583" s="9" t="s">
        <v>15</v>
      </c>
      <c r="D6583" s="10" t="s">
        <v>14283</v>
      </c>
      <c r="E6583" s="9" t="s">
        <v>22</v>
      </c>
      <c r="F6583" s="10">
        <v>28</v>
      </c>
      <c r="G6583" s="11">
        <v>8105526447</v>
      </c>
      <c r="H6583" s="10" t="s">
        <v>14284</v>
      </c>
      <c r="I6583" s="10" t="s">
        <v>27</v>
      </c>
      <c r="J6583" s="10" t="s">
        <v>70</v>
      </c>
      <c r="K6583" s="12">
        <v>46032</v>
      </c>
      <c r="L6583" s="28" t="s">
        <v>11</v>
      </c>
      <c r="M6583" s="14"/>
      <c r="N6583" s="10" t="s">
        <v>1028</v>
      </c>
    </row>
    <row r="6584" spans="1:14" ht="22.5" customHeight="1">
      <c r="A6584" s="8">
        <v>46032.458058032411</v>
      </c>
      <c r="B6584" s="9" t="s">
        <v>14</v>
      </c>
      <c r="C6584" s="9" t="s">
        <v>15</v>
      </c>
      <c r="D6584" s="10" t="s">
        <v>14285</v>
      </c>
      <c r="E6584" s="9" t="s">
        <v>22</v>
      </c>
      <c r="F6584" s="10">
        <v>29</v>
      </c>
      <c r="G6584" s="11">
        <v>9034180041</v>
      </c>
      <c r="H6584" s="10" t="s">
        <v>14286</v>
      </c>
      <c r="I6584" s="10" t="s">
        <v>49</v>
      </c>
      <c r="J6584" s="10" t="s">
        <v>365</v>
      </c>
      <c r="K6584" s="12">
        <v>46032</v>
      </c>
      <c r="L6584" s="28" t="s">
        <v>11</v>
      </c>
      <c r="M6584" s="14"/>
      <c r="N6584" s="10" t="s">
        <v>1028</v>
      </c>
    </row>
    <row r="6585" spans="1:14" ht="22.5" customHeight="1">
      <c r="A6585" s="8">
        <v>46032.459720995372</v>
      </c>
      <c r="B6585" s="9" t="s">
        <v>14</v>
      </c>
      <c r="C6585" s="9" t="s">
        <v>15</v>
      </c>
      <c r="D6585" s="10" t="s">
        <v>14287</v>
      </c>
      <c r="E6585" s="9" t="s">
        <v>22</v>
      </c>
      <c r="F6585" s="10">
        <v>23</v>
      </c>
      <c r="G6585" s="11">
        <v>8035575771</v>
      </c>
      <c r="H6585" s="10" t="s">
        <v>14288</v>
      </c>
      <c r="I6585" s="10" t="s">
        <v>27</v>
      </c>
      <c r="J6585" s="10" t="s">
        <v>94</v>
      </c>
      <c r="K6585" s="12">
        <v>46009</v>
      </c>
      <c r="L6585" s="28" t="s">
        <v>11</v>
      </c>
      <c r="M6585" s="14"/>
      <c r="N6585" s="10" t="s">
        <v>1028</v>
      </c>
    </row>
    <row r="6586" spans="1:14" ht="22.5" customHeight="1">
      <c r="A6586" s="8">
        <v>46032.462622210645</v>
      </c>
      <c r="B6586" s="9" t="s">
        <v>14</v>
      </c>
      <c r="C6586" s="9" t="s">
        <v>15</v>
      </c>
      <c r="D6586" s="10" t="s">
        <v>14289</v>
      </c>
      <c r="E6586" s="9" t="s">
        <v>17</v>
      </c>
      <c r="F6586" s="10">
        <v>31</v>
      </c>
      <c r="G6586" s="11">
        <v>7037746565</v>
      </c>
      <c r="H6586" s="10" t="s">
        <v>14290</v>
      </c>
      <c r="I6586" s="10" t="s">
        <v>27</v>
      </c>
      <c r="J6586" s="10" t="s">
        <v>2196</v>
      </c>
      <c r="K6586" s="12">
        <v>46032</v>
      </c>
      <c r="L6586" s="28" t="s">
        <v>11</v>
      </c>
      <c r="M6586" s="14"/>
      <c r="N6586" s="10" t="s">
        <v>1028</v>
      </c>
    </row>
    <row r="6587" spans="1:14" ht="22.5" customHeight="1">
      <c r="A6587" s="8">
        <v>46032.462798981476</v>
      </c>
      <c r="B6587" s="9" t="s">
        <v>14</v>
      </c>
      <c r="C6587" s="9" t="s">
        <v>15</v>
      </c>
      <c r="D6587" s="10" t="s">
        <v>14291</v>
      </c>
      <c r="E6587" s="9" t="s">
        <v>22</v>
      </c>
      <c r="F6587" s="19">
        <v>25</v>
      </c>
      <c r="G6587" s="11">
        <v>9079004702</v>
      </c>
      <c r="H6587" s="10" t="s">
        <v>14292</v>
      </c>
      <c r="I6587" s="10" t="s">
        <v>49</v>
      </c>
      <c r="J6587" s="10" t="s">
        <v>50</v>
      </c>
      <c r="K6587" s="12">
        <v>46032</v>
      </c>
      <c r="L6587" s="28" t="s">
        <v>11</v>
      </c>
      <c r="M6587" s="14"/>
      <c r="N6587" s="10" t="s">
        <v>1028</v>
      </c>
    </row>
    <row r="6588" spans="1:14" ht="22.5" customHeight="1">
      <c r="A6588" s="8">
        <v>46032.462971504632</v>
      </c>
      <c r="B6588" s="9" t="s">
        <v>14</v>
      </c>
      <c r="C6588" s="9" t="s">
        <v>15</v>
      </c>
      <c r="D6588" s="10" t="s">
        <v>14293</v>
      </c>
      <c r="E6588" s="9" t="s">
        <v>17</v>
      </c>
      <c r="F6588" s="10">
        <v>30</v>
      </c>
      <c r="G6588" s="11">
        <v>7075540103</v>
      </c>
      <c r="H6588" s="10" t="s">
        <v>14294</v>
      </c>
      <c r="I6588" s="10" t="s">
        <v>31</v>
      </c>
      <c r="J6588" s="10" t="s">
        <v>2410</v>
      </c>
      <c r="K6588" s="12">
        <v>46032</v>
      </c>
      <c r="L6588" s="28" t="s">
        <v>11</v>
      </c>
      <c r="M6588" s="14"/>
      <c r="N6588" s="10" t="s">
        <v>1028</v>
      </c>
    </row>
    <row r="6589" spans="1:14" ht="22.5" customHeight="1">
      <c r="A6589" s="8">
        <v>46032.464799050926</v>
      </c>
      <c r="B6589" s="9" t="s">
        <v>14</v>
      </c>
      <c r="C6589" s="9" t="s">
        <v>15</v>
      </c>
      <c r="D6589" s="10" t="s">
        <v>14295</v>
      </c>
      <c r="E6589" s="9" t="s">
        <v>22</v>
      </c>
      <c r="F6589" s="10">
        <v>30</v>
      </c>
      <c r="G6589" s="11">
        <v>9079980917</v>
      </c>
      <c r="H6589" s="10" t="s">
        <v>14296</v>
      </c>
      <c r="I6589" s="10" t="s">
        <v>27</v>
      </c>
      <c r="J6589" s="10" t="s">
        <v>1456</v>
      </c>
      <c r="K6589" s="12">
        <v>46032</v>
      </c>
      <c r="L6589" s="28" t="s">
        <v>11</v>
      </c>
      <c r="M6589" s="14"/>
      <c r="N6589" s="10" t="s">
        <v>1028</v>
      </c>
    </row>
    <row r="6590" spans="1:14" ht="22.5" customHeight="1">
      <c r="A6590" s="8">
        <v>46032.470185289349</v>
      </c>
      <c r="B6590" s="9" t="s">
        <v>14</v>
      </c>
      <c r="C6590" s="9" t="s">
        <v>15</v>
      </c>
      <c r="D6590" s="10" t="s">
        <v>14297</v>
      </c>
      <c r="E6590" s="9" t="s">
        <v>22</v>
      </c>
      <c r="F6590" s="18">
        <v>25</v>
      </c>
      <c r="G6590" s="11">
        <v>7067744763</v>
      </c>
      <c r="H6590" s="10" t="s">
        <v>14298</v>
      </c>
      <c r="I6590" s="10" t="s">
        <v>19</v>
      </c>
      <c r="J6590" s="10" t="s">
        <v>2150</v>
      </c>
      <c r="K6590" s="12">
        <v>46032</v>
      </c>
      <c r="L6590" s="28" t="s">
        <v>11</v>
      </c>
      <c r="M6590" s="14"/>
      <c r="N6590" s="10" t="s">
        <v>1028</v>
      </c>
    </row>
    <row r="6591" spans="1:14" ht="22.5" customHeight="1">
      <c r="A6591" s="8">
        <v>46032.473953842593</v>
      </c>
      <c r="B6591" s="9" t="s">
        <v>14</v>
      </c>
      <c r="C6591" s="9" t="s">
        <v>15</v>
      </c>
      <c r="D6591" s="10" t="s">
        <v>14299</v>
      </c>
      <c r="E6591" s="9" t="s">
        <v>17</v>
      </c>
      <c r="F6591" s="10">
        <v>40</v>
      </c>
      <c r="G6591" s="11">
        <v>7038688200</v>
      </c>
      <c r="H6591" s="10" t="s">
        <v>14300</v>
      </c>
      <c r="I6591" s="10" t="s">
        <v>31</v>
      </c>
      <c r="J6591" s="10" t="s">
        <v>2358</v>
      </c>
      <c r="K6591" s="12">
        <v>46032</v>
      </c>
      <c r="L6591" s="28" t="s">
        <v>11</v>
      </c>
      <c r="M6591" s="14"/>
      <c r="N6591" s="10" t="s">
        <v>1028</v>
      </c>
    </row>
    <row r="6592" spans="1:14" ht="22.5" customHeight="1">
      <c r="A6592" s="8">
        <v>46032.474332800921</v>
      </c>
      <c r="B6592" s="9" t="s">
        <v>14</v>
      </c>
      <c r="C6592" s="9" t="s">
        <v>15</v>
      </c>
      <c r="D6592" s="10" t="s">
        <v>14301</v>
      </c>
      <c r="E6592" s="9" t="s">
        <v>17</v>
      </c>
      <c r="F6592" s="10">
        <v>29</v>
      </c>
      <c r="G6592" s="11">
        <v>7075816894</v>
      </c>
      <c r="H6592" s="10" t="s">
        <v>14302</v>
      </c>
      <c r="I6592" s="10" t="s">
        <v>49</v>
      </c>
      <c r="J6592" s="10" t="s">
        <v>14303</v>
      </c>
      <c r="K6592" s="12">
        <v>46032</v>
      </c>
      <c r="L6592" s="28" t="s">
        <v>11</v>
      </c>
      <c r="M6592" s="14"/>
      <c r="N6592" s="10" t="s">
        <v>1028</v>
      </c>
    </row>
    <row r="6593" spans="1:14" ht="22.5" customHeight="1">
      <c r="A6593" s="8">
        <v>46032.47510653935</v>
      </c>
      <c r="B6593" s="9" t="s">
        <v>14</v>
      </c>
      <c r="C6593" s="9" t="s">
        <v>15</v>
      </c>
      <c r="D6593" s="10" t="s">
        <v>14304</v>
      </c>
      <c r="E6593" s="9" t="s">
        <v>17</v>
      </c>
      <c r="F6593" s="10">
        <v>19</v>
      </c>
      <c r="G6593" s="11">
        <f>2349162266646</f>
        <v>2349162266646</v>
      </c>
      <c r="H6593" s="10" t="s">
        <v>14305</v>
      </c>
      <c r="I6593" s="10" t="s">
        <v>19</v>
      </c>
      <c r="J6593" s="10" t="s">
        <v>14306</v>
      </c>
      <c r="K6593" s="12">
        <v>46032</v>
      </c>
      <c r="L6593" s="28" t="s">
        <v>11</v>
      </c>
      <c r="M6593" s="14"/>
      <c r="N6593" s="10" t="s">
        <v>1028</v>
      </c>
    </row>
    <row r="6594" spans="1:14" ht="22.5" customHeight="1">
      <c r="A6594" s="8">
        <v>46032.482957719913</v>
      </c>
      <c r="B6594" s="9" t="s">
        <v>14</v>
      </c>
      <c r="C6594" s="9" t="s">
        <v>15</v>
      </c>
      <c r="D6594" s="10" t="s">
        <v>14307</v>
      </c>
      <c r="E6594" s="9" t="s">
        <v>17</v>
      </c>
      <c r="F6594" s="10">
        <v>37</v>
      </c>
      <c r="G6594" s="11">
        <v>7088997546</v>
      </c>
      <c r="H6594" s="10" t="s">
        <v>14308</v>
      </c>
      <c r="I6594" s="10" t="s">
        <v>27</v>
      </c>
      <c r="J6594" s="10" t="s">
        <v>9682</v>
      </c>
      <c r="K6594" s="12">
        <v>46032</v>
      </c>
      <c r="L6594" s="28" t="s">
        <v>11</v>
      </c>
      <c r="M6594" s="14"/>
      <c r="N6594" s="10" t="s">
        <v>1028</v>
      </c>
    </row>
    <row r="6595" spans="1:14" ht="22.5" customHeight="1">
      <c r="A6595" s="8">
        <v>46032.483858715277</v>
      </c>
      <c r="B6595" s="9" t="s">
        <v>14</v>
      </c>
      <c r="C6595" s="9" t="s">
        <v>15</v>
      </c>
      <c r="D6595" s="10" t="s">
        <v>14309</v>
      </c>
      <c r="E6595" s="9" t="s">
        <v>22</v>
      </c>
      <c r="F6595" s="10">
        <v>28</v>
      </c>
      <c r="G6595" s="11">
        <v>8025566587</v>
      </c>
      <c r="H6595" s="10" t="s">
        <v>14310</v>
      </c>
      <c r="I6595" s="10" t="s">
        <v>19</v>
      </c>
      <c r="J6595" s="10" t="s">
        <v>1582</v>
      </c>
      <c r="K6595" s="12">
        <v>46032</v>
      </c>
      <c r="L6595" s="28" t="s">
        <v>11</v>
      </c>
      <c r="M6595" s="14"/>
      <c r="N6595" s="10" t="s">
        <v>1028</v>
      </c>
    </row>
    <row r="6596" spans="1:14" ht="22.5" customHeight="1">
      <c r="A6596" s="8">
        <v>46032.484415706014</v>
      </c>
      <c r="B6596" s="9" t="s">
        <v>14</v>
      </c>
      <c r="C6596" s="9" t="s">
        <v>15</v>
      </c>
      <c r="D6596" s="10" t="s">
        <v>14311</v>
      </c>
      <c r="E6596" s="9" t="s">
        <v>17</v>
      </c>
      <c r="F6596" s="10">
        <v>30</v>
      </c>
      <c r="G6596" s="11">
        <v>8037577626</v>
      </c>
      <c r="H6596" s="10" t="s">
        <v>14312</v>
      </c>
      <c r="I6596" s="10" t="s">
        <v>27</v>
      </c>
      <c r="J6596" s="10" t="s">
        <v>1902</v>
      </c>
      <c r="K6596" s="12">
        <v>46032</v>
      </c>
      <c r="L6596" s="28" t="s">
        <v>11</v>
      </c>
      <c r="M6596" s="10"/>
      <c r="N6596" s="10" t="s">
        <v>2186</v>
      </c>
    </row>
    <row r="6597" spans="1:14" ht="22.5" customHeight="1">
      <c r="A6597" s="8">
        <v>46032.486387685189</v>
      </c>
      <c r="B6597" s="9" t="s">
        <v>14</v>
      </c>
      <c r="C6597" s="9" t="s">
        <v>15</v>
      </c>
      <c r="D6597" s="10" t="s">
        <v>14313</v>
      </c>
      <c r="E6597" s="9" t="s">
        <v>17</v>
      </c>
      <c r="F6597" s="10">
        <v>26</v>
      </c>
      <c r="G6597" s="11">
        <v>7042414632</v>
      </c>
      <c r="H6597" s="10" t="s">
        <v>14314</v>
      </c>
      <c r="I6597" s="10" t="s">
        <v>27</v>
      </c>
      <c r="J6597" s="10" t="s">
        <v>14315</v>
      </c>
      <c r="K6597" s="12">
        <v>46032</v>
      </c>
      <c r="L6597" s="28" t="s">
        <v>11</v>
      </c>
      <c r="M6597" s="14"/>
      <c r="N6597" s="10" t="s">
        <v>1028</v>
      </c>
    </row>
    <row r="6598" spans="1:14" ht="22.5" customHeight="1">
      <c r="A6598" s="8">
        <v>46032.489570509264</v>
      </c>
      <c r="B6598" s="9" t="s">
        <v>14</v>
      </c>
      <c r="C6598" s="9" t="s">
        <v>15</v>
      </c>
      <c r="D6598" s="10" t="s">
        <v>14316</v>
      </c>
      <c r="E6598" s="9" t="s">
        <v>17</v>
      </c>
      <c r="F6598" s="10">
        <v>27</v>
      </c>
      <c r="G6598" s="11">
        <v>8144292616</v>
      </c>
      <c r="H6598" s="10" t="s">
        <v>14317</v>
      </c>
      <c r="I6598" s="10" t="s">
        <v>49</v>
      </c>
      <c r="J6598" s="10" t="s">
        <v>73</v>
      </c>
      <c r="K6598" s="12">
        <v>35905</v>
      </c>
      <c r="L6598" s="28" t="s">
        <v>11</v>
      </c>
      <c r="M6598" s="14"/>
      <c r="N6598" s="10" t="s">
        <v>1028</v>
      </c>
    </row>
    <row r="6599" spans="1:14" ht="22.5" customHeight="1">
      <c r="A6599" s="8">
        <v>46032.492429016202</v>
      </c>
      <c r="B6599" s="9" t="s">
        <v>14</v>
      </c>
      <c r="C6599" s="9" t="s">
        <v>15</v>
      </c>
      <c r="D6599" s="10" t="s">
        <v>14318</v>
      </c>
      <c r="E6599" s="9" t="s">
        <v>17</v>
      </c>
      <c r="F6599" s="10">
        <v>20</v>
      </c>
      <c r="G6599" s="11">
        <v>8136384703</v>
      </c>
      <c r="H6599" s="10" t="s">
        <v>14319</v>
      </c>
      <c r="I6599" s="10" t="s">
        <v>31</v>
      </c>
      <c r="J6599" s="10" t="s">
        <v>32</v>
      </c>
      <c r="K6599" s="12">
        <v>46032</v>
      </c>
      <c r="L6599" s="28" t="s">
        <v>11</v>
      </c>
      <c r="M6599" s="14"/>
      <c r="N6599" s="10" t="s">
        <v>1028</v>
      </c>
    </row>
    <row r="6600" spans="1:14" ht="22.5" hidden="1" customHeight="1">
      <c r="A6600" s="8">
        <v>46032.49708241898</v>
      </c>
      <c r="B6600" s="9" t="s">
        <v>14</v>
      </c>
      <c r="C6600" s="9" t="s">
        <v>15</v>
      </c>
      <c r="D6600" s="10" t="s">
        <v>14320</v>
      </c>
      <c r="E6600" s="9" t="s">
        <v>17</v>
      </c>
      <c r="F6600" s="10">
        <v>32</v>
      </c>
      <c r="G6600" s="11">
        <v>7031680634</v>
      </c>
      <c r="H6600" s="10" t="s">
        <v>14321</v>
      </c>
      <c r="I6600" s="10" t="s">
        <v>27</v>
      </c>
      <c r="J6600" s="10" t="s">
        <v>1288</v>
      </c>
      <c r="K6600" s="12">
        <v>46032</v>
      </c>
      <c r="L6600" s="10" t="s">
        <v>441</v>
      </c>
      <c r="M6600" s="10" t="s">
        <v>1361</v>
      </c>
      <c r="N6600" s="10" t="s">
        <v>1028</v>
      </c>
    </row>
    <row r="6601" spans="1:14" ht="22.5" customHeight="1">
      <c r="A6601" s="8">
        <v>46032.501579189819</v>
      </c>
      <c r="B6601" s="9" t="s">
        <v>14</v>
      </c>
      <c r="C6601" s="9" t="s">
        <v>15</v>
      </c>
      <c r="D6601" s="10" t="s">
        <v>14322</v>
      </c>
      <c r="E6601" s="9" t="s">
        <v>17</v>
      </c>
      <c r="F6601" s="10">
        <v>22</v>
      </c>
      <c r="G6601" s="11">
        <f>2349067670707</f>
        <v>2349067670707</v>
      </c>
      <c r="H6601" s="10" t="s">
        <v>14323</v>
      </c>
      <c r="I6601" s="10" t="s">
        <v>49</v>
      </c>
      <c r="J6601" s="10" t="s">
        <v>50</v>
      </c>
      <c r="K6601" s="12">
        <v>46032</v>
      </c>
      <c r="L6601" s="28" t="s">
        <v>11</v>
      </c>
      <c r="M6601" s="14"/>
      <c r="N6601" s="10" t="s">
        <v>1028</v>
      </c>
    </row>
    <row r="6602" spans="1:14" ht="22.5" customHeight="1">
      <c r="A6602" s="8">
        <v>46032.504918738428</v>
      </c>
      <c r="B6602" s="9" t="s">
        <v>14</v>
      </c>
      <c r="C6602" s="9" t="s">
        <v>15</v>
      </c>
      <c r="D6602" s="10" t="s">
        <v>14324</v>
      </c>
      <c r="E6602" s="9" t="s">
        <v>17</v>
      </c>
      <c r="F6602" s="10">
        <v>24</v>
      </c>
      <c r="G6602" s="11">
        <v>7054253745</v>
      </c>
      <c r="H6602" s="10" t="s">
        <v>14325</v>
      </c>
      <c r="I6602" s="10" t="s">
        <v>31</v>
      </c>
      <c r="J6602" s="10" t="s">
        <v>14326</v>
      </c>
      <c r="K6602" s="12">
        <v>46032</v>
      </c>
      <c r="L6602" s="28" t="s">
        <v>11</v>
      </c>
      <c r="M6602" s="14"/>
      <c r="N6602" s="10" t="s">
        <v>1028</v>
      </c>
    </row>
    <row r="6603" spans="1:14" ht="22.5" customHeight="1">
      <c r="A6603" s="8">
        <v>46032.506131747687</v>
      </c>
      <c r="B6603" s="9" t="s">
        <v>14</v>
      </c>
      <c r="C6603" s="9" t="s">
        <v>15</v>
      </c>
      <c r="D6603" s="10" t="s">
        <v>14327</v>
      </c>
      <c r="E6603" s="9" t="s">
        <v>17</v>
      </c>
      <c r="F6603" s="10">
        <v>33</v>
      </c>
      <c r="G6603" s="11">
        <v>8039518727</v>
      </c>
      <c r="H6603" s="10" t="s">
        <v>14328</v>
      </c>
      <c r="I6603" s="10" t="s">
        <v>19</v>
      </c>
      <c r="J6603" s="10" t="s">
        <v>14329</v>
      </c>
      <c r="K6603" s="12">
        <v>46032</v>
      </c>
      <c r="L6603" s="28" t="s">
        <v>11</v>
      </c>
      <c r="M6603" s="14"/>
      <c r="N6603" s="10" t="s">
        <v>1096</v>
      </c>
    </row>
    <row r="6604" spans="1:14" ht="22.5" customHeight="1">
      <c r="A6604" s="8">
        <v>46032.512100208332</v>
      </c>
      <c r="B6604" s="9" t="s">
        <v>14</v>
      </c>
      <c r="C6604" s="9" t="s">
        <v>15</v>
      </c>
      <c r="D6604" s="10" t="s">
        <v>14330</v>
      </c>
      <c r="E6604" s="9" t="s">
        <v>22</v>
      </c>
      <c r="F6604" s="10">
        <v>21</v>
      </c>
      <c r="G6604" s="11">
        <v>9063510181</v>
      </c>
      <c r="H6604" s="10" t="s">
        <v>2733</v>
      </c>
      <c r="I6604" s="10" t="s">
        <v>27</v>
      </c>
      <c r="J6604" s="10" t="s">
        <v>1559</v>
      </c>
      <c r="K6604" s="12">
        <v>46032</v>
      </c>
      <c r="L6604" s="28" t="s">
        <v>11</v>
      </c>
      <c r="M6604" s="14"/>
      <c r="N6604" s="10" t="s">
        <v>1028</v>
      </c>
    </row>
    <row r="6605" spans="1:14" ht="22.5" customHeight="1">
      <c r="A6605" s="8">
        <v>46032.512410520838</v>
      </c>
      <c r="B6605" s="9" t="s">
        <v>14</v>
      </c>
      <c r="C6605" s="9" t="s">
        <v>15</v>
      </c>
      <c r="D6605" s="10" t="s">
        <v>14331</v>
      </c>
      <c r="E6605" s="9" t="s">
        <v>22</v>
      </c>
      <c r="F6605" s="10">
        <v>20</v>
      </c>
      <c r="G6605" s="11">
        <v>9138862329</v>
      </c>
      <c r="H6605" s="10" t="s">
        <v>14332</v>
      </c>
      <c r="I6605" s="10" t="s">
        <v>27</v>
      </c>
      <c r="J6605" s="10" t="s">
        <v>1559</v>
      </c>
      <c r="K6605" s="12">
        <v>46032</v>
      </c>
      <c r="L6605" s="28" t="s">
        <v>11</v>
      </c>
      <c r="M6605" s="14"/>
      <c r="N6605" s="10" t="s">
        <v>1028</v>
      </c>
    </row>
    <row r="6606" spans="1:14" ht="22.5" customHeight="1">
      <c r="A6606" s="8">
        <v>46032.513855567129</v>
      </c>
      <c r="B6606" s="9" t="s">
        <v>14</v>
      </c>
      <c r="C6606" s="9" t="s">
        <v>15</v>
      </c>
      <c r="D6606" s="10" t="s">
        <v>14333</v>
      </c>
      <c r="E6606" s="9" t="s">
        <v>17</v>
      </c>
      <c r="F6606" s="10">
        <v>27</v>
      </c>
      <c r="G6606" s="11">
        <v>8122999020</v>
      </c>
      <c r="H6606" s="10" t="s">
        <v>14334</v>
      </c>
      <c r="I6606" s="10" t="s">
        <v>27</v>
      </c>
      <c r="J6606" s="10" t="s">
        <v>70</v>
      </c>
      <c r="K6606" s="12">
        <v>46032</v>
      </c>
      <c r="L6606" s="28" t="s">
        <v>11</v>
      </c>
      <c r="M6606" s="14"/>
      <c r="N6606" s="10" t="s">
        <v>1028</v>
      </c>
    </row>
    <row r="6607" spans="1:14" ht="22.5" customHeight="1">
      <c r="A6607" s="8">
        <v>46032.518492592593</v>
      </c>
      <c r="B6607" s="9" t="s">
        <v>14</v>
      </c>
      <c r="C6607" s="9" t="s">
        <v>15</v>
      </c>
      <c r="D6607" s="10" t="s">
        <v>14335</v>
      </c>
      <c r="E6607" s="9" t="s">
        <v>17</v>
      </c>
      <c r="F6607" s="10">
        <v>28</v>
      </c>
      <c r="G6607" s="11">
        <v>9076378251</v>
      </c>
      <c r="H6607" s="10" t="s">
        <v>14336</v>
      </c>
      <c r="I6607" s="10" t="s">
        <v>19</v>
      </c>
      <c r="J6607" s="10" t="s">
        <v>166</v>
      </c>
      <c r="K6607" s="12">
        <v>46032</v>
      </c>
      <c r="L6607" s="28" t="s">
        <v>11</v>
      </c>
      <c r="M6607" s="14"/>
      <c r="N6607" s="10" t="s">
        <v>1028</v>
      </c>
    </row>
    <row r="6608" spans="1:14" ht="22.5" customHeight="1">
      <c r="A6608" s="8">
        <v>46032.518748483795</v>
      </c>
      <c r="B6608" s="9" t="s">
        <v>14</v>
      </c>
      <c r="C6608" s="9" t="s">
        <v>15</v>
      </c>
      <c r="D6608" s="10" t="s">
        <v>14337</v>
      </c>
      <c r="E6608" s="9" t="s">
        <v>22</v>
      </c>
      <c r="F6608" s="10">
        <v>39</v>
      </c>
      <c r="G6608" s="11">
        <v>8162501193</v>
      </c>
      <c r="H6608" s="10" t="s">
        <v>14338</v>
      </c>
      <c r="I6608" s="10" t="s">
        <v>19</v>
      </c>
      <c r="J6608" s="10" t="s">
        <v>3369</v>
      </c>
      <c r="K6608" s="12">
        <v>46032</v>
      </c>
      <c r="L6608" s="28" t="s">
        <v>11</v>
      </c>
      <c r="M6608" s="14"/>
      <c r="N6608" s="10" t="s">
        <v>1028</v>
      </c>
    </row>
    <row r="6609" spans="1:14" ht="22.5" customHeight="1">
      <c r="A6609" s="8">
        <v>46032.518885729165</v>
      </c>
      <c r="B6609" s="9" t="s">
        <v>14</v>
      </c>
      <c r="C6609" s="9" t="s">
        <v>15</v>
      </c>
      <c r="D6609" s="10" t="s">
        <v>14339</v>
      </c>
      <c r="E6609" s="9" t="s">
        <v>17</v>
      </c>
      <c r="F6609" s="10">
        <v>26</v>
      </c>
      <c r="G6609" s="11">
        <v>8130935885</v>
      </c>
      <c r="H6609" s="10" t="s">
        <v>14340</v>
      </c>
      <c r="I6609" s="10" t="s">
        <v>27</v>
      </c>
      <c r="J6609" s="10" t="s">
        <v>1559</v>
      </c>
      <c r="K6609" s="12">
        <v>46032</v>
      </c>
      <c r="L6609" s="28" t="s">
        <v>11</v>
      </c>
      <c r="M6609" s="14"/>
      <c r="N6609" s="10" t="s">
        <v>1028</v>
      </c>
    </row>
    <row r="6610" spans="1:14" ht="22.5" customHeight="1">
      <c r="A6610" s="8">
        <v>46032.520243379629</v>
      </c>
      <c r="B6610" s="9" t="s">
        <v>14</v>
      </c>
      <c r="C6610" s="9" t="s">
        <v>15</v>
      </c>
      <c r="D6610" s="10" t="s">
        <v>14341</v>
      </c>
      <c r="E6610" s="9" t="s">
        <v>17</v>
      </c>
      <c r="F6610" s="10">
        <v>31</v>
      </c>
      <c r="G6610" s="11">
        <v>8039223976</v>
      </c>
      <c r="H6610" s="10" t="s">
        <v>14342</v>
      </c>
      <c r="I6610" s="10" t="s">
        <v>19</v>
      </c>
      <c r="J6610" s="10" t="s">
        <v>14343</v>
      </c>
      <c r="K6610" s="12">
        <v>46032</v>
      </c>
      <c r="L6610" s="28" t="s">
        <v>11</v>
      </c>
      <c r="M6610" s="14"/>
      <c r="N6610" s="10" t="s">
        <v>1028</v>
      </c>
    </row>
    <row r="6611" spans="1:14" ht="22.5" customHeight="1">
      <c r="A6611" s="8">
        <v>46032.523335497681</v>
      </c>
      <c r="B6611" s="9" t="s">
        <v>14</v>
      </c>
      <c r="C6611" s="9" t="s">
        <v>15</v>
      </c>
      <c r="D6611" s="10" t="s">
        <v>14344</v>
      </c>
      <c r="E6611" s="9" t="s">
        <v>22</v>
      </c>
      <c r="F6611" s="10">
        <v>27</v>
      </c>
      <c r="G6611" s="11">
        <v>8166299621</v>
      </c>
      <c r="H6611" s="10" t="s">
        <v>14345</v>
      </c>
      <c r="I6611" s="10" t="s">
        <v>45</v>
      </c>
      <c r="J6611" s="10" t="s">
        <v>46</v>
      </c>
      <c r="K6611" s="12">
        <v>46032</v>
      </c>
      <c r="L6611" s="28" t="s">
        <v>11</v>
      </c>
      <c r="M6611" s="14"/>
      <c r="N6611" s="10" t="s">
        <v>1028</v>
      </c>
    </row>
    <row r="6612" spans="1:14" ht="22.5" customHeight="1">
      <c r="A6612" s="8">
        <v>46032.524584236111</v>
      </c>
      <c r="B6612" s="9" t="s">
        <v>14</v>
      </c>
      <c r="C6612" s="9" t="s">
        <v>15</v>
      </c>
      <c r="D6612" s="10" t="s">
        <v>14346</v>
      </c>
      <c r="E6612" s="9" t="s">
        <v>17</v>
      </c>
      <c r="F6612" s="10">
        <v>25</v>
      </c>
      <c r="G6612" s="11">
        <v>8165617826</v>
      </c>
      <c r="H6612" s="10" t="s">
        <v>14347</v>
      </c>
      <c r="I6612" s="10" t="s">
        <v>27</v>
      </c>
      <c r="J6612" s="10" t="s">
        <v>70</v>
      </c>
      <c r="K6612" s="12">
        <v>46032</v>
      </c>
      <c r="L6612" s="28" t="s">
        <v>11</v>
      </c>
      <c r="M6612" s="14"/>
      <c r="N6612" s="10" t="s">
        <v>1028</v>
      </c>
    </row>
    <row r="6613" spans="1:14" ht="22.5" hidden="1" customHeight="1">
      <c r="A6613" s="8">
        <v>46032.525923136578</v>
      </c>
      <c r="B6613" s="9" t="s">
        <v>14</v>
      </c>
      <c r="C6613" s="9" t="s">
        <v>15</v>
      </c>
      <c r="D6613" s="10" t="s">
        <v>14348</v>
      </c>
      <c r="E6613" s="9" t="s">
        <v>22</v>
      </c>
      <c r="F6613" s="10">
        <v>22</v>
      </c>
      <c r="G6613" s="11">
        <v>9074207020</v>
      </c>
      <c r="H6613" s="10" t="s">
        <v>14349</v>
      </c>
      <c r="I6613" s="10" t="s">
        <v>27</v>
      </c>
      <c r="J6613" s="10" t="s">
        <v>70</v>
      </c>
      <c r="K6613" s="12">
        <v>46032</v>
      </c>
      <c r="L6613" s="10" t="s">
        <v>441</v>
      </c>
      <c r="M6613" s="10" t="s">
        <v>1827</v>
      </c>
      <c r="N6613" s="10" t="s">
        <v>1028</v>
      </c>
    </row>
    <row r="6614" spans="1:14" ht="22.5" customHeight="1">
      <c r="A6614" s="8">
        <v>46032.528935023147</v>
      </c>
      <c r="B6614" s="9" t="s">
        <v>14</v>
      </c>
      <c r="C6614" s="9" t="s">
        <v>15</v>
      </c>
      <c r="D6614" s="10" t="s">
        <v>14350</v>
      </c>
      <c r="E6614" s="9" t="s">
        <v>22</v>
      </c>
      <c r="F6614" s="10">
        <v>27</v>
      </c>
      <c r="G6614" s="11">
        <v>7064834701</v>
      </c>
      <c r="H6614" s="10" t="s">
        <v>14351</v>
      </c>
      <c r="I6614" s="10" t="s">
        <v>27</v>
      </c>
      <c r="J6614" s="10" t="s">
        <v>5709</v>
      </c>
      <c r="K6614" s="12">
        <v>46032</v>
      </c>
      <c r="L6614" s="28" t="s">
        <v>11</v>
      </c>
      <c r="M6614" s="14"/>
      <c r="N6614" s="10" t="s">
        <v>1096</v>
      </c>
    </row>
    <row r="6615" spans="1:14" ht="22.5" customHeight="1">
      <c r="A6615" s="8">
        <v>46032.531502141203</v>
      </c>
      <c r="B6615" s="9" t="s">
        <v>14</v>
      </c>
      <c r="C6615" s="9" t="s">
        <v>15</v>
      </c>
      <c r="D6615" s="10" t="s">
        <v>14352</v>
      </c>
      <c r="E6615" s="9" t="s">
        <v>17</v>
      </c>
      <c r="F6615" s="10">
        <v>29</v>
      </c>
      <c r="G6615" s="11">
        <v>8022347293</v>
      </c>
      <c r="H6615" s="10" t="s">
        <v>14353</v>
      </c>
      <c r="I6615" s="10" t="s">
        <v>27</v>
      </c>
      <c r="J6615" s="10" t="s">
        <v>5239</v>
      </c>
      <c r="K6615" s="12">
        <v>46032</v>
      </c>
      <c r="L6615" s="28" t="s">
        <v>11</v>
      </c>
      <c r="M6615" s="14"/>
      <c r="N6615" s="10" t="s">
        <v>1028</v>
      </c>
    </row>
    <row r="6616" spans="1:14" ht="22.5" customHeight="1">
      <c r="A6616" s="8">
        <v>46032.533844768521</v>
      </c>
      <c r="B6616" s="9" t="s">
        <v>14</v>
      </c>
      <c r="C6616" s="9" t="s">
        <v>15</v>
      </c>
      <c r="D6616" s="10" t="s">
        <v>14354</v>
      </c>
      <c r="E6616" s="9" t="s">
        <v>22</v>
      </c>
      <c r="F6616" s="10">
        <v>26</v>
      </c>
      <c r="G6616" s="11">
        <v>9134546000</v>
      </c>
      <c r="H6616" s="10" t="s">
        <v>14355</v>
      </c>
      <c r="I6616" s="10" t="s">
        <v>31</v>
      </c>
      <c r="J6616" s="10" t="s">
        <v>14356</v>
      </c>
      <c r="K6616" s="12">
        <v>36519</v>
      </c>
      <c r="L6616" s="28" t="s">
        <v>11</v>
      </c>
      <c r="M6616" s="14"/>
      <c r="N6616" s="10" t="s">
        <v>1028</v>
      </c>
    </row>
    <row r="6617" spans="1:14" ht="22.5" customHeight="1">
      <c r="A6617" s="8">
        <v>46032.538521377312</v>
      </c>
      <c r="B6617" s="9" t="s">
        <v>14</v>
      </c>
      <c r="C6617" s="9" t="s">
        <v>15</v>
      </c>
      <c r="D6617" s="10" t="s">
        <v>14357</v>
      </c>
      <c r="E6617" s="9" t="s">
        <v>22</v>
      </c>
      <c r="F6617" s="10">
        <v>33</v>
      </c>
      <c r="G6617" s="11">
        <v>9131600919</v>
      </c>
      <c r="H6617" s="10" t="s">
        <v>14358</v>
      </c>
      <c r="I6617" s="10" t="s">
        <v>45</v>
      </c>
      <c r="J6617" s="10" t="s">
        <v>14359</v>
      </c>
      <c r="K6617" s="12">
        <v>46032</v>
      </c>
      <c r="L6617" s="28" t="s">
        <v>11</v>
      </c>
      <c r="M6617" s="14"/>
      <c r="N6617" s="10" t="s">
        <v>1096</v>
      </c>
    </row>
    <row r="6618" spans="1:14" ht="22.5" customHeight="1">
      <c r="A6618" s="8">
        <v>46032.541657650465</v>
      </c>
      <c r="B6618" s="9" t="s">
        <v>14</v>
      </c>
      <c r="C6618" s="9" t="s">
        <v>15</v>
      </c>
      <c r="D6618" s="10" t="s">
        <v>14360</v>
      </c>
      <c r="E6618" s="9" t="s">
        <v>17</v>
      </c>
      <c r="F6618" s="10">
        <v>28</v>
      </c>
      <c r="G6618" s="11">
        <v>9065011762</v>
      </c>
      <c r="H6618" s="10" t="s">
        <v>14361</v>
      </c>
      <c r="I6618" s="10" t="s">
        <v>45</v>
      </c>
      <c r="J6618" s="10" t="s">
        <v>46</v>
      </c>
      <c r="K6618" s="12">
        <v>46032</v>
      </c>
      <c r="L6618" s="28" t="s">
        <v>11</v>
      </c>
      <c r="M6618" s="14"/>
      <c r="N6618" s="10" t="s">
        <v>1028</v>
      </c>
    </row>
    <row r="6619" spans="1:14" ht="22.5" customHeight="1">
      <c r="A6619" s="8">
        <v>46032.542127523149</v>
      </c>
      <c r="B6619" s="9" t="s">
        <v>14</v>
      </c>
      <c r="C6619" s="9" t="s">
        <v>15</v>
      </c>
      <c r="D6619" s="10" t="s">
        <v>14362</v>
      </c>
      <c r="E6619" s="9" t="s">
        <v>22</v>
      </c>
      <c r="F6619" s="10">
        <v>24</v>
      </c>
      <c r="G6619" s="11">
        <v>8141921672</v>
      </c>
      <c r="H6619" s="10" t="s">
        <v>14363</v>
      </c>
      <c r="I6619" s="10" t="s">
        <v>49</v>
      </c>
      <c r="J6619" s="10" t="s">
        <v>445</v>
      </c>
      <c r="K6619" s="12">
        <v>46032</v>
      </c>
      <c r="L6619" s="28" t="s">
        <v>11</v>
      </c>
      <c r="M6619" s="14"/>
      <c r="N6619" s="10" t="s">
        <v>1028</v>
      </c>
    </row>
    <row r="6620" spans="1:14" ht="22.5" customHeight="1">
      <c r="A6620" s="8">
        <v>46032.545597407407</v>
      </c>
      <c r="B6620" s="9" t="s">
        <v>14</v>
      </c>
      <c r="C6620" s="9" t="s">
        <v>15</v>
      </c>
      <c r="D6620" s="10" t="s">
        <v>14364</v>
      </c>
      <c r="E6620" s="9" t="s">
        <v>22</v>
      </c>
      <c r="F6620" s="10">
        <v>25</v>
      </c>
      <c r="G6620" s="11">
        <v>8120841395</v>
      </c>
      <c r="H6620" s="10" t="s">
        <v>14365</v>
      </c>
      <c r="I6620" s="10" t="s">
        <v>27</v>
      </c>
      <c r="J6620" s="10" t="s">
        <v>1514</v>
      </c>
      <c r="K6620" s="12">
        <v>46032</v>
      </c>
      <c r="L6620" s="28" t="s">
        <v>11</v>
      </c>
      <c r="M6620" s="14"/>
      <c r="N6620" s="10" t="s">
        <v>1028</v>
      </c>
    </row>
    <row r="6621" spans="1:14" ht="22.5" customHeight="1">
      <c r="A6621" s="8">
        <v>46032.550349178244</v>
      </c>
      <c r="B6621" s="9" t="s">
        <v>14</v>
      </c>
      <c r="C6621" s="9" t="s">
        <v>15</v>
      </c>
      <c r="D6621" s="10" t="s">
        <v>11871</v>
      </c>
      <c r="E6621" s="9" t="s">
        <v>17</v>
      </c>
      <c r="F6621" s="10">
        <v>29</v>
      </c>
      <c r="G6621" s="11">
        <v>8107683144</v>
      </c>
      <c r="H6621" s="10" t="s">
        <v>14366</v>
      </c>
      <c r="I6621" s="10" t="s">
        <v>49</v>
      </c>
      <c r="J6621" s="10" t="s">
        <v>229</v>
      </c>
      <c r="K6621" s="12">
        <v>46032</v>
      </c>
      <c r="L6621" s="28" t="s">
        <v>11</v>
      </c>
      <c r="M6621" s="14"/>
      <c r="N6621" s="10" t="s">
        <v>1096</v>
      </c>
    </row>
    <row r="6622" spans="1:14" ht="22.5" customHeight="1">
      <c r="A6622" s="8">
        <v>46032.550636064814</v>
      </c>
      <c r="B6622" s="9" t="s">
        <v>14</v>
      </c>
      <c r="C6622" s="9" t="s">
        <v>15</v>
      </c>
      <c r="D6622" s="10" t="s">
        <v>14122</v>
      </c>
      <c r="E6622" s="9" t="s">
        <v>22</v>
      </c>
      <c r="F6622" s="10">
        <v>28</v>
      </c>
      <c r="G6622" s="11">
        <v>9056471600</v>
      </c>
      <c r="H6622" s="10" t="s">
        <v>14367</v>
      </c>
      <c r="I6622" s="10" t="s">
        <v>45</v>
      </c>
      <c r="J6622" s="10" t="s">
        <v>521</v>
      </c>
      <c r="K6622" s="12">
        <v>46032</v>
      </c>
      <c r="L6622" s="28" t="s">
        <v>11</v>
      </c>
      <c r="M6622" s="14"/>
      <c r="N6622" s="10" t="s">
        <v>1096</v>
      </c>
    </row>
    <row r="6623" spans="1:14" ht="22.5" customHeight="1">
      <c r="A6623" s="8">
        <v>46032.550797627315</v>
      </c>
      <c r="B6623" s="9" t="s">
        <v>14</v>
      </c>
      <c r="C6623" s="9" t="s">
        <v>15</v>
      </c>
      <c r="D6623" s="10" t="s">
        <v>14368</v>
      </c>
      <c r="E6623" s="9" t="s">
        <v>17</v>
      </c>
      <c r="F6623" s="10">
        <v>22</v>
      </c>
      <c r="G6623" s="11">
        <v>7061042149</v>
      </c>
      <c r="H6623" s="10" t="s">
        <v>14369</v>
      </c>
      <c r="I6623" s="10" t="s">
        <v>27</v>
      </c>
      <c r="J6623" s="10" t="s">
        <v>67</v>
      </c>
      <c r="K6623" s="12">
        <v>46032</v>
      </c>
      <c r="L6623" s="28" t="s">
        <v>11</v>
      </c>
      <c r="M6623" s="14"/>
      <c r="N6623" s="10" t="s">
        <v>1028</v>
      </c>
    </row>
    <row r="6624" spans="1:14" ht="22.5" customHeight="1">
      <c r="A6624" s="8">
        <v>46032.552841620374</v>
      </c>
      <c r="B6624" s="9" t="s">
        <v>14</v>
      </c>
      <c r="C6624" s="9" t="s">
        <v>15</v>
      </c>
      <c r="D6624" s="10" t="s">
        <v>14370</v>
      </c>
      <c r="E6624" s="9" t="s">
        <v>17</v>
      </c>
      <c r="F6624" s="10">
        <v>25</v>
      </c>
      <c r="G6624" s="11">
        <v>8068179904</v>
      </c>
      <c r="H6624" s="10" t="s">
        <v>14371</v>
      </c>
      <c r="I6624" s="10" t="s">
        <v>49</v>
      </c>
      <c r="J6624" s="10" t="s">
        <v>50</v>
      </c>
      <c r="K6624" s="12">
        <v>46032</v>
      </c>
      <c r="L6624" s="28" t="s">
        <v>11</v>
      </c>
      <c r="M6624" s="14"/>
      <c r="N6624" s="10" t="s">
        <v>1028</v>
      </c>
    </row>
    <row r="6625" spans="1:14" ht="22.5" customHeight="1">
      <c r="A6625" s="8">
        <v>46032.553631250004</v>
      </c>
      <c r="B6625" s="9" t="s">
        <v>14</v>
      </c>
      <c r="C6625" s="9" t="s">
        <v>15</v>
      </c>
      <c r="D6625" s="10" t="s">
        <v>14372</v>
      </c>
      <c r="E6625" s="9" t="s">
        <v>22</v>
      </c>
      <c r="F6625" s="10">
        <v>32</v>
      </c>
      <c r="G6625" s="11">
        <v>8163139847</v>
      </c>
      <c r="H6625" s="10" t="s">
        <v>14373</v>
      </c>
      <c r="I6625" s="10" t="s">
        <v>31</v>
      </c>
      <c r="J6625" s="10" t="s">
        <v>32</v>
      </c>
      <c r="K6625" s="12">
        <v>46032</v>
      </c>
      <c r="L6625" s="28" t="s">
        <v>11</v>
      </c>
      <c r="M6625" s="14"/>
      <c r="N6625" s="10" t="s">
        <v>1028</v>
      </c>
    </row>
    <row r="6626" spans="1:14" ht="22.5" customHeight="1">
      <c r="A6626" s="8">
        <v>46032.559344756941</v>
      </c>
      <c r="B6626" s="9" t="s">
        <v>14</v>
      </c>
      <c r="C6626" s="9" t="s">
        <v>15</v>
      </c>
      <c r="D6626" s="10" t="s">
        <v>14374</v>
      </c>
      <c r="E6626" s="9" t="s">
        <v>22</v>
      </c>
      <c r="F6626" s="10">
        <v>24</v>
      </c>
      <c r="G6626" s="11">
        <f t="shared" ref="G6626" si="198">2349068451634</f>
        <v>2349068451634</v>
      </c>
      <c r="H6626" s="10" t="s">
        <v>14375</v>
      </c>
      <c r="I6626" s="10" t="s">
        <v>27</v>
      </c>
      <c r="J6626" s="10" t="s">
        <v>1456</v>
      </c>
      <c r="K6626" s="12">
        <v>46032</v>
      </c>
      <c r="L6626" s="28" t="s">
        <v>11</v>
      </c>
      <c r="M6626" s="14"/>
      <c r="N6626" s="10" t="s">
        <v>1028</v>
      </c>
    </row>
    <row r="6627" spans="1:14" ht="22.5" customHeight="1">
      <c r="A6627" s="8">
        <v>46032.562410648148</v>
      </c>
      <c r="B6627" s="9" t="s">
        <v>14</v>
      </c>
      <c r="C6627" s="9" t="s">
        <v>15</v>
      </c>
      <c r="D6627" s="10" t="s">
        <v>14376</v>
      </c>
      <c r="E6627" s="9" t="s">
        <v>17</v>
      </c>
      <c r="F6627" s="10">
        <v>42</v>
      </c>
      <c r="G6627" s="11">
        <v>8162167719</v>
      </c>
      <c r="H6627" s="10" t="s">
        <v>14377</v>
      </c>
      <c r="I6627" s="10" t="s">
        <v>45</v>
      </c>
      <c r="J6627" s="10" t="s">
        <v>46</v>
      </c>
      <c r="K6627" s="12">
        <v>46032</v>
      </c>
      <c r="L6627" s="28" t="s">
        <v>11</v>
      </c>
      <c r="M6627" s="14"/>
      <c r="N6627" s="10" t="s">
        <v>1028</v>
      </c>
    </row>
    <row r="6628" spans="1:14" ht="22.5" customHeight="1">
      <c r="A6628" s="8">
        <v>46032.562674803237</v>
      </c>
      <c r="B6628" s="9" t="s">
        <v>14</v>
      </c>
      <c r="C6628" s="9" t="s">
        <v>15</v>
      </c>
      <c r="D6628" s="10" t="s">
        <v>14378</v>
      </c>
      <c r="E6628" s="9" t="s">
        <v>17</v>
      </c>
      <c r="F6628" s="10">
        <v>27</v>
      </c>
      <c r="G6628" s="11">
        <v>8067406164</v>
      </c>
      <c r="H6628" s="10" t="s">
        <v>14379</v>
      </c>
      <c r="I6628" s="10" t="s">
        <v>145</v>
      </c>
      <c r="J6628" s="10" t="s">
        <v>530</v>
      </c>
      <c r="K6628" s="12">
        <v>46032</v>
      </c>
      <c r="L6628" s="28" t="s">
        <v>11</v>
      </c>
      <c r="M6628" s="14"/>
      <c r="N6628" s="10" t="s">
        <v>1028</v>
      </c>
    </row>
    <row r="6629" spans="1:14" ht="22.5" customHeight="1">
      <c r="A6629" s="8">
        <v>46032.563501979166</v>
      </c>
      <c r="B6629" s="9" t="s">
        <v>14</v>
      </c>
      <c r="C6629" s="9" t="s">
        <v>15</v>
      </c>
      <c r="D6629" s="10" t="s">
        <v>14380</v>
      </c>
      <c r="E6629" s="9" t="s">
        <v>22</v>
      </c>
      <c r="F6629" s="10">
        <v>25</v>
      </c>
      <c r="G6629" s="11">
        <v>9037027790</v>
      </c>
      <c r="H6629" s="10" t="s">
        <v>14381</v>
      </c>
      <c r="I6629" s="10" t="s">
        <v>27</v>
      </c>
      <c r="J6629" s="10" t="s">
        <v>70</v>
      </c>
      <c r="K6629" s="12">
        <v>46032</v>
      </c>
      <c r="L6629" s="28" t="s">
        <v>11</v>
      </c>
      <c r="M6629" s="14"/>
      <c r="N6629" s="10" t="s">
        <v>1028</v>
      </c>
    </row>
    <row r="6630" spans="1:14" ht="22.5" customHeight="1">
      <c r="A6630" s="8">
        <v>46032.565069710647</v>
      </c>
      <c r="B6630" s="9" t="s">
        <v>14</v>
      </c>
      <c r="C6630" s="9" t="s">
        <v>15</v>
      </c>
      <c r="D6630" s="10" t="s">
        <v>14382</v>
      </c>
      <c r="E6630" s="9" t="s">
        <v>17</v>
      </c>
      <c r="F6630" s="10">
        <v>36</v>
      </c>
      <c r="G6630" s="11">
        <v>7063040478</v>
      </c>
      <c r="H6630" s="10" t="s">
        <v>14383</v>
      </c>
      <c r="I6630" s="10" t="s">
        <v>27</v>
      </c>
      <c r="J6630" s="10" t="s">
        <v>28</v>
      </c>
      <c r="K6630" s="12">
        <v>46032</v>
      </c>
      <c r="L6630" s="28" t="s">
        <v>11</v>
      </c>
      <c r="M6630" s="14"/>
      <c r="N6630" s="10" t="s">
        <v>1028</v>
      </c>
    </row>
    <row r="6631" spans="1:14" ht="22.5" customHeight="1">
      <c r="A6631" s="8">
        <v>46032.565397175931</v>
      </c>
      <c r="B6631" s="9" t="s">
        <v>14</v>
      </c>
      <c r="C6631" s="9" t="s">
        <v>15</v>
      </c>
      <c r="D6631" s="10" t="s">
        <v>14384</v>
      </c>
      <c r="E6631" s="9" t="s">
        <v>22</v>
      </c>
      <c r="F6631" s="10">
        <v>35</v>
      </c>
      <c r="G6631" s="11">
        <v>8060644822</v>
      </c>
      <c r="H6631" s="10" t="s">
        <v>14385</v>
      </c>
      <c r="I6631" s="10" t="s">
        <v>145</v>
      </c>
      <c r="J6631" s="10" t="s">
        <v>1607</v>
      </c>
      <c r="K6631" s="12">
        <v>46032</v>
      </c>
      <c r="L6631" s="28" t="s">
        <v>11</v>
      </c>
      <c r="M6631" s="14"/>
      <c r="N6631" s="10" t="s">
        <v>1028</v>
      </c>
    </row>
    <row r="6632" spans="1:14" ht="22.5" customHeight="1">
      <c r="A6632" s="8">
        <v>46032.569909062498</v>
      </c>
      <c r="B6632" s="9" t="s">
        <v>14</v>
      </c>
      <c r="C6632" s="9" t="s">
        <v>15</v>
      </c>
      <c r="D6632" s="10" t="s">
        <v>14386</v>
      </c>
      <c r="E6632" s="9" t="s">
        <v>17</v>
      </c>
      <c r="F6632" s="10">
        <v>26</v>
      </c>
      <c r="G6632" s="11">
        <v>2348108956451</v>
      </c>
      <c r="H6632" s="10" t="s">
        <v>10910</v>
      </c>
      <c r="I6632" s="10" t="s">
        <v>49</v>
      </c>
      <c r="J6632" s="10" t="s">
        <v>73</v>
      </c>
      <c r="K6632" s="12">
        <v>46032</v>
      </c>
      <c r="L6632" s="28" t="s">
        <v>11</v>
      </c>
      <c r="M6632" s="14"/>
      <c r="N6632" s="10" t="s">
        <v>1028</v>
      </c>
    </row>
    <row r="6633" spans="1:14" ht="22.5" customHeight="1">
      <c r="A6633" s="8">
        <v>46032.572653252311</v>
      </c>
      <c r="B6633" s="9" t="s">
        <v>14</v>
      </c>
      <c r="C6633" s="9" t="s">
        <v>15</v>
      </c>
      <c r="D6633" s="10" t="s">
        <v>14387</v>
      </c>
      <c r="E6633" s="9" t="s">
        <v>17</v>
      </c>
      <c r="F6633" s="10">
        <v>27</v>
      </c>
      <c r="G6633" s="11">
        <v>9033550543</v>
      </c>
      <c r="H6633" s="10" t="s">
        <v>14388</v>
      </c>
      <c r="I6633" s="10" t="s">
        <v>45</v>
      </c>
      <c r="J6633" s="10" t="s">
        <v>9618</v>
      </c>
      <c r="K6633" s="12">
        <v>46032</v>
      </c>
      <c r="L6633" s="28" t="s">
        <v>11</v>
      </c>
      <c r="M6633" s="14"/>
      <c r="N6633" s="10" t="s">
        <v>1028</v>
      </c>
    </row>
    <row r="6634" spans="1:14" ht="22.5" customHeight="1">
      <c r="A6634" s="8">
        <v>46032.576157476855</v>
      </c>
      <c r="B6634" s="9" t="s">
        <v>14</v>
      </c>
      <c r="C6634" s="9" t="s">
        <v>15</v>
      </c>
      <c r="D6634" s="10" t="s">
        <v>14389</v>
      </c>
      <c r="E6634" s="9" t="s">
        <v>17</v>
      </c>
      <c r="F6634" s="10">
        <v>28</v>
      </c>
      <c r="G6634" s="11">
        <v>8121324961</v>
      </c>
      <c r="H6634" s="10" t="s">
        <v>14390</v>
      </c>
      <c r="I6634" s="10" t="s">
        <v>202</v>
      </c>
      <c r="J6634" s="10" t="s">
        <v>14391</v>
      </c>
      <c r="K6634" s="12">
        <v>46032</v>
      </c>
      <c r="L6634" s="28" t="s">
        <v>11</v>
      </c>
      <c r="M6634" s="14"/>
      <c r="N6634" s="10" t="s">
        <v>1028</v>
      </c>
    </row>
    <row r="6635" spans="1:14" ht="22.5" customHeight="1">
      <c r="A6635" s="8">
        <v>46032.576385763889</v>
      </c>
      <c r="B6635" s="9" t="s">
        <v>14</v>
      </c>
      <c r="C6635" s="9" t="s">
        <v>15</v>
      </c>
      <c r="D6635" s="10" t="s">
        <v>14392</v>
      </c>
      <c r="E6635" s="9" t="s">
        <v>17</v>
      </c>
      <c r="F6635" s="10">
        <v>36</v>
      </c>
      <c r="G6635" s="11">
        <v>7036230043</v>
      </c>
      <c r="H6635" s="10" t="s">
        <v>14393</v>
      </c>
      <c r="I6635" s="10" t="s">
        <v>27</v>
      </c>
      <c r="J6635" s="10" t="s">
        <v>94</v>
      </c>
      <c r="K6635" s="12">
        <v>32883</v>
      </c>
      <c r="L6635" s="28" t="s">
        <v>11</v>
      </c>
      <c r="M6635" s="14"/>
      <c r="N6635" s="10" t="s">
        <v>1028</v>
      </c>
    </row>
    <row r="6636" spans="1:14" ht="22.5" customHeight="1">
      <c r="A6636" s="8">
        <v>46032.577282962964</v>
      </c>
      <c r="B6636" s="9" t="s">
        <v>14</v>
      </c>
      <c r="C6636" s="9" t="s">
        <v>15</v>
      </c>
      <c r="D6636" s="10" t="s">
        <v>11157</v>
      </c>
      <c r="E6636" s="9" t="s">
        <v>17</v>
      </c>
      <c r="F6636" s="10">
        <v>20</v>
      </c>
      <c r="G6636" s="11">
        <v>7032912897</v>
      </c>
      <c r="H6636" s="10" t="s">
        <v>11158</v>
      </c>
      <c r="I6636" s="10" t="s">
        <v>45</v>
      </c>
      <c r="J6636" s="10" t="s">
        <v>279</v>
      </c>
      <c r="K6636" s="12">
        <v>46032</v>
      </c>
      <c r="L6636" s="28" t="s">
        <v>11</v>
      </c>
      <c r="M6636" s="14"/>
      <c r="N6636" s="10" t="s">
        <v>1028</v>
      </c>
    </row>
    <row r="6637" spans="1:14" ht="22.5" customHeight="1">
      <c r="A6637" s="8">
        <v>46032.578588425924</v>
      </c>
      <c r="B6637" s="9" t="s">
        <v>14</v>
      </c>
      <c r="C6637" s="9" t="s">
        <v>15</v>
      </c>
      <c r="D6637" s="10" t="s">
        <v>14394</v>
      </c>
      <c r="E6637" s="9" t="s">
        <v>17</v>
      </c>
      <c r="F6637" s="10">
        <v>24</v>
      </c>
      <c r="G6637" s="11">
        <v>9079824596</v>
      </c>
      <c r="H6637" s="10" t="s">
        <v>14395</v>
      </c>
      <c r="I6637" s="10" t="s">
        <v>49</v>
      </c>
      <c r="J6637" s="10" t="s">
        <v>14396</v>
      </c>
      <c r="K6637" s="12">
        <v>46032</v>
      </c>
      <c r="L6637" s="28" t="s">
        <v>11</v>
      </c>
      <c r="M6637" s="14"/>
      <c r="N6637" s="10" t="s">
        <v>1028</v>
      </c>
    </row>
    <row r="6638" spans="1:14" ht="22.5" customHeight="1">
      <c r="A6638" s="8">
        <v>46032.580466284722</v>
      </c>
      <c r="B6638" s="9" t="s">
        <v>14</v>
      </c>
      <c r="C6638" s="9" t="s">
        <v>15</v>
      </c>
      <c r="D6638" s="10" t="s">
        <v>14397</v>
      </c>
      <c r="E6638" s="9" t="s">
        <v>22</v>
      </c>
      <c r="F6638" s="10">
        <v>30</v>
      </c>
      <c r="G6638" s="11">
        <v>7061914414</v>
      </c>
      <c r="H6638" s="10" t="s">
        <v>14398</v>
      </c>
      <c r="I6638" s="10" t="s">
        <v>202</v>
      </c>
      <c r="J6638" s="10" t="s">
        <v>3682</v>
      </c>
      <c r="K6638" s="12">
        <v>46032</v>
      </c>
      <c r="L6638" s="28" t="s">
        <v>11</v>
      </c>
      <c r="M6638" s="14"/>
      <c r="N6638" s="10" t="s">
        <v>1028</v>
      </c>
    </row>
    <row r="6639" spans="1:14" ht="22.5" customHeight="1">
      <c r="A6639" s="8">
        <v>46032.58179394676</v>
      </c>
      <c r="B6639" s="9" t="s">
        <v>14</v>
      </c>
      <c r="C6639" s="9" t="s">
        <v>15</v>
      </c>
      <c r="D6639" s="10" t="s">
        <v>14399</v>
      </c>
      <c r="E6639" s="9" t="s">
        <v>17</v>
      </c>
      <c r="F6639" s="10">
        <v>18</v>
      </c>
      <c r="G6639" s="11">
        <f t="shared" ref="G6639" si="199">2347014624603</f>
        <v>2347014624603</v>
      </c>
      <c r="H6639" s="10" t="s">
        <v>14400</v>
      </c>
      <c r="I6639" s="10" t="s">
        <v>45</v>
      </c>
      <c r="J6639" s="10" t="s">
        <v>14401</v>
      </c>
      <c r="K6639" s="12">
        <v>46032</v>
      </c>
      <c r="L6639" s="28" t="s">
        <v>11</v>
      </c>
      <c r="M6639" s="14"/>
      <c r="N6639" s="10" t="s">
        <v>1028</v>
      </c>
    </row>
    <row r="6640" spans="1:14" ht="22.5" customHeight="1">
      <c r="A6640" s="8">
        <v>46032.581883912033</v>
      </c>
      <c r="B6640" s="9" t="s">
        <v>14</v>
      </c>
      <c r="C6640" s="9" t="s">
        <v>15</v>
      </c>
      <c r="D6640" s="10" t="s">
        <v>14402</v>
      </c>
      <c r="E6640" s="9" t="s">
        <v>17</v>
      </c>
      <c r="F6640" s="19">
        <v>26</v>
      </c>
      <c r="G6640" s="11">
        <v>7034590231</v>
      </c>
      <c r="H6640" s="10" t="s">
        <v>14403</v>
      </c>
      <c r="I6640" s="10" t="s">
        <v>145</v>
      </c>
      <c r="J6640" s="10" t="s">
        <v>7825</v>
      </c>
      <c r="K6640" s="12">
        <v>46032</v>
      </c>
      <c r="L6640" s="28" t="s">
        <v>11</v>
      </c>
      <c r="M6640" s="14"/>
      <c r="N6640" s="10" t="s">
        <v>1028</v>
      </c>
    </row>
    <row r="6641" spans="1:14" ht="22.5" customHeight="1">
      <c r="A6641" s="8">
        <v>46032.586233854163</v>
      </c>
      <c r="B6641" s="9" t="s">
        <v>14</v>
      </c>
      <c r="C6641" s="9" t="s">
        <v>15</v>
      </c>
      <c r="D6641" s="10" t="s">
        <v>14404</v>
      </c>
      <c r="E6641" s="9" t="s">
        <v>17</v>
      </c>
      <c r="F6641" s="10">
        <v>35</v>
      </c>
      <c r="G6641" s="11">
        <v>8064521836</v>
      </c>
      <c r="H6641" s="10" t="s">
        <v>14405</v>
      </c>
      <c r="I6641" s="10" t="s">
        <v>19</v>
      </c>
      <c r="J6641" s="10" t="s">
        <v>119</v>
      </c>
      <c r="K6641" s="12">
        <v>46032</v>
      </c>
      <c r="L6641" s="28" t="s">
        <v>11</v>
      </c>
      <c r="M6641" s="14"/>
      <c r="N6641" s="10" t="s">
        <v>1028</v>
      </c>
    </row>
    <row r="6642" spans="1:14" ht="22.5" customHeight="1">
      <c r="A6642" s="8">
        <v>46032.587778368055</v>
      </c>
      <c r="B6642" s="9" t="s">
        <v>14</v>
      </c>
      <c r="C6642" s="9" t="s">
        <v>15</v>
      </c>
      <c r="D6642" s="10" t="s">
        <v>14406</v>
      </c>
      <c r="E6642" s="9" t="s">
        <v>17</v>
      </c>
      <c r="F6642" s="10">
        <v>23</v>
      </c>
      <c r="G6642" s="11">
        <v>8104129834</v>
      </c>
      <c r="H6642" s="10" t="s">
        <v>14407</v>
      </c>
      <c r="I6642" s="10" t="s">
        <v>31</v>
      </c>
      <c r="J6642" s="10" t="s">
        <v>32</v>
      </c>
      <c r="K6642" s="12">
        <v>46032</v>
      </c>
      <c r="L6642" s="28" t="s">
        <v>11</v>
      </c>
      <c r="M6642" s="14"/>
      <c r="N6642" s="10" t="s">
        <v>1028</v>
      </c>
    </row>
    <row r="6643" spans="1:14" ht="22.5" customHeight="1">
      <c r="A6643" s="8">
        <v>46032.588391875004</v>
      </c>
      <c r="B6643" s="9" t="s">
        <v>14</v>
      </c>
      <c r="C6643" s="9" t="s">
        <v>15</v>
      </c>
      <c r="D6643" s="10" t="s">
        <v>14408</v>
      </c>
      <c r="E6643" s="9" t="s">
        <v>17</v>
      </c>
      <c r="F6643" s="10">
        <v>29</v>
      </c>
      <c r="G6643" s="11">
        <v>8143854978</v>
      </c>
      <c r="H6643" s="10" t="s">
        <v>14409</v>
      </c>
      <c r="I6643" s="10" t="s">
        <v>27</v>
      </c>
      <c r="J6643" s="10" t="s">
        <v>4025</v>
      </c>
      <c r="K6643" s="12">
        <v>46032</v>
      </c>
      <c r="L6643" s="28" t="s">
        <v>11</v>
      </c>
      <c r="M6643" s="14"/>
      <c r="N6643" s="10" t="s">
        <v>1096</v>
      </c>
    </row>
    <row r="6644" spans="1:14" ht="22.5" customHeight="1">
      <c r="A6644" s="8">
        <v>46032.588759363425</v>
      </c>
      <c r="B6644" s="9" t="s">
        <v>14</v>
      </c>
      <c r="C6644" s="9" t="s">
        <v>15</v>
      </c>
      <c r="D6644" s="10" t="s">
        <v>14410</v>
      </c>
      <c r="E6644" s="9" t="s">
        <v>17</v>
      </c>
      <c r="F6644" s="10">
        <v>42</v>
      </c>
      <c r="G6644" s="11">
        <v>8134338274</v>
      </c>
      <c r="H6644" s="10" t="s">
        <v>14411</v>
      </c>
      <c r="I6644" s="10" t="s">
        <v>31</v>
      </c>
      <c r="J6644" s="10" t="s">
        <v>32</v>
      </c>
      <c r="K6644" s="12">
        <v>46032</v>
      </c>
      <c r="L6644" s="28" t="s">
        <v>11</v>
      </c>
      <c r="M6644" s="14"/>
      <c r="N6644" s="10" t="s">
        <v>1028</v>
      </c>
    </row>
    <row r="6645" spans="1:14" ht="22.5" customHeight="1">
      <c r="A6645" s="8">
        <v>46032.589530127312</v>
      </c>
      <c r="B6645" s="9" t="s">
        <v>14</v>
      </c>
      <c r="C6645" s="9" t="s">
        <v>15</v>
      </c>
      <c r="D6645" s="10" t="s">
        <v>14412</v>
      </c>
      <c r="E6645" s="9" t="s">
        <v>17</v>
      </c>
      <c r="F6645" s="10">
        <v>25</v>
      </c>
      <c r="G6645" s="11">
        <v>8068387686</v>
      </c>
      <c r="H6645" s="10" t="s">
        <v>14413</v>
      </c>
      <c r="I6645" s="10" t="s">
        <v>45</v>
      </c>
      <c r="J6645" s="10" t="s">
        <v>1919</v>
      </c>
      <c r="K6645" s="12">
        <v>46032</v>
      </c>
      <c r="L6645" s="28" t="s">
        <v>11</v>
      </c>
      <c r="M6645" s="14"/>
      <c r="N6645" s="10" t="s">
        <v>2482</v>
      </c>
    </row>
    <row r="6646" spans="1:14" ht="22.5" customHeight="1">
      <c r="A6646" s="8">
        <v>46032.58964038195</v>
      </c>
      <c r="B6646" s="9" t="s">
        <v>14</v>
      </c>
      <c r="C6646" s="9" t="s">
        <v>15</v>
      </c>
      <c r="D6646" s="10" t="s">
        <v>14414</v>
      </c>
      <c r="E6646" s="9" t="s">
        <v>17</v>
      </c>
      <c r="F6646" s="10">
        <v>33</v>
      </c>
      <c r="G6646" s="11">
        <v>8134005978</v>
      </c>
      <c r="H6646" s="10" t="s">
        <v>14415</v>
      </c>
      <c r="I6646" s="10" t="s">
        <v>19</v>
      </c>
      <c r="J6646" s="10" t="s">
        <v>14416</v>
      </c>
      <c r="K6646" s="12">
        <v>46032</v>
      </c>
      <c r="L6646" s="28" t="s">
        <v>11</v>
      </c>
      <c r="M6646" s="14"/>
      <c r="N6646" s="10" t="s">
        <v>1028</v>
      </c>
    </row>
    <row r="6647" spans="1:14" ht="22.5" customHeight="1">
      <c r="A6647" s="8">
        <v>46032.591271018522</v>
      </c>
      <c r="B6647" s="9" t="s">
        <v>14</v>
      </c>
      <c r="C6647" s="9" t="s">
        <v>15</v>
      </c>
      <c r="D6647" s="10" t="s">
        <v>14417</v>
      </c>
      <c r="E6647" s="9" t="s">
        <v>17</v>
      </c>
      <c r="F6647" s="10">
        <v>25</v>
      </c>
      <c r="G6647" s="11">
        <f>2348145024521</f>
        <v>2348145024521</v>
      </c>
      <c r="H6647" s="10" t="s">
        <v>14418</v>
      </c>
      <c r="I6647" s="10" t="s">
        <v>45</v>
      </c>
      <c r="J6647" s="10" t="s">
        <v>14419</v>
      </c>
      <c r="K6647" s="12">
        <v>46032</v>
      </c>
      <c r="L6647" s="28" t="s">
        <v>11</v>
      </c>
      <c r="M6647" s="14"/>
      <c r="N6647" s="10" t="s">
        <v>1028</v>
      </c>
    </row>
    <row r="6648" spans="1:14" ht="22.5" customHeight="1">
      <c r="A6648" s="8">
        <v>46032.592995173611</v>
      </c>
      <c r="B6648" s="9" t="s">
        <v>14</v>
      </c>
      <c r="C6648" s="9" t="s">
        <v>15</v>
      </c>
      <c r="D6648" s="10" t="s">
        <v>14420</v>
      </c>
      <c r="E6648" s="9" t="s">
        <v>17</v>
      </c>
      <c r="F6648" s="10">
        <v>34</v>
      </c>
      <c r="G6648" s="11">
        <v>7060716462</v>
      </c>
      <c r="H6648" s="10" t="s">
        <v>14421</v>
      </c>
      <c r="I6648" s="10" t="s">
        <v>49</v>
      </c>
      <c r="J6648" s="10" t="s">
        <v>319</v>
      </c>
      <c r="K6648" s="12">
        <v>46032</v>
      </c>
      <c r="L6648" s="28" t="s">
        <v>11</v>
      </c>
      <c r="M6648" s="10"/>
      <c r="N6648" s="10" t="s">
        <v>1028</v>
      </c>
    </row>
    <row r="6649" spans="1:14" ht="22.5" customHeight="1">
      <c r="A6649" s="8">
        <v>46032.598131134262</v>
      </c>
      <c r="B6649" s="9" t="s">
        <v>14</v>
      </c>
      <c r="C6649" s="9" t="s">
        <v>15</v>
      </c>
      <c r="D6649" s="10" t="s">
        <v>14422</v>
      </c>
      <c r="E6649" s="9" t="s">
        <v>22</v>
      </c>
      <c r="F6649" s="10">
        <v>22</v>
      </c>
      <c r="G6649" s="11">
        <v>9043886151</v>
      </c>
      <c r="H6649" s="10" t="s">
        <v>14423</v>
      </c>
      <c r="I6649" s="10" t="s">
        <v>145</v>
      </c>
      <c r="J6649" s="10" t="s">
        <v>11629</v>
      </c>
      <c r="K6649" s="12">
        <v>37822</v>
      </c>
      <c r="L6649" s="28" t="s">
        <v>11</v>
      </c>
      <c r="M6649" s="14"/>
      <c r="N6649" s="10" t="s">
        <v>1028</v>
      </c>
    </row>
    <row r="6650" spans="1:14" ht="22.5" customHeight="1">
      <c r="A6650" s="8">
        <v>46032.6016771875</v>
      </c>
      <c r="B6650" s="9" t="s">
        <v>14</v>
      </c>
      <c r="C6650" s="9" t="s">
        <v>15</v>
      </c>
      <c r="D6650" s="10" t="s">
        <v>14424</v>
      </c>
      <c r="E6650" s="9" t="s">
        <v>17</v>
      </c>
      <c r="F6650" s="10">
        <v>64</v>
      </c>
      <c r="G6650" s="11">
        <v>8066626851</v>
      </c>
      <c r="H6650" s="10" t="s">
        <v>14425</v>
      </c>
      <c r="I6650" s="10" t="s">
        <v>31</v>
      </c>
      <c r="J6650" s="10" t="s">
        <v>32</v>
      </c>
      <c r="K6650" s="12">
        <v>46032</v>
      </c>
      <c r="L6650" s="28" t="s">
        <v>11</v>
      </c>
      <c r="M6650" s="14"/>
      <c r="N6650" s="10" t="s">
        <v>1028</v>
      </c>
    </row>
    <row r="6651" spans="1:14" ht="22.5" customHeight="1">
      <c r="A6651" s="8">
        <v>46032.602227476847</v>
      </c>
      <c r="B6651" s="9" t="s">
        <v>14</v>
      </c>
      <c r="C6651" s="9" t="s">
        <v>15</v>
      </c>
      <c r="D6651" s="10" t="s">
        <v>14426</v>
      </c>
      <c r="E6651" s="9" t="s">
        <v>17</v>
      </c>
      <c r="F6651" s="10">
        <v>32</v>
      </c>
      <c r="G6651" s="11">
        <v>8115430325</v>
      </c>
      <c r="H6651" s="10" t="s">
        <v>14427</v>
      </c>
      <c r="I6651" s="10" t="s">
        <v>27</v>
      </c>
      <c r="J6651" s="10" t="s">
        <v>703</v>
      </c>
      <c r="K6651" s="12">
        <v>46032</v>
      </c>
      <c r="L6651" s="28" t="s">
        <v>11</v>
      </c>
      <c r="M6651" s="14"/>
      <c r="N6651" s="10" t="s">
        <v>1096</v>
      </c>
    </row>
    <row r="6652" spans="1:14" ht="22.5" customHeight="1">
      <c r="A6652" s="8">
        <v>46032.604734733795</v>
      </c>
      <c r="B6652" s="9" t="s">
        <v>14</v>
      </c>
      <c r="C6652" s="9" t="s">
        <v>15</v>
      </c>
      <c r="D6652" s="10" t="s">
        <v>14428</v>
      </c>
      <c r="E6652" s="9" t="s">
        <v>22</v>
      </c>
      <c r="F6652" s="10">
        <v>26</v>
      </c>
      <c r="G6652" s="11">
        <v>7065713561</v>
      </c>
      <c r="H6652" s="10" t="s">
        <v>14429</v>
      </c>
      <c r="I6652" s="10" t="s">
        <v>45</v>
      </c>
      <c r="J6652" s="10" t="s">
        <v>178</v>
      </c>
      <c r="K6652" s="12">
        <v>46032</v>
      </c>
      <c r="L6652" s="28" t="s">
        <v>11</v>
      </c>
      <c r="M6652" s="14"/>
      <c r="N6652" s="10" t="s">
        <v>1028</v>
      </c>
    </row>
    <row r="6653" spans="1:14" ht="22.5" customHeight="1">
      <c r="A6653" s="8">
        <v>46032.605149988427</v>
      </c>
      <c r="B6653" s="9" t="s">
        <v>14</v>
      </c>
      <c r="C6653" s="9" t="s">
        <v>15</v>
      </c>
      <c r="D6653" s="10" t="s">
        <v>14397</v>
      </c>
      <c r="E6653" s="9" t="s">
        <v>22</v>
      </c>
      <c r="F6653" s="10">
        <v>30</v>
      </c>
      <c r="G6653" s="11">
        <v>7061914414</v>
      </c>
      <c r="H6653" s="10" t="s">
        <v>14398</v>
      </c>
      <c r="I6653" s="10" t="s">
        <v>202</v>
      </c>
      <c r="J6653" s="10" t="s">
        <v>3682</v>
      </c>
      <c r="K6653" s="12">
        <v>46032</v>
      </c>
      <c r="L6653" s="28" t="s">
        <v>11</v>
      </c>
      <c r="M6653" s="14"/>
      <c r="N6653" s="10" t="s">
        <v>1028</v>
      </c>
    </row>
    <row r="6654" spans="1:14" ht="22.5" customHeight="1">
      <c r="A6654" s="8">
        <v>46032.607010752312</v>
      </c>
      <c r="B6654" s="9" t="s">
        <v>14</v>
      </c>
      <c r="C6654" s="9" t="s">
        <v>15</v>
      </c>
      <c r="D6654" s="10" t="s">
        <v>14430</v>
      </c>
      <c r="E6654" s="9" t="s">
        <v>17</v>
      </c>
      <c r="F6654" s="10">
        <v>26</v>
      </c>
      <c r="G6654" s="11">
        <v>9123227370</v>
      </c>
      <c r="H6654" s="10" t="s">
        <v>14431</v>
      </c>
      <c r="I6654" s="10" t="s">
        <v>202</v>
      </c>
      <c r="J6654" s="10" t="s">
        <v>4177</v>
      </c>
      <c r="K6654" s="12">
        <v>46032</v>
      </c>
      <c r="L6654" s="28" t="s">
        <v>11</v>
      </c>
      <c r="M6654" s="14"/>
      <c r="N6654" s="10" t="s">
        <v>1028</v>
      </c>
    </row>
    <row r="6655" spans="1:14" ht="22.5" customHeight="1">
      <c r="A6655" s="8">
        <v>46032.607409918986</v>
      </c>
      <c r="B6655" s="9" t="s">
        <v>14</v>
      </c>
      <c r="C6655" s="9" t="s">
        <v>15</v>
      </c>
      <c r="D6655" s="10" t="s">
        <v>14432</v>
      </c>
      <c r="E6655" s="9" t="s">
        <v>17</v>
      </c>
      <c r="F6655" s="10">
        <v>22</v>
      </c>
      <c r="G6655" s="11">
        <v>7041188676</v>
      </c>
      <c r="H6655" s="10" t="s">
        <v>14433</v>
      </c>
      <c r="I6655" s="10" t="s">
        <v>27</v>
      </c>
      <c r="J6655" s="10" t="s">
        <v>2258</v>
      </c>
      <c r="K6655" s="12">
        <v>46032</v>
      </c>
      <c r="L6655" s="28" t="s">
        <v>11</v>
      </c>
      <c r="M6655" s="14"/>
      <c r="N6655" s="10" t="s">
        <v>1028</v>
      </c>
    </row>
    <row r="6656" spans="1:14" ht="22.5" customHeight="1">
      <c r="A6656" s="8">
        <v>46032.610815972221</v>
      </c>
      <c r="B6656" s="9" t="s">
        <v>14</v>
      </c>
      <c r="C6656" s="9" t="s">
        <v>15</v>
      </c>
      <c r="D6656" s="10" t="s">
        <v>14434</v>
      </c>
      <c r="E6656" s="9" t="s">
        <v>17</v>
      </c>
      <c r="F6656" s="10">
        <v>41</v>
      </c>
      <c r="G6656" s="11">
        <v>7036288556</v>
      </c>
      <c r="H6656" s="10" t="s">
        <v>14435</v>
      </c>
      <c r="I6656" s="10" t="s">
        <v>202</v>
      </c>
      <c r="J6656" s="10" t="s">
        <v>2059</v>
      </c>
      <c r="K6656" s="12">
        <v>46032</v>
      </c>
      <c r="L6656" s="28" t="s">
        <v>11</v>
      </c>
      <c r="M6656" s="14"/>
      <c r="N6656" s="10" t="s">
        <v>1028</v>
      </c>
    </row>
    <row r="6657" spans="1:14" ht="22.5" customHeight="1">
      <c r="A6657" s="8">
        <v>46032.611032789355</v>
      </c>
      <c r="B6657" s="9" t="s">
        <v>14</v>
      </c>
      <c r="C6657" s="9" t="s">
        <v>15</v>
      </c>
      <c r="D6657" s="10" t="s">
        <v>14436</v>
      </c>
      <c r="E6657" s="9" t="s">
        <v>22</v>
      </c>
      <c r="F6657" s="10">
        <v>22</v>
      </c>
      <c r="G6657" s="11">
        <f t="shared" ref="G6657" si="200">22794409820</f>
        <v>22794409820</v>
      </c>
      <c r="H6657" s="10" t="s">
        <v>14437</v>
      </c>
      <c r="I6657" s="10" t="s">
        <v>49</v>
      </c>
      <c r="J6657" s="10" t="s">
        <v>49</v>
      </c>
      <c r="K6657" s="12">
        <v>46032</v>
      </c>
      <c r="L6657" s="28" t="s">
        <v>11</v>
      </c>
      <c r="M6657" s="14"/>
      <c r="N6657" s="10" t="s">
        <v>14438</v>
      </c>
    </row>
    <row r="6658" spans="1:14" ht="22.5" customHeight="1">
      <c r="A6658" s="8">
        <v>46032.618562476855</v>
      </c>
      <c r="B6658" s="9" t="s">
        <v>14</v>
      </c>
      <c r="C6658" s="9" t="s">
        <v>15</v>
      </c>
      <c r="D6658" s="10" t="s">
        <v>14439</v>
      </c>
      <c r="E6658" s="9" t="s">
        <v>17</v>
      </c>
      <c r="F6658" s="10">
        <v>23</v>
      </c>
      <c r="G6658" s="11">
        <v>7043205965</v>
      </c>
      <c r="H6658" s="10" t="s">
        <v>14440</v>
      </c>
      <c r="I6658" s="10" t="s">
        <v>45</v>
      </c>
      <c r="J6658" s="10" t="s">
        <v>2761</v>
      </c>
      <c r="K6658" s="12">
        <v>46032</v>
      </c>
      <c r="L6658" s="28" t="s">
        <v>11</v>
      </c>
      <c r="M6658" s="14"/>
      <c r="N6658" s="10" t="s">
        <v>1028</v>
      </c>
    </row>
    <row r="6659" spans="1:14" ht="22.5" customHeight="1">
      <c r="A6659" s="8">
        <v>46032.625582800931</v>
      </c>
      <c r="B6659" s="9" t="s">
        <v>14</v>
      </c>
      <c r="C6659" s="9" t="s">
        <v>15</v>
      </c>
      <c r="D6659" s="10" t="s">
        <v>14441</v>
      </c>
      <c r="E6659" s="9" t="s">
        <v>22</v>
      </c>
      <c r="F6659" s="10">
        <v>21</v>
      </c>
      <c r="G6659" s="11">
        <v>9137322877</v>
      </c>
      <c r="H6659" s="10" t="s">
        <v>14442</v>
      </c>
      <c r="I6659" s="10" t="s">
        <v>31</v>
      </c>
      <c r="J6659" s="10" t="s">
        <v>14443</v>
      </c>
      <c r="K6659" s="12">
        <v>46032</v>
      </c>
      <c r="L6659" s="28" t="s">
        <v>11</v>
      </c>
      <c r="M6659" s="14"/>
      <c r="N6659" s="10" t="s">
        <v>1028</v>
      </c>
    </row>
    <row r="6660" spans="1:14" ht="22.5" customHeight="1">
      <c r="A6660" s="8">
        <v>46032.625671458329</v>
      </c>
      <c r="B6660" s="9" t="s">
        <v>14</v>
      </c>
      <c r="C6660" s="9" t="s">
        <v>15</v>
      </c>
      <c r="D6660" s="10" t="s">
        <v>14444</v>
      </c>
      <c r="E6660" s="9" t="s">
        <v>17</v>
      </c>
      <c r="F6660" s="10">
        <v>33</v>
      </c>
      <c r="G6660" s="11">
        <v>8060005375</v>
      </c>
      <c r="H6660" s="10" t="s">
        <v>14445</v>
      </c>
      <c r="I6660" s="10" t="s">
        <v>27</v>
      </c>
      <c r="J6660" s="10" t="s">
        <v>14446</v>
      </c>
      <c r="K6660" s="12">
        <v>46032</v>
      </c>
      <c r="L6660" s="28" t="s">
        <v>11</v>
      </c>
      <c r="M6660" s="10"/>
      <c r="N6660" s="10" t="s">
        <v>1028</v>
      </c>
    </row>
    <row r="6661" spans="1:14" ht="22.5" customHeight="1">
      <c r="A6661" s="8">
        <v>46032.63027739583</v>
      </c>
      <c r="B6661" s="9" t="s">
        <v>14</v>
      </c>
      <c r="C6661" s="9" t="s">
        <v>15</v>
      </c>
      <c r="D6661" s="10" t="s">
        <v>14447</v>
      </c>
      <c r="E6661" s="9" t="s">
        <v>17</v>
      </c>
      <c r="F6661" s="10">
        <v>33</v>
      </c>
      <c r="G6661" s="11">
        <v>7036433680</v>
      </c>
      <c r="H6661" s="10" t="s">
        <v>14448</v>
      </c>
      <c r="I6661" s="10" t="s">
        <v>45</v>
      </c>
      <c r="J6661" s="10" t="s">
        <v>6865</v>
      </c>
      <c r="K6661" s="12">
        <v>46032</v>
      </c>
      <c r="L6661" s="28" t="s">
        <v>11</v>
      </c>
      <c r="M6661" s="14"/>
      <c r="N6661" s="10" t="s">
        <v>1028</v>
      </c>
    </row>
    <row r="6662" spans="1:14" ht="22.5" customHeight="1">
      <c r="A6662" s="8">
        <v>46032.632371446758</v>
      </c>
      <c r="B6662" s="9" t="s">
        <v>14</v>
      </c>
      <c r="C6662" s="9" t="s">
        <v>15</v>
      </c>
      <c r="D6662" s="10" t="s">
        <v>14449</v>
      </c>
      <c r="E6662" s="9" t="s">
        <v>17</v>
      </c>
      <c r="F6662" s="10">
        <v>27</v>
      </c>
      <c r="G6662" s="11">
        <v>8144368631</v>
      </c>
      <c r="H6662" s="10" t="s">
        <v>14450</v>
      </c>
      <c r="I6662" s="10" t="s">
        <v>27</v>
      </c>
      <c r="J6662" s="10" t="s">
        <v>1907</v>
      </c>
      <c r="K6662" s="12">
        <v>46032</v>
      </c>
      <c r="L6662" s="28" t="s">
        <v>11</v>
      </c>
      <c r="M6662" s="14"/>
      <c r="N6662" s="10" t="s">
        <v>1096</v>
      </c>
    </row>
    <row r="6663" spans="1:14" ht="22.5" customHeight="1">
      <c r="A6663" s="8">
        <v>46032.63614422454</v>
      </c>
      <c r="B6663" s="9" t="s">
        <v>14</v>
      </c>
      <c r="C6663" s="9" t="s">
        <v>15</v>
      </c>
      <c r="D6663" s="10" t="s">
        <v>14451</v>
      </c>
      <c r="E6663" s="9" t="s">
        <v>17</v>
      </c>
      <c r="F6663" s="10">
        <v>24</v>
      </c>
      <c r="G6663" s="11">
        <v>8106246285</v>
      </c>
      <c r="H6663" s="10" t="s">
        <v>14452</v>
      </c>
      <c r="I6663" s="10" t="s">
        <v>19</v>
      </c>
      <c r="J6663" s="10" t="s">
        <v>14453</v>
      </c>
      <c r="K6663" s="12">
        <v>46032</v>
      </c>
      <c r="L6663" s="28" t="s">
        <v>11</v>
      </c>
      <c r="M6663" s="14"/>
      <c r="N6663" s="10" t="s">
        <v>1096</v>
      </c>
    </row>
    <row r="6664" spans="1:14" ht="22.5" customHeight="1">
      <c r="A6664" s="8">
        <v>46032.644815462962</v>
      </c>
      <c r="B6664" s="9" t="s">
        <v>14</v>
      </c>
      <c r="C6664" s="9" t="s">
        <v>15</v>
      </c>
      <c r="D6664" s="10" t="s">
        <v>14454</v>
      </c>
      <c r="E6664" s="9" t="s">
        <v>22</v>
      </c>
      <c r="F6664" s="10">
        <v>27</v>
      </c>
      <c r="G6664" s="11">
        <v>9074163871</v>
      </c>
      <c r="H6664" s="10" t="s">
        <v>14455</v>
      </c>
      <c r="I6664" s="10" t="s">
        <v>45</v>
      </c>
      <c r="J6664" s="10" t="s">
        <v>125</v>
      </c>
      <c r="K6664" s="12">
        <v>46032</v>
      </c>
      <c r="L6664" s="28" t="s">
        <v>11</v>
      </c>
      <c r="M6664" s="14"/>
      <c r="N6664" s="10" t="s">
        <v>1096</v>
      </c>
    </row>
    <row r="6665" spans="1:14" ht="22.5" customHeight="1">
      <c r="A6665" s="8">
        <v>46032.64673581018</v>
      </c>
      <c r="B6665" s="9" t="s">
        <v>14</v>
      </c>
      <c r="C6665" s="9" t="s">
        <v>15</v>
      </c>
      <c r="D6665" s="10" t="s">
        <v>14456</v>
      </c>
      <c r="E6665" s="9" t="s">
        <v>22</v>
      </c>
      <c r="F6665" s="10">
        <v>23</v>
      </c>
      <c r="G6665" s="11">
        <v>9135386840</v>
      </c>
      <c r="H6665" s="10" t="s">
        <v>14457</v>
      </c>
      <c r="I6665" s="10" t="s">
        <v>27</v>
      </c>
      <c r="J6665" s="10" t="s">
        <v>70</v>
      </c>
      <c r="K6665" s="12">
        <v>46032</v>
      </c>
      <c r="L6665" s="28" t="s">
        <v>11</v>
      </c>
      <c r="M6665" s="14"/>
      <c r="N6665" s="10" t="s">
        <v>1028</v>
      </c>
    </row>
    <row r="6666" spans="1:14" ht="15.75" customHeight="1">
      <c r="B6666" s="36"/>
      <c r="C6666" s="36"/>
      <c r="D6666" s="36"/>
      <c r="G6666" s="37"/>
    </row>
    <row r="6667" spans="1:14" ht="15.75" customHeight="1">
      <c r="B6667" s="36"/>
      <c r="C6667" s="36"/>
      <c r="D6667" s="36"/>
      <c r="G6667" s="37"/>
    </row>
  </sheetData>
  <dataValidations count="1">
    <dataValidation type="custom" allowBlank="1" showDropDown="1" sqref="F2:F6665" xr:uid="{00000000-0002-0000-0000-000000000000}"/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ORORO WM</dc:creator>
  <cp:lastModifiedBy>ORORO WM</cp:lastModifiedBy>
  <dcterms:created xsi:type="dcterms:W3CDTF">2026-08-05T04:53:02Z</dcterms:created>
  <dcterms:modified xsi:type="dcterms:W3CDTF">2026-08-05T15:35:11Z</dcterms:modified>
</cp:coreProperties>
</file>